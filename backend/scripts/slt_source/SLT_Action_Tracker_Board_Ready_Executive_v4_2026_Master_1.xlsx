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showInkAnnotation="0"/>
  <mc:AlternateContent xmlns:mc="http://schemas.openxmlformats.org/markup-compatibility/2006">
    <mc:Choice Requires="x15">
      <x15ac:absPath xmlns:x15ac="http://schemas.microsoft.com/office/spreadsheetml/2010/11/ac" url="https://amirqualitymeatsinc-my.sharepoint.com/personal/garima_singh_amirgc_com/Documents/Desktop/SLT Tracker/"/>
    </mc:Choice>
  </mc:AlternateContent>
  <xr:revisionPtr revIDLastSave="0" documentId="8_{F1FF6869-8CE4-44C5-AB6F-71BECAD2D6AD}" xr6:coauthVersionLast="47" xr6:coauthVersionMax="47" xr10:uidLastSave="{00000000-0000-0000-0000-000000000000}"/>
  <workbookProtection workbookAlgorithmName="SHA-512" workbookHashValue="BEozt7svZfJjftaLmZvC+n0tmV/M7ZXpmPeTWO3lHj8g1FUqj3WfNUdJxO0MVTd3Grs8uHy7fod8mMr2RX/HKw==" workbookSaltValue="GeDIlfl0NS3VjM7OOnCgmA==" workbookSpinCount="100000" lockStructure="1"/>
  <bookViews>
    <workbookView xWindow="-110" yWindow="-110" windowWidth="19420" windowHeight="11500" tabRatio="671" firstSheet="3" activeTab="3" xr2:uid="{00000000-000D-0000-FFFF-FFFF00000000}"/>
  </bookViews>
  <sheets>
    <sheet name="5-Minute Summary" sheetId="1" state="hidden" r:id="rId1"/>
    <sheet name="Board Summary (2)" sheetId="2" state="hidden" r:id="rId2"/>
    <sheet name="Executive Dashboard (2)" sheetId="3" state="hidden" r:id="rId3"/>
    <sheet name="Board Summary" sheetId="4" r:id="rId4"/>
    <sheet name="Executive Dashboard" sheetId="5" r:id="rId5"/>
    <sheet name="Action Register" sheetId="6" r:id="rId6"/>
    <sheet name="Decision Queue" sheetId="14" r:id="rId7"/>
    <sheet name="Decision Register" sheetId="15" r:id="rId8"/>
    <sheet name="90-Commitments" sheetId="19" r:id="rId9"/>
    <sheet name="Sheet1" sheetId="16" state="hidden" r:id="rId10"/>
    <sheet name="Decision Queue_Bak" sheetId="7" state="hidden" r:id="rId11"/>
    <sheet name="Decision Register_Bak" sheetId="8" state="hidden" r:id="rId12"/>
    <sheet name="Lists &amp; Controls" sheetId="9" state="hidden" r:id="rId13"/>
    <sheet name="Action Record Viewer" sheetId="10" state="hidden" r:id="rId14"/>
    <sheet name="Decision Queue Viewer" sheetId="11" state="hidden" r:id="rId15"/>
    <sheet name="Decision Record Viewer" sheetId="12" state="hidden" r:id="rId16"/>
    <sheet name="Enhancement Log" sheetId="13" state="hidden" r:id="rId17"/>
  </sheets>
  <externalReferences>
    <externalReference r:id="rId18"/>
  </externalReferences>
  <definedNames>
    <definedName name="_xlnm._FilterDatabase" localSheetId="5" hidden="1">'Action Register'!$A$4:$R$105</definedName>
    <definedName name="_xlnm._FilterDatabase" localSheetId="10" hidden="1">'Decision Queue_Bak'!$A$4:$U$58</definedName>
    <definedName name="ActiveDecisionQueueIDs" localSheetId="8">'[1]Lists &amp; Controls'!$P$3:$P$150</definedName>
    <definedName name="ActiveDecisionQueueIDs">'Lists &amp; Controls'!$P$3:$P$150</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461" i="9" l="1"/>
  <c r="BA460" i="9"/>
  <c r="BA459" i="9"/>
  <c r="BA458" i="9"/>
  <c r="BA457" i="9"/>
  <c r="BA456" i="9"/>
  <c r="BA455" i="9"/>
  <c r="BA454" i="9"/>
  <c r="BA453" i="9"/>
  <c r="BA452" i="9"/>
  <c r="BA451" i="9"/>
  <c r="BA450" i="9"/>
  <c r="BA449" i="9"/>
  <c r="BA448" i="9"/>
  <c r="BA447" i="9"/>
  <c r="BA446" i="9"/>
  <c r="BA445" i="9"/>
  <c r="BA444" i="9"/>
  <c r="BA443" i="9"/>
  <c r="BA442" i="9"/>
  <c r="BA441" i="9"/>
  <c r="BA440" i="9"/>
  <c r="BA439" i="9"/>
  <c r="BA438" i="9"/>
  <c r="BA437" i="9"/>
  <c r="BA436" i="9"/>
  <c r="BA435" i="9"/>
  <c r="BA434" i="9"/>
  <c r="BA433" i="9"/>
  <c r="BA432" i="9"/>
  <c r="BA431" i="9"/>
  <c r="BA430" i="9"/>
  <c r="BA429" i="9"/>
  <c r="BA428" i="9"/>
  <c r="BA427" i="9"/>
  <c r="BA426" i="9"/>
  <c r="BA425" i="9"/>
  <c r="BA424" i="9"/>
  <c r="BA423" i="9"/>
  <c r="BA422" i="9"/>
  <c r="BA421" i="9"/>
  <c r="BA420" i="9"/>
  <c r="BA419" i="9"/>
  <c r="BA418" i="9"/>
  <c r="BA417" i="9"/>
  <c r="BA416" i="9"/>
  <c r="BA415" i="9"/>
  <c r="BA414" i="9"/>
  <c r="BA413" i="9"/>
  <c r="BA412" i="9"/>
  <c r="BA411" i="9"/>
  <c r="BA410" i="9"/>
  <c r="BA409" i="9"/>
  <c r="BA408" i="9"/>
  <c r="BA407" i="9"/>
  <c r="BA406" i="9"/>
  <c r="BA405" i="9"/>
  <c r="BA404" i="9"/>
  <c r="BA403" i="9"/>
  <c r="BA402" i="9"/>
  <c r="BA401" i="9"/>
  <c r="BA400" i="9"/>
  <c r="BA399" i="9"/>
  <c r="BA398" i="9"/>
  <c r="BA397" i="9"/>
  <c r="BA396" i="9"/>
  <c r="BA395" i="9"/>
  <c r="BA394" i="9"/>
  <c r="BA393" i="9"/>
  <c r="BA392" i="9"/>
  <c r="BA391" i="9"/>
  <c r="BA390" i="9"/>
  <c r="BA389" i="9"/>
  <c r="BA388" i="9"/>
  <c r="BA387" i="9"/>
  <c r="BA386" i="9"/>
  <c r="BA385" i="9"/>
  <c r="BA384" i="9"/>
  <c r="BA383" i="9"/>
  <c r="BA382" i="9"/>
  <c r="BA381" i="9"/>
  <c r="BA380" i="9"/>
  <c r="BA379" i="9"/>
  <c r="BA378" i="9"/>
  <c r="BA377" i="9"/>
  <c r="BA376" i="9"/>
  <c r="BA375" i="9"/>
  <c r="BA374" i="9"/>
  <c r="BA373" i="9"/>
  <c r="BA372" i="9"/>
  <c r="BA371" i="9"/>
  <c r="BA370" i="9"/>
  <c r="BA369" i="9"/>
  <c r="BA368" i="9"/>
  <c r="BA367" i="9"/>
  <c r="BA366" i="9"/>
  <c r="BA365" i="9"/>
  <c r="BA364" i="9"/>
  <c r="BA363" i="9"/>
  <c r="BA362" i="9"/>
  <c r="BA361" i="9"/>
  <c r="BA360" i="9"/>
  <c r="BA359" i="9"/>
  <c r="BA358" i="9"/>
  <c r="BA357" i="9"/>
  <c r="BA356" i="9"/>
  <c r="BA355" i="9"/>
  <c r="BA354" i="9"/>
  <c r="BA353" i="9"/>
  <c r="BA352" i="9"/>
  <c r="BA351" i="9"/>
  <c r="BA350" i="9"/>
  <c r="BA349" i="9"/>
  <c r="BA348" i="9"/>
  <c r="BA347" i="9"/>
  <c r="BA346" i="9"/>
  <c r="BA345" i="9"/>
  <c r="BA344" i="9"/>
  <c r="BA343" i="9"/>
  <c r="BA342" i="9"/>
  <c r="BA341" i="9"/>
  <c r="BA340" i="9"/>
  <c r="BA339" i="9"/>
  <c r="BA338" i="9"/>
  <c r="BA337" i="9"/>
  <c r="BA336" i="9"/>
  <c r="BA335" i="9"/>
  <c r="BA334" i="9"/>
  <c r="BA333" i="9"/>
  <c r="BA332" i="9"/>
  <c r="BA331" i="9"/>
  <c r="BA330" i="9"/>
  <c r="BA329" i="9"/>
  <c r="BA328" i="9"/>
  <c r="BA327" i="9"/>
  <c r="BA326" i="9"/>
  <c r="BA325" i="9"/>
  <c r="BA324" i="9"/>
  <c r="BA323" i="9"/>
  <c r="BA322" i="9"/>
  <c r="BA321" i="9"/>
  <c r="BA320" i="9"/>
  <c r="BA319" i="9"/>
  <c r="BA318" i="9"/>
  <c r="BA317" i="9"/>
  <c r="BA316" i="9"/>
  <c r="BA315" i="9"/>
  <c r="BA314" i="9"/>
  <c r="BA313" i="9"/>
  <c r="BA312" i="9"/>
  <c r="BA311" i="9"/>
  <c r="BA310" i="9"/>
  <c r="BA309" i="9"/>
  <c r="BA308" i="9"/>
  <c r="BA307" i="9"/>
  <c r="BA306" i="9"/>
  <c r="BA305" i="9"/>
  <c r="BA304" i="9"/>
  <c r="BA303" i="9"/>
  <c r="BA302" i="9"/>
  <c r="BA301" i="9"/>
  <c r="BA300" i="9"/>
  <c r="BA299" i="9"/>
  <c r="BA298" i="9"/>
  <c r="BA297" i="9"/>
  <c r="BA296" i="9"/>
  <c r="BA295" i="9"/>
  <c r="BA294" i="9"/>
  <c r="BA293" i="9"/>
  <c r="BA292" i="9"/>
  <c r="BA291" i="9"/>
  <c r="BA290" i="9"/>
  <c r="BA289" i="9"/>
  <c r="BA288" i="9"/>
  <c r="BA287" i="9"/>
  <c r="BA286" i="9"/>
  <c r="BA285" i="9"/>
  <c r="BA284" i="9"/>
  <c r="BA283" i="9"/>
  <c r="BA282" i="9"/>
  <c r="BA281" i="9"/>
  <c r="BA280" i="9"/>
  <c r="BA279" i="9"/>
  <c r="BA278" i="9"/>
  <c r="BA277" i="9"/>
  <c r="BA276" i="9"/>
  <c r="BA275" i="9"/>
  <c r="BA274" i="9"/>
  <c r="BA273" i="9"/>
  <c r="BA272" i="9"/>
  <c r="BA271" i="9"/>
  <c r="BA270" i="9"/>
  <c r="BA269" i="9"/>
  <c r="BA268" i="9"/>
  <c r="BA267" i="9"/>
  <c r="BA266" i="9"/>
  <c r="BA265" i="9"/>
  <c r="BA264" i="9"/>
  <c r="BA263" i="9"/>
  <c r="BA262" i="9"/>
  <c r="BA261" i="9"/>
  <c r="BA260" i="9"/>
  <c r="BA259" i="9"/>
  <c r="BA258" i="9"/>
  <c r="BA257" i="9"/>
  <c r="BA256" i="9"/>
  <c r="BA255" i="9"/>
  <c r="BA254" i="9"/>
  <c r="BA253" i="9"/>
  <c r="BA252" i="9"/>
  <c r="BA251" i="9"/>
  <c r="BA250" i="9"/>
  <c r="BA249" i="9"/>
  <c r="BA248" i="9"/>
  <c r="BA247" i="9"/>
  <c r="BA246" i="9"/>
  <c r="BA245" i="9"/>
  <c r="BA244" i="9"/>
  <c r="BA243" i="9"/>
  <c r="BA242" i="9"/>
  <c r="BA241" i="9"/>
  <c r="BA240" i="9"/>
  <c r="BA239" i="9"/>
  <c r="BA238" i="9"/>
  <c r="BA237" i="9"/>
  <c r="BA236" i="9"/>
  <c r="BA235" i="9"/>
  <c r="BA234" i="9"/>
  <c r="BA233" i="9"/>
  <c r="BA232" i="9"/>
  <c r="BA231" i="9"/>
  <c r="BA230" i="9"/>
  <c r="BA229" i="9"/>
  <c r="BA228" i="9"/>
  <c r="BA227" i="9"/>
  <c r="BA226" i="9"/>
  <c r="BA225" i="9"/>
  <c r="BA224" i="9"/>
  <c r="BA223" i="9"/>
  <c r="BA222" i="9"/>
  <c r="BA221" i="9"/>
  <c r="BA220" i="9"/>
  <c r="BA219" i="9"/>
  <c r="BA218" i="9"/>
  <c r="BA217" i="9"/>
  <c r="BA216" i="9"/>
  <c r="BA215" i="9"/>
  <c r="BA214" i="9"/>
  <c r="BA213" i="9"/>
  <c r="BA212" i="9"/>
  <c r="BA211" i="9"/>
  <c r="BA210" i="9"/>
  <c r="BA209" i="9"/>
  <c r="BA208" i="9"/>
  <c r="BA207" i="9"/>
  <c r="BA206" i="9"/>
  <c r="BA205" i="9"/>
  <c r="BA204" i="9"/>
  <c r="BA203" i="9"/>
  <c r="BA202" i="9"/>
  <c r="BA201" i="9"/>
  <c r="BA200" i="9"/>
  <c r="BA199" i="9"/>
  <c r="BA198" i="9"/>
  <c r="BA197" i="9"/>
  <c r="BA196" i="9"/>
  <c r="BA195" i="9"/>
  <c r="BA194" i="9"/>
  <c r="BA193" i="9"/>
  <c r="BA192" i="9"/>
  <c r="BA191" i="9"/>
  <c r="BA190" i="9"/>
  <c r="BA189" i="9"/>
  <c r="BA188" i="9"/>
  <c r="BA187" i="9"/>
  <c r="BA186" i="9"/>
  <c r="BA185" i="9"/>
  <c r="BA184" i="9"/>
  <c r="BA183" i="9"/>
  <c r="BA182" i="9"/>
  <c r="BA181" i="9"/>
  <c r="BA180" i="9"/>
  <c r="BA179" i="9"/>
  <c r="BA178" i="9"/>
  <c r="BA177" i="9"/>
  <c r="BA176" i="9"/>
  <c r="BA175" i="9"/>
  <c r="BA174" i="9"/>
  <c r="BA173" i="9"/>
  <c r="BA172" i="9"/>
  <c r="BA171" i="9"/>
  <c r="BA170" i="9"/>
  <c r="BA169" i="9"/>
  <c r="BA168" i="9"/>
  <c r="BA167" i="9"/>
  <c r="BA166" i="9"/>
  <c r="BA165" i="9"/>
  <c r="BA164" i="9"/>
  <c r="BA163" i="9"/>
  <c r="BA162" i="9"/>
  <c r="BA161" i="9"/>
  <c r="BA160" i="9"/>
  <c r="BA159" i="9"/>
  <c r="BA158" i="9"/>
  <c r="BA157" i="9"/>
  <c r="BA156" i="9"/>
  <c r="BA155" i="9"/>
  <c r="BA154" i="9"/>
  <c r="BA153" i="9"/>
  <c r="BA152" i="9"/>
  <c r="BA151" i="9"/>
  <c r="BA150" i="9"/>
  <c r="BA149" i="9"/>
  <c r="BA148" i="9"/>
  <c r="BA147" i="9"/>
  <c r="BA146" i="9"/>
  <c r="BA145" i="9"/>
  <c r="BA144" i="9"/>
  <c r="BA143" i="9"/>
  <c r="BA142" i="9"/>
  <c r="BA141" i="9"/>
  <c r="BA140" i="9"/>
  <c r="BA139" i="9"/>
  <c r="BA138" i="9"/>
  <c r="BA137" i="9"/>
  <c r="BA136" i="9"/>
  <c r="BA135" i="9"/>
  <c r="BA134" i="9"/>
  <c r="BA133" i="9"/>
  <c r="BA132" i="9"/>
  <c r="BA131" i="9"/>
  <c r="BA130" i="9"/>
  <c r="BA129" i="9"/>
  <c r="BA128" i="9"/>
  <c r="BA127" i="9"/>
  <c r="BA126" i="9"/>
  <c r="BA125" i="9"/>
  <c r="BA124" i="9"/>
  <c r="BA123" i="9"/>
  <c r="BA122" i="9"/>
  <c r="BA121" i="9"/>
  <c r="BA120" i="9"/>
  <c r="BA119" i="9"/>
  <c r="BA118" i="9"/>
  <c r="BA117" i="9"/>
  <c r="BA116" i="9"/>
  <c r="BA115" i="9"/>
  <c r="BA114" i="9"/>
  <c r="BA113" i="9"/>
  <c r="BA112" i="9"/>
  <c r="BA111" i="9"/>
  <c r="BA110" i="9"/>
  <c r="BA109" i="9"/>
  <c r="BA108" i="9"/>
  <c r="BA107" i="9"/>
  <c r="BA106" i="9"/>
  <c r="BA105" i="9"/>
  <c r="BA104" i="9"/>
  <c r="BA103" i="9"/>
  <c r="BA102" i="9"/>
  <c r="BA101" i="9"/>
  <c r="BA100" i="9"/>
  <c r="BA99" i="9"/>
  <c r="BA98" i="9"/>
  <c r="BA97" i="9"/>
  <c r="BA96" i="9"/>
  <c r="BA95" i="9"/>
  <c r="BA94" i="9"/>
  <c r="BA93" i="9"/>
  <c r="BA92" i="9"/>
  <c r="BA91" i="9"/>
  <c r="BA90" i="9"/>
  <c r="BA89" i="9"/>
  <c r="BA88" i="9"/>
  <c r="BA87" i="9"/>
  <c r="BA86" i="9"/>
  <c r="BA85" i="9"/>
  <c r="BA84" i="9"/>
  <c r="BA83" i="9"/>
  <c r="BA82" i="9"/>
  <c r="BA81" i="9"/>
  <c r="BA80" i="9"/>
  <c r="BA79" i="9"/>
  <c r="BA78" i="9"/>
  <c r="BA77" i="9"/>
  <c r="BA76" i="9"/>
  <c r="BA75" i="9"/>
  <c r="BA74" i="9"/>
  <c r="BA73" i="9"/>
  <c r="BA72" i="9"/>
  <c r="BA71" i="9"/>
  <c r="BA70" i="9"/>
  <c r="BA69" i="9"/>
  <c r="BA68" i="9"/>
  <c r="BA67" i="9"/>
  <c r="BA66" i="9"/>
  <c r="BA65" i="9"/>
  <c r="BA64" i="9"/>
  <c r="BA63" i="9"/>
  <c r="BA62" i="9"/>
  <c r="AZ62" i="9"/>
  <c r="BA61" i="9"/>
  <c r="AZ61" i="9"/>
  <c r="BA60" i="9"/>
  <c r="AZ60" i="9"/>
  <c r="BA59" i="9"/>
  <c r="AZ59" i="9"/>
  <c r="BA58" i="9"/>
  <c r="AZ58" i="9"/>
  <c r="BA57" i="9"/>
  <c r="AZ57" i="9"/>
  <c r="BA56" i="9"/>
  <c r="AZ56" i="9"/>
  <c r="BA55" i="9"/>
  <c r="AZ55" i="9"/>
  <c r="BA54" i="9"/>
  <c r="AZ54" i="9"/>
  <c r="BA53" i="9"/>
  <c r="AZ53" i="9"/>
  <c r="BA52" i="9"/>
  <c r="AZ52" i="9"/>
  <c r="BA51" i="9"/>
  <c r="AZ51" i="9"/>
  <c r="BA50" i="9"/>
  <c r="AZ50" i="9"/>
  <c r="BA49" i="9"/>
  <c r="AZ49" i="9"/>
  <c r="BA48" i="9"/>
  <c r="AZ48" i="9"/>
  <c r="BA47" i="9"/>
  <c r="AZ47" i="9"/>
  <c r="BA46" i="9"/>
  <c r="AZ46" i="9"/>
  <c r="BA45" i="9"/>
  <c r="AZ45" i="9"/>
  <c r="BA44" i="9"/>
  <c r="AZ44" i="9"/>
  <c r="BA43" i="9"/>
  <c r="AZ43" i="9"/>
  <c r="BA42" i="9"/>
  <c r="AZ42" i="9"/>
  <c r="BA41" i="9"/>
  <c r="AZ41" i="9"/>
  <c r="BA40" i="9"/>
  <c r="AZ40" i="9"/>
  <c r="BA39" i="9"/>
  <c r="AZ39" i="9"/>
  <c r="BA38" i="9"/>
  <c r="AZ38" i="9"/>
  <c r="BA37" i="9"/>
  <c r="AZ37" i="9"/>
  <c r="BA36" i="9"/>
  <c r="AZ36" i="9"/>
  <c r="BA35" i="9"/>
  <c r="AZ35" i="9"/>
  <c r="BA34" i="9"/>
  <c r="AZ34" i="9"/>
  <c r="BA33" i="9"/>
  <c r="AZ33" i="9"/>
  <c r="BA32" i="9"/>
  <c r="AZ32" i="9"/>
  <c r="BA31" i="9"/>
  <c r="AZ31" i="9"/>
  <c r="BA30" i="9"/>
  <c r="AZ30" i="9"/>
  <c r="BA29" i="9"/>
  <c r="AZ29" i="9"/>
  <c r="BA28" i="9"/>
  <c r="AZ28" i="9"/>
  <c r="BA27" i="9"/>
  <c r="AZ27" i="9"/>
  <c r="BA26" i="9"/>
  <c r="AZ26" i="9"/>
  <c r="BA25" i="9"/>
  <c r="AZ25" i="9"/>
  <c r="BA24" i="9"/>
  <c r="AZ24" i="9"/>
  <c r="BA23" i="9"/>
  <c r="AZ23" i="9"/>
  <c r="BA22" i="9"/>
  <c r="AZ22" i="9"/>
  <c r="BA21" i="9"/>
  <c r="AZ21" i="9"/>
  <c r="BA20" i="9"/>
  <c r="AZ20" i="9"/>
  <c r="BA19" i="9"/>
  <c r="AZ19" i="9"/>
  <c r="BA18" i="9"/>
  <c r="AZ18" i="9"/>
  <c r="BA17" i="9"/>
  <c r="AZ17" i="9"/>
  <c r="BA16" i="9"/>
  <c r="AZ16" i="9"/>
  <c r="BA15" i="9"/>
  <c r="AZ15" i="9"/>
  <c r="BA14" i="9"/>
  <c r="AZ14" i="9"/>
  <c r="BA13" i="9"/>
  <c r="AZ13" i="9"/>
  <c r="BA12" i="9"/>
  <c r="AZ12" i="9"/>
  <c r="BA11" i="9"/>
  <c r="AZ11" i="9"/>
  <c r="BA10" i="9"/>
  <c r="AZ10" i="9"/>
  <c r="BA9" i="9"/>
  <c r="AZ9" i="9"/>
  <c r="BA8" i="9"/>
  <c r="AZ8" i="9"/>
  <c r="BA7" i="9"/>
  <c r="AZ7" i="9"/>
  <c r="BA6" i="9"/>
  <c r="AZ6" i="9"/>
  <c r="BA5" i="9"/>
  <c r="AZ5" i="9"/>
  <c r="BA4" i="9"/>
  <c r="AZ4" i="9"/>
  <c r="BA3" i="9"/>
  <c r="AZ3" i="9"/>
  <c r="BA2" i="9"/>
  <c r="AZ2" i="9"/>
  <c r="AY2" i="9" s="1"/>
  <c r="AW2" i="9" a="1"/>
  <c r="AU2" i="9" a="1"/>
  <c r="AS2" i="9"/>
  <c r="AR2" i="9" s="1"/>
  <c r="AQ2" i="9" s="1"/>
  <c r="AP2" i="9" s="1"/>
  <c r="AO2" i="9" s="1"/>
  <c r="AN2" i="9" s="1"/>
  <c r="AM2" i="9" s="1"/>
  <c r="AL2" i="9" s="1"/>
  <c r="AK2" i="9" s="1"/>
  <c r="AJ2" i="9" s="1"/>
  <c r="U1418" i="19"/>
  <c r="T1418" i="19"/>
  <c r="S1418" i="19"/>
  <c r="L1418" i="19"/>
  <c r="J1418" i="19"/>
  <c r="I1418" i="19"/>
  <c r="A1418" i="19"/>
  <c r="U1417" i="19"/>
  <c r="T1417" i="19"/>
  <c r="S1417" i="19"/>
  <c r="L1417" i="19"/>
  <c r="J1417" i="19"/>
  <c r="I1417" i="19"/>
  <c r="A1417" i="19"/>
  <c r="U1416" i="19"/>
  <c r="T1416" i="19"/>
  <c r="S1416" i="19"/>
  <c r="L1416" i="19"/>
  <c r="J1416" i="19"/>
  <c r="I1416" i="19"/>
  <c r="A1416" i="19"/>
  <c r="U1415" i="19"/>
  <c r="T1415" i="19"/>
  <c r="S1415" i="19"/>
  <c r="L1415" i="19"/>
  <c r="J1415" i="19"/>
  <c r="I1415" i="19"/>
  <c r="A1415" i="19"/>
  <c r="U1414" i="19"/>
  <c r="T1414" i="19"/>
  <c r="S1414" i="19"/>
  <c r="L1414" i="19"/>
  <c r="J1414" i="19"/>
  <c r="I1414" i="19"/>
  <c r="A1414" i="19"/>
  <c r="U1413" i="19"/>
  <c r="T1413" i="19"/>
  <c r="S1413" i="19"/>
  <c r="L1413" i="19"/>
  <c r="J1413" i="19"/>
  <c r="I1413" i="19"/>
  <c r="A1413" i="19"/>
  <c r="U1412" i="19"/>
  <c r="T1412" i="19"/>
  <c r="S1412" i="19"/>
  <c r="L1412" i="19"/>
  <c r="J1412" i="19"/>
  <c r="I1412" i="19"/>
  <c r="A1412" i="19"/>
  <c r="U1411" i="19"/>
  <c r="T1411" i="19"/>
  <c r="S1411" i="19"/>
  <c r="L1411" i="19"/>
  <c r="J1411" i="19"/>
  <c r="I1411" i="19"/>
  <c r="A1411" i="19"/>
  <c r="U1410" i="19"/>
  <c r="T1410" i="19"/>
  <c r="S1410" i="19"/>
  <c r="L1410" i="19"/>
  <c r="J1410" i="19"/>
  <c r="I1410" i="19"/>
  <c r="A1410" i="19"/>
  <c r="U1409" i="19"/>
  <c r="T1409" i="19"/>
  <c r="S1409" i="19"/>
  <c r="L1409" i="19"/>
  <c r="J1409" i="19"/>
  <c r="I1409" i="19"/>
  <c r="A1409" i="19"/>
  <c r="U1408" i="19"/>
  <c r="T1408" i="19"/>
  <c r="S1408" i="19"/>
  <c r="L1408" i="19"/>
  <c r="J1408" i="19"/>
  <c r="I1408" i="19"/>
  <c r="A1408" i="19"/>
  <c r="U1407" i="19"/>
  <c r="T1407" i="19"/>
  <c r="S1407" i="19"/>
  <c r="L1407" i="19"/>
  <c r="J1407" i="19"/>
  <c r="I1407" i="19"/>
  <c r="A1407" i="19"/>
  <c r="U1406" i="19"/>
  <c r="T1406" i="19"/>
  <c r="S1406" i="19"/>
  <c r="L1406" i="19"/>
  <c r="J1406" i="19"/>
  <c r="I1406" i="19"/>
  <c r="A1406" i="19"/>
  <c r="U1405" i="19"/>
  <c r="T1405" i="19"/>
  <c r="S1405" i="19"/>
  <c r="L1405" i="19"/>
  <c r="J1405" i="19"/>
  <c r="I1405" i="19"/>
  <c r="A1405" i="19"/>
  <c r="U1404" i="19"/>
  <c r="T1404" i="19"/>
  <c r="S1404" i="19"/>
  <c r="L1404" i="19"/>
  <c r="J1404" i="19"/>
  <c r="I1404" i="19"/>
  <c r="A1404" i="19"/>
  <c r="U1403" i="19"/>
  <c r="T1403" i="19"/>
  <c r="S1403" i="19"/>
  <c r="L1403" i="19"/>
  <c r="J1403" i="19"/>
  <c r="I1403" i="19"/>
  <c r="A1403" i="19"/>
  <c r="U1402" i="19"/>
  <c r="T1402" i="19"/>
  <c r="S1402" i="19"/>
  <c r="L1402" i="19"/>
  <c r="J1402" i="19"/>
  <c r="I1402" i="19"/>
  <c r="A1402" i="19"/>
  <c r="U1401" i="19"/>
  <c r="T1401" i="19"/>
  <c r="S1401" i="19"/>
  <c r="L1401" i="19"/>
  <c r="J1401" i="19"/>
  <c r="I1401" i="19"/>
  <c r="A1401" i="19"/>
  <c r="U1400" i="19"/>
  <c r="T1400" i="19"/>
  <c r="S1400" i="19"/>
  <c r="L1400" i="19"/>
  <c r="J1400" i="19"/>
  <c r="I1400" i="19"/>
  <c r="A1400" i="19"/>
  <c r="U1399" i="19"/>
  <c r="T1399" i="19"/>
  <c r="S1399" i="19"/>
  <c r="L1399" i="19"/>
  <c r="J1399" i="19"/>
  <c r="I1399" i="19"/>
  <c r="A1399" i="19"/>
  <c r="U1398" i="19"/>
  <c r="T1398" i="19"/>
  <c r="S1398" i="19"/>
  <c r="L1398" i="19"/>
  <c r="J1398" i="19"/>
  <c r="I1398" i="19"/>
  <c r="A1398" i="19"/>
  <c r="U1397" i="19"/>
  <c r="T1397" i="19"/>
  <c r="S1397" i="19"/>
  <c r="L1397" i="19"/>
  <c r="J1397" i="19"/>
  <c r="I1397" i="19"/>
  <c r="A1397" i="19"/>
  <c r="U1396" i="19"/>
  <c r="T1396" i="19"/>
  <c r="S1396" i="19"/>
  <c r="L1396" i="19"/>
  <c r="J1396" i="19"/>
  <c r="I1396" i="19"/>
  <c r="A1396" i="19"/>
  <c r="U1395" i="19"/>
  <c r="T1395" i="19"/>
  <c r="S1395" i="19"/>
  <c r="L1395" i="19"/>
  <c r="J1395" i="19"/>
  <c r="I1395" i="19"/>
  <c r="A1395" i="19"/>
  <c r="U1394" i="19"/>
  <c r="T1394" i="19"/>
  <c r="S1394" i="19"/>
  <c r="L1394" i="19"/>
  <c r="J1394" i="19"/>
  <c r="I1394" i="19"/>
  <c r="A1394" i="19"/>
  <c r="U1393" i="19"/>
  <c r="T1393" i="19"/>
  <c r="S1393" i="19"/>
  <c r="L1393" i="19"/>
  <c r="J1393" i="19"/>
  <c r="I1393" i="19"/>
  <c r="A1393" i="19"/>
  <c r="U1392" i="19"/>
  <c r="T1392" i="19"/>
  <c r="S1392" i="19"/>
  <c r="L1392" i="19"/>
  <c r="J1392" i="19"/>
  <c r="I1392" i="19"/>
  <c r="A1392" i="19"/>
  <c r="U1391" i="19"/>
  <c r="T1391" i="19"/>
  <c r="S1391" i="19"/>
  <c r="L1391" i="19"/>
  <c r="J1391" i="19"/>
  <c r="I1391" i="19"/>
  <c r="A1391" i="19"/>
  <c r="U1390" i="19"/>
  <c r="T1390" i="19"/>
  <c r="S1390" i="19"/>
  <c r="L1390" i="19"/>
  <c r="J1390" i="19"/>
  <c r="I1390" i="19"/>
  <c r="A1390" i="19"/>
  <c r="U1389" i="19"/>
  <c r="T1389" i="19"/>
  <c r="S1389" i="19"/>
  <c r="L1389" i="19"/>
  <c r="J1389" i="19"/>
  <c r="I1389" i="19"/>
  <c r="A1389" i="19"/>
  <c r="U1388" i="19"/>
  <c r="T1388" i="19"/>
  <c r="S1388" i="19"/>
  <c r="L1388" i="19"/>
  <c r="J1388" i="19"/>
  <c r="I1388" i="19"/>
  <c r="A1388" i="19"/>
  <c r="U1387" i="19"/>
  <c r="T1387" i="19"/>
  <c r="S1387" i="19"/>
  <c r="L1387" i="19"/>
  <c r="J1387" i="19"/>
  <c r="I1387" i="19"/>
  <c r="A1387" i="19"/>
  <c r="U1386" i="19"/>
  <c r="T1386" i="19"/>
  <c r="S1386" i="19"/>
  <c r="L1386" i="19"/>
  <c r="J1386" i="19"/>
  <c r="I1386" i="19"/>
  <c r="A1386" i="19"/>
  <c r="U1385" i="19"/>
  <c r="T1385" i="19"/>
  <c r="S1385" i="19"/>
  <c r="G1385" i="19"/>
  <c r="A1385" i="19"/>
  <c r="U1384" i="19"/>
  <c r="T1384" i="19"/>
  <c r="S1384" i="19"/>
  <c r="G1384" i="19"/>
  <c r="A1384" i="19"/>
  <c r="U1383" i="19"/>
  <c r="T1383" i="19"/>
  <c r="S1383" i="19"/>
  <c r="G1383" i="19"/>
  <c r="A1383" i="19"/>
  <c r="U1382" i="19"/>
  <c r="T1382" i="19"/>
  <c r="S1382" i="19"/>
  <c r="G1382" i="19"/>
  <c r="A1382" i="19"/>
  <c r="U1381" i="19"/>
  <c r="T1381" i="19"/>
  <c r="S1381" i="19"/>
  <c r="G1381" i="19"/>
  <c r="A1381" i="19"/>
  <c r="U1380" i="19"/>
  <c r="T1380" i="19"/>
  <c r="S1380" i="19"/>
  <c r="G1380" i="19"/>
  <c r="A1380" i="19"/>
  <c r="U1379" i="19"/>
  <c r="T1379" i="19"/>
  <c r="S1379" i="19"/>
  <c r="G1379" i="19"/>
  <c r="A1379" i="19"/>
  <c r="U1378" i="19"/>
  <c r="T1378" i="19"/>
  <c r="S1378" i="19"/>
  <c r="G1378" i="19"/>
  <c r="A1378" i="19"/>
  <c r="U1377" i="19"/>
  <c r="T1377" i="19"/>
  <c r="S1377" i="19"/>
  <c r="G1377" i="19"/>
  <c r="A1377" i="19"/>
  <c r="U1376" i="19"/>
  <c r="T1376" i="19"/>
  <c r="S1376" i="19"/>
  <c r="G1376" i="19"/>
  <c r="A1376" i="19"/>
  <c r="U1375" i="19"/>
  <c r="T1375" i="19"/>
  <c r="S1375" i="19"/>
  <c r="G1375" i="19"/>
  <c r="A1375" i="19"/>
  <c r="U1374" i="19"/>
  <c r="T1374" i="19"/>
  <c r="S1374" i="19"/>
  <c r="G1374" i="19"/>
  <c r="A1374" i="19"/>
  <c r="U1373" i="19"/>
  <c r="T1373" i="19"/>
  <c r="S1373" i="19"/>
  <c r="G1373" i="19"/>
  <c r="A1373" i="19"/>
  <c r="U1372" i="19"/>
  <c r="T1372" i="19"/>
  <c r="S1372" i="19"/>
  <c r="G1372" i="19"/>
  <c r="A1372" i="19"/>
  <c r="U1371" i="19"/>
  <c r="T1371" i="19"/>
  <c r="S1371" i="19"/>
  <c r="G1371" i="19"/>
  <c r="A1371" i="19"/>
  <c r="U1370" i="19"/>
  <c r="T1370" i="19"/>
  <c r="S1370" i="19"/>
  <c r="G1370" i="19"/>
  <c r="A1370" i="19"/>
  <c r="U1369" i="19"/>
  <c r="T1369" i="19"/>
  <c r="S1369" i="19"/>
  <c r="G1369" i="19"/>
  <c r="A1369" i="19"/>
  <c r="U1368" i="19"/>
  <c r="T1368" i="19"/>
  <c r="S1368" i="19"/>
  <c r="G1368" i="19"/>
  <c r="A1368" i="19"/>
  <c r="U1367" i="19"/>
  <c r="T1367" i="19"/>
  <c r="S1367" i="19"/>
  <c r="G1367" i="19"/>
  <c r="A1367" i="19"/>
  <c r="U1366" i="19"/>
  <c r="T1366" i="19"/>
  <c r="S1366" i="19"/>
  <c r="G1366" i="19"/>
  <c r="A1366" i="19"/>
  <c r="U1365" i="19"/>
  <c r="T1365" i="19"/>
  <c r="S1365" i="19"/>
  <c r="G1365" i="19"/>
  <c r="A1365" i="19"/>
  <c r="U1364" i="19"/>
  <c r="T1364" i="19"/>
  <c r="S1364" i="19"/>
  <c r="G1364" i="19"/>
  <c r="A1364" i="19"/>
  <c r="U1363" i="19"/>
  <c r="T1363" i="19"/>
  <c r="S1363" i="19"/>
  <c r="G1363" i="19"/>
  <c r="A1363" i="19"/>
  <c r="U1362" i="19"/>
  <c r="T1362" i="19"/>
  <c r="S1362" i="19"/>
  <c r="G1362" i="19"/>
  <c r="A1362" i="19"/>
  <c r="U1361" i="19"/>
  <c r="T1361" i="19"/>
  <c r="S1361" i="19"/>
  <c r="G1361" i="19"/>
  <c r="A1361" i="19"/>
  <c r="U1360" i="19"/>
  <c r="T1360" i="19"/>
  <c r="S1360" i="19"/>
  <c r="G1360" i="19"/>
  <c r="A1360" i="19"/>
  <c r="U1359" i="19"/>
  <c r="T1359" i="19"/>
  <c r="S1359" i="19"/>
  <c r="G1359" i="19"/>
  <c r="A1359" i="19"/>
  <c r="U1358" i="19"/>
  <c r="T1358" i="19"/>
  <c r="S1358" i="19"/>
  <c r="G1358" i="19"/>
  <c r="A1358" i="19"/>
  <c r="U1357" i="19"/>
  <c r="T1357" i="19"/>
  <c r="S1357" i="19"/>
  <c r="G1357" i="19"/>
  <c r="A1357" i="19"/>
  <c r="U1356" i="19"/>
  <c r="T1356" i="19"/>
  <c r="S1356" i="19"/>
  <c r="G1356" i="19"/>
  <c r="A1356" i="19"/>
  <c r="U1355" i="19"/>
  <c r="T1355" i="19"/>
  <c r="S1355" i="19"/>
  <c r="G1355" i="19"/>
  <c r="A1355" i="19"/>
  <c r="U1354" i="19"/>
  <c r="T1354" i="19"/>
  <c r="S1354" i="19"/>
  <c r="G1354" i="19"/>
  <c r="A1354" i="19"/>
  <c r="U1353" i="19"/>
  <c r="T1353" i="19"/>
  <c r="S1353" i="19"/>
  <c r="G1353" i="19"/>
  <c r="A1353" i="19"/>
  <c r="U1352" i="19"/>
  <c r="T1352" i="19"/>
  <c r="S1352" i="19"/>
  <c r="G1352" i="19"/>
  <c r="A1352" i="19"/>
  <c r="U1351" i="19"/>
  <c r="T1351" i="19"/>
  <c r="S1351" i="19"/>
  <c r="G1351" i="19"/>
  <c r="A1351" i="19"/>
  <c r="U1350" i="19"/>
  <c r="T1350" i="19"/>
  <c r="S1350" i="19"/>
  <c r="G1350" i="19"/>
  <c r="A1350" i="19"/>
  <c r="U1349" i="19"/>
  <c r="T1349" i="19"/>
  <c r="S1349" i="19"/>
  <c r="G1349" i="19"/>
  <c r="A1349" i="19"/>
  <c r="U1348" i="19"/>
  <c r="T1348" i="19"/>
  <c r="S1348" i="19"/>
  <c r="G1348" i="19"/>
  <c r="A1348" i="19"/>
  <c r="U1347" i="19"/>
  <c r="T1347" i="19"/>
  <c r="S1347" i="19"/>
  <c r="G1347" i="19"/>
  <c r="A1347" i="19"/>
  <c r="U1346" i="19"/>
  <c r="T1346" i="19"/>
  <c r="S1346" i="19"/>
  <c r="G1346" i="19"/>
  <c r="A1346" i="19"/>
  <c r="U1345" i="19"/>
  <c r="T1345" i="19"/>
  <c r="S1345" i="19"/>
  <c r="G1345" i="19"/>
  <c r="A1345" i="19"/>
  <c r="U1344" i="19"/>
  <c r="T1344" i="19"/>
  <c r="S1344" i="19"/>
  <c r="G1344" i="19"/>
  <c r="A1344" i="19"/>
  <c r="U1343" i="19"/>
  <c r="T1343" i="19"/>
  <c r="S1343" i="19"/>
  <c r="G1343" i="19"/>
  <c r="A1343" i="19"/>
  <c r="U1342" i="19"/>
  <c r="T1342" i="19"/>
  <c r="S1342" i="19"/>
  <c r="G1342" i="19"/>
  <c r="A1342" i="19"/>
  <c r="U1341" i="19"/>
  <c r="T1341" i="19"/>
  <c r="S1341" i="19"/>
  <c r="G1341" i="19"/>
  <c r="A1341" i="19"/>
  <c r="U1340" i="19"/>
  <c r="T1340" i="19"/>
  <c r="S1340" i="19"/>
  <c r="G1340" i="19"/>
  <c r="A1340" i="19"/>
  <c r="U1339" i="19"/>
  <c r="T1339" i="19"/>
  <c r="S1339" i="19"/>
  <c r="G1339" i="19"/>
  <c r="A1339" i="19"/>
  <c r="U1338" i="19"/>
  <c r="T1338" i="19"/>
  <c r="S1338" i="19"/>
  <c r="G1338" i="19"/>
  <c r="A1338" i="19"/>
  <c r="U1337" i="19"/>
  <c r="T1337" i="19"/>
  <c r="S1337" i="19"/>
  <c r="G1337" i="19"/>
  <c r="A1337" i="19"/>
  <c r="U1336" i="19"/>
  <c r="T1336" i="19"/>
  <c r="S1336" i="19"/>
  <c r="G1336" i="19"/>
  <c r="A1336" i="19"/>
  <c r="U1335" i="19"/>
  <c r="T1335" i="19"/>
  <c r="S1335" i="19"/>
  <c r="G1335" i="19"/>
  <c r="A1335" i="19"/>
  <c r="U1334" i="19"/>
  <c r="T1334" i="19"/>
  <c r="S1334" i="19"/>
  <c r="G1334" i="19"/>
  <c r="A1334" i="19"/>
  <c r="U1333" i="19"/>
  <c r="T1333" i="19"/>
  <c r="S1333" i="19"/>
  <c r="G1333" i="19"/>
  <c r="A1333" i="19"/>
  <c r="U1332" i="19"/>
  <c r="T1332" i="19"/>
  <c r="S1332" i="19"/>
  <c r="G1332" i="19"/>
  <c r="A1332" i="19"/>
  <c r="U1331" i="19"/>
  <c r="T1331" i="19"/>
  <c r="S1331" i="19"/>
  <c r="G1331" i="19"/>
  <c r="A1331" i="19"/>
  <c r="U1330" i="19"/>
  <c r="T1330" i="19"/>
  <c r="S1330" i="19"/>
  <c r="G1330" i="19"/>
  <c r="A1330" i="19"/>
  <c r="U1329" i="19"/>
  <c r="T1329" i="19"/>
  <c r="S1329" i="19"/>
  <c r="G1329" i="19"/>
  <c r="A1329" i="19"/>
  <c r="U1328" i="19"/>
  <c r="T1328" i="19"/>
  <c r="S1328" i="19"/>
  <c r="G1328" i="19"/>
  <c r="A1328" i="19"/>
  <c r="U1327" i="19"/>
  <c r="T1327" i="19"/>
  <c r="S1327" i="19"/>
  <c r="G1327" i="19"/>
  <c r="A1327" i="19"/>
  <c r="U1326" i="19"/>
  <c r="T1326" i="19"/>
  <c r="S1326" i="19"/>
  <c r="G1326" i="19"/>
  <c r="A1326" i="19"/>
  <c r="U1325" i="19"/>
  <c r="T1325" i="19"/>
  <c r="S1325" i="19"/>
  <c r="G1325" i="19"/>
  <c r="A1325" i="19"/>
  <c r="U1324" i="19"/>
  <c r="T1324" i="19"/>
  <c r="S1324" i="19"/>
  <c r="G1324" i="19"/>
  <c r="A1324" i="19"/>
  <c r="U1323" i="19"/>
  <c r="T1323" i="19"/>
  <c r="S1323" i="19"/>
  <c r="G1323" i="19"/>
  <c r="A1323" i="19"/>
  <c r="U1322" i="19"/>
  <c r="T1322" i="19"/>
  <c r="S1322" i="19"/>
  <c r="G1322" i="19"/>
  <c r="A1322" i="19"/>
  <c r="U1321" i="19"/>
  <c r="T1321" i="19"/>
  <c r="S1321" i="19"/>
  <c r="G1321" i="19"/>
  <c r="A1321" i="19"/>
  <c r="U1320" i="19"/>
  <c r="T1320" i="19"/>
  <c r="S1320" i="19"/>
  <c r="G1320" i="19"/>
  <c r="A1320" i="19"/>
  <c r="U1319" i="19"/>
  <c r="T1319" i="19"/>
  <c r="S1319" i="19"/>
  <c r="G1319" i="19"/>
  <c r="A1319" i="19"/>
  <c r="U1318" i="19"/>
  <c r="T1318" i="19"/>
  <c r="S1318" i="19"/>
  <c r="G1318" i="19"/>
  <c r="A1318" i="19"/>
  <c r="U1317" i="19"/>
  <c r="T1317" i="19"/>
  <c r="S1317" i="19"/>
  <c r="G1317" i="19"/>
  <c r="A1317" i="19"/>
  <c r="U1316" i="19"/>
  <c r="T1316" i="19"/>
  <c r="S1316" i="19"/>
  <c r="G1316" i="19"/>
  <c r="A1316" i="19"/>
  <c r="U1315" i="19"/>
  <c r="T1315" i="19"/>
  <c r="S1315" i="19"/>
  <c r="G1315" i="19"/>
  <c r="A1315" i="19"/>
  <c r="U1314" i="19"/>
  <c r="T1314" i="19"/>
  <c r="S1314" i="19"/>
  <c r="G1314" i="19"/>
  <c r="A1314" i="19"/>
  <c r="U1313" i="19"/>
  <c r="T1313" i="19"/>
  <c r="S1313" i="19"/>
  <c r="G1313" i="19"/>
  <c r="A1313" i="19"/>
  <c r="U1312" i="19"/>
  <c r="T1312" i="19"/>
  <c r="S1312" i="19"/>
  <c r="G1312" i="19"/>
  <c r="A1312" i="19"/>
  <c r="U1311" i="19"/>
  <c r="T1311" i="19"/>
  <c r="S1311" i="19"/>
  <c r="G1311" i="19"/>
  <c r="A1311" i="19"/>
  <c r="U1310" i="19"/>
  <c r="T1310" i="19"/>
  <c r="S1310" i="19"/>
  <c r="G1310" i="19"/>
  <c r="A1310" i="19"/>
  <c r="U1309" i="19"/>
  <c r="T1309" i="19"/>
  <c r="S1309" i="19"/>
  <c r="G1309" i="19"/>
  <c r="A1309" i="19"/>
  <c r="U1308" i="19"/>
  <c r="T1308" i="19"/>
  <c r="S1308" i="19"/>
  <c r="G1308" i="19"/>
  <c r="A1308" i="19"/>
  <c r="U1307" i="19"/>
  <c r="T1307" i="19"/>
  <c r="S1307" i="19"/>
  <c r="G1307" i="19"/>
  <c r="A1307" i="19"/>
  <c r="U1306" i="19"/>
  <c r="T1306" i="19"/>
  <c r="S1306" i="19"/>
  <c r="G1306" i="19"/>
  <c r="A1306" i="19"/>
  <c r="U1305" i="19"/>
  <c r="T1305" i="19"/>
  <c r="S1305" i="19"/>
  <c r="G1305" i="19"/>
  <c r="A1305" i="19"/>
  <c r="U1304" i="19"/>
  <c r="T1304" i="19"/>
  <c r="S1304" i="19"/>
  <c r="G1304" i="19"/>
  <c r="A1304" i="19"/>
  <c r="U1303" i="19"/>
  <c r="T1303" i="19"/>
  <c r="S1303" i="19"/>
  <c r="G1303" i="19"/>
  <c r="A1303" i="19"/>
  <c r="U1302" i="19"/>
  <c r="T1302" i="19"/>
  <c r="S1302" i="19"/>
  <c r="G1302" i="19"/>
  <c r="A1302" i="19"/>
  <c r="U1301" i="19"/>
  <c r="T1301" i="19"/>
  <c r="S1301" i="19"/>
  <c r="G1301" i="19"/>
  <c r="A1301" i="19"/>
  <c r="U1300" i="19"/>
  <c r="T1300" i="19"/>
  <c r="S1300" i="19"/>
  <c r="G1300" i="19"/>
  <c r="A1300" i="19"/>
  <c r="U1299" i="19"/>
  <c r="T1299" i="19"/>
  <c r="S1299" i="19"/>
  <c r="G1299" i="19"/>
  <c r="A1299" i="19"/>
  <c r="U1298" i="19"/>
  <c r="T1298" i="19"/>
  <c r="S1298" i="19"/>
  <c r="G1298" i="19"/>
  <c r="A1298" i="19"/>
  <c r="U1297" i="19"/>
  <c r="T1297" i="19"/>
  <c r="S1297" i="19"/>
  <c r="G1297" i="19"/>
  <c r="A1297" i="19"/>
  <c r="U1296" i="19"/>
  <c r="T1296" i="19"/>
  <c r="S1296" i="19"/>
  <c r="G1296" i="19"/>
  <c r="A1296" i="19"/>
  <c r="U1295" i="19"/>
  <c r="T1295" i="19"/>
  <c r="S1295" i="19"/>
  <c r="G1295" i="19"/>
  <c r="A1295" i="19"/>
  <c r="U1294" i="19"/>
  <c r="T1294" i="19"/>
  <c r="S1294" i="19"/>
  <c r="G1294" i="19"/>
  <c r="A1294" i="19"/>
  <c r="U1293" i="19"/>
  <c r="T1293" i="19"/>
  <c r="S1293" i="19"/>
  <c r="G1293" i="19"/>
  <c r="A1293" i="19"/>
  <c r="U1292" i="19"/>
  <c r="T1292" i="19"/>
  <c r="S1292" i="19"/>
  <c r="G1292" i="19"/>
  <c r="A1292" i="19"/>
  <c r="U1291" i="19"/>
  <c r="T1291" i="19"/>
  <c r="S1291" i="19"/>
  <c r="G1291" i="19"/>
  <c r="A1291" i="19"/>
  <c r="U1290" i="19"/>
  <c r="T1290" i="19"/>
  <c r="S1290" i="19"/>
  <c r="G1290" i="19"/>
  <c r="A1290" i="19"/>
  <c r="U1289" i="19"/>
  <c r="T1289" i="19"/>
  <c r="S1289" i="19"/>
  <c r="G1289" i="19"/>
  <c r="A1289" i="19"/>
  <c r="U1288" i="19"/>
  <c r="T1288" i="19"/>
  <c r="S1288" i="19"/>
  <c r="G1288" i="19"/>
  <c r="A1288" i="19"/>
  <c r="U1287" i="19"/>
  <c r="T1287" i="19"/>
  <c r="S1287" i="19"/>
  <c r="G1287" i="19"/>
  <c r="A1287" i="19"/>
  <c r="U1286" i="19"/>
  <c r="T1286" i="19"/>
  <c r="S1286" i="19"/>
  <c r="G1286" i="19"/>
  <c r="A1286" i="19"/>
  <c r="U1285" i="19"/>
  <c r="T1285" i="19"/>
  <c r="S1285" i="19"/>
  <c r="G1285" i="19"/>
  <c r="A1285" i="19"/>
  <c r="U1284" i="19"/>
  <c r="T1284" i="19"/>
  <c r="S1284" i="19"/>
  <c r="G1284" i="19"/>
  <c r="A1284" i="19"/>
  <c r="U1283" i="19"/>
  <c r="T1283" i="19"/>
  <c r="S1283" i="19"/>
  <c r="G1283" i="19"/>
  <c r="A1283" i="19"/>
  <c r="U1282" i="19"/>
  <c r="T1282" i="19"/>
  <c r="S1282" i="19"/>
  <c r="G1282" i="19"/>
  <c r="A1282" i="19"/>
  <c r="U1281" i="19"/>
  <c r="T1281" i="19"/>
  <c r="S1281" i="19"/>
  <c r="G1281" i="19"/>
  <c r="A1281" i="19"/>
  <c r="U1280" i="19"/>
  <c r="T1280" i="19"/>
  <c r="S1280" i="19"/>
  <c r="G1280" i="19"/>
  <c r="A1280" i="19"/>
  <c r="U1279" i="19"/>
  <c r="T1279" i="19"/>
  <c r="S1279" i="19"/>
  <c r="G1279" i="19"/>
  <c r="A1279" i="19"/>
  <c r="U1278" i="19"/>
  <c r="T1278" i="19"/>
  <c r="S1278" i="19"/>
  <c r="G1278" i="19"/>
  <c r="A1278" i="19"/>
  <c r="U1277" i="19"/>
  <c r="T1277" i="19"/>
  <c r="S1277" i="19"/>
  <c r="G1277" i="19"/>
  <c r="A1277" i="19"/>
  <c r="U1276" i="19"/>
  <c r="T1276" i="19"/>
  <c r="S1276" i="19"/>
  <c r="G1276" i="19"/>
  <c r="A1276" i="19"/>
  <c r="U1275" i="19"/>
  <c r="T1275" i="19"/>
  <c r="S1275" i="19"/>
  <c r="G1275" i="19"/>
  <c r="A1275" i="19"/>
  <c r="U1274" i="19"/>
  <c r="T1274" i="19"/>
  <c r="S1274" i="19"/>
  <c r="G1274" i="19"/>
  <c r="A1274" i="19"/>
  <c r="U1273" i="19"/>
  <c r="T1273" i="19"/>
  <c r="S1273" i="19"/>
  <c r="G1273" i="19"/>
  <c r="A1273" i="19"/>
  <c r="U1272" i="19"/>
  <c r="T1272" i="19"/>
  <c r="S1272" i="19"/>
  <c r="G1272" i="19"/>
  <c r="A1272" i="19"/>
  <c r="U1271" i="19"/>
  <c r="T1271" i="19"/>
  <c r="S1271" i="19"/>
  <c r="G1271" i="19"/>
  <c r="A1271" i="19"/>
  <c r="U1270" i="19"/>
  <c r="T1270" i="19"/>
  <c r="S1270" i="19"/>
  <c r="G1270" i="19"/>
  <c r="A1270" i="19"/>
  <c r="U1269" i="19"/>
  <c r="T1269" i="19"/>
  <c r="S1269" i="19"/>
  <c r="G1269" i="19"/>
  <c r="A1269" i="19"/>
  <c r="U1268" i="19"/>
  <c r="T1268" i="19"/>
  <c r="S1268" i="19"/>
  <c r="G1268" i="19"/>
  <c r="A1268" i="19"/>
  <c r="U1267" i="19"/>
  <c r="T1267" i="19"/>
  <c r="S1267" i="19"/>
  <c r="G1267" i="19"/>
  <c r="A1267" i="19"/>
  <c r="U1266" i="19"/>
  <c r="T1266" i="19"/>
  <c r="S1266" i="19"/>
  <c r="G1266" i="19"/>
  <c r="A1266" i="19"/>
  <c r="U1265" i="19"/>
  <c r="T1265" i="19"/>
  <c r="S1265" i="19"/>
  <c r="G1265" i="19"/>
  <c r="A1265" i="19"/>
  <c r="U1264" i="19"/>
  <c r="T1264" i="19"/>
  <c r="S1264" i="19"/>
  <c r="G1264" i="19"/>
  <c r="A1264" i="19"/>
  <c r="U1263" i="19"/>
  <c r="T1263" i="19"/>
  <c r="S1263" i="19"/>
  <c r="G1263" i="19"/>
  <c r="A1263" i="19"/>
  <c r="U1262" i="19"/>
  <c r="T1262" i="19"/>
  <c r="S1262" i="19"/>
  <c r="G1262" i="19"/>
  <c r="A1262" i="19"/>
  <c r="U1261" i="19"/>
  <c r="T1261" i="19"/>
  <c r="S1261" i="19"/>
  <c r="G1261" i="19"/>
  <c r="A1261" i="19"/>
  <c r="U1260" i="19"/>
  <c r="T1260" i="19"/>
  <c r="S1260" i="19"/>
  <c r="G1260" i="19"/>
  <c r="A1260" i="19"/>
  <c r="U1259" i="19"/>
  <c r="T1259" i="19"/>
  <c r="S1259" i="19"/>
  <c r="G1259" i="19"/>
  <c r="A1259" i="19"/>
  <c r="U1258" i="19"/>
  <c r="T1258" i="19"/>
  <c r="S1258" i="19"/>
  <c r="G1258" i="19"/>
  <c r="A1258" i="19"/>
  <c r="U1257" i="19"/>
  <c r="T1257" i="19"/>
  <c r="S1257" i="19"/>
  <c r="G1257" i="19"/>
  <c r="A1257" i="19"/>
  <c r="U1256" i="19"/>
  <c r="T1256" i="19"/>
  <c r="S1256" i="19"/>
  <c r="G1256" i="19"/>
  <c r="A1256" i="19"/>
  <c r="U1255" i="19"/>
  <c r="T1255" i="19"/>
  <c r="S1255" i="19"/>
  <c r="G1255" i="19"/>
  <c r="A1255" i="19"/>
  <c r="U1254" i="19"/>
  <c r="T1254" i="19"/>
  <c r="S1254" i="19"/>
  <c r="G1254" i="19"/>
  <c r="A1254" i="19"/>
  <c r="U1253" i="19"/>
  <c r="T1253" i="19"/>
  <c r="S1253" i="19"/>
  <c r="G1253" i="19"/>
  <c r="A1253" i="19"/>
  <c r="U1252" i="19"/>
  <c r="T1252" i="19"/>
  <c r="S1252" i="19"/>
  <c r="G1252" i="19"/>
  <c r="A1252" i="19"/>
  <c r="U1251" i="19"/>
  <c r="T1251" i="19"/>
  <c r="S1251" i="19"/>
  <c r="G1251" i="19"/>
  <c r="A1251" i="19"/>
  <c r="U1250" i="19"/>
  <c r="T1250" i="19"/>
  <c r="S1250" i="19"/>
  <c r="G1250" i="19"/>
  <c r="A1250" i="19"/>
  <c r="U1249" i="19"/>
  <c r="T1249" i="19"/>
  <c r="S1249" i="19"/>
  <c r="G1249" i="19"/>
  <c r="A1249" i="19"/>
  <c r="U1248" i="19"/>
  <c r="T1248" i="19"/>
  <c r="S1248" i="19"/>
  <c r="G1248" i="19"/>
  <c r="A1248" i="19"/>
  <c r="U1247" i="19"/>
  <c r="T1247" i="19"/>
  <c r="S1247" i="19"/>
  <c r="G1247" i="19"/>
  <c r="A1247" i="19"/>
  <c r="U1246" i="19"/>
  <c r="T1246" i="19"/>
  <c r="S1246" i="19"/>
  <c r="G1246" i="19"/>
  <c r="A1246" i="19"/>
  <c r="U1245" i="19"/>
  <c r="T1245" i="19"/>
  <c r="S1245" i="19"/>
  <c r="G1245" i="19"/>
  <c r="A1245" i="19"/>
  <c r="U1244" i="19"/>
  <c r="T1244" i="19"/>
  <c r="S1244" i="19"/>
  <c r="G1244" i="19"/>
  <c r="A1244" i="19"/>
  <c r="U1243" i="19"/>
  <c r="T1243" i="19"/>
  <c r="S1243" i="19"/>
  <c r="G1243" i="19"/>
  <c r="A1243" i="19"/>
  <c r="U1242" i="19"/>
  <c r="T1242" i="19"/>
  <c r="S1242" i="19"/>
  <c r="G1242" i="19"/>
  <c r="A1242" i="19"/>
  <c r="U1241" i="19"/>
  <c r="T1241" i="19"/>
  <c r="S1241" i="19"/>
  <c r="G1241" i="19"/>
  <c r="A1241" i="19"/>
  <c r="U1240" i="19"/>
  <c r="T1240" i="19"/>
  <c r="S1240" i="19"/>
  <c r="G1240" i="19"/>
  <c r="A1240" i="19"/>
  <c r="U1239" i="19"/>
  <c r="T1239" i="19"/>
  <c r="S1239" i="19"/>
  <c r="G1239" i="19"/>
  <c r="A1239" i="19"/>
  <c r="U1238" i="19"/>
  <c r="T1238" i="19"/>
  <c r="S1238" i="19"/>
  <c r="G1238" i="19"/>
  <c r="A1238" i="19"/>
  <c r="U1237" i="19"/>
  <c r="T1237" i="19"/>
  <c r="S1237" i="19"/>
  <c r="G1237" i="19"/>
  <c r="A1237" i="19"/>
  <c r="U1236" i="19"/>
  <c r="T1236" i="19"/>
  <c r="S1236" i="19"/>
  <c r="G1236" i="19"/>
  <c r="A1236" i="19"/>
  <c r="U1235" i="19"/>
  <c r="T1235" i="19"/>
  <c r="S1235" i="19"/>
  <c r="G1235" i="19"/>
  <c r="A1235" i="19"/>
  <c r="U1234" i="19"/>
  <c r="T1234" i="19"/>
  <c r="S1234" i="19"/>
  <c r="G1234" i="19"/>
  <c r="A1234" i="19"/>
  <c r="U1233" i="19"/>
  <c r="T1233" i="19"/>
  <c r="S1233" i="19"/>
  <c r="G1233" i="19"/>
  <c r="A1233" i="19"/>
  <c r="U1232" i="19"/>
  <c r="T1232" i="19"/>
  <c r="S1232" i="19"/>
  <c r="G1232" i="19"/>
  <c r="A1232" i="19"/>
  <c r="U1231" i="19"/>
  <c r="T1231" i="19"/>
  <c r="S1231" i="19"/>
  <c r="G1231" i="19"/>
  <c r="A1231" i="19"/>
  <c r="U1230" i="19"/>
  <c r="T1230" i="19"/>
  <c r="S1230" i="19"/>
  <c r="G1230" i="19"/>
  <c r="A1230" i="19"/>
  <c r="U1229" i="19"/>
  <c r="T1229" i="19"/>
  <c r="S1229" i="19"/>
  <c r="G1229" i="19"/>
  <c r="A1229" i="19"/>
  <c r="U1228" i="19"/>
  <c r="T1228" i="19"/>
  <c r="S1228" i="19"/>
  <c r="G1228" i="19"/>
  <c r="A1228" i="19"/>
  <c r="U1227" i="19"/>
  <c r="T1227" i="19"/>
  <c r="S1227" i="19"/>
  <c r="G1227" i="19"/>
  <c r="A1227" i="19"/>
  <c r="U1226" i="19"/>
  <c r="T1226" i="19"/>
  <c r="S1226" i="19"/>
  <c r="G1226" i="19"/>
  <c r="A1226" i="19"/>
  <c r="U1225" i="19"/>
  <c r="T1225" i="19"/>
  <c r="S1225" i="19"/>
  <c r="G1225" i="19"/>
  <c r="A1225" i="19"/>
  <c r="U1224" i="19"/>
  <c r="T1224" i="19"/>
  <c r="S1224" i="19"/>
  <c r="G1224" i="19"/>
  <c r="A1224" i="19"/>
  <c r="U1223" i="19"/>
  <c r="T1223" i="19"/>
  <c r="S1223" i="19"/>
  <c r="G1223" i="19"/>
  <c r="A1223" i="19"/>
  <c r="U1222" i="19"/>
  <c r="T1222" i="19"/>
  <c r="S1222" i="19"/>
  <c r="G1222" i="19"/>
  <c r="A1222" i="19"/>
  <c r="U1221" i="19"/>
  <c r="T1221" i="19"/>
  <c r="S1221" i="19"/>
  <c r="G1221" i="19"/>
  <c r="A1221" i="19"/>
  <c r="U1220" i="19"/>
  <c r="T1220" i="19"/>
  <c r="S1220" i="19"/>
  <c r="G1220" i="19"/>
  <c r="A1220" i="19"/>
  <c r="U1219" i="19"/>
  <c r="T1219" i="19"/>
  <c r="S1219" i="19"/>
  <c r="G1219" i="19"/>
  <c r="A1219" i="19"/>
  <c r="U1218" i="19"/>
  <c r="T1218" i="19"/>
  <c r="S1218" i="19"/>
  <c r="G1218" i="19"/>
  <c r="A1218" i="19"/>
  <c r="U1217" i="19"/>
  <c r="T1217" i="19"/>
  <c r="S1217" i="19"/>
  <c r="G1217" i="19"/>
  <c r="A1217" i="19"/>
  <c r="U1216" i="19"/>
  <c r="T1216" i="19"/>
  <c r="S1216" i="19"/>
  <c r="G1216" i="19"/>
  <c r="A1216" i="19"/>
  <c r="U1215" i="19"/>
  <c r="T1215" i="19"/>
  <c r="S1215" i="19"/>
  <c r="G1215" i="19"/>
  <c r="A1215" i="19"/>
  <c r="U1214" i="19"/>
  <c r="T1214" i="19"/>
  <c r="S1214" i="19"/>
  <c r="G1214" i="19"/>
  <c r="A1214" i="19"/>
  <c r="U1213" i="19"/>
  <c r="T1213" i="19"/>
  <c r="S1213" i="19"/>
  <c r="G1213" i="19"/>
  <c r="A1213" i="19"/>
  <c r="U1212" i="19"/>
  <c r="T1212" i="19"/>
  <c r="S1212" i="19"/>
  <c r="G1212" i="19"/>
  <c r="A1212" i="19"/>
  <c r="U1211" i="19"/>
  <c r="T1211" i="19"/>
  <c r="S1211" i="19"/>
  <c r="G1211" i="19"/>
  <c r="A1211" i="19"/>
  <c r="U1210" i="19"/>
  <c r="T1210" i="19"/>
  <c r="S1210" i="19"/>
  <c r="G1210" i="19"/>
  <c r="A1210" i="19"/>
  <c r="U1209" i="19"/>
  <c r="T1209" i="19"/>
  <c r="S1209" i="19"/>
  <c r="G1209" i="19"/>
  <c r="A1209" i="19"/>
  <c r="U1208" i="19"/>
  <c r="T1208" i="19"/>
  <c r="S1208" i="19"/>
  <c r="G1208" i="19"/>
  <c r="A1208" i="19"/>
  <c r="U1207" i="19"/>
  <c r="T1207" i="19"/>
  <c r="S1207" i="19"/>
  <c r="G1207" i="19"/>
  <c r="A1207" i="19"/>
  <c r="U1206" i="19"/>
  <c r="T1206" i="19"/>
  <c r="S1206" i="19"/>
  <c r="G1206" i="19"/>
  <c r="A1206" i="19"/>
  <c r="U1205" i="19"/>
  <c r="T1205" i="19"/>
  <c r="S1205" i="19"/>
  <c r="G1205" i="19"/>
  <c r="A1205" i="19"/>
  <c r="U1204" i="19"/>
  <c r="T1204" i="19"/>
  <c r="S1204" i="19"/>
  <c r="G1204" i="19"/>
  <c r="A1204" i="19"/>
  <c r="U1203" i="19"/>
  <c r="T1203" i="19"/>
  <c r="S1203" i="19"/>
  <c r="G1203" i="19"/>
  <c r="A1203" i="19"/>
  <c r="U1202" i="19"/>
  <c r="T1202" i="19"/>
  <c r="S1202" i="19"/>
  <c r="G1202" i="19"/>
  <c r="A1202" i="19"/>
  <c r="U1201" i="19"/>
  <c r="T1201" i="19"/>
  <c r="S1201" i="19"/>
  <c r="G1201" i="19"/>
  <c r="A1201" i="19"/>
  <c r="U1200" i="19"/>
  <c r="T1200" i="19"/>
  <c r="S1200" i="19"/>
  <c r="G1200" i="19"/>
  <c r="A1200" i="19"/>
  <c r="U1199" i="19"/>
  <c r="T1199" i="19"/>
  <c r="S1199" i="19"/>
  <c r="G1199" i="19"/>
  <c r="A1199" i="19"/>
  <c r="U1198" i="19"/>
  <c r="T1198" i="19"/>
  <c r="S1198" i="19"/>
  <c r="G1198" i="19"/>
  <c r="A1198" i="19"/>
  <c r="U1197" i="19"/>
  <c r="T1197" i="19"/>
  <c r="S1197" i="19"/>
  <c r="G1197" i="19"/>
  <c r="A1197" i="19"/>
  <c r="U1196" i="19"/>
  <c r="T1196" i="19"/>
  <c r="S1196" i="19"/>
  <c r="G1196" i="19"/>
  <c r="A1196" i="19"/>
  <c r="U1195" i="19"/>
  <c r="T1195" i="19"/>
  <c r="S1195" i="19"/>
  <c r="G1195" i="19"/>
  <c r="A1195" i="19"/>
  <c r="U1194" i="19"/>
  <c r="T1194" i="19"/>
  <c r="S1194" i="19"/>
  <c r="G1194" i="19"/>
  <c r="A1194" i="19"/>
  <c r="U1193" i="19"/>
  <c r="T1193" i="19"/>
  <c r="S1193" i="19"/>
  <c r="G1193" i="19"/>
  <c r="A1193" i="19"/>
  <c r="U1192" i="19"/>
  <c r="T1192" i="19"/>
  <c r="S1192" i="19"/>
  <c r="G1192" i="19"/>
  <c r="A1192" i="19"/>
  <c r="U1191" i="19"/>
  <c r="T1191" i="19"/>
  <c r="S1191" i="19"/>
  <c r="G1191" i="19"/>
  <c r="A1191" i="19"/>
  <c r="U1190" i="19"/>
  <c r="T1190" i="19"/>
  <c r="S1190" i="19"/>
  <c r="G1190" i="19"/>
  <c r="A1190" i="19"/>
  <c r="U1189" i="19"/>
  <c r="T1189" i="19"/>
  <c r="S1189" i="19"/>
  <c r="G1189" i="19"/>
  <c r="A1189" i="19"/>
  <c r="U1188" i="19"/>
  <c r="T1188" i="19"/>
  <c r="S1188" i="19"/>
  <c r="G1188" i="19"/>
  <c r="A1188" i="19"/>
  <c r="U1187" i="19"/>
  <c r="T1187" i="19"/>
  <c r="S1187" i="19"/>
  <c r="G1187" i="19"/>
  <c r="A1187" i="19"/>
  <c r="U1186" i="19"/>
  <c r="T1186" i="19"/>
  <c r="S1186" i="19"/>
  <c r="G1186" i="19"/>
  <c r="A1186" i="19"/>
  <c r="U1185" i="19"/>
  <c r="T1185" i="19"/>
  <c r="S1185" i="19"/>
  <c r="G1185" i="19"/>
  <c r="A1185" i="19"/>
  <c r="U1184" i="19"/>
  <c r="T1184" i="19"/>
  <c r="S1184" i="19"/>
  <c r="G1184" i="19"/>
  <c r="A1184" i="19"/>
  <c r="U1183" i="19"/>
  <c r="T1183" i="19"/>
  <c r="S1183" i="19"/>
  <c r="G1183" i="19"/>
  <c r="A1183" i="19"/>
  <c r="U1182" i="19"/>
  <c r="T1182" i="19"/>
  <c r="S1182" i="19"/>
  <c r="G1182" i="19"/>
  <c r="A1182" i="19"/>
  <c r="U1181" i="19"/>
  <c r="T1181" i="19"/>
  <c r="S1181" i="19"/>
  <c r="G1181" i="19"/>
  <c r="A1181" i="19"/>
  <c r="U1180" i="19"/>
  <c r="T1180" i="19"/>
  <c r="S1180" i="19"/>
  <c r="G1180" i="19"/>
  <c r="A1180" i="19"/>
  <c r="U1179" i="19"/>
  <c r="T1179" i="19"/>
  <c r="S1179" i="19"/>
  <c r="G1179" i="19"/>
  <c r="A1179" i="19"/>
  <c r="U1178" i="19"/>
  <c r="T1178" i="19"/>
  <c r="S1178" i="19"/>
  <c r="G1178" i="19"/>
  <c r="A1178" i="19"/>
  <c r="U1177" i="19"/>
  <c r="T1177" i="19"/>
  <c r="S1177" i="19"/>
  <c r="G1177" i="19"/>
  <c r="A1177" i="19"/>
  <c r="U1176" i="19"/>
  <c r="T1176" i="19"/>
  <c r="S1176" i="19"/>
  <c r="G1176" i="19"/>
  <c r="A1176" i="19"/>
  <c r="U1175" i="19"/>
  <c r="T1175" i="19"/>
  <c r="S1175" i="19"/>
  <c r="G1175" i="19"/>
  <c r="A1175" i="19"/>
  <c r="U1174" i="19"/>
  <c r="T1174" i="19"/>
  <c r="S1174" i="19"/>
  <c r="G1174" i="19"/>
  <c r="A1174" i="19"/>
  <c r="U1173" i="19"/>
  <c r="T1173" i="19"/>
  <c r="S1173" i="19"/>
  <c r="G1173" i="19"/>
  <c r="A1173" i="19"/>
  <c r="U1172" i="19"/>
  <c r="T1172" i="19"/>
  <c r="S1172" i="19"/>
  <c r="G1172" i="19"/>
  <c r="A1172" i="19"/>
  <c r="U1171" i="19"/>
  <c r="T1171" i="19"/>
  <c r="S1171" i="19"/>
  <c r="G1171" i="19"/>
  <c r="A1171" i="19"/>
  <c r="U1170" i="19"/>
  <c r="T1170" i="19"/>
  <c r="S1170" i="19"/>
  <c r="G1170" i="19"/>
  <c r="A1170" i="19"/>
  <c r="U1169" i="19"/>
  <c r="T1169" i="19"/>
  <c r="S1169" i="19"/>
  <c r="G1169" i="19"/>
  <c r="A1169" i="19"/>
  <c r="U1168" i="19"/>
  <c r="T1168" i="19"/>
  <c r="S1168" i="19"/>
  <c r="G1168" i="19"/>
  <c r="A1168" i="19"/>
  <c r="U1167" i="19"/>
  <c r="T1167" i="19"/>
  <c r="S1167" i="19"/>
  <c r="G1167" i="19"/>
  <c r="A1167" i="19"/>
  <c r="U1166" i="19"/>
  <c r="T1166" i="19"/>
  <c r="S1166" i="19"/>
  <c r="G1166" i="19"/>
  <c r="A1166" i="19"/>
  <c r="U1165" i="19"/>
  <c r="T1165" i="19"/>
  <c r="S1165" i="19"/>
  <c r="G1165" i="19"/>
  <c r="A1165" i="19"/>
  <c r="U1164" i="19"/>
  <c r="T1164" i="19"/>
  <c r="S1164" i="19"/>
  <c r="G1164" i="19"/>
  <c r="A1164" i="19"/>
  <c r="U1163" i="19"/>
  <c r="T1163" i="19"/>
  <c r="S1163" i="19"/>
  <c r="G1163" i="19"/>
  <c r="A1163" i="19"/>
  <c r="U1162" i="19"/>
  <c r="T1162" i="19"/>
  <c r="S1162" i="19"/>
  <c r="G1162" i="19"/>
  <c r="A1162" i="19"/>
  <c r="U1161" i="19"/>
  <c r="T1161" i="19"/>
  <c r="S1161" i="19"/>
  <c r="G1161" i="19"/>
  <c r="A1161" i="19"/>
  <c r="U1160" i="19"/>
  <c r="T1160" i="19"/>
  <c r="S1160" i="19"/>
  <c r="G1160" i="19"/>
  <c r="A1160" i="19"/>
  <c r="U1159" i="19"/>
  <c r="T1159" i="19"/>
  <c r="S1159" i="19"/>
  <c r="G1159" i="19"/>
  <c r="A1159" i="19"/>
  <c r="U1158" i="19"/>
  <c r="T1158" i="19"/>
  <c r="S1158" i="19"/>
  <c r="G1158" i="19"/>
  <c r="A1158" i="19"/>
  <c r="U1157" i="19"/>
  <c r="T1157" i="19"/>
  <c r="S1157" i="19"/>
  <c r="G1157" i="19"/>
  <c r="A1157" i="19"/>
  <c r="U1156" i="19"/>
  <c r="T1156" i="19"/>
  <c r="S1156" i="19"/>
  <c r="G1156" i="19"/>
  <c r="A1156" i="19"/>
  <c r="U1155" i="19"/>
  <c r="T1155" i="19"/>
  <c r="S1155" i="19"/>
  <c r="G1155" i="19"/>
  <c r="A1155" i="19"/>
  <c r="U1154" i="19"/>
  <c r="T1154" i="19"/>
  <c r="S1154" i="19"/>
  <c r="G1154" i="19"/>
  <c r="A1154" i="19"/>
  <c r="U1153" i="19"/>
  <c r="T1153" i="19"/>
  <c r="S1153" i="19"/>
  <c r="G1153" i="19"/>
  <c r="A1153" i="19"/>
  <c r="U1152" i="19"/>
  <c r="T1152" i="19"/>
  <c r="S1152" i="19"/>
  <c r="G1152" i="19"/>
  <c r="A1152" i="19"/>
  <c r="U1151" i="19"/>
  <c r="T1151" i="19"/>
  <c r="S1151" i="19"/>
  <c r="G1151" i="19"/>
  <c r="A1151" i="19"/>
  <c r="U1150" i="19"/>
  <c r="T1150" i="19"/>
  <c r="S1150" i="19"/>
  <c r="G1150" i="19"/>
  <c r="A1150" i="19"/>
  <c r="U1149" i="19"/>
  <c r="T1149" i="19"/>
  <c r="S1149" i="19"/>
  <c r="G1149" i="19"/>
  <c r="A1149" i="19"/>
  <c r="U1148" i="19"/>
  <c r="T1148" i="19"/>
  <c r="S1148" i="19"/>
  <c r="G1148" i="19"/>
  <c r="A1148" i="19"/>
  <c r="U1147" i="19"/>
  <c r="T1147" i="19"/>
  <c r="S1147" i="19"/>
  <c r="G1147" i="19"/>
  <c r="A1147" i="19"/>
  <c r="U1146" i="19"/>
  <c r="T1146" i="19"/>
  <c r="S1146" i="19"/>
  <c r="G1146" i="19"/>
  <c r="A1146" i="19"/>
  <c r="U1145" i="19"/>
  <c r="T1145" i="19"/>
  <c r="S1145" i="19"/>
  <c r="G1145" i="19"/>
  <c r="A1145" i="19"/>
  <c r="U1144" i="19"/>
  <c r="T1144" i="19"/>
  <c r="S1144" i="19"/>
  <c r="G1144" i="19"/>
  <c r="A1144" i="19"/>
  <c r="U1143" i="19"/>
  <c r="T1143" i="19"/>
  <c r="S1143" i="19"/>
  <c r="G1143" i="19"/>
  <c r="A1143" i="19"/>
  <c r="U1142" i="19"/>
  <c r="T1142" i="19"/>
  <c r="S1142" i="19"/>
  <c r="G1142" i="19"/>
  <c r="A1142" i="19"/>
  <c r="U1141" i="19"/>
  <c r="T1141" i="19"/>
  <c r="S1141" i="19"/>
  <c r="G1141" i="19"/>
  <c r="A1141" i="19"/>
  <c r="U1140" i="19"/>
  <c r="T1140" i="19"/>
  <c r="S1140" i="19"/>
  <c r="G1140" i="19"/>
  <c r="A1140" i="19"/>
  <c r="U1139" i="19"/>
  <c r="T1139" i="19"/>
  <c r="S1139" i="19"/>
  <c r="G1139" i="19"/>
  <c r="A1139" i="19"/>
  <c r="U1138" i="19"/>
  <c r="T1138" i="19"/>
  <c r="S1138" i="19"/>
  <c r="G1138" i="19"/>
  <c r="A1138" i="19"/>
  <c r="U1137" i="19"/>
  <c r="T1137" i="19"/>
  <c r="S1137" i="19"/>
  <c r="G1137" i="19"/>
  <c r="A1137" i="19"/>
  <c r="U1136" i="19"/>
  <c r="T1136" i="19"/>
  <c r="S1136" i="19"/>
  <c r="G1136" i="19"/>
  <c r="A1136" i="19"/>
  <c r="U1135" i="19"/>
  <c r="T1135" i="19"/>
  <c r="S1135" i="19"/>
  <c r="G1135" i="19"/>
  <c r="A1135" i="19"/>
  <c r="U1134" i="19"/>
  <c r="T1134" i="19"/>
  <c r="S1134" i="19"/>
  <c r="G1134" i="19"/>
  <c r="A1134" i="19"/>
  <c r="U1133" i="19"/>
  <c r="T1133" i="19"/>
  <c r="S1133" i="19"/>
  <c r="G1133" i="19"/>
  <c r="A1133" i="19"/>
  <c r="U1132" i="19"/>
  <c r="T1132" i="19"/>
  <c r="S1132" i="19"/>
  <c r="G1132" i="19"/>
  <c r="A1132" i="19"/>
  <c r="U1131" i="19"/>
  <c r="T1131" i="19"/>
  <c r="S1131" i="19"/>
  <c r="G1131" i="19"/>
  <c r="A1131" i="19"/>
  <c r="U1130" i="19"/>
  <c r="T1130" i="19"/>
  <c r="S1130" i="19"/>
  <c r="G1130" i="19"/>
  <c r="A1130" i="19"/>
  <c r="U1129" i="19"/>
  <c r="T1129" i="19"/>
  <c r="S1129" i="19"/>
  <c r="G1129" i="19"/>
  <c r="A1129" i="19"/>
  <c r="U1128" i="19"/>
  <c r="T1128" i="19"/>
  <c r="S1128" i="19"/>
  <c r="G1128" i="19"/>
  <c r="A1128" i="19"/>
  <c r="U1127" i="19"/>
  <c r="T1127" i="19"/>
  <c r="S1127" i="19"/>
  <c r="G1127" i="19"/>
  <c r="A1127" i="19"/>
  <c r="U1126" i="19"/>
  <c r="T1126" i="19"/>
  <c r="S1126" i="19"/>
  <c r="G1126" i="19"/>
  <c r="A1126" i="19"/>
  <c r="U1125" i="19"/>
  <c r="T1125" i="19"/>
  <c r="S1125" i="19"/>
  <c r="G1125" i="19"/>
  <c r="A1125" i="19"/>
  <c r="U1124" i="19"/>
  <c r="T1124" i="19"/>
  <c r="S1124" i="19"/>
  <c r="G1124" i="19"/>
  <c r="A1124" i="19"/>
  <c r="U1123" i="19"/>
  <c r="T1123" i="19"/>
  <c r="S1123" i="19"/>
  <c r="G1123" i="19"/>
  <c r="A1123" i="19"/>
  <c r="U1122" i="19"/>
  <c r="T1122" i="19"/>
  <c r="S1122" i="19"/>
  <c r="G1122" i="19"/>
  <c r="A1122" i="19"/>
  <c r="U1121" i="19"/>
  <c r="T1121" i="19"/>
  <c r="S1121" i="19"/>
  <c r="G1121" i="19"/>
  <c r="A1121" i="19"/>
  <c r="U1120" i="19"/>
  <c r="T1120" i="19"/>
  <c r="S1120" i="19"/>
  <c r="G1120" i="19"/>
  <c r="A1120" i="19"/>
  <c r="U1119" i="19"/>
  <c r="T1119" i="19"/>
  <c r="S1119" i="19"/>
  <c r="G1119" i="19"/>
  <c r="A1119" i="19"/>
  <c r="U1118" i="19"/>
  <c r="T1118" i="19"/>
  <c r="S1118" i="19"/>
  <c r="G1118" i="19"/>
  <c r="A1118" i="19"/>
  <c r="U1117" i="19"/>
  <c r="T1117" i="19"/>
  <c r="S1117" i="19"/>
  <c r="G1117" i="19"/>
  <c r="A1117" i="19"/>
  <c r="U1116" i="19"/>
  <c r="T1116" i="19"/>
  <c r="S1116" i="19"/>
  <c r="G1116" i="19"/>
  <c r="A1116" i="19"/>
  <c r="U1115" i="19"/>
  <c r="T1115" i="19"/>
  <c r="S1115" i="19"/>
  <c r="G1115" i="19"/>
  <c r="A1115" i="19"/>
  <c r="U1114" i="19"/>
  <c r="T1114" i="19"/>
  <c r="S1114" i="19"/>
  <c r="G1114" i="19"/>
  <c r="A1114" i="19"/>
  <c r="U1113" i="19"/>
  <c r="T1113" i="19"/>
  <c r="S1113" i="19"/>
  <c r="G1113" i="19"/>
  <c r="A1113" i="19"/>
  <c r="U1112" i="19"/>
  <c r="T1112" i="19"/>
  <c r="S1112" i="19"/>
  <c r="G1112" i="19"/>
  <c r="A1112" i="19"/>
  <c r="U1111" i="19"/>
  <c r="T1111" i="19"/>
  <c r="S1111" i="19"/>
  <c r="G1111" i="19"/>
  <c r="A1111" i="19"/>
  <c r="U1110" i="19"/>
  <c r="T1110" i="19"/>
  <c r="S1110" i="19"/>
  <c r="G1110" i="19"/>
  <c r="A1110" i="19"/>
  <c r="U1109" i="19"/>
  <c r="T1109" i="19"/>
  <c r="S1109" i="19"/>
  <c r="G1109" i="19"/>
  <c r="A1109" i="19"/>
  <c r="U1108" i="19"/>
  <c r="T1108" i="19"/>
  <c r="S1108" i="19"/>
  <c r="G1108" i="19"/>
  <c r="A1108" i="19"/>
  <c r="U1107" i="19"/>
  <c r="T1107" i="19"/>
  <c r="S1107" i="19"/>
  <c r="G1107" i="19"/>
  <c r="A1107" i="19"/>
  <c r="U1106" i="19"/>
  <c r="T1106" i="19"/>
  <c r="S1106" i="19"/>
  <c r="G1106" i="19"/>
  <c r="A1106" i="19"/>
  <c r="U1105" i="19"/>
  <c r="T1105" i="19"/>
  <c r="S1105" i="19"/>
  <c r="G1105" i="19"/>
  <c r="A1105" i="19"/>
  <c r="U1104" i="19"/>
  <c r="T1104" i="19"/>
  <c r="S1104" i="19"/>
  <c r="G1104" i="19"/>
  <c r="A1104" i="19"/>
  <c r="U1103" i="19"/>
  <c r="T1103" i="19"/>
  <c r="S1103" i="19"/>
  <c r="G1103" i="19"/>
  <c r="A1103" i="19"/>
  <c r="U1102" i="19"/>
  <c r="T1102" i="19"/>
  <c r="S1102" i="19"/>
  <c r="G1102" i="19"/>
  <c r="A1102" i="19"/>
  <c r="U1101" i="19"/>
  <c r="T1101" i="19"/>
  <c r="S1101" i="19"/>
  <c r="G1101" i="19"/>
  <c r="A1101" i="19"/>
  <c r="U1100" i="19"/>
  <c r="T1100" i="19"/>
  <c r="S1100" i="19"/>
  <c r="G1100" i="19"/>
  <c r="A1100" i="19"/>
  <c r="U1099" i="19"/>
  <c r="T1099" i="19"/>
  <c r="S1099" i="19"/>
  <c r="G1099" i="19"/>
  <c r="A1099" i="19"/>
  <c r="U1098" i="19"/>
  <c r="T1098" i="19"/>
  <c r="S1098" i="19"/>
  <c r="G1098" i="19"/>
  <c r="A1098" i="19"/>
  <c r="U1097" i="19"/>
  <c r="T1097" i="19"/>
  <c r="S1097" i="19"/>
  <c r="G1097" i="19"/>
  <c r="A1097" i="19"/>
  <c r="U1096" i="19"/>
  <c r="T1096" i="19"/>
  <c r="S1096" i="19"/>
  <c r="G1096" i="19"/>
  <c r="A1096" i="19"/>
  <c r="U1095" i="19"/>
  <c r="T1095" i="19"/>
  <c r="S1095" i="19"/>
  <c r="G1095" i="19"/>
  <c r="A1095" i="19"/>
  <c r="U1094" i="19"/>
  <c r="T1094" i="19"/>
  <c r="S1094" i="19"/>
  <c r="G1094" i="19"/>
  <c r="A1094" i="19"/>
  <c r="U1093" i="19"/>
  <c r="T1093" i="19"/>
  <c r="S1093" i="19"/>
  <c r="G1093" i="19"/>
  <c r="A1093" i="19"/>
  <c r="U1092" i="19"/>
  <c r="T1092" i="19"/>
  <c r="S1092" i="19"/>
  <c r="G1092" i="19"/>
  <c r="A1092" i="19"/>
  <c r="U1091" i="19"/>
  <c r="T1091" i="19"/>
  <c r="S1091" i="19"/>
  <c r="G1091" i="19"/>
  <c r="A1091" i="19"/>
  <c r="U1090" i="19"/>
  <c r="T1090" i="19"/>
  <c r="S1090" i="19"/>
  <c r="G1090" i="19"/>
  <c r="A1090" i="19"/>
  <c r="U1089" i="19"/>
  <c r="T1089" i="19"/>
  <c r="S1089" i="19"/>
  <c r="G1089" i="19"/>
  <c r="A1089" i="19"/>
  <c r="U1088" i="19"/>
  <c r="T1088" i="19"/>
  <c r="S1088" i="19"/>
  <c r="G1088" i="19"/>
  <c r="A1088" i="19"/>
  <c r="U1087" i="19"/>
  <c r="T1087" i="19"/>
  <c r="S1087" i="19"/>
  <c r="G1087" i="19"/>
  <c r="A1087" i="19"/>
  <c r="U1086" i="19"/>
  <c r="T1086" i="19"/>
  <c r="S1086" i="19"/>
  <c r="G1086" i="19"/>
  <c r="A1086" i="19"/>
  <c r="U1085" i="19"/>
  <c r="T1085" i="19"/>
  <c r="S1085" i="19"/>
  <c r="G1085" i="19"/>
  <c r="A1085" i="19"/>
  <c r="U1084" i="19"/>
  <c r="T1084" i="19"/>
  <c r="S1084" i="19"/>
  <c r="G1084" i="19"/>
  <c r="A1084" i="19"/>
  <c r="U1083" i="19"/>
  <c r="T1083" i="19"/>
  <c r="S1083" i="19"/>
  <c r="G1083" i="19"/>
  <c r="A1083" i="19"/>
  <c r="U1082" i="19"/>
  <c r="T1082" i="19"/>
  <c r="S1082" i="19"/>
  <c r="G1082" i="19"/>
  <c r="A1082" i="19"/>
  <c r="U1081" i="19"/>
  <c r="T1081" i="19"/>
  <c r="S1081" i="19"/>
  <c r="G1081" i="19"/>
  <c r="A1081" i="19"/>
  <c r="U1080" i="19"/>
  <c r="T1080" i="19"/>
  <c r="S1080" i="19"/>
  <c r="G1080" i="19"/>
  <c r="A1080" i="19"/>
  <c r="U1079" i="19"/>
  <c r="T1079" i="19"/>
  <c r="S1079" i="19"/>
  <c r="G1079" i="19"/>
  <c r="A1079" i="19"/>
  <c r="U1078" i="19"/>
  <c r="T1078" i="19"/>
  <c r="S1078" i="19"/>
  <c r="G1078" i="19"/>
  <c r="A1078" i="19"/>
  <c r="U1077" i="19"/>
  <c r="T1077" i="19"/>
  <c r="S1077" i="19"/>
  <c r="G1077" i="19"/>
  <c r="A1077" i="19"/>
  <c r="U1076" i="19"/>
  <c r="T1076" i="19"/>
  <c r="S1076" i="19"/>
  <c r="G1076" i="19"/>
  <c r="A1076" i="19"/>
  <c r="U1075" i="19"/>
  <c r="T1075" i="19"/>
  <c r="S1075" i="19"/>
  <c r="G1075" i="19"/>
  <c r="A1075" i="19"/>
  <c r="U1074" i="19"/>
  <c r="T1074" i="19"/>
  <c r="S1074" i="19"/>
  <c r="G1074" i="19"/>
  <c r="A1074" i="19"/>
  <c r="U1073" i="19"/>
  <c r="T1073" i="19"/>
  <c r="S1073" i="19"/>
  <c r="G1073" i="19"/>
  <c r="A1073" i="19"/>
  <c r="U1072" i="19"/>
  <c r="T1072" i="19"/>
  <c r="S1072" i="19"/>
  <c r="G1072" i="19"/>
  <c r="A1072" i="19"/>
  <c r="U1071" i="19"/>
  <c r="T1071" i="19"/>
  <c r="S1071" i="19"/>
  <c r="G1071" i="19"/>
  <c r="A1071" i="19"/>
  <c r="U1070" i="19"/>
  <c r="T1070" i="19"/>
  <c r="S1070" i="19"/>
  <c r="G1070" i="19"/>
  <c r="A1070" i="19"/>
  <c r="U1069" i="19"/>
  <c r="T1069" i="19"/>
  <c r="S1069" i="19"/>
  <c r="G1069" i="19"/>
  <c r="A1069" i="19"/>
  <c r="U1068" i="19"/>
  <c r="T1068" i="19"/>
  <c r="S1068" i="19"/>
  <c r="G1068" i="19"/>
  <c r="A1068" i="19"/>
  <c r="U1067" i="19"/>
  <c r="T1067" i="19"/>
  <c r="S1067" i="19"/>
  <c r="G1067" i="19"/>
  <c r="A1067" i="19"/>
  <c r="U1066" i="19"/>
  <c r="T1066" i="19"/>
  <c r="S1066" i="19"/>
  <c r="G1066" i="19"/>
  <c r="A1066" i="19"/>
  <c r="U1065" i="19"/>
  <c r="T1065" i="19"/>
  <c r="S1065" i="19"/>
  <c r="G1065" i="19"/>
  <c r="A1065" i="19"/>
  <c r="U1064" i="19"/>
  <c r="T1064" i="19"/>
  <c r="S1064" i="19"/>
  <c r="G1064" i="19"/>
  <c r="A1064" i="19"/>
  <c r="U1063" i="19"/>
  <c r="T1063" i="19"/>
  <c r="S1063" i="19"/>
  <c r="G1063" i="19"/>
  <c r="A1063" i="19"/>
  <c r="U1062" i="19"/>
  <c r="T1062" i="19"/>
  <c r="S1062" i="19"/>
  <c r="G1062" i="19"/>
  <c r="A1062" i="19"/>
  <c r="U1061" i="19"/>
  <c r="T1061" i="19"/>
  <c r="S1061" i="19"/>
  <c r="G1061" i="19"/>
  <c r="A1061" i="19"/>
  <c r="U1060" i="19"/>
  <c r="T1060" i="19"/>
  <c r="S1060" i="19"/>
  <c r="G1060" i="19"/>
  <c r="A1060" i="19"/>
  <c r="U1059" i="19"/>
  <c r="T1059" i="19"/>
  <c r="S1059" i="19"/>
  <c r="G1059" i="19"/>
  <c r="A1059" i="19"/>
  <c r="U1058" i="19"/>
  <c r="T1058" i="19"/>
  <c r="S1058" i="19"/>
  <c r="G1058" i="19"/>
  <c r="A1058" i="19"/>
  <c r="U1057" i="19"/>
  <c r="T1057" i="19"/>
  <c r="S1057" i="19"/>
  <c r="G1057" i="19"/>
  <c r="A1057" i="19"/>
  <c r="U1056" i="19"/>
  <c r="T1056" i="19"/>
  <c r="S1056" i="19"/>
  <c r="G1056" i="19"/>
  <c r="A1056" i="19"/>
  <c r="U1055" i="19"/>
  <c r="T1055" i="19"/>
  <c r="S1055" i="19"/>
  <c r="G1055" i="19"/>
  <c r="A1055" i="19"/>
  <c r="U1054" i="19"/>
  <c r="T1054" i="19"/>
  <c r="S1054" i="19"/>
  <c r="G1054" i="19"/>
  <c r="A1054" i="19"/>
  <c r="U1053" i="19"/>
  <c r="T1053" i="19"/>
  <c r="S1053" i="19"/>
  <c r="G1053" i="19"/>
  <c r="A1053" i="19"/>
  <c r="U1052" i="19"/>
  <c r="T1052" i="19"/>
  <c r="S1052" i="19"/>
  <c r="G1052" i="19"/>
  <c r="A1052" i="19"/>
  <c r="U1051" i="19"/>
  <c r="T1051" i="19"/>
  <c r="S1051" i="19"/>
  <c r="G1051" i="19"/>
  <c r="A1051" i="19"/>
  <c r="U1050" i="19"/>
  <c r="T1050" i="19"/>
  <c r="S1050" i="19"/>
  <c r="G1050" i="19"/>
  <c r="A1050" i="19"/>
  <c r="U1049" i="19"/>
  <c r="T1049" i="19"/>
  <c r="S1049" i="19"/>
  <c r="G1049" i="19"/>
  <c r="A1049" i="19"/>
  <c r="U1048" i="19"/>
  <c r="T1048" i="19"/>
  <c r="S1048" i="19"/>
  <c r="G1048" i="19"/>
  <c r="A1048" i="19"/>
  <c r="U1047" i="19"/>
  <c r="T1047" i="19"/>
  <c r="S1047" i="19"/>
  <c r="G1047" i="19"/>
  <c r="A1047" i="19"/>
  <c r="U1046" i="19"/>
  <c r="T1046" i="19"/>
  <c r="S1046" i="19"/>
  <c r="G1046" i="19"/>
  <c r="A1046" i="19"/>
  <c r="U1045" i="19"/>
  <c r="T1045" i="19"/>
  <c r="S1045" i="19"/>
  <c r="G1045" i="19"/>
  <c r="A1045" i="19"/>
  <c r="U1044" i="19"/>
  <c r="T1044" i="19"/>
  <c r="S1044" i="19"/>
  <c r="G1044" i="19"/>
  <c r="A1044" i="19"/>
  <c r="U1043" i="19"/>
  <c r="T1043" i="19"/>
  <c r="S1043" i="19"/>
  <c r="G1043" i="19"/>
  <c r="A1043" i="19"/>
  <c r="U1042" i="19"/>
  <c r="T1042" i="19"/>
  <c r="S1042" i="19"/>
  <c r="G1042" i="19"/>
  <c r="A1042" i="19"/>
  <c r="U1041" i="19"/>
  <c r="T1041" i="19"/>
  <c r="S1041" i="19"/>
  <c r="G1041" i="19"/>
  <c r="A1041" i="19"/>
  <c r="U1040" i="19"/>
  <c r="T1040" i="19"/>
  <c r="S1040" i="19"/>
  <c r="G1040" i="19"/>
  <c r="A1040" i="19"/>
  <c r="U1039" i="19"/>
  <c r="T1039" i="19"/>
  <c r="S1039" i="19"/>
  <c r="G1039" i="19"/>
  <c r="A1039" i="19"/>
  <c r="U1038" i="19"/>
  <c r="T1038" i="19"/>
  <c r="S1038" i="19"/>
  <c r="G1038" i="19"/>
  <c r="A1038" i="19"/>
  <c r="U1037" i="19"/>
  <c r="T1037" i="19"/>
  <c r="S1037" i="19"/>
  <c r="G1037" i="19"/>
  <c r="A1037" i="19"/>
  <c r="U1036" i="19"/>
  <c r="T1036" i="19"/>
  <c r="S1036" i="19"/>
  <c r="G1036" i="19"/>
  <c r="A1036" i="19"/>
  <c r="U1035" i="19"/>
  <c r="T1035" i="19"/>
  <c r="S1035" i="19"/>
  <c r="G1035" i="19"/>
  <c r="A1035" i="19"/>
  <c r="U1034" i="19"/>
  <c r="T1034" i="19"/>
  <c r="S1034" i="19"/>
  <c r="G1034" i="19"/>
  <c r="A1034" i="19"/>
  <c r="U1033" i="19"/>
  <c r="T1033" i="19"/>
  <c r="S1033" i="19"/>
  <c r="G1033" i="19"/>
  <c r="A1033" i="19"/>
  <c r="U1032" i="19"/>
  <c r="T1032" i="19"/>
  <c r="S1032" i="19"/>
  <c r="G1032" i="19"/>
  <c r="A1032" i="19"/>
  <c r="U1031" i="19"/>
  <c r="T1031" i="19"/>
  <c r="S1031" i="19"/>
  <c r="G1031" i="19"/>
  <c r="A1031" i="19"/>
  <c r="U1030" i="19"/>
  <c r="T1030" i="19"/>
  <c r="S1030" i="19"/>
  <c r="G1030" i="19"/>
  <c r="A1030" i="19"/>
  <c r="U1029" i="19"/>
  <c r="T1029" i="19"/>
  <c r="S1029" i="19"/>
  <c r="G1029" i="19"/>
  <c r="A1029" i="19"/>
  <c r="U1028" i="19"/>
  <c r="T1028" i="19"/>
  <c r="S1028" i="19"/>
  <c r="G1028" i="19"/>
  <c r="A1028" i="19"/>
  <c r="U1027" i="19"/>
  <c r="T1027" i="19"/>
  <c r="S1027" i="19"/>
  <c r="G1027" i="19"/>
  <c r="A1027" i="19"/>
  <c r="U1026" i="19"/>
  <c r="T1026" i="19"/>
  <c r="S1026" i="19"/>
  <c r="G1026" i="19"/>
  <c r="A1026" i="19"/>
  <c r="U1025" i="19"/>
  <c r="T1025" i="19"/>
  <c r="S1025" i="19"/>
  <c r="G1025" i="19"/>
  <c r="A1025" i="19"/>
  <c r="U1024" i="19"/>
  <c r="T1024" i="19"/>
  <c r="S1024" i="19"/>
  <c r="G1024" i="19"/>
  <c r="A1024" i="19"/>
  <c r="U1023" i="19"/>
  <c r="T1023" i="19"/>
  <c r="S1023" i="19"/>
  <c r="G1023" i="19"/>
  <c r="A1023" i="19"/>
  <c r="U1022" i="19"/>
  <c r="T1022" i="19"/>
  <c r="S1022" i="19"/>
  <c r="G1022" i="19"/>
  <c r="A1022" i="19"/>
  <c r="U1021" i="19"/>
  <c r="T1021" i="19"/>
  <c r="S1021" i="19"/>
  <c r="G1021" i="19"/>
  <c r="A1021" i="19"/>
  <c r="U1020" i="19"/>
  <c r="T1020" i="19"/>
  <c r="S1020" i="19"/>
  <c r="G1020" i="19"/>
  <c r="A1020" i="19"/>
  <c r="U1019" i="19"/>
  <c r="T1019" i="19"/>
  <c r="S1019" i="19"/>
  <c r="G1019" i="19"/>
  <c r="A1019" i="19"/>
  <c r="U1018" i="19"/>
  <c r="T1018" i="19"/>
  <c r="S1018" i="19"/>
  <c r="G1018" i="19"/>
  <c r="A1018" i="19"/>
  <c r="U1017" i="19"/>
  <c r="T1017" i="19"/>
  <c r="S1017" i="19"/>
  <c r="G1017" i="19"/>
  <c r="A1017" i="19"/>
  <c r="U1016" i="19"/>
  <c r="T1016" i="19"/>
  <c r="S1016" i="19"/>
  <c r="G1016" i="19"/>
  <c r="A1016" i="19"/>
  <c r="U1015" i="19"/>
  <c r="T1015" i="19"/>
  <c r="S1015" i="19"/>
  <c r="G1015" i="19"/>
  <c r="A1015" i="19"/>
  <c r="U1014" i="19"/>
  <c r="T1014" i="19"/>
  <c r="S1014" i="19"/>
  <c r="G1014" i="19"/>
  <c r="A1014" i="19"/>
  <c r="U1013" i="19"/>
  <c r="T1013" i="19"/>
  <c r="S1013" i="19"/>
  <c r="G1013" i="19"/>
  <c r="A1013" i="19"/>
  <c r="U1012" i="19"/>
  <c r="T1012" i="19"/>
  <c r="S1012" i="19"/>
  <c r="G1012" i="19"/>
  <c r="A1012" i="19"/>
  <c r="U1011" i="19"/>
  <c r="T1011" i="19"/>
  <c r="S1011" i="19"/>
  <c r="G1011" i="19"/>
  <c r="A1011" i="19"/>
  <c r="U1010" i="19"/>
  <c r="T1010" i="19"/>
  <c r="S1010" i="19"/>
  <c r="G1010" i="19"/>
  <c r="A1010" i="19"/>
  <c r="U1009" i="19"/>
  <c r="T1009" i="19"/>
  <c r="S1009" i="19"/>
  <c r="G1009" i="19"/>
  <c r="A1009" i="19"/>
  <c r="U1008" i="19"/>
  <c r="T1008" i="19"/>
  <c r="S1008" i="19"/>
  <c r="G1008" i="19"/>
  <c r="A1008" i="19"/>
  <c r="U1007" i="19"/>
  <c r="T1007" i="19"/>
  <c r="S1007" i="19"/>
  <c r="G1007" i="19"/>
  <c r="A1007" i="19"/>
  <c r="U1006" i="19"/>
  <c r="T1006" i="19"/>
  <c r="S1006" i="19"/>
  <c r="G1006" i="19"/>
  <c r="A1006" i="19"/>
  <c r="U1005" i="19"/>
  <c r="T1005" i="19"/>
  <c r="S1005" i="19"/>
  <c r="G1005" i="19"/>
  <c r="A1005" i="19"/>
  <c r="U1004" i="19"/>
  <c r="T1004" i="19"/>
  <c r="S1004" i="19"/>
  <c r="G1004" i="19"/>
  <c r="A1004" i="19"/>
  <c r="U1003" i="19"/>
  <c r="T1003" i="19"/>
  <c r="S1003" i="19"/>
  <c r="G1003" i="19"/>
  <c r="A1003" i="19"/>
  <c r="U1002" i="19"/>
  <c r="T1002" i="19"/>
  <c r="S1002" i="19"/>
  <c r="G1002" i="19"/>
  <c r="A1002" i="19"/>
  <c r="U1001" i="19"/>
  <c r="T1001" i="19"/>
  <c r="S1001" i="19"/>
  <c r="G1001" i="19"/>
  <c r="A1001" i="19"/>
  <c r="U1000" i="19"/>
  <c r="T1000" i="19"/>
  <c r="S1000" i="19"/>
  <c r="G1000" i="19"/>
  <c r="A1000" i="19"/>
  <c r="U999" i="19"/>
  <c r="T999" i="19"/>
  <c r="S999" i="19"/>
  <c r="G999" i="19"/>
  <c r="A999" i="19"/>
  <c r="U998" i="19"/>
  <c r="T998" i="19"/>
  <c r="S998" i="19"/>
  <c r="G998" i="19"/>
  <c r="A998" i="19"/>
  <c r="U997" i="19"/>
  <c r="T997" i="19"/>
  <c r="S997" i="19"/>
  <c r="G997" i="19"/>
  <c r="A997" i="19"/>
  <c r="U996" i="19"/>
  <c r="T996" i="19"/>
  <c r="S996" i="19"/>
  <c r="G996" i="19"/>
  <c r="A996" i="19"/>
  <c r="U995" i="19"/>
  <c r="T995" i="19"/>
  <c r="S995" i="19"/>
  <c r="G995" i="19"/>
  <c r="A995" i="19"/>
  <c r="U994" i="19"/>
  <c r="T994" i="19"/>
  <c r="S994" i="19"/>
  <c r="G994" i="19"/>
  <c r="A994" i="19"/>
  <c r="U993" i="19"/>
  <c r="T993" i="19"/>
  <c r="S993" i="19"/>
  <c r="G993" i="19"/>
  <c r="A993" i="19"/>
  <c r="U992" i="19"/>
  <c r="T992" i="19"/>
  <c r="S992" i="19"/>
  <c r="G992" i="19"/>
  <c r="A992" i="19"/>
  <c r="U991" i="19"/>
  <c r="T991" i="19"/>
  <c r="S991" i="19"/>
  <c r="G991" i="19"/>
  <c r="A991" i="19"/>
  <c r="U990" i="19"/>
  <c r="T990" i="19"/>
  <c r="S990" i="19"/>
  <c r="G990" i="19"/>
  <c r="A990" i="19"/>
  <c r="U989" i="19"/>
  <c r="T989" i="19"/>
  <c r="S989" i="19"/>
  <c r="G989" i="19"/>
  <c r="A989" i="19"/>
  <c r="U988" i="19"/>
  <c r="T988" i="19"/>
  <c r="S988" i="19"/>
  <c r="G988" i="19"/>
  <c r="A988" i="19"/>
  <c r="U987" i="19"/>
  <c r="T987" i="19"/>
  <c r="S987" i="19"/>
  <c r="G987" i="19"/>
  <c r="A987" i="19"/>
  <c r="U986" i="19"/>
  <c r="T986" i="19"/>
  <c r="S986" i="19"/>
  <c r="G986" i="19"/>
  <c r="A986" i="19"/>
  <c r="U985" i="19"/>
  <c r="T985" i="19"/>
  <c r="S985" i="19"/>
  <c r="G985" i="19"/>
  <c r="A985" i="19"/>
  <c r="U984" i="19"/>
  <c r="T984" i="19"/>
  <c r="S984" i="19"/>
  <c r="G984" i="19"/>
  <c r="A984" i="19"/>
  <c r="U983" i="19"/>
  <c r="T983" i="19"/>
  <c r="S983" i="19"/>
  <c r="G983" i="19"/>
  <c r="A983" i="19"/>
  <c r="U982" i="19"/>
  <c r="T982" i="19"/>
  <c r="S982" i="19"/>
  <c r="G982" i="19"/>
  <c r="A982" i="19"/>
  <c r="U981" i="19"/>
  <c r="T981" i="19"/>
  <c r="S981" i="19"/>
  <c r="G981" i="19"/>
  <c r="A981" i="19"/>
  <c r="U980" i="19"/>
  <c r="T980" i="19"/>
  <c r="S980" i="19"/>
  <c r="G980" i="19"/>
  <c r="A980" i="19"/>
  <c r="U979" i="19"/>
  <c r="T979" i="19"/>
  <c r="S979" i="19"/>
  <c r="G979" i="19"/>
  <c r="A979" i="19"/>
  <c r="U978" i="19"/>
  <c r="T978" i="19"/>
  <c r="S978" i="19"/>
  <c r="G978" i="19"/>
  <c r="A978" i="19"/>
  <c r="U977" i="19"/>
  <c r="T977" i="19"/>
  <c r="S977" i="19"/>
  <c r="G977" i="19"/>
  <c r="A977" i="19"/>
  <c r="U976" i="19"/>
  <c r="T976" i="19"/>
  <c r="S976" i="19"/>
  <c r="G976" i="19"/>
  <c r="A976" i="19"/>
  <c r="U975" i="19"/>
  <c r="T975" i="19"/>
  <c r="S975" i="19"/>
  <c r="G975" i="19"/>
  <c r="A975" i="19"/>
  <c r="U974" i="19"/>
  <c r="T974" i="19"/>
  <c r="S974" i="19"/>
  <c r="G974" i="19"/>
  <c r="A974" i="19"/>
  <c r="U973" i="19"/>
  <c r="T973" i="19"/>
  <c r="S973" i="19"/>
  <c r="G973" i="19"/>
  <c r="A973" i="19"/>
  <c r="U972" i="19"/>
  <c r="T972" i="19"/>
  <c r="S972" i="19"/>
  <c r="G972" i="19"/>
  <c r="A972" i="19"/>
  <c r="U971" i="19"/>
  <c r="T971" i="19"/>
  <c r="S971" i="19"/>
  <c r="G971" i="19"/>
  <c r="A971" i="19"/>
  <c r="U970" i="19"/>
  <c r="T970" i="19"/>
  <c r="S970" i="19"/>
  <c r="G970" i="19"/>
  <c r="A970" i="19"/>
  <c r="U969" i="19"/>
  <c r="T969" i="19"/>
  <c r="S969" i="19"/>
  <c r="G969" i="19"/>
  <c r="A969" i="19"/>
  <c r="U968" i="19"/>
  <c r="T968" i="19"/>
  <c r="S968" i="19"/>
  <c r="G968" i="19"/>
  <c r="A968" i="19"/>
  <c r="U967" i="19"/>
  <c r="T967" i="19"/>
  <c r="S967" i="19"/>
  <c r="G967" i="19"/>
  <c r="A967" i="19"/>
  <c r="U966" i="19"/>
  <c r="T966" i="19"/>
  <c r="S966" i="19"/>
  <c r="G966" i="19"/>
  <c r="A966" i="19"/>
  <c r="U965" i="19"/>
  <c r="T965" i="19"/>
  <c r="S965" i="19"/>
  <c r="G965" i="19"/>
  <c r="A965" i="19"/>
  <c r="U964" i="19"/>
  <c r="T964" i="19"/>
  <c r="S964" i="19"/>
  <c r="G964" i="19"/>
  <c r="A964" i="19"/>
  <c r="U963" i="19"/>
  <c r="T963" i="19"/>
  <c r="S963" i="19"/>
  <c r="G963" i="19"/>
  <c r="A963" i="19"/>
  <c r="U962" i="19"/>
  <c r="T962" i="19"/>
  <c r="S962" i="19"/>
  <c r="G962" i="19"/>
  <c r="A962" i="19"/>
  <c r="U961" i="19"/>
  <c r="T961" i="19"/>
  <c r="S961" i="19"/>
  <c r="G961" i="19"/>
  <c r="A961" i="19"/>
  <c r="U960" i="19"/>
  <c r="T960" i="19"/>
  <c r="S960" i="19"/>
  <c r="G960" i="19"/>
  <c r="A960" i="19"/>
  <c r="U959" i="19"/>
  <c r="T959" i="19"/>
  <c r="S959" i="19"/>
  <c r="G959" i="19"/>
  <c r="A959" i="19"/>
  <c r="U958" i="19"/>
  <c r="T958" i="19"/>
  <c r="S958" i="19"/>
  <c r="G958" i="19"/>
  <c r="A958" i="19"/>
  <c r="U957" i="19"/>
  <c r="T957" i="19"/>
  <c r="S957" i="19"/>
  <c r="G957" i="19"/>
  <c r="A957" i="19"/>
  <c r="U956" i="19"/>
  <c r="T956" i="19"/>
  <c r="S956" i="19"/>
  <c r="G956" i="19"/>
  <c r="A956" i="19"/>
  <c r="U955" i="19"/>
  <c r="T955" i="19"/>
  <c r="S955" i="19"/>
  <c r="G955" i="19"/>
  <c r="A955" i="19"/>
  <c r="U954" i="19"/>
  <c r="T954" i="19"/>
  <c r="S954" i="19"/>
  <c r="G954" i="19"/>
  <c r="A954" i="19"/>
  <c r="U953" i="19"/>
  <c r="T953" i="19"/>
  <c r="S953" i="19"/>
  <c r="G953" i="19"/>
  <c r="A953" i="19"/>
  <c r="U952" i="19"/>
  <c r="T952" i="19"/>
  <c r="S952" i="19"/>
  <c r="G952" i="19"/>
  <c r="A952" i="19"/>
  <c r="U951" i="19"/>
  <c r="T951" i="19"/>
  <c r="S951" i="19"/>
  <c r="G951" i="19"/>
  <c r="A951" i="19"/>
  <c r="U950" i="19"/>
  <c r="T950" i="19"/>
  <c r="S950" i="19"/>
  <c r="G950" i="19"/>
  <c r="A950" i="19"/>
  <c r="U949" i="19"/>
  <c r="T949" i="19"/>
  <c r="S949" i="19"/>
  <c r="G949" i="19"/>
  <c r="A949" i="19"/>
  <c r="U948" i="19"/>
  <c r="T948" i="19"/>
  <c r="S948" i="19"/>
  <c r="G948" i="19"/>
  <c r="A948" i="19"/>
  <c r="U947" i="19"/>
  <c r="T947" i="19"/>
  <c r="S947" i="19"/>
  <c r="G947" i="19"/>
  <c r="A947" i="19"/>
  <c r="U946" i="19"/>
  <c r="T946" i="19"/>
  <c r="S946" i="19"/>
  <c r="G946" i="19"/>
  <c r="A946" i="19"/>
  <c r="U945" i="19"/>
  <c r="T945" i="19"/>
  <c r="S945" i="19"/>
  <c r="G945" i="19"/>
  <c r="A945" i="19"/>
  <c r="U944" i="19"/>
  <c r="T944" i="19"/>
  <c r="S944" i="19"/>
  <c r="G944" i="19"/>
  <c r="A944" i="19"/>
  <c r="U943" i="19"/>
  <c r="T943" i="19"/>
  <c r="S943" i="19"/>
  <c r="G943" i="19"/>
  <c r="A943" i="19"/>
  <c r="U942" i="19"/>
  <c r="T942" i="19"/>
  <c r="S942" i="19"/>
  <c r="G942" i="19"/>
  <c r="A942" i="19"/>
  <c r="U941" i="19"/>
  <c r="T941" i="19"/>
  <c r="S941" i="19"/>
  <c r="G941" i="19"/>
  <c r="A941" i="19"/>
  <c r="U940" i="19"/>
  <c r="T940" i="19"/>
  <c r="S940" i="19"/>
  <c r="G940" i="19"/>
  <c r="A940" i="19"/>
  <c r="U939" i="19"/>
  <c r="T939" i="19"/>
  <c r="S939" i="19"/>
  <c r="G939" i="19"/>
  <c r="A939" i="19"/>
  <c r="U938" i="19"/>
  <c r="T938" i="19"/>
  <c r="S938" i="19"/>
  <c r="G938" i="19"/>
  <c r="A938" i="19"/>
  <c r="U937" i="19"/>
  <c r="T937" i="19"/>
  <c r="S937" i="19"/>
  <c r="G937" i="19"/>
  <c r="A937" i="19"/>
  <c r="U936" i="19"/>
  <c r="T936" i="19"/>
  <c r="S936" i="19"/>
  <c r="G936" i="19"/>
  <c r="A936" i="19"/>
  <c r="U935" i="19"/>
  <c r="T935" i="19"/>
  <c r="S935" i="19"/>
  <c r="G935" i="19"/>
  <c r="A935" i="19"/>
  <c r="U934" i="19"/>
  <c r="T934" i="19"/>
  <c r="S934" i="19"/>
  <c r="G934" i="19"/>
  <c r="A934" i="19"/>
  <c r="U933" i="19"/>
  <c r="T933" i="19"/>
  <c r="S933" i="19"/>
  <c r="G933" i="19"/>
  <c r="A933" i="19"/>
  <c r="U932" i="19"/>
  <c r="T932" i="19"/>
  <c r="S932" i="19"/>
  <c r="G932" i="19"/>
  <c r="A932" i="19"/>
  <c r="U931" i="19"/>
  <c r="T931" i="19"/>
  <c r="S931" i="19"/>
  <c r="G931" i="19"/>
  <c r="A931" i="19"/>
  <c r="U930" i="19"/>
  <c r="T930" i="19"/>
  <c r="S930" i="19"/>
  <c r="G930" i="19"/>
  <c r="A930" i="19"/>
  <c r="U929" i="19"/>
  <c r="T929" i="19"/>
  <c r="S929" i="19"/>
  <c r="G929" i="19"/>
  <c r="A929" i="19"/>
  <c r="U928" i="19"/>
  <c r="T928" i="19"/>
  <c r="S928" i="19"/>
  <c r="G928" i="19"/>
  <c r="A928" i="19"/>
  <c r="U927" i="19"/>
  <c r="T927" i="19"/>
  <c r="S927" i="19"/>
  <c r="G927" i="19"/>
  <c r="A927" i="19"/>
  <c r="U926" i="19"/>
  <c r="T926" i="19"/>
  <c r="S926" i="19"/>
  <c r="G926" i="19"/>
  <c r="A926" i="19"/>
  <c r="U925" i="19"/>
  <c r="T925" i="19"/>
  <c r="S925" i="19"/>
  <c r="G925" i="19"/>
  <c r="A925" i="19"/>
  <c r="U924" i="19"/>
  <c r="T924" i="19"/>
  <c r="S924" i="19"/>
  <c r="G924" i="19"/>
  <c r="A924" i="19"/>
  <c r="U923" i="19"/>
  <c r="T923" i="19"/>
  <c r="S923" i="19"/>
  <c r="G923" i="19"/>
  <c r="A923" i="19"/>
  <c r="U922" i="19"/>
  <c r="T922" i="19"/>
  <c r="S922" i="19"/>
  <c r="G922" i="19"/>
  <c r="A922" i="19"/>
  <c r="U921" i="19"/>
  <c r="T921" i="19"/>
  <c r="S921" i="19"/>
  <c r="G921" i="19"/>
  <c r="A921" i="19"/>
  <c r="U920" i="19"/>
  <c r="T920" i="19"/>
  <c r="S920" i="19"/>
  <c r="G920" i="19"/>
  <c r="A920" i="19"/>
  <c r="U919" i="19"/>
  <c r="T919" i="19"/>
  <c r="S919" i="19"/>
  <c r="G919" i="19"/>
  <c r="A919" i="19"/>
  <c r="U918" i="19"/>
  <c r="T918" i="19"/>
  <c r="S918" i="19"/>
  <c r="G918" i="19"/>
  <c r="A918" i="19"/>
  <c r="U917" i="19"/>
  <c r="T917" i="19"/>
  <c r="S917" i="19"/>
  <c r="G917" i="19"/>
  <c r="A917" i="19"/>
  <c r="U916" i="19"/>
  <c r="T916" i="19"/>
  <c r="S916" i="19"/>
  <c r="G916" i="19"/>
  <c r="A916" i="19"/>
  <c r="U915" i="19"/>
  <c r="T915" i="19"/>
  <c r="S915" i="19"/>
  <c r="G915" i="19"/>
  <c r="A915" i="19"/>
  <c r="U914" i="19"/>
  <c r="T914" i="19"/>
  <c r="S914" i="19"/>
  <c r="G914" i="19"/>
  <c r="A914" i="19"/>
  <c r="U913" i="19"/>
  <c r="T913" i="19"/>
  <c r="S913" i="19"/>
  <c r="G913" i="19"/>
  <c r="A913" i="19"/>
  <c r="U912" i="19"/>
  <c r="T912" i="19"/>
  <c r="S912" i="19"/>
  <c r="G912" i="19"/>
  <c r="A912" i="19"/>
  <c r="U911" i="19"/>
  <c r="T911" i="19"/>
  <c r="S911" i="19"/>
  <c r="G911" i="19"/>
  <c r="A911" i="19"/>
  <c r="U910" i="19"/>
  <c r="T910" i="19"/>
  <c r="S910" i="19"/>
  <c r="G910" i="19"/>
  <c r="A910" i="19"/>
  <c r="U909" i="19"/>
  <c r="T909" i="19"/>
  <c r="S909" i="19"/>
  <c r="G909" i="19"/>
  <c r="A909" i="19"/>
  <c r="U908" i="19"/>
  <c r="T908" i="19"/>
  <c r="S908" i="19"/>
  <c r="G908" i="19"/>
  <c r="A908" i="19"/>
  <c r="U907" i="19"/>
  <c r="T907" i="19"/>
  <c r="S907" i="19"/>
  <c r="G907" i="19"/>
  <c r="A907" i="19"/>
  <c r="U906" i="19"/>
  <c r="T906" i="19"/>
  <c r="S906" i="19"/>
  <c r="G906" i="19"/>
  <c r="A906" i="19"/>
  <c r="U905" i="19"/>
  <c r="T905" i="19"/>
  <c r="S905" i="19"/>
  <c r="G905" i="19"/>
  <c r="A905" i="19"/>
  <c r="U904" i="19"/>
  <c r="T904" i="19"/>
  <c r="S904" i="19"/>
  <c r="G904" i="19"/>
  <c r="A904" i="19"/>
  <c r="U903" i="19"/>
  <c r="T903" i="19"/>
  <c r="S903" i="19"/>
  <c r="G903" i="19"/>
  <c r="A903" i="19"/>
  <c r="U902" i="19"/>
  <c r="T902" i="19"/>
  <c r="S902" i="19"/>
  <c r="G902" i="19"/>
  <c r="A902" i="19"/>
  <c r="U901" i="19"/>
  <c r="T901" i="19"/>
  <c r="S901" i="19"/>
  <c r="G901" i="19"/>
  <c r="A901" i="19"/>
  <c r="U900" i="19"/>
  <c r="T900" i="19"/>
  <c r="S900" i="19"/>
  <c r="G900" i="19"/>
  <c r="A900" i="19"/>
  <c r="U899" i="19"/>
  <c r="T899" i="19"/>
  <c r="S899" i="19"/>
  <c r="G899" i="19"/>
  <c r="A899" i="19"/>
  <c r="U898" i="19"/>
  <c r="T898" i="19"/>
  <c r="S898" i="19"/>
  <c r="G898" i="19"/>
  <c r="A898" i="19"/>
  <c r="U897" i="19"/>
  <c r="T897" i="19"/>
  <c r="S897" i="19"/>
  <c r="G897" i="19"/>
  <c r="A897" i="19"/>
  <c r="U896" i="19"/>
  <c r="T896" i="19"/>
  <c r="S896" i="19"/>
  <c r="G896" i="19"/>
  <c r="A896" i="19"/>
  <c r="U895" i="19"/>
  <c r="T895" i="19"/>
  <c r="S895" i="19"/>
  <c r="G895" i="19"/>
  <c r="A895" i="19"/>
  <c r="U894" i="19"/>
  <c r="T894" i="19"/>
  <c r="S894" i="19"/>
  <c r="G894" i="19"/>
  <c r="A894" i="19"/>
  <c r="U893" i="19"/>
  <c r="T893" i="19"/>
  <c r="S893" i="19"/>
  <c r="G893" i="19"/>
  <c r="A893" i="19"/>
  <c r="U892" i="19"/>
  <c r="T892" i="19"/>
  <c r="S892" i="19"/>
  <c r="G892" i="19"/>
  <c r="A892" i="19"/>
  <c r="U891" i="19"/>
  <c r="T891" i="19"/>
  <c r="S891" i="19"/>
  <c r="G891" i="19"/>
  <c r="A891" i="19"/>
  <c r="U890" i="19"/>
  <c r="T890" i="19"/>
  <c r="S890" i="19"/>
  <c r="G890" i="19"/>
  <c r="A890" i="19"/>
  <c r="U889" i="19"/>
  <c r="T889" i="19"/>
  <c r="S889" i="19"/>
  <c r="G889" i="19"/>
  <c r="A889" i="19"/>
  <c r="U888" i="19"/>
  <c r="T888" i="19"/>
  <c r="S888" i="19"/>
  <c r="G888" i="19"/>
  <c r="A888" i="19"/>
  <c r="U887" i="19"/>
  <c r="T887" i="19"/>
  <c r="S887" i="19"/>
  <c r="G887" i="19"/>
  <c r="A887" i="19"/>
  <c r="U886" i="19"/>
  <c r="T886" i="19"/>
  <c r="S886" i="19"/>
  <c r="G886" i="19"/>
  <c r="A886" i="19"/>
  <c r="U885" i="19"/>
  <c r="T885" i="19"/>
  <c r="S885" i="19"/>
  <c r="G885" i="19"/>
  <c r="A885" i="19"/>
  <c r="U884" i="19"/>
  <c r="T884" i="19"/>
  <c r="S884" i="19"/>
  <c r="G884" i="19"/>
  <c r="A884" i="19"/>
  <c r="U883" i="19"/>
  <c r="T883" i="19"/>
  <c r="S883" i="19"/>
  <c r="G883" i="19"/>
  <c r="A883" i="19"/>
  <c r="U882" i="19"/>
  <c r="T882" i="19"/>
  <c r="S882" i="19"/>
  <c r="G882" i="19"/>
  <c r="A882" i="19"/>
  <c r="U881" i="19"/>
  <c r="T881" i="19"/>
  <c r="S881" i="19"/>
  <c r="G881" i="19"/>
  <c r="A881" i="19"/>
  <c r="U880" i="19"/>
  <c r="T880" i="19"/>
  <c r="S880" i="19"/>
  <c r="G880" i="19"/>
  <c r="A880" i="19"/>
  <c r="U879" i="19"/>
  <c r="T879" i="19"/>
  <c r="S879" i="19"/>
  <c r="G879" i="19"/>
  <c r="A879" i="19"/>
  <c r="U878" i="19"/>
  <c r="T878" i="19"/>
  <c r="S878" i="19"/>
  <c r="G878" i="19"/>
  <c r="A878" i="19"/>
  <c r="U877" i="19"/>
  <c r="T877" i="19"/>
  <c r="S877" i="19"/>
  <c r="G877" i="19"/>
  <c r="A877" i="19"/>
  <c r="U876" i="19"/>
  <c r="T876" i="19"/>
  <c r="S876" i="19"/>
  <c r="G876" i="19"/>
  <c r="A876" i="19"/>
  <c r="U875" i="19"/>
  <c r="T875" i="19"/>
  <c r="S875" i="19"/>
  <c r="G875" i="19"/>
  <c r="A875" i="19"/>
  <c r="U874" i="19"/>
  <c r="T874" i="19"/>
  <c r="S874" i="19"/>
  <c r="G874" i="19"/>
  <c r="A874" i="19"/>
  <c r="U873" i="19"/>
  <c r="T873" i="19"/>
  <c r="S873" i="19"/>
  <c r="G873" i="19"/>
  <c r="A873" i="19"/>
  <c r="U872" i="19"/>
  <c r="T872" i="19"/>
  <c r="S872" i="19"/>
  <c r="G872" i="19"/>
  <c r="A872" i="19"/>
  <c r="U871" i="19"/>
  <c r="T871" i="19"/>
  <c r="S871" i="19"/>
  <c r="G871" i="19"/>
  <c r="A871" i="19"/>
  <c r="U870" i="19"/>
  <c r="T870" i="19"/>
  <c r="S870" i="19"/>
  <c r="G870" i="19"/>
  <c r="A870" i="19"/>
  <c r="U869" i="19"/>
  <c r="T869" i="19"/>
  <c r="S869" i="19"/>
  <c r="G869" i="19"/>
  <c r="A869" i="19"/>
  <c r="U868" i="19"/>
  <c r="T868" i="19"/>
  <c r="S868" i="19"/>
  <c r="G868" i="19"/>
  <c r="A868" i="19"/>
  <c r="U867" i="19"/>
  <c r="T867" i="19"/>
  <c r="S867" i="19"/>
  <c r="G867" i="19"/>
  <c r="A867" i="19"/>
  <c r="U866" i="19"/>
  <c r="T866" i="19"/>
  <c r="S866" i="19"/>
  <c r="G866" i="19"/>
  <c r="A866" i="19"/>
  <c r="U865" i="19"/>
  <c r="T865" i="19"/>
  <c r="S865" i="19"/>
  <c r="G865" i="19"/>
  <c r="A865" i="19"/>
  <c r="U864" i="19"/>
  <c r="T864" i="19"/>
  <c r="S864" i="19"/>
  <c r="G864" i="19"/>
  <c r="A864" i="19"/>
  <c r="U863" i="19"/>
  <c r="T863" i="19"/>
  <c r="S863" i="19"/>
  <c r="G863" i="19"/>
  <c r="A863" i="19"/>
  <c r="U862" i="19"/>
  <c r="T862" i="19"/>
  <c r="S862" i="19"/>
  <c r="G862" i="19"/>
  <c r="A862" i="19"/>
  <c r="U861" i="19"/>
  <c r="T861" i="19"/>
  <c r="S861" i="19"/>
  <c r="G861" i="19"/>
  <c r="A861" i="19"/>
  <c r="U860" i="19"/>
  <c r="T860" i="19"/>
  <c r="S860" i="19"/>
  <c r="G860" i="19"/>
  <c r="A860" i="19"/>
  <c r="U859" i="19"/>
  <c r="T859" i="19"/>
  <c r="S859" i="19"/>
  <c r="G859" i="19"/>
  <c r="A859" i="19"/>
  <c r="U858" i="19"/>
  <c r="T858" i="19"/>
  <c r="S858" i="19"/>
  <c r="G858" i="19"/>
  <c r="A858" i="19"/>
  <c r="U857" i="19"/>
  <c r="T857" i="19"/>
  <c r="S857" i="19"/>
  <c r="G857" i="19"/>
  <c r="A857" i="19"/>
  <c r="U856" i="19"/>
  <c r="T856" i="19"/>
  <c r="S856" i="19"/>
  <c r="G856" i="19"/>
  <c r="A856" i="19"/>
  <c r="U855" i="19"/>
  <c r="T855" i="19"/>
  <c r="S855" i="19"/>
  <c r="G855" i="19"/>
  <c r="A855" i="19"/>
  <c r="U854" i="19"/>
  <c r="T854" i="19"/>
  <c r="S854" i="19"/>
  <c r="G854" i="19"/>
  <c r="A854" i="19"/>
  <c r="U853" i="19"/>
  <c r="T853" i="19"/>
  <c r="S853" i="19"/>
  <c r="G853" i="19"/>
  <c r="A853" i="19"/>
  <c r="U852" i="19"/>
  <c r="T852" i="19"/>
  <c r="S852" i="19"/>
  <c r="G852" i="19"/>
  <c r="A852" i="19"/>
  <c r="U851" i="19"/>
  <c r="T851" i="19"/>
  <c r="S851" i="19"/>
  <c r="G851" i="19"/>
  <c r="A851" i="19"/>
  <c r="U850" i="19"/>
  <c r="T850" i="19"/>
  <c r="S850" i="19"/>
  <c r="G850" i="19"/>
  <c r="A850" i="19"/>
  <c r="U849" i="19"/>
  <c r="T849" i="19"/>
  <c r="S849" i="19"/>
  <c r="G849" i="19"/>
  <c r="A849" i="19"/>
  <c r="U848" i="19"/>
  <c r="T848" i="19"/>
  <c r="S848" i="19"/>
  <c r="G848" i="19"/>
  <c r="A848" i="19"/>
  <c r="U847" i="19"/>
  <c r="T847" i="19"/>
  <c r="S847" i="19"/>
  <c r="G847" i="19"/>
  <c r="A847" i="19"/>
  <c r="U846" i="19"/>
  <c r="T846" i="19"/>
  <c r="S846" i="19"/>
  <c r="G846" i="19"/>
  <c r="A846" i="19"/>
  <c r="U845" i="19"/>
  <c r="T845" i="19"/>
  <c r="S845" i="19"/>
  <c r="G845" i="19"/>
  <c r="A845" i="19"/>
  <c r="U844" i="19"/>
  <c r="T844" i="19"/>
  <c r="S844" i="19"/>
  <c r="G844" i="19"/>
  <c r="A844" i="19"/>
  <c r="U843" i="19"/>
  <c r="T843" i="19"/>
  <c r="S843" i="19"/>
  <c r="G843" i="19"/>
  <c r="A843" i="19"/>
  <c r="U842" i="19"/>
  <c r="T842" i="19"/>
  <c r="S842" i="19"/>
  <c r="G842" i="19"/>
  <c r="A842" i="19"/>
  <c r="U841" i="19"/>
  <c r="T841" i="19"/>
  <c r="S841" i="19"/>
  <c r="G841" i="19"/>
  <c r="A841" i="19"/>
  <c r="U840" i="19"/>
  <c r="T840" i="19"/>
  <c r="S840" i="19"/>
  <c r="G840" i="19"/>
  <c r="A840" i="19"/>
  <c r="U839" i="19"/>
  <c r="T839" i="19"/>
  <c r="S839" i="19"/>
  <c r="G839" i="19"/>
  <c r="A839" i="19"/>
  <c r="U838" i="19"/>
  <c r="T838" i="19"/>
  <c r="S838" i="19"/>
  <c r="G838" i="19"/>
  <c r="A838" i="19"/>
  <c r="U837" i="19"/>
  <c r="T837" i="19"/>
  <c r="S837" i="19"/>
  <c r="G837" i="19"/>
  <c r="A837" i="19"/>
  <c r="U836" i="19"/>
  <c r="T836" i="19"/>
  <c r="S836" i="19"/>
  <c r="G836" i="19"/>
  <c r="A836" i="19"/>
  <c r="U835" i="19"/>
  <c r="T835" i="19"/>
  <c r="S835" i="19"/>
  <c r="G835" i="19"/>
  <c r="A835" i="19"/>
  <c r="U834" i="19"/>
  <c r="T834" i="19"/>
  <c r="S834" i="19"/>
  <c r="G834" i="19"/>
  <c r="A834" i="19"/>
  <c r="U833" i="19"/>
  <c r="T833" i="19"/>
  <c r="S833" i="19"/>
  <c r="G833" i="19"/>
  <c r="A833" i="19"/>
  <c r="U832" i="19"/>
  <c r="T832" i="19"/>
  <c r="S832" i="19"/>
  <c r="G832" i="19"/>
  <c r="A832" i="19"/>
  <c r="U831" i="19"/>
  <c r="T831" i="19"/>
  <c r="S831" i="19"/>
  <c r="G831" i="19"/>
  <c r="A831" i="19"/>
  <c r="U830" i="19"/>
  <c r="T830" i="19"/>
  <c r="S830" i="19"/>
  <c r="G830" i="19"/>
  <c r="A830" i="19"/>
  <c r="U829" i="19"/>
  <c r="T829" i="19"/>
  <c r="S829" i="19"/>
  <c r="G829" i="19"/>
  <c r="A829" i="19"/>
  <c r="U828" i="19"/>
  <c r="T828" i="19"/>
  <c r="S828" i="19"/>
  <c r="G828" i="19"/>
  <c r="A828" i="19"/>
  <c r="U827" i="19"/>
  <c r="T827" i="19"/>
  <c r="S827" i="19"/>
  <c r="G827" i="19"/>
  <c r="A827" i="19"/>
  <c r="U826" i="19"/>
  <c r="T826" i="19"/>
  <c r="S826" i="19"/>
  <c r="G826" i="19"/>
  <c r="A826" i="19"/>
  <c r="U825" i="19"/>
  <c r="T825" i="19"/>
  <c r="S825" i="19"/>
  <c r="G825" i="19"/>
  <c r="A825" i="19"/>
  <c r="U824" i="19"/>
  <c r="T824" i="19"/>
  <c r="S824" i="19"/>
  <c r="G824" i="19"/>
  <c r="A824" i="19"/>
  <c r="U823" i="19"/>
  <c r="T823" i="19"/>
  <c r="S823" i="19"/>
  <c r="G823" i="19"/>
  <c r="A823" i="19"/>
  <c r="U822" i="19"/>
  <c r="T822" i="19"/>
  <c r="S822" i="19"/>
  <c r="G822" i="19"/>
  <c r="A822" i="19"/>
  <c r="U821" i="19"/>
  <c r="T821" i="19"/>
  <c r="S821" i="19"/>
  <c r="G821" i="19"/>
  <c r="A821" i="19"/>
  <c r="U820" i="19"/>
  <c r="T820" i="19"/>
  <c r="S820" i="19"/>
  <c r="G820" i="19"/>
  <c r="A820" i="19"/>
  <c r="U819" i="19"/>
  <c r="T819" i="19"/>
  <c r="S819" i="19"/>
  <c r="G819" i="19"/>
  <c r="A819" i="19"/>
  <c r="U818" i="19"/>
  <c r="T818" i="19"/>
  <c r="S818" i="19"/>
  <c r="G818" i="19"/>
  <c r="A818" i="19"/>
  <c r="U817" i="19"/>
  <c r="T817" i="19"/>
  <c r="S817" i="19"/>
  <c r="G817" i="19"/>
  <c r="A817" i="19"/>
  <c r="U816" i="19"/>
  <c r="T816" i="19"/>
  <c r="S816" i="19"/>
  <c r="G816" i="19"/>
  <c r="A816" i="19"/>
  <c r="U815" i="19"/>
  <c r="T815" i="19"/>
  <c r="S815" i="19"/>
  <c r="G815" i="19"/>
  <c r="A815" i="19"/>
  <c r="U814" i="19"/>
  <c r="T814" i="19"/>
  <c r="S814" i="19"/>
  <c r="G814" i="19"/>
  <c r="A814" i="19"/>
  <c r="U813" i="19"/>
  <c r="T813" i="19"/>
  <c r="S813" i="19"/>
  <c r="G813" i="19"/>
  <c r="A813" i="19"/>
  <c r="U812" i="19"/>
  <c r="T812" i="19"/>
  <c r="S812" i="19"/>
  <c r="G812" i="19"/>
  <c r="A812" i="19"/>
  <c r="U811" i="19"/>
  <c r="T811" i="19"/>
  <c r="S811" i="19"/>
  <c r="G811" i="19"/>
  <c r="A811" i="19"/>
  <c r="U810" i="19"/>
  <c r="T810" i="19"/>
  <c r="S810" i="19"/>
  <c r="G810" i="19"/>
  <c r="A810" i="19"/>
  <c r="U809" i="19"/>
  <c r="T809" i="19"/>
  <c r="S809" i="19"/>
  <c r="G809" i="19"/>
  <c r="A809" i="19"/>
  <c r="U808" i="19"/>
  <c r="T808" i="19"/>
  <c r="S808" i="19"/>
  <c r="G808" i="19"/>
  <c r="A808" i="19"/>
  <c r="U807" i="19"/>
  <c r="T807" i="19"/>
  <c r="S807" i="19"/>
  <c r="G807" i="19"/>
  <c r="A807" i="19"/>
  <c r="U806" i="19"/>
  <c r="T806" i="19"/>
  <c r="S806" i="19"/>
  <c r="G806" i="19"/>
  <c r="A806" i="19"/>
  <c r="U805" i="19"/>
  <c r="T805" i="19"/>
  <c r="S805" i="19"/>
  <c r="G805" i="19"/>
  <c r="A805" i="19"/>
  <c r="U804" i="19"/>
  <c r="T804" i="19"/>
  <c r="S804" i="19"/>
  <c r="G804" i="19"/>
  <c r="A804" i="19"/>
  <c r="U803" i="19"/>
  <c r="T803" i="19"/>
  <c r="S803" i="19"/>
  <c r="G803" i="19"/>
  <c r="A803" i="19"/>
  <c r="U802" i="19"/>
  <c r="T802" i="19"/>
  <c r="S802" i="19"/>
  <c r="G802" i="19"/>
  <c r="A802" i="19"/>
  <c r="U801" i="19"/>
  <c r="T801" i="19"/>
  <c r="S801" i="19"/>
  <c r="G801" i="19"/>
  <c r="A801" i="19"/>
  <c r="U800" i="19"/>
  <c r="T800" i="19"/>
  <c r="S800" i="19"/>
  <c r="G800" i="19"/>
  <c r="A800" i="19"/>
  <c r="U799" i="19"/>
  <c r="T799" i="19"/>
  <c r="S799" i="19"/>
  <c r="G799" i="19"/>
  <c r="A799" i="19"/>
  <c r="U798" i="19"/>
  <c r="T798" i="19"/>
  <c r="S798" i="19"/>
  <c r="G798" i="19"/>
  <c r="A798" i="19"/>
  <c r="U797" i="19"/>
  <c r="T797" i="19"/>
  <c r="S797" i="19"/>
  <c r="G797" i="19"/>
  <c r="A797" i="19"/>
  <c r="U796" i="19"/>
  <c r="T796" i="19"/>
  <c r="S796" i="19"/>
  <c r="G796" i="19"/>
  <c r="A796" i="19"/>
  <c r="U795" i="19"/>
  <c r="T795" i="19"/>
  <c r="S795" i="19"/>
  <c r="G795" i="19"/>
  <c r="A795" i="19"/>
  <c r="U794" i="19"/>
  <c r="T794" i="19"/>
  <c r="S794" i="19"/>
  <c r="G794" i="19"/>
  <c r="A794" i="19"/>
  <c r="U793" i="19"/>
  <c r="T793" i="19"/>
  <c r="S793" i="19"/>
  <c r="G793" i="19"/>
  <c r="A793" i="19"/>
  <c r="U792" i="19"/>
  <c r="T792" i="19"/>
  <c r="S792" i="19"/>
  <c r="G792" i="19"/>
  <c r="A792" i="19"/>
  <c r="U791" i="19"/>
  <c r="T791" i="19"/>
  <c r="S791" i="19"/>
  <c r="G791" i="19"/>
  <c r="A791" i="19"/>
  <c r="U790" i="19"/>
  <c r="T790" i="19"/>
  <c r="S790" i="19"/>
  <c r="G790" i="19"/>
  <c r="A790" i="19"/>
  <c r="U789" i="19"/>
  <c r="T789" i="19"/>
  <c r="S789" i="19"/>
  <c r="G789" i="19"/>
  <c r="A789" i="19"/>
  <c r="U788" i="19"/>
  <c r="T788" i="19"/>
  <c r="S788" i="19"/>
  <c r="G788" i="19"/>
  <c r="A788" i="19"/>
  <c r="U787" i="19"/>
  <c r="T787" i="19"/>
  <c r="S787" i="19"/>
  <c r="G787" i="19"/>
  <c r="A787" i="19"/>
  <c r="U786" i="19"/>
  <c r="T786" i="19"/>
  <c r="S786" i="19"/>
  <c r="G786" i="19"/>
  <c r="A786" i="19"/>
  <c r="U785" i="19"/>
  <c r="T785" i="19"/>
  <c r="S785" i="19"/>
  <c r="G785" i="19"/>
  <c r="A785" i="19"/>
  <c r="U784" i="19"/>
  <c r="T784" i="19"/>
  <c r="S784" i="19"/>
  <c r="G784" i="19"/>
  <c r="A784" i="19"/>
  <c r="U783" i="19"/>
  <c r="T783" i="19"/>
  <c r="S783" i="19"/>
  <c r="G783" i="19"/>
  <c r="A783" i="19"/>
  <c r="U782" i="19"/>
  <c r="T782" i="19"/>
  <c r="S782" i="19"/>
  <c r="G782" i="19"/>
  <c r="A782" i="19"/>
  <c r="U781" i="19"/>
  <c r="T781" i="19"/>
  <c r="S781" i="19"/>
  <c r="G781" i="19"/>
  <c r="A781" i="19"/>
  <c r="U780" i="19"/>
  <c r="T780" i="19"/>
  <c r="S780" i="19"/>
  <c r="G780" i="19"/>
  <c r="A780" i="19"/>
  <c r="U779" i="19"/>
  <c r="T779" i="19"/>
  <c r="S779" i="19"/>
  <c r="G779" i="19"/>
  <c r="A779" i="19"/>
  <c r="U778" i="19"/>
  <c r="T778" i="19"/>
  <c r="S778" i="19"/>
  <c r="G778" i="19"/>
  <c r="A778" i="19"/>
  <c r="U777" i="19"/>
  <c r="T777" i="19"/>
  <c r="S777" i="19"/>
  <c r="G777" i="19"/>
  <c r="A777" i="19"/>
  <c r="U776" i="19"/>
  <c r="T776" i="19"/>
  <c r="S776" i="19"/>
  <c r="G776" i="19"/>
  <c r="A776" i="19"/>
  <c r="U775" i="19"/>
  <c r="T775" i="19"/>
  <c r="S775" i="19"/>
  <c r="G775" i="19"/>
  <c r="A775" i="19"/>
  <c r="U774" i="19"/>
  <c r="T774" i="19"/>
  <c r="S774" i="19"/>
  <c r="G774" i="19"/>
  <c r="A774" i="19"/>
  <c r="U773" i="19"/>
  <c r="T773" i="19"/>
  <c r="S773" i="19"/>
  <c r="G773" i="19"/>
  <c r="A773" i="19"/>
  <c r="U772" i="19"/>
  <c r="T772" i="19"/>
  <c r="S772" i="19"/>
  <c r="G772" i="19"/>
  <c r="A772" i="19"/>
  <c r="U771" i="19"/>
  <c r="T771" i="19"/>
  <c r="S771" i="19"/>
  <c r="G771" i="19"/>
  <c r="A771" i="19"/>
  <c r="U770" i="19"/>
  <c r="T770" i="19"/>
  <c r="S770" i="19"/>
  <c r="G770" i="19"/>
  <c r="A770" i="19"/>
  <c r="U769" i="19"/>
  <c r="T769" i="19"/>
  <c r="S769" i="19"/>
  <c r="G769" i="19"/>
  <c r="A769" i="19"/>
  <c r="U768" i="19"/>
  <c r="T768" i="19"/>
  <c r="S768" i="19"/>
  <c r="G768" i="19"/>
  <c r="A768" i="19"/>
  <c r="U767" i="19"/>
  <c r="T767" i="19"/>
  <c r="S767" i="19"/>
  <c r="G767" i="19"/>
  <c r="A767" i="19"/>
  <c r="U766" i="19"/>
  <c r="T766" i="19"/>
  <c r="S766" i="19"/>
  <c r="G766" i="19"/>
  <c r="A766" i="19"/>
  <c r="U765" i="19"/>
  <c r="T765" i="19"/>
  <c r="S765" i="19"/>
  <c r="G765" i="19"/>
  <c r="A765" i="19"/>
  <c r="U764" i="19"/>
  <c r="T764" i="19"/>
  <c r="S764" i="19"/>
  <c r="G764" i="19"/>
  <c r="A764" i="19"/>
  <c r="U763" i="19"/>
  <c r="T763" i="19"/>
  <c r="S763" i="19"/>
  <c r="G763" i="19"/>
  <c r="A763" i="19"/>
  <c r="U762" i="19"/>
  <c r="T762" i="19"/>
  <c r="S762" i="19"/>
  <c r="G762" i="19"/>
  <c r="A762" i="19"/>
  <c r="U761" i="19"/>
  <c r="T761" i="19"/>
  <c r="S761" i="19"/>
  <c r="G761" i="19"/>
  <c r="A761" i="19"/>
  <c r="U760" i="19"/>
  <c r="T760" i="19"/>
  <c r="S760" i="19"/>
  <c r="G760" i="19"/>
  <c r="A760" i="19"/>
  <c r="U759" i="19"/>
  <c r="T759" i="19"/>
  <c r="S759" i="19"/>
  <c r="G759" i="19"/>
  <c r="L759" i="19" s="1"/>
  <c r="A759" i="19"/>
  <c r="U758" i="19"/>
  <c r="T758" i="19"/>
  <c r="S758" i="19"/>
  <c r="G758" i="19"/>
  <c r="A758" i="19"/>
  <c r="U757" i="19"/>
  <c r="T757" i="19"/>
  <c r="S757" i="19"/>
  <c r="G757" i="19"/>
  <c r="A757" i="19"/>
  <c r="U756" i="19"/>
  <c r="T756" i="19"/>
  <c r="S756" i="19"/>
  <c r="G756" i="19"/>
  <c r="A756" i="19"/>
  <c r="U755" i="19"/>
  <c r="T755" i="19"/>
  <c r="S755" i="19"/>
  <c r="G755" i="19"/>
  <c r="A755" i="19"/>
  <c r="U754" i="19"/>
  <c r="T754" i="19"/>
  <c r="S754" i="19"/>
  <c r="G754" i="19"/>
  <c r="A754" i="19"/>
  <c r="U753" i="19"/>
  <c r="T753" i="19"/>
  <c r="S753" i="19"/>
  <c r="G753" i="19"/>
  <c r="A753" i="19"/>
  <c r="U752" i="19"/>
  <c r="T752" i="19"/>
  <c r="S752" i="19"/>
  <c r="G752" i="19"/>
  <c r="A752" i="19"/>
  <c r="U751" i="19"/>
  <c r="T751" i="19"/>
  <c r="S751" i="19"/>
  <c r="G751" i="19"/>
  <c r="A751" i="19"/>
  <c r="U750" i="19"/>
  <c r="T750" i="19"/>
  <c r="S750" i="19"/>
  <c r="G750" i="19"/>
  <c r="A750" i="19"/>
  <c r="U749" i="19"/>
  <c r="T749" i="19"/>
  <c r="S749" i="19"/>
  <c r="G749" i="19"/>
  <c r="A749" i="19"/>
  <c r="U748" i="19"/>
  <c r="T748" i="19"/>
  <c r="S748" i="19"/>
  <c r="G748" i="19"/>
  <c r="A748" i="19"/>
  <c r="U747" i="19"/>
  <c r="T747" i="19"/>
  <c r="S747" i="19"/>
  <c r="G747" i="19"/>
  <c r="A747" i="19"/>
  <c r="U746" i="19"/>
  <c r="T746" i="19"/>
  <c r="S746" i="19"/>
  <c r="G746" i="19"/>
  <c r="A746" i="19"/>
  <c r="U745" i="19"/>
  <c r="T745" i="19"/>
  <c r="S745" i="19"/>
  <c r="G745" i="19"/>
  <c r="A745" i="19"/>
  <c r="U744" i="19"/>
  <c r="T744" i="19"/>
  <c r="S744" i="19"/>
  <c r="G744" i="19"/>
  <c r="A744" i="19"/>
  <c r="U743" i="19"/>
  <c r="T743" i="19"/>
  <c r="S743" i="19"/>
  <c r="G743" i="19"/>
  <c r="I743" i="19" s="1"/>
  <c r="A743" i="19"/>
  <c r="U742" i="19"/>
  <c r="T742" i="19"/>
  <c r="S742" i="19"/>
  <c r="G742" i="19"/>
  <c r="A742" i="19"/>
  <c r="U741" i="19"/>
  <c r="T741" i="19"/>
  <c r="S741" i="19"/>
  <c r="G741" i="19"/>
  <c r="A741" i="19"/>
  <c r="U740" i="19"/>
  <c r="T740" i="19"/>
  <c r="S740" i="19"/>
  <c r="G740" i="19"/>
  <c r="A740" i="19"/>
  <c r="U739" i="19"/>
  <c r="T739" i="19"/>
  <c r="S739" i="19"/>
  <c r="G739" i="19"/>
  <c r="A739" i="19"/>
  <c r="U738" i="19"/>
  <c r="T738" i="19"/>
  <c r="S738" i="19"/>
  <c r="G738" i="19"/>
  <c r="A738" i="19"/>
  <c r="U737" i="19"/>
  <c r="T737" i="19"/>
  <c r="S737" i="19"/>
  <c r="G737" i="19"/>
  <c r="A737" i="19"/>
  <c r="U736" i="19"/>
  <c r="T736" i="19"/>
  <c r="S736" i="19"/>
  <c r="G736" i="19"/>
  <c r="A736" i="19"/>
  <c r="U735" i="19"/>
  <c r="T735" i="19"/>
  <c r="S735" i="19"/>
  <c r="G735" i="19"/>
  <c r="A735" i="19"/>
  <c r="U734" i="19"/>
  <c r="T734" i="19"/>
  <c r="S734" i="19"/>
  <c r="G734" i="19"/>
  <c r="A734" i="19"/>
  <c r="U733" i="19"/>
  <c r="T733" i="19"/>
  <c r="S733" i="19"/>
  <c r="G733" i="19"/>
  <c r="A733" i="19"/>
  <c r="U732" i="19"/>
  <c r="T732" i="19"/>
  <c r="S732" i="19"/>
  <c r="G732" i="19"/>
  <c r="A732" i="19"/>
  <c r="U731" i="19"/>
  <c r="T731" i="19"/>
  <c r="S731" i="19"/>
  <c r="G731" i="19"/>
  <c r="A731" i="19"/>
  <c r="U730" i="19"/>
  <c r="T730" i="19"/>
  <c r="S730" i="19"/>
  <c r="G730" i="19"/>
  <c r="A730" i="19"/>
  <c r="U729" i="19"/>
  <c r="T729" i="19"/>
  <c r="S729" i="19"/>
  <c r="G729" i="19"/>
  <c r="A729" i="19"/>
  <c r="U728" i="19"/>
  <c r="T728" i="19"/>
  <c r="S728" i="19"/>
  <c r="G728" i="19"/>
  <c r="A728" i="19"/>
  <c r="U727" i="19"/>
  <c r="T727" i="19"/>
  <c r="S727" i="19"/>
  <c r="G727" i="19"/>
  <c r="A727" i="19"/>
  <c r="U726" i="19"/>
  <c r="T726" i="19"/>
  <c r="S726" i="19"/>
  <c r="G726" i="19"/>
  <c r="A726" i="19"/>
  <c r="U725" i="19"/>
  <c r="T725" i="19"/>
  <c r="S725" i="19"/>
  <c r="G725" i="19"/>
  <c r="A725" i="19"/>
  <c r="U724" i="19"/>
  <c r="T724" i="19"/>
  <c r="S724" i="19"/>
  <c r="G724" i="19"/>
  <c r="A724" i="19"/>
  <c r="U723" i="19"/>
  <c r="T723" i="19"/>
  <c r="S723" i="19"/>
  <c r="G723" i="19"/>
  <c r="A723" i="19"/>
  <c r="U722" i="19"/>
  <c r="T722" i="19"/>
  <c r="S722" i="19"/>
  <c r="G722" i="19"/>
  <c r="A722" i="19"/>
  <c r="U721" i="19"/>
  <c r="T721" i="19"/>
  <c r="S721" i="19"/>
  <c r="G721" i="19"/>
  <c r="A721" i="19"/>
  <c r="U720" i="19"/>
  <c r="T720" i="19"/>
  <c r="S720" i="19"/>
  <c r="G720" i="19"/>
  <c r="A720" i="19"/>
  <c r="U719" i="19"/>
  <c r="T719" i="19"/>
  <c r="S719" i="19"/>
  <c r="G719" i="19"/>
  <c r="A719" i="19"/>
  <c r="U718" i="19"/>
  <c r="T718" i="19"/>
  <c r="S718" i="19"/>
  <c r="G718" i="19"/>
  <c r="A718" i="19"/>
  <c r="U717" i="19"/>
  <c r="T717" i="19"/>
  <c r="S717" i="19"/>
  <c r="G717" i="19"/>
  <c r="A717" i="19"/>
  <c r="U716" i="19"/>
  <c r="T716" i="19"/>
  <c r="S716" i="19"/>
  <c r="G716" i="19"/>
  <c r="A716" i="19"/>
  <c r="U715" i="19"/>
  <c r="T715" i="19"/>
  <c r="S715" i="19"/>
  <c r="G715" i="19"/>
  <c r="A715" i="19"/>
  <c r="U714" i="19"/>
  <c r="T714" i="19"/>
  <c r="S714" i="19"/>
  <c r="G714" i="19"/>
  <c r="A714" i="19"/>
  <c r="U713" i="19"/>
  <c r="T713" i="19"/>
  <c r="S713" i="19"/>
  <c r="G713" i="19"/>
  <c r="A713" i="19"/>
  <c r="U712" i="19"/>
  <c r="T712" i="19"/>
  <c r="S712" i="19"/>
  <c r="G712" i="19"/>
  <c r="A712" i="19"/>
  <c r="U711" i="19"/>
  <c r="T711" i="19"/>
  <c r="S711" i="19"/>
  <c r="G711" i="19"/>
  <c r="A711" i="19"/>
  <c r="U710" i="19"/>
  <c r="T710" i="19"/>
  <c r="S710" i="19"/>
  <c r="G710" i="19"/>
  <c r="A710" i="19"/>
  <c r="U709" i="19"/>
  <c r="T709" i="19"/>
  <c r="S709" i="19"/>
  <c r="G709" i="19"/>
  <c r="A709" i="19"/>
  <c r="U708" i="19"/>
  <c r="T708" i="19"/>
  <c r="S708" i="19"/>
  <c r="G708" i="19"/>
  <c r="A708" i="19"/>
  <c r="U707" i="19"/>
  <c r="T707" i="19"/>
  <c r="S707" i="19"/>
  <c r="G707" i="19"/>
  <c r="A707" i="19"/>
  <c r="U706" i="19"/>
  <c r="T706" i="19"/>
  <c r="S706" i="19"/>
  <c r="G706" i="19"/>
  <c r="A706" i="19"/>
  <c r="U705" i="19"/>
  <c r="T705" i="19"/>
  <c r="S705" i="19"/>
  <c r="G705" i="19"/>
  <c r="A705" i="19"/>
  <c r="U704" i="19"/>
  <c r="T704" i="19"/>
  <c r="S704" i="19"/>
  <c r="G704" i="19"/>
  <c r="A704" i="19"/>
  <c r="U703" i="19"/>
  <c r="T703" i="19"/>
  <c r="S703" i="19"/>
  <c r="G703" i="19"/>
  <c r="A703" i="19"/>
  <c r="U702" i="19"/>
  <c r="T702" i="19"/>
  <c r="S702" i="19"/>
  <c r="G702" i="19"/>
  <c r="A702" i="19"/>
  <c r="U701" i="19"/>
  <c r="T701" i="19"/>
  <c r="S701" i="19"/>
  <c r="G701" i="19"/>
  <c r="A701" i="19"/>
  <c r="U700" i="19"/>
  <c r="T700" i="19"/>
  <c r="S700" i="19"/>
  <c r="G700" i="19"/>
  <c r="A700" i="19"/>
  <c r="U699" i="19"/>
  <c r="T699" i="19"/>
  <c r="S699" i="19"/>
  <c r="G699" i="19"/>
  <c r="A699" i="19"/>
  <c r="U698" i="19"/>
  <c r="T698" i="19"/>
  <c r="S698" i="19"/>
  <c r="G698" i="19"/>
  <c r="A698" i="19"/>
  <c r="U697" i="19"/>
  <c r="T697" i="19"/>
  <c r="S697" i="19"/>
  <c r="G697" i="19"/>
  <c r="A697" i="19"/>
  <c r="U696" i="19"/>
  <c r="T696" i="19"/>
  <c r="S696" i="19"/>
  <c r="G696" i="19"/>
  <c r="A696" i="19"/>
  <c r="U695" i="19"/>
  <c r="T695" i="19"/>
  <c r="S695" i="19"/>
  <c r="G695" i="19"/>
  <c r="A695" i="19"/>
  <c r="U694" i="19"/>
  <c r="T694" i="19"/>
  <c r="S694" i="19"/>
  <c r="G694" i="19"/>
  <c r="A694" i="19"/>
  <c r="U693" i="19"/>
  <c r="T693" i="19"/>
  <c r="S693" i="19"/>
  <c r="G693" i="19"/>
  <c r="A693" i="19"/>
  <c r="U692" i="19"/>
  <c r="T692" i="19"/>
  <c r="S692" i="19"/>
  <c r="G692" i="19"/>
  <c r="A692" i="19"/>
  <c r="U691" i="19"/>
  <c r="T691" i="19"/>
  <c r="S691" i="19"/>
  <c r="G691" i="19"/>
  <c r="A691" i="19"/>
  <c r="U690" i="19"/>
  <c r="T690" i="19"/>
  <c r="S690" i="19"/>
  <c r="G690" i="19"/>
  <c r="A690" i="19"/>
  <c r="U689" i="19"/>
  <c r="T689" i="19"/>
  <c r="S689" i="19"/>
  <c r="G689" i="19"/>
  <c r="A689" i="19"/>
  <c r="U688" i="19"/>
  <c r="T688" i="19"/>
  <c r="S688" i="19"/>
  <c r="G688" i="19"/>
  <c r="A688" i="19"/>
  <c r="U687" i="19"/>
  <c r="T687" i="19"/>
  <c r="S687" i="19"/>
  <c r="G687" i="19"/>
  <c r="A687" i="19"/>
  <c r="U686" i="19"/>
  <c r="T686" i="19"/>
  <c r="S686" i="19"/>
  <c r="G686" i="19"/>
  <c r="A686" i="19"/>
  <c r="U685" i="19"/>
  <c r="T685" i="19"/>
  <c r="S685" i="19"/>
  <c r="G685" i="19"/>
  <c r="A685" i="19"/>
  <c r="U684" i="19"/>
  <c r="T684" i="19"/>
  <c r="S684" i="19"/>
  <c r="G684" i="19"/>
  <c r="A684" i="19"/>
  <c r="U683" i="19"/>
  <c r="T683" i="19"/>
  <c r="S683" i="19"/>
  <c r="G683" i="19"/>
  <c r="A683" i="19"/>
  <c r="U682" i="19"/>
  <c r="T682" i="19"/>
  <c r="S682" i="19"/>
  <c r="G682" i="19"/>
  <c r="A682" i="19"/>
  <c r="U681" i="19"/>
  <c r="T681" i="19"/>
  <c r="S681" i="19"/>
  <c r="G681" i="19"/>
  <c r="A681" i="19"/>
  <c r="U680" i="19"/>
  <c r="T680" i="19"/>
  <c r="S680" i="19"/>
  <c r="G680" i="19"/>
  <c r="A680" i="19"/>
  <c r="U679" i="19"/>
  <c r="T679" i="19"/>
  <c r="S679" i="19"/>
  <c r="G679" i="19"/>
  <c r="A679" i="19"/>
  <c r="U678" i="19"/>
  <c r="T678" i="19"/>
  <c r="S678" i="19"/>
  <c r="G678" i="19"/>
  <c r="A678" i="19"/>
  <c r="U677" i="19"/>
  <c r="T677" i="19"/>
  <c r="S677" i="19"/>
  <c r="G677" i="19"/>
  <c r="A677" i="19"/>
  <c r="U676" i="19"/>
  <c r="T676" i="19"/>
  <c r="S676" i="19"/>
  <c r="G676" i="19"/>
  <c r="A676" i="19"/>
  <c r="U675" i="19"/>
  <c r="T675" i="19"/>
  <c r="S675" i="19"/>
  <c r="G675" i="19"/>
  <c r="A675" i="19"/>
  <c r="U674" i="19"/>
  <c r="T674" i="19"/>
  <c r="S674" i="19"/>
  <c r="G674" i="19"/>
  <c r="A674" i="19"/>
  <c r="U673" i="19"/>
  <c r="T673" i="19"/>
  <c r="S673" i="19"/>
  <c r="G673" i="19"/>
  <c r="A673" i="19"/>
  <c r="U672" i="19"/>
  <c r="T672" i="19"/>
  <c r="S672" i="19"/>
  <c r="G672" i="19"/>
  <c r="A672" i="19"/>
  <c r="U671" i="19"/>
  <c r="T671" i="19"/>
  <c r="S671" i="19"/>
  <c r="G671" i="19"/>
  <c r="A671" i="19"/>
  <c r="U670" i="19"/>
  <c r="T670" i="19"/>
  <c r="S670" i="19"/>
  <c r="G670" i="19"/>
  <c r="A670" i="19"/>
  <c r="U669" i="19"/>
  <c r="T669" i="19"/>
  <c r="S669" i="19"/>
  <c r="G669" i="19"/>
  <c r="A669" i="19"/>
  <c r="U668" i="19"/>
  <c r="T668" i="19"/>
  <c r="S668" i="19"/>
  <c r="G668" i="19"/>
  <c r="A668" i="19"/>
  <c r="U667" i="19"/>
  <c r="T667" i="19"/>
  <c r="S667" i="19"/>
  <c r="G667" i="19"/>
  <c r="A667" i="19"/>
  <c r="U666" i="19"/>
  <c r="T666" i="19"/>
  <c r="S666" i="19"/>
  <c r="G666" i="19"/>
  <c r="A666" i="19"/>
  <c r="U665" i="19"/>
  <c r="T665" i="19"/>
  <c r="S665" i="19"/>
  <c r="G665" i="19"/>
  <c r="A665" i="19"/>
  <c r="U664" i="19"/>
  <c r="T664" i="19"/>
  <c r="S664" i="19"/>
  <c r="G664" i="19"/>
  <c r="A664" i="19"/>
  <c r="U663" i="19"/>
  <c r="T663" i="19"/>
  <c r="S663" i="19"/>
  <c r="G663" i="19"/>
  <c r="A663" i="19"/>
  <c r="U662" i="19"/>
  <c r="T662" i="19"/>
  <c r="S662" i="19"/>
  <c r="G662" i="19"/>
  <c r="A662" i="19"/>
  <c r="U661" i="19"/>
  <c r="T661" i="19"/>
  <c r="S661" i="19"/>
  <c r="G661" i="19"/>
  <c r="A661" i="19"/>
  <c r="U660" i="19"/>
  <c r="T660" i="19"/>
  <c r="S660" i="19"/>
  <c r="G660" i="19"/>
  <c r="A660" i="19"/>
  <c r="U659" i="19"/>
  <c r="T659" i="19"/>
  <c r="S659" i="19"/>
  <c r="G659" i="19"/>
  <c r="A659" i="19"/>
  <c r="U658" i="19"/>
  <c r="T658" i="19"/>
  <c r="S658" i="19"/>
  <c r="G658" i="19"/>
  <c r="A658" i="19"/>
  <c r="U657" i="19"/>
  <c r="T657" i="19"/>
  <c r="S657" i="19"/>
  <c r="G657" i="19"/>
  <c r="A657" i="19"/>
  <c r="U656" i="19"/>
  <c r="T656" i="19"/>
  <c r="S656" i="19"/>
  <c r="G656" i="19"/>
  <c r="A656" i="19"/>
  <c r="U655" i="19"/>
  <c r="T655" i="19"/>
  <c r="S655" i="19"/>
  <c r="G655" i="19"/>
  <c r="A655" i="19"/>
  <c r="U654" i="19"/>
  <c r="T654" i="19"/>
  <c r="S654" i="19"/>
  <c r="G654" i="19"/>
  <c r="A654" i="19"/>
  <c r="U653" i="19"/>
  <c r="T653" i="19"/>
  <c r="S653" i="19"/>
  <c r="G653" i="19"/>
  <c r="A653" i="19"/>
  <c r="U652" i="19"/>
  <c r="T652" i="19"/>
  <c r="S652" i="19"/>
  <c r="G652" i="19"/>
  <c r="A652" i="19"/>
  <c r="U651" i="19"/>
  <c r="T651" i="19"/>
  <c r="S651" i="19"/>
  <c r="G651" i="19"/>
  <c r="A651" i="19"/>
  <c r="U650" i="19"/>
  <c r="T650" i="19"/>
  <c r="S650" i="19"/>
  <c r="G650" i="19"/>
  <c r="A650" i="19"/>
  <c r="U649" i="19"/>
  <c r="T649" i="19"/>
  <c r="S649" i="19"/>
  <c r="G649" i="19"/>
  <c r="A649" i="19"/>
  <c r="U648" i="19"/>
  <c r="T648" i="19"/>
  <c r="S648" i="19"/>
  <c r="G648" i="19"/>
  <c r="A648" i="19"/>
  <c r="U647" i="19"/>
  <c r="T647" i="19"/>
  <c r="S647" i="19"/>
  <c r="G647" i="19"/>
  <c r="A647" i="19"/>
  <c r="U646" i="19"/>
  <c r="T646" i="19"/>
  <c r="S646" i="19"/>
  <c r="G646" i="19"/>
  <c r="A646" i="19"/>
  <c r="U645" i="19"/>
  <c r="T645" i="19"/>
  <c r="S645" i="19"/>
  <c r="G645" i="19"/>
  <c r="A645" i="19"/>
  <c r="U644" i="19"/>
  <c r="T644" i="19"/>
  <c r="S644" i="19"/>
  <c r="G644" i="19"/>
  <c r="A644" i="19"/>
  <c r="U643" i="19"/>
  <c r="T643" i="19"/>
  <c r="S643" i="19"/>
  <c r="G643" i="19"/>
  <c r="A643" i="19"/>
  <c r="U642" i="19"/>
  <c r="T642" i="19"/>
  <c r="S642" i="19"/>
  <c r="G642" i="19"/>
  <c r="A642" i="19"/>
  <c r="U641" i="19"/>
  <c r="T641" i="19"/>
  <c r="S641" i="19"/>
  <c r="G641" i="19"/>
  <c r="A641" i="19"/>
  <c r="U640" i="19"/>
  <c r="T640" i="19"/>
  <c r="S640" i="19"/>
  <c r="G640" i="19"/>
  <c r="A640" i="19"/>
  <c r="U639" i="19"/>
  <c r="T639" i="19"/>
  <c r="S639" i="19"/>
  <c r="G639" i="19"/>
  <c r="A639" i="19"/>
  <c r="U638" i="19"/>
  <c r="T638" i="19"/>
  <c r="S638" i="19"/>
  <c r="G638" i="19"/>
  <c r="A638" i="19"/>
  <c r="U637" i="19"/>
  <c r="T637" i="19"/>
  <c r="S637" i="19"/>
  <c r="G637" i="19"/>
  <c r="A637" i="19"/>
  <c r="U636" i="19"/>
  <c r="T636" i="19"/>
  <c r="S636" i="19"/>
  <c r="G636" i="19"/>
  <c r="A636" i="19"/>
  <c r="U635" i="19"/>
  <c r="T635" i="19"/>
  <c r="S635" i="19"/>
  <c r="G635" i="19"/>
  <c r="A635" i="19"/>
  <c r="U634" i="19"/>
  <c r="T634" i="19"/>
  <c r="S634" i="19"/>
  <c r="G634" i="19"/>
  <c r="A634" i="19"/>
  <c r="U633" i="19"/>
  <c r="T633" i="19"/>
  <c r="S633" i="19"/>
  <c r="G633" i="19"/>
  <c r="A633" i="19"/>
  <c r="U632" i="19"/>
  <c r="T632" i="19"/>
  <c r="S632" i="19"/>
  <c r="G632" i="19"/>
  <c r="A632" i="19"/>
  <c r="U631" i="19"/>
  <c r="T631" i="19"/>
  <c r="S631" i="19"/>
  <c r="G631" i="19"/>
  <c r="A631" i="19"/>
  <c r="U630" i="19"/>
  <c r="T630" i="19"/>
  <c r="S630" i="19"/>
  <c r="G630" i="19"/>
  <c r="A630" i="19"/>
  <c r="U629" i="19"/>
  <c r="T629" i="19"/>
  <c r="S629" i="19"/>
  <c r="G629" i="19"/>
  <c r="A629" i="19"/>
  <c r="U628" i="19"/>
  <c r="T628" i="19"/>
  <c r="S628" i="19"/>
  <c r="G628" i="19"/>
  <c r="A628" i="19"/>
  <c r="U627" i="19"/>
  <c r="T627" i="19"/>
  <c r="S627" i="19"/>
  <c r="G627" i="19"/>
  <c r="A627" i="19"/>
  <c r="U626" i="19"/>
  <c r="T626" i="19"/>
  <c r="S626" i="19"/>
  <c r="G626" i="19"/>
  <c r="A626" i="19"/>
  <c r="U625" i="19"/>
  <c r="T625" i="19"/>
  <c r="S625" i="19"/>
  <c r="G625" i="19"/>
  <c r="A625" i="19"/>
  <c r="U624" i="19"/>
  <c r="T624" i="19"/>
  <c r="S624" i="19"/>
  <c r="G624" i="19"/>
  <c r="A624" i="19"/>
  <c r="U623" i="19"/>
  <c r="T623" i="19"/>
  <c r="S623" i="19"/>
  <c r="G623" i="19"/>
  <c r="A623" i="19"/>
  <c r="U622" i="19"/>
  <c r="T622" i="19"/>
  <c r="S622" i="19"/>
  <c r="G622" i="19"/>
  <c r="A622" i="19"/>
  <c r="U621" i="19"/>
  <c r="T621" i="19"/>
  <c r="S621" i="19"/>
  <c r="G621" i="19"/>
  <c r="A621" i="19"/>
  <c r="U620" i="19"/>
  <c r="T620" i="19"/>
  <c r="S620" i="19"/>
  <c r="G620" i="19"/>
  <c r="A620" i="19"/>
  <c r="U619" i="19"/>
  <c r="T619" i="19"/>
  <c r="S619" i="19"/>
  <c r="G619" i="19"/>
  <c r="A619" i="19"/>
  <c r="U618" i="19"/>
  <c r="T618" i="19"/>
  <c r="S618" i="19"/>
  <c r="G618" i="19"/>
  <c r="A618" i="19"/>
  <c r="U617" i="19"/>
  <c r="T617" i="19"/>
  <c r="S617" i="19"/>
  <c r="G617" i="19"/>
  <c r="A617" i="19"/>
  <c r="U616" i="19"/>
  <c r="T616" i="19"/>
  <c r="S616" i="19"/>
  <c r="G616" i="19"/>
  <c r="A616" i="19"/>
  <c r="U615" i="19"/>
  <c r="T615" i="19"/>
  <c r="S615" i="19"/>
  <c r="G615" i="19"/>
  <c r="A615" i="19"/>
  <c r="U614" i="19"/>
  <c r="T614" i="19"/>
  <c r="S614" i="19"/>
  <c r="G614" i="19"/>
  <c r="A614" i="19"/>
  <c r="U613" i="19"/>
  <c r="T613" i="19"/>
  <c r="S613" i="19"/>
  <c r="G613" i="19"/>
  <c r="A613" i="19"/>
  <c r="U612" i="19"/>
  <c r="T612" i="19"/>
  <c r="S612" i="19"/>
  <c r="G612" i="19"/>
  <c r="A612" i="19"/>
  <c r="U611" i="19"/>
  <c r="T611" i="19"/>
  <c r="S611" i="19"/>
  <c r="G611" i="19"/>
  <c r="A611" i="19"/>
  <c r="U610" i="19"/>
  <c r="T610" i="19"/>
  <c r="S610" i="19"/>
  <c r="G610" i="19"/>
  <c r="A610" i="19"/>
  <c r="U609" i="19"/>
  <c r="T609" i="19"/>
  <c r="S609" i="19"/>
  <c r="G609" i="19"/>
  <c r="A609" i="19"/>
  <c r="U608" i="19"/>
  <c r="T608" i="19"/>
  <c r="S608" i="19"/>
  <c r="G608" i="19"/>
  <c r="A608" i="19"/>
  <c r="U607" i="19"/>
  <c r="T607" i="19"/>
  <c r="S607" i="19"/>
  <c r="G607" i="19"/>
  <c r="A607" i="19"/>
  <c r="U606" i="19"/>
  <c r="T606" i="19"/>
  <c r="S606" i="19"/>
  <c r="G606" i="19"/>
  <c r="A606" i="19"/>
  <c r="U605" i="19"/>
  <c r="T605" i="19"/>
  <c r="S605" i="19"/>
  <c r="G605" i="19"/>
  <c r="A605" i="19"/>
  <c r="U604" i="19"/>
  <c r="T604" i="19"/>
  <c r="S604" i="19"/>
  <c r="G604" i="19"/>
  <c r="A604" i="19"/>
  <c r="U603" i="19"/>
  <c r="T603" i="19"/>
  <c r="S603" i="19"/>
  <c r="G603" i="19"/>
  <c r="A603" i="19"/>
  <c r="U602" i="19"/>
  <c r="T602" i="19"/>
  <c r="S602" i="19"/>
  <c r="G602" i="19"/>
  <c r="A602" i="19"/>
  <c r="U601" i="19"/>
  <c r="T601" i="19"/>
  <c r="S601" i="19"/>
  <c r="G601" i="19"/>
  <c r="A601" i="19"/>
  <c r="U600" i="19"/>
  <c r="T600" i="19"/>
  <c r="S600" i="19"/>
  <c r="G600" i="19"/>
  <c r="A600" i="19"/>
  <c r="U599" i="19"/>
  <c r="T599" i="19"/>
  <c r="S599" i="19"/>
  <c r="G599" i="19"/>
  <c r="A599" i="19"/>
  <c r="U598" i="19"/>
  <c r="T598" i="19"/>
  <c r="S598" i="19"/>
  <c r="G598" i="19"/>
  <c r="A598" i="19"/>
  <c r="U597" i="19"/>
  <c r="T597" i="19"/>
  <c r="S597" i="19"/>
  <c r="G597" i="19"/>
  <c r="A597" i="19"/>
  <c r="U596" i="19"/>
  <c r="T596" i="19"/>
  <c r="S596" i="19"/>
  <c r="G596" i="19"/>
  <c r="A596" i="19"/>
  <c r="U595" i="19"/>
  <c r="T595" i="19"/>
  <c r="S595" i="19"/>
  <c r="G595" i="19"/>
  <c r="A595" i="19"/>
  <c r="U594" i="19"/>
  <c r="T594" i="19"/>
  <c r="S594" i="19"/>
  <c r="G594" i="19"/>
  <c r="A594" i="19"/>
  <c r="U593" i="19"/>
  <c r="T593" i="19"/>
  <c r="S593" i="19"/>
  <c r="G593" i="19"/>
  <c r="A593" i="19"/>
  <c r="U592" i="19"/>
  <c r="T592" i="19"/>
  <c r="S592" i="19"/>
  <c r="G592" i="19"/>
  <c r="A592" i="19"/>
  <c r="U591" i="19"/>
  <c r="T591" i="19"/>
  <c r="S591" i="19"/>
  <c r="G591" i="19"/>
  <c r="A591" i="19"/>
  <c r="U590" i="19"/>
  <c r="T590" i="19"/>
  <c r="S590" i="19"/>
  <c r="G590" i="19"/>
  <c r="A590" i="19"/>
  <c r="U589" i="19"/>
  <c r="T589" i="19"/>
  <c r="S589" i="19"/>
  <c r="G589" i="19"/>
  <c r="A589" i="19"/>
  <c r="U588" i="19"/>
  <c r="T588" i="19"/>
  <c r="S588" i="19"/>
  <c r="G588" i="19"/>
  <c r="A588" i="19"/>
  <c r="U587" i="19"/>
  <c r="T587" i="19"/>
  <c r="S587" i="19"/>
  <c r="G587" i="19"/>
  <c r="A587" i="19"/>
  <c r="U586" i="19"/>
  <c r="T586" i="19"/>
  <c r="S586" i="19"/>
  <c r="G586" i="19"/>
  <c r="A586" i="19"/>
  <c r="U585" i="19"/>
  <c r="T585" i="19"/>
  <c r="S585" i="19"/>
  <c r="G585" i="19"/>
  <c r="A585" i="19"/>
  <c r="U584" i="19"/>
  <c r="T584" i="19"/>
  <c r="S584" i="19"/>
  <c r="G584" i="19"/>
  <c r="A584" i="19"/>
  <c r="U583" i="19"/>
  <c r="T583" i="19"/>
  <c r="S583" i="19"/>
  <c r="G583" i="19"/>
  <c r="A583" i="19"/>
  <c r="U582" i="19"/>
  <c r="T582" i="19"/>
  <c r="S582" i="19"/>
  <c r="G582" i="19"/>
  <c r="A582" i="19"/>
  <c r="U581" i="19"/>
  <c r="T581" i="19"/>
  <c r="S581" i="19"/>
  <c r="G581" i="19"/>
  <c r="A581" i="19"/>
  <c r="U580" i="19"/>
  <c r="T580" i="19"/>
  <c r="S580" i="19"/>
  <c r="G580" i="19"/>
  <c r="A580" i="19"/>
  <c r="U579" i="19"/>
  <c r="T579" i="19"/>
  <c r="S579" i="19"/>
  <c r="G579" i="19"/>
  <c r="A579" i="19"/>
  <c r="U578" i="19"/>
  <c r="T578" i="19"/>
  <c r="S578" i="19"/>
  <c r="G578" i="19"/>
  <c r="A578" i="19"/>
  <c r="U577" i="19"/>
  <c r="T577" i="19"/>
  <c r="S577" i="19"/>
  <c r="G577" i="19"/>
  <c r="A577" i="19"/>
  <c r="U576" i="19"/>
  <c r="T576" i="19"/>
  <c r="S576" i="19"/>
  <c r="G576" i="19"/>
  <c r="A576" i="19"/>
  <c r="U575" i="19"/>
  <c r="T575" i="19"/>
  <c r="S575" i="19"/>
  <c r="G575" i="19"/>
  <c r="A575" i="19"/>
  <c r="U574" i="19"/>
  <c r="T574" i="19"/>
  <c r="S574" i="19"/>
  <c r="G574" i="19"/>
  <c r="A574" i="19"/>
  <c r="U573" i="19"/>
  <c r="T573" i="19"/>
  <c r="S573" i="19"/>
  <c r="G573" i="19"/>
  <c r="A573" i="19"/>
  <c r="U572" i="19"/>
  <c r="T572" i="19"/>
  <c r="S572" i="19"/>
  <c r="G572" i="19"/>
  <c r="A572" i="19"/>
  <c r="U571" i="19"/>
  <c r="T571" i="19"/>
  <c r="S571" i="19"/>
  <c r="G571" i="19"/>
  <c r="A571" i="19"/>
  <c r="U570" i="19"/>
  <c r="T570" i="19"/>
  <c r="S570" i="19"/>
  <c r="G570" i="19"/>
  <c r="A570" i="19"/>
  <c r="U569" i="19"/>
  <c r="T569" i="19"/>
  <c r="S569" i="19"/>
  <c r="G569" i="19"/>
  <c r="A569" i="19"/>
  <c r="U568" i="19"/>
  <c r="T568" i="19"/>
  <c r="S568" i="19"/>
  <c r="G568" i="19"/>
  <c r="A568" i="19"/>
  <c r="U567" i="19"/>
  <c r="T567" i="19"/>
  <c r="S567" i="19"/>
  <c r="G567" i="19"/>
  <c r="A567" i="19"/>
  <c r="U566" i="19"/>
  <c r="T566" i="19"/>
  <c r="S566" i="19"/>
  <c r="G566" i="19"/>
  <c r="A566" i="19"/>
  <c r="U565" i="19"/>
  <c r="T565" i="19"/>
  <c r="S565" i="19"/>
  <c r="G565" i="19"/>
  <c r="A565" i="19"/>
  <c r="U564" i="19"/>
  <c r="T564" i="19"/>
  <c r="S564" i="19"/>
  <c r="G564" i="19"/>
  <c r="A564" i="19"/>
  <c r="U563" i="19"/>
  <c r="T563" i="19"/>
  <c r="S563" i="19"/>
  <c r="G563" i="19"/>
  <c r="A563" i="19"/>
  <c r="U562" i="19"/>
  <c r="T562" i="19"/>
  <c r="S562" i="19"/>
  <c r="G562" i="19"/>
  <c r="A562" i="19"/>
  <c r="U561" i="19"/>
  <c r="T561" i="19"/>
  <c r="S561" i="19"/>
  <c r="G561" i="19"/>
  <c r="A561" i="19"/>
  <c r="U560" i="19"/>
  <c r="T560" i="19"/>
  <c r="S560" i="19"/>
  <c r="G560" i="19"/>
  <c r="A560" i="19"/>
  <c r="U559" i="19"/>
  <c r="T559" i="19"/>
  <c r="S559" i="19"/>
  <c r="G559" i="19"/>
  <c r="A559" i="19"/>
  <c r="U558" i="19"/>
  <c r="T558" i="19"/>
  <c r="S558" i="19"/>
  <c r="G558" i="19"/>
  <c r="A558" i="19"/>
  <c r="U557" i="19"/>
  <c r="T557" i="19"/>
  <c r="S557" i="19"/>
  <c r="G557" i="19"/>
  <c r="A557" i="19"/>
  <c r="U556" i="19"/>
  <c r="T556" i="19"/>
  <c r="S556" i="19"/>
  <c r="G556" i="19"/>
  <c r="A556" i="19"/>
  <c r="U555" i="19"/>
  <c r="T555" i="19"/>
  <c r="S555" i="19"/>
  <c r="G555" i="19"/>
  <c r="A555" i="19"/>
  <c r="U554" i="19"/>
  <c r="T554" i="19"/>
  <c r="S554" i="19"/>
  <c r="G554" i="19"/>
  <c r="A554" i="19"/>
  <c r="U553" i="19"/>
  <c r="T553" i="19"/>
  <c r="S553" i="19"/>
  <c r="G553" i="19"/>
  <c r="A553" i="19"/>
  <c r="U552" i="19"/>
  <c r="T552" i="19"/>
  <c r="S552" i="19"/>
  <c r="G552" i="19"/>
  <c r="A552" i="19"/>
  <c r="U551" i="19"/>
  <c r="T551" i="19"/>
  <c r="S551" i="19"/>
  <c r="G551" i="19"/>
  <c r="A551" i="19"/>
  <c r="U550" i="19"/>
  <c r="T550" i="19"/>
  <c r="S550" i="19"/>
  <c r="G550" i="19"/>
  <c r="A550" i="19"/>
  <c r="U549" i="19"/>
  <c r="T549" i="19"/>
  <c r="S549" i="19"/>
  <c r="G549" i="19"/>
  <c r="A549" i="19"/>
  <c r="U548" i="19"/>
  <c r="T548" i="19"/>
  <c r="S548" i="19"/>
  <c r="G548" i="19"/>
  <c r="A548" i="19"/>
  <c r="U547" i="19"/>
  <c r="T547" i="19"/>
  <c r="S547" i="19"/>
  <c r="G547" i="19"/>
  <c r="A547" i="19"/>
  <c r="U546" i="19"/>
  <c r="T546" i="19"/>
  <c r="S546" i="19"/>
  <c r="G546" i="19"/>
  <c r="A546" i="19"/>
  <c r="U545" i="19"/>
  <c r="T545" i="19"/>
  <c r="S545" i="19"/>
  <c r="G545" i="19"/>
  <c r="A545" i="19"/>
  <c r="U544" i="19"/>
  <c r="T544" i="19"/>
  <c r="S544" i="19"/>
  <c r="G544" i="19"/>
  <c r="A544" i="19"/>
  <c r="U543" i="19"/>
  <c r="T543" i="19"/>
  <c r="S543" i="19"/>
  <c r="G543" i="19"/>
  <c r="A543" i="19"/>
  <c r="U542" i="19"/>
  <c r="T542" i="19"/>
  <c r="S542" i="19"/>
  <c r="G542" i="19"/>
  <c r="A542" i="19"/>
  <c r="U541" i="19"/>
  <c r="T541" i="19"/>
  <c r="S541" i="19"/>
  <c r="G541" i="19"/>
  <c r="A541" i="19"/>
  <c r="U540" i="19"/>
  <c r="T540" i="19"/>
  <c r="S540" i="19"/>
  <c r="G540" i="19"/>
  <c r="A540" i="19"/>
  <c r="U539" i="19"/>
  <c r="T539" i="19"/>
  <c r="S539" i="19"/>
  <c r="G539" i="19"/>
  <c r="A539" i="19"/>
  <c r="U538" i="19"/>
  <c r="T538" i="19"/>
  <c r="S538" i="19"/>
  <c r="G538" i="19"/>
  <c r="A538" i="19"/>
  <c r="U537" i="19"/>
  <c r="T537" i="19"/>
  <c r="S537" i="19"/>
  <c r="G537" i="19"/>
  <c r="A537" i="19"/>
  <c r="U536" i="19"/>
  <c r="T536" i="19"/>
  <c r="S536" i="19"/>
  <c r="G536" i="19"/>
  <c r="A536" i="19"/>
  <c r="U535" i="19"/>
  <c r="T535" i="19"/>
  <c r="S535" i="19"/>
  <c r="G535" i="19"/>
  <c r="A535" i="19"/>
  <c r="U534" i="19"/>
  <c r="T534" i="19"/>
  <c r="S534" i="19"/>
  <c r="G534" i="19"/>
  <c r="A534" i="19"/>
  <c r="U533" i="19"/>
  <c r="T533" i="19"/>
  <c r="S533" i="19"/>
  <c r="G533" i="19"/>
  <c r="A533" i="19"/>
  <c r="U532" i="19"/>
  <c r="T532" i="19"/>
  <c r="S532" i="19"/>
  <c r="G532" i="19"/>
  <c r="A532" i="19"/>
  <c r="U531" i="19"/>
  <c r="T531" i="19"/>
  <c r="S531" i="19"/>
  <c r="G531" i="19"/>
  <c r="A531" i="19"/>
  <c r="U530" i="19"/>
  <c r="T530" i="19"/>
  <c r="S530" i="19"/>
  <c r="G530" i="19"/>
  <c r="A530" i="19"/>
  <c r="U529" i="19"/>
  <c r="T529" i="19"/>
  <c r="S529" i="19"/>
  <c r="G529" i="19"/>
  <c r="A529" i="19"/>
  <c r="U528" i="19"/>
  <c r="T528" i="19"/>
  <c r="S528" i="19"/>
  <c r="G528" i="19"/>
  <c r="A528" i="19"/>
  <c r="U527" i="19"/>
  <c r="T527" i="19"/>
  <c r="S527" i="19"/>
  <c r="G527" i="19"/>
  <c r="A527" i="19"/>
  <c r="U526" i="19"/>
  <c r="T526" i="19"/>
  <c r="S526" i="19"/>
  <c r="G526" i="19"/>
  <c r="A526" i="19"/>
  <c r="U525" i="19"/>
  <c r="T525" i="19"/>
  <c r="S525" i="19"/>
  <c r="G525" i="19"/>
  <c r="A525" i="19"/>
  <c r="U524" i="19"/>
  <c r="T524" i="19"/>
  <c r="S524" i="19"/>
  <c r="G524" i="19"/>
  <c r="A524" i="19"/>
  <c r="U523" i="19"/>
  <c r="T523" i="19"/>
  <c r="S523" i="19"/>
  <c r="G523" i="19"/>
  <c r="A523" i="19"/>
  <c r="U522" i="19"/>
  <c r="T522" i="19"/>
  <c r="S522" i="19"/>
  <c r="G522" i="19"/>
  <c r="A522" i="19"/>
  <c r="U521" i="19"/>
  <c r="T521" i="19"/>
  <c r="S521" i="19"/>
  <c r="G521" i="19"/>
  <c r="A521" i="19"/>
  <c r="U520" i="19"/>
  <c r="T520" i="19"/>
  <c r="S520" i="19"/>
  <c r="G520" i="19"/>
  <c r="A520" i="19"/>
  <c r="U519" i="19"/>
  <c r="T519" i="19"/>
  <c r="S519" i="19"/>
  <c r="G519" i="19"/>
  <c r="A519" i="19"/>
  <c r="U518" i="19"/>
  <c r="T518" i="19"/>
  <c r="S518" i="19"/>
  <c r="G518" i="19"/>
  <c r="A518" i="19"/>
  <c r="U517" i="19"/>
  <c r="T517" i="19"/>
  <c r="S517" i="19"/>
  <c r="G517" i="19"/>
  <c r="A517" i="19"/>
  <c r="U516" i="19"/>
  <c r="T516" i="19"/>
  <c r="S516" i="19"/>
  <c r="G516" i="19"/>
  <c r="A516" i="19"/>
  <c r="U515" i="19"/>
  <c r="T515" i="19"/>
  <c r="S515" i="19"/>
  <c r="G515" i="19"/>
  <c r="A515" i="19"/>
  <c r="U514" i="19"/>
  <c r="T514" i="19"/>
  <c r="S514" i="19"/>
  <c r="G514" i="19"/>
  <c r="A514" i="19"/>
  <c r="U513" i="19"/>
  <c r="T513" i="19"/>
  <c r="S513" i="19"/>
  <c r="G513" i="19"/>
  <c r="A513" i="19"/>
  <c r="U512" i="19"/>
  <c r="T512" i="19"/>
  <c r="S512" i="19"/>
  <c r="G512" i="19"/>
  <c r="A512" i="19"/>
  <c r="U511" i="19"/>
  <c r="T511" i="19"/>
  <c r="S511" i="19"/>
  <c r="G511" i="19"/>
  <c r="A511" i="19"/>
  <c r="U510" i="19"/>
  <c r="T510" i="19"/>
  <c r="S510" i="19"/>
  <c r="G510" i="19"/>
  <c r="A510" i="19"/>
  <c r="U509" i="19"/>
  <c r="T509" i="19"/>
  <c r="S509" i="19"/>
  <c r="G509" i="19"/>
  <c r="A509" i="19"/>
  <c r="U508" i="19"/>
  <c r="T508" i="19"/>
  <c r="S508" i="19"/>
  <c r="G508" i="19"/>
  <c r="A508" i="19"/>
  <c r="U507" i="19"/>
  <c r="T507" i="19"/>
  <c r="S507" i="19"/>
  <c r="G507" i="19"/>
  <c r="A507" i="19"/>
  <c r="U506" i="19"/>
  <c r="T506" i="19"/>
  <c r="S506" i="19"/>
  <c r="G506" i="19"/>
  <c r="A506" i="19"/>
  <c r="U505" i="19"/>
  <c r="T505" i="19"/>
  <c r="S505" i="19"/>
  <c r="G505" i="19"/>
  <c r="A505" i="19"/>
  <c r="U504" i="19"/>
  <c r="T504" i="19"/>
  <c r="S504" i="19"/>
  <c r="G504" i="19"/>
  <c r="A504" i="19"/>
  <c r="U503" i="19"/>
  <c r="T503" i="19"/>
  <c r="S503" i="19"/>
  <c r="G503" i="19"/>
  <c r="A503" i="19"/>
  <c r="U502" i="19"/>
  <c r="T502" i="19"/>
  <c r="S502" i="19"/>
  <c r="G502" i="19"/>
  <c r="A502" i="19"/>
  <c r="U501" i="19"/>
  <c r="T501" i="19"/>
  <c r="S501" i="19"/>
  <c r="G501" i="19"/>
  <c r="A501" i="19"/>
  <c r="U500" i="19"/>
  <c r="T500" i="19"/>
  <c r="S500" i="19"/>
  <c r="G500" i="19"/>
  <c r="A500" i="19"/>
  <c r="U499" i="19"/>
  <c r="T499" i="19"/>
  <c r="S499" i="19"/>
  <c r="G499" i="19"/>
  <c r="A499" i="19"/>
  <c r="U498" i="19"/>
  <c r="T498" i="19"/>
  <c r="S498" i="19"/>
  <c r="G498" i="19"/>
  <c r="A498" i="19"/>
  <c r="U497" i="19"/>
  <c r="T497" i="19"/>
  <c r="S497" i="19"/>
  <c r="G497" i="19"/>
  <c r="A497" i="19"/>
  <c r="U496" i="19"/>
  <c r="T496" i="19"/>
  <c r="S496" i="19"/>
  <c r="G496" i="19"/>
  <c r="A496" i="19"/>
  <c r="U495" i="19"/>
  <c r="T495" i="19"/>
  <c r="S495" i="19"/>
  <c r="G495" i="19"/>
  <c r="A495" i="19"/>
  <c r="U494" i="19"/>
  <c r="T494" i="19"/>
  <c r="S494" i="19"/>
  <c r="G494" i="19"/>
  <c r="A494" i="19"/>
  <c r="U493" i="19"/>
  <c r="T493" i="19"/>
  <c r="S493" i="19"/>
  <c r="G493" i="19"/>
  <c r="A493" i="19"/>
  <c r="U492" i="19"/>
  <c r="T492" i="19"/>
  <c r="S492" i="19"/>
  <c r="G492" i="19"/>
  <c r="A492" i="19"/>
  <c r="U491" i="19"/>
  <c r="T491" i="19"/>
  <c r="S491" i="19"/>
  <c r="G491" i="19"/>
  <c r="A491" i="19"/>
  <c r="U490" i="19"/>
  <c r="T490" i="19"/>
  <c r="S490" i="19"/>
  <c r="G490" i="19"/>
  <c r="A490" i="19"/>
  <c r="U489" i="19"/>
  <c r="T489" i="19"/>
  <c r="S489" i="19"/>
  <c r="G489" i="19"/>
  <c r="A489" i="19"/>
  <c r="U488" i="19"/>
  <c r="T488" i="19"/>
  <c r="S488" i="19"/>
  <c r="G488" i="19"/>
  <c r="A488" i="19"/>
  <c r="U487" i="19"/>
  <c r="T487" i="19"/>
  <c r="S487" i="19"/>
  <c r="G487" i="19"/>
  <c r="A487" i="19"/>
  <c r="U486" i="19"/>
  <c r="T486" i="19"/>
  <c r="S486" i="19"/>
  <c r="G486" i="19"/>
  <c r="A486" i="19"/>
  <c r="U485" i="19"/>
  <c r="T485" i="19"/>
  <c r="S485" i="19"/>
  <c r="G485" i="19"/>
  <c r="A485" i="19"/>
  <c r="U484" i="19"/>
  <c r="T484" i="19"/>
  <c r="S484" i="19"/>
  <c r="G484" i="19"/>
  <c r="A484" i="19"/>
  <c r="U483" i="19"/>
  <c r="T483" i="19"/>
  <c r="S483" i="19"/>
  <c r="G483" i="19"/>
  <c r="A483" i="19"/>
  <c r="U482" i="19"/>
  <c r="T482" i="19"/>
  <c r="S482" i="19"/>
  <c r="G482" i="19"/>
  <c r="A482" i="19"/>
  <c r="U481" i="19"/>
  <c r="T481" i="19"/>
  <c r="S481" i="19"/>
  <c r="G481" i="19"/>
  <c r="A481" i="19"/>
  <c r="U480" i="19"/>
  <c r="T480" i="19"/>
  <c r="S480" i="19"/>
  <c r="G480" i="19"/>
  <c r="A480" i="19"/>
  <c r="U479" i="19"/>
  <c r="T479" i="19"/>
  <c r="S479" i="19"/>
  <c r="G479" i="19"/>
  <c r="A479" i="19"/>
  <c r="U478" i="19"/>
  <c r="T478" i="19"/>
  <c r="S478" i="19"/>
  <c r="G478" i="19"/>
  <c r="A478" i="19"/>
  <c r="U477" i="19"/>
  <c r="T477" i="19"/>
  <c r="S477" i="19"/>
  <c r="G477" i="19"/>
  <c r="A477" i="19"/>
  <c r="U476" i="19"/>
  <c r="T476" i="19"/>
  <c r="S476" i="19"/>
  <c r="G476" i="19"/>
  <c r="A476" i="19"/>
  <c r="U475" i="19"/>
  <c r="T475" i="19"/>
  <c r="S475" i="19"/>
  <c r="G475" i="19"/>
  <c r="A475" i="19"/>
  <c r="U474" i="19"/>
  <c r="T474" i="19"/>
  <c r="S474" i="19"/>
  <c r="G474" i="19"/>
  <c r="A474" i="19"/>
  <c r="U473" i="19"/>
  <c r="T473" i="19"/>
  <c r="S473" i="19"/>
  <c r="G473" i="19"/>
  <c r="A473" i="19"/>
  <c r="U472" i="19"/>
  <c r="T472" i="19"/>
  <c r="S472" i="19"/>
  <c r="G472" i="19"/>
  <c r="A472" i="19"/>
  <c r="U471" i="19"/>
  <c r="T471" i="19"/>
  <c r="S471" i="19"/>
  <c r="G471" i="19"/>
  <c r="A471" i="19"/>
  <c r="U470" i="19"/>
  <c r="T470" i="19"/>
  <c r="S470" i="19"/>
  <c r="G470" i="19"/>
  <c r="A470" i="19"/>
  <c r="U469" i="19"/>
  <c r="T469" i="19"/>
  <c r="S469" i="19"/>
  <c r="G469" i="19"/>
  <c r="A469" i="19"/>
  <c r="U468" i="19"/>
  <c r="T468" i="19"/>
  <c r="S468" i="19"/>
  <c r="G468" i="19"/>
  <c r="A468" i="19"/>
  <c r="U467" i="19"/>
  <c r="T467" i="19"/>
  <c r="S467" i="19"/>
  <c r="G467" i="19"/>
  <c r="A467" i="19"/>
  <c r="U466" i="19"/>
  <c r="T466" i="19"/>
  <c r="S466" i="19"/>
  <c r="G466" i="19"/>
  <c r="A466" i="19"/>
  <c r="U465" i="19"/>
  <c r="T465" i="19"/>
  <c r="S465" i="19"/>
  <c r="G465" i="19"/>
  <c r="A465" i="19"/>
  <c r="U464" i="19"/>
  <c r="T464" i="19"/>
  <c r="S464" i="19"/>
  <c r="G464" i="19"/>
  <c r="A464" i="19"/>
  <c r="U463" i="19"/>
  <c r="T463" i="19"/>
  <c r="S463" i="19"/>
  <c r="G463" i="19"/>
  <c r="A463" i="19"/>
  <c r="U462" i="19"/>
  <c r="T462" i="19"/>
  <c r="S462" i="19"/>
  <c r="G462" i="19"/>
  <c r="A462" i="19"/>
  <c r="U461" i="19"/>
  <c r="T461" i="19"/>
  <c r="S461" i="19"/>
  <c r="G461" i="19"/>
  <c r="A461" i="19"/>
  <c r="U460" i="19"/>
  <c r="T460" i="19"/>
  <c r="S460" i="19"/>
  <c r="G460" i="19"/>
  <c r="A460" i="19"/>
  <c r="U459" i="19"/>
  <c r="T459" i="19"/>
  <c r="S459" i="19"/>
  <c r="G459" i="19"/>
  <c r="A459" i="19"/>
  <c r="U458" i="19"/>
  <c r="T458" i="19"/>
  <c r="S458" i="19"/>
  <c r="G458" i="19"/>
  <c r="A458" i="19"/>
  <c r="U457" i="19"/>
  <c r="T457" i="19"/>
  <c r="S457" i="19"/>
  <c r="G457" i="19"/>
  <c r="A457" i="19"/>
  <c r="U456" i="19"/>
  <c r="T456" i="19"/>
  <c r="S456" i="19"/>
  <c r="G456" i="19"/>
  <c r="A456" i="19"/>
  <c r="U455" i="19"/>
  <c r="T455" i="19"/>
  <c r="S455" i="19"/>
  <c r="G455" i="19"/>
  <c r="A455" i="19"/>
  <c r="U454" i="19"/>
  <c r="T454" i="19"/>
  <c r="S454" i="19"/>
  <c r="G454" i="19"/>
  <c r="A454" i="19"/>
  <c r="U453" i="19"/>
  <c r="T453" i="19"/>
  <c r="S453" i="19"/>
  <c r="G453" i="19"/>
  <c r="A453" i="19"/>
  <c r="U452" i="19"/>
  <c r="T452" i="19"/>
  <c r="S452" i="19"/>
  <c r="G452" i="19"/>
  <c r="A452" i="19"/>
  <c r="U451" i="19"/>
  <c r="T451" i="19"/>
  <c r="S451" i="19"/>
  <c r="G451" i="19"/>
  <c r="A451" i="19"/>
  <c r="U450" i="19"/>
  <c r="T450" i="19"/>
  <c r="S450" i="19"/>
  <c r="G450" i="19"/>
  <c r="A450" i="19"/>
  <c r="U449" i="19"/>
  <c r="T449" i="19"/>
  <c r="S449" i="19"/>
  <c r="G449" i="19"/>
  <c r="A449" i="19"/>
  <c r="U448" i="19"/>
  <c r="T448" i="19"/>
  <c r="S448" i="19"/>
  <c r="G448" i="19"/>
  <c r="A448" i="19"/>
  <c r="U447" i="19"/>
  <c r="T447" i="19"/>
  <c r="S447" i="19"/>
  <c r="G447" i="19"/>
  <c r="A447" i="19"/>
  <c r="U446" i="19"/>
  <c r="T446" i="19"/>
  <c r="S446" i="19"/>
  <c r="G446" i="19"/>
  <c r="A446" i="19"/>
  <c r="U445" i="19"/>
  <c r="T445" i="19"/>
  <c r="S445" i="19"/>
  <c r="G445" i="19"/>
  <c r="A445" i="19"/>
  <c r="U444" i="19"/>
  <c r="T444" i="19"/>
  <c r="S444" i="19"/>
  <c r="G444" i="19"/>
  <c r="A444" i="19"/>
  <c r="U443" i="19"/>
  <c r="T443" i="19"/>
  <c r="S443" i="19"/>
  <c r="G443" i="19"/>
  <c r="A443" i="19"/>
  <c r="U442" i="19"/>
  <c r="T442" i="19"/>
  <c r="S442" i="19"/>
  <c r="G442" i="19"/>
  <c r="A442" i="19"/>
  <c r="U441" i="19"/>
  <c r="T441" i="19"/>
  <c r="S441" i="19"/>
  <c r="G441" i="19"/>
  <c r="A441" i="19"/>
  <c r="U440" i="19"/>
  <c r="T440" i="19"/>
  <c r="S440" i="19"/>
  <c r="G440" i="19"/>
  <c r="A440" i="19"/>
  <c r="U439" i="19"/>
  <c r="T439" i="19"/>
  <c r="S439" i="19"/>
  <c r="G439" i="19"/>
  <c r="A439" i="19"/>
  <c r="U438" i="19"/>
  <c r="T438" i="19"/>
  <c r="S438" i="19"/>
  <c r="G438" i="19"/>
  <c r="A438" i="19"/>
  <c r="U437" i="19"/>
  <c r="T437" i="19"/>
  <c r="S437" i="19"/>
  <c r="G437" i="19"/>
  <c r="A437" i="19"/>
  <c r="U436" i="19"/>
  <c r="T436" i="19"/>
  <c r="S436" i="19"/>
  <c r="G436" i="19"/>
  <c r="A436" i="19"/>
  <c r="U435" i="19"/>
  <c r="T435" i="19"/>
  <c r="S435" i="19"/>
  <c r="G435" i="19"/>
  <c r="A435" i="19"/>
  <c r="U434" i="19"/>
  <c r="T434" i="19"/>
  <c r="S434" i="19"/>
  <c r="G434" i="19"/>
  <c r="A434" i="19"/>
  <c r="U433" i="19"/>
  <c r="T433" i="19"/>
  <c r="S433" i="19"/>
  <c r="G433" i="19"/>
  <c r="A433" i="19"/>
  <c r="U432" i="19"/>
  <c r="T432" i="19"/>
  <c r="S432" i="19"/>
  <c r="G432" i="19"/>
  <c r="A432" i="19"/>
  <c r="U431" i="19"/>
  <c r="T431" i="19"/>
  <c r="S431" i="19"/>
  <c r="G431" i="19"/>
  <c r="A431" i="19"/>
  <c r="U430" i="19"/>
  <c r="T430" i="19"/>
  <c r="S430" i="19"/>
  <c r="G430" i="19"/>
  <c r="A430" i="19"/>
  <c r="U429" i="19"/>
  <c r="T429" i="19"/>
  <c r="S429" i="19"/>
  <c r="G429" i="19"/>
  <c r="A429" i="19"/>
  <c r="U428" i="19"/>
  <c r="T428" i="19"/>
  <c r="S428" i="19"/>
  <c r="G428" i="19"/>
  <c r="A428" i="19"/>
  <c r="U427" i="19"/>
  <c r="T427" i="19"/>
  <c r="S427" i="19"/>
  <c r="G427" i="19"/>
  <c r="A427" i="19"/>
  <c r="U426" i="19"/>
  <c r="T426" i="19"/>
  <c r="S426" i="19"/>
  <c r="G426" i="19"/>
  <c r="A426" i="19"/>
  <c r="U425" i="19"/>
  <c r="T425" i="19"/>
  <c r="S425" i="19"/>
  <c r="G425" i="19"/>
  <c r="A425" i="19"/>
  <c r="U424" i="19"/>
  <c r="T424" i="19"/>
  <c r="S424" i="19"/>
  <c r="G424" i="19"/>
  <c r="A424" i="19"/>
  <c r="U423" i="19"/>
  <c r="T423" i="19"/>
  <c r="S423" i="19"/>
  <c r="G423" i="19"/>
  <c r="A423" i="19"/>
  <c r="U422" i="19"/>
  <c r="T422" i="19"/>
  <c r="S422" i="19"/>
  <c r="G422" i="19"/>
  <c r="A422" i="19"/>
  <c r="U421" i="19"/>
  <c r="T421" i="19"/>
  <c r="S421" i="19"/>
  <c r="G421" i="19"/>
  <c r="A421" i="19"/>
  <c r="U420" i="19"/>
  <c r="T420" i="19"/>
  <c r="S420" i="19"/>
  <c r="G420" i="19"/>
  <c r="A420" i="19"/>
  <c r="U419" i="19"/>
  <c r="T419" i="19"/>
  <c r="S419" i="19"/>
  <c r="G419" i="19"/>
  <c r="A419" i="19"/>
  <c r="U418" i="19"/>
  <c r="T418" i="19"/>
  <c r="S418" i="19"/>
  <c r="G418" i="19"/>
  <c r="A418" i="19"/>
  <c r="U417" i="19"/>
  <c r="T417" i="19"/>
  <c r="S417" i="19"/>
  <c r="G417" i="19"/>
  <c r="A417" i="19"/>
  <c r="U416" i="19"/>
  <c r="T416" i="19"/>
  <c r="S416" i="19"/>
  <c r="G416" i="19"/>
  <c r="A416" i="19"/>
  <c r="U415" i="19"/>
  <c r="T415" i="19"/>
  <c r="S415" i="19"/>
  <c r="G415" i="19"/>
  <c r="A415" i="19"/>
  <c r="U414" i="19"/>
  <c r="T414" i="19"/>
  <c r="S414" i="19"/>
  <c r="G414" i="19"/>
  <c r="A414" i="19"/>
  <c r="U413" i="19"/>
  <c r="T413" i="19"/>
  <c r="S413" i="19"/>
  <c r="G413" i="19"/>
  <c r="A413" i="19"/>
  <c r="U412" i="19"/>
  <c r="T412" i="19"/>
  <c r="S412" i="19"/>
  <c r="G412" i="19"/>
  <c r="A412" i="19"/>
  <c r="U411" i="19"/>
  <c r="T411" i="19"/>
  <c r="S411" i="19"/>
  <c r="G411" i="19"/>
  <c r="A411" i="19"/>
  <c r="U410" i="19"/>
  <c r="T410" i="19"/>
  <c r="S410" i="19"/>
  <c r="G410" i="19"/>
  <c r="A410" i="19"/>
  <c r="U409" i="19"/>
  <c r="T409" i="19"/>
  <c r="S409" i="19"/>
  <c r="G409" i="19"/>
  <c r="A409" i="19"/>
  <c r="U408" i="19"/>
  <c r="T408" i="19"/>
  <c r="S408" i="19"/>
  <c r="G408" i="19"/>
  <c r="A408" i="19"/>
  <c r="U407" i="19"/>
  <c r="T407" i="19"/>
  <c r="S407" i="19"/>
  <c r="G407" i="19"/>
  <c r="A407" i="19"/>
  <c r="U406" i="19"/>
  <c r="T406" i="19"/>
  <c r="S406" i="19"/>
  <c r="G406" i="19"/>
  <c r="A406" i="19"/>
  <c r="U405" i="19"/>
  <c r="T405" i="19"/>
  <c r="S405" i="19"/>
  <c r="G405" i="19"/>
  <c r="A405" i="19"/>
  <c r="U404" i="19"/>
  <c r="T404" i="19"/>
  <c r="S404" i="19"/>
  <c r="G404" i="19"/>
  <c r="A404" i="19"/>
  <c r="U403" i="19"/>
  <c r="T403" i="19"/>
  <c r="S403" i="19"/>
  <c r="G403" i="19"/>
  <c r="A403" i="19"/>
  <c r="U402" i="19"/>
  <c r="T402" i="19"/>
  <c r="S402" i="19"/>
  <c r="G402" i="19"/>
  <c r="A402" i="19"/>
  <c r="U401" i="19"/>
  <c r="T401" i="19"/>
  <c r="S401" i="19"/>
  <c r="G401" i="19"/>
  <c r="A401" i="19"/>
  <c r="U400" i="19"/>
  <c r="T400" i="19"/>
  <c r="S400" i="19"/>
  <c r="G400" i="19"/>
  <c r="A400" i="19"/>
  <c r="U399" i="19"/>
  <c r="T399" i="19"/>
  <c r="S399" i="19"/>
  <c r="G399" i="19"/>
  <c r="A399" i="19"/>
  <c r="U398" i="19"/>
  <c r="T398" i="19"/>
  <c r="S398" i="19"/>
  <c r="G398" i="19"/>
  <c r="A398" i="19"/>
  <c r="U397" i="19"/>
  <c r="T397" i="19"/>
  <c r="S397" i="19"/>
  <c r="G397" i="19"/>
  <c r="A397" i="19"/>
  <c r="U396" i="19"/>
  <c r="T396" i="19"/>
  <c r="S396" i="19"/>
  <c r="G396" i="19"/>
  <c r="A396" i="19"/>
  <c r="U395" i="19"/>
  <c r="T395" i="19"/>
  <c r="S395" i="19"/>
  <c r="G395" i="19"/>
  <c r="A395" i="19"/>
  <c r="U394" i="19"/>
  <c r="T394" i="19"/>
  <c r="S394" i="19"/>
  <c r="G394" i="19"/>
  <c r="A394" i="19"/>
  <c r="U393" i="19"/>
  <c r="T393" i="19"/>
  <c r="S393" i="19"/>
  <c r="G393" i="19"/>
  <c r="A393" i="19"/>
  <c r="U392" i="19"/>
  <c r="T392" i="19"/>
  <c r="S392" i="19"/>
  <c r="G392" i="19"/>
  <c r="A392" i="19"/>
  <c r="U391" i="19"/>
  <c r="T391" i="19"/>
  <c r="S391" i="19"/>
  <c r="G391" i="19"/>
  <c r="A391" i="19"/>
  <c r="U390" i="19"/>
  <c r="T390" i="19"/>
  <c r="S390" i="19"/>
  <c r="G390" i="19"/>
  <c r="A390" i="19"/>
  <c r="U389" i="19"/>
  <c r="T389" i="19"/>
  <c r="S389" i="19"/>
  <c r="G389" i="19"/>
  <c r="A389" i="19"/>
  <c r="U388" i="19"/>
  <c r="T388" i="19"/>
  <c r="S388" i="19"/>
  <c r="G388" i="19"/>
  <c r="A388" i="19"/>
  <c r="U387" i="19"/>
  <c r="T387" i="19"/>
  <c r="S387" i="19"/>
  <c r="G387" i="19"/>
  <c r="A387" i="19"/>
  <c r="U386" i="19"/>
  <c r="T386" i="19"/>
  <c r="S386" i="19"/>
  <c r="G386" i="19"/>
  <c r="A386" i="19"/>
  <c r="U385" i="19"/>
  <c r="T385" i="19"/>
  <c r="S385" i="19"/>
  <c r="G385" i="19"/>
  <c r="A385" i="19"/>
  <c r="U384" i="19"/>
  <c r="T384" i="19"/>
  <c r="S384" i="19"/>
  <c r="G384" i="19"/>
  <c r="A384" i="19"/>
  <c r="U383" i="19"/>
  <c r="T383" i="19"/>
  <c r="S383" i="19"/>
  <c r="G383" i="19"/>
  <c r="A383" i="19"/>
  <c r="U382" i="19"/>
  <c r="T382" i="19"/>
  <c r="S382" i="19"/>
  <c r="G382" i="19"/>
  <c r="A382" i="19"/>
  <c r="U381" i="19"/>
  <c r="T381" i="19"/>
  <c r="S381" i="19"/>
  <c r="G381" i="19"/>
  <c r="A381" i="19"/>
  <c r="U380" i="19"/>
  <c r="T380" i="19"/>
  <c r="S380" i="19"/>
  <c r="G380" i="19"/>
  <c r="A380" i="19"/>
  <c r="U379" i="19"/>
  <c r="T379" i="19"/>
  <c r="S379" i="19"/>
  <c r="G379" i="19"/>
  <c r="A379" i="19"/>
  <c r="U378" i="19"/>
  <c r="T378" i="19"/>
  <c r="S378" i="19"/>
  <c r="G378" i="19"/>
  <c r="A378" i="19"/>
  <c r="U377" i="19"/>
  <c r="T377" i="19"/>
  <c r="S377" i="19"/>
  <c r="G377" i="19"/>
  <c r="A377" i="19"/>
  <c r="U376" i="19"/>
  <c r="T376" i="19"/>
  <c r="S376" i="19"/>
  <c r="G376" i="19"/>
  <c r="A376" i="19"/>
  <c r="U375" i="19"/>
  <c r="T375" i="19"/>
  <c r="S375" i="19"/>
  <c r="G375" i="19"/>
  <c r="A375" i="19"/>
  <c r="U374" i="19"/>
  <c r="T374" i="19"/>
  <c r="S374" i="19"/>
  <c r="G374" i="19"/>
  <c r="A374" i="19"/>
  <c r="U373" i="19"/>
  <c r="T373" i="19"/>
  <c r="S373" i="19"/>
  <c r="G373" i="19"/>
  <c r="A373" i="19"/>
  <c r="U372" i="19"/>
  <c r="T372" i="19"/>
  <c r="S372" i="19"/>
  <c r="G372" i="19"/>
  <c r="A372" i="19"/>
  <c r="U371" i="19"/>
  <c r="T371" i="19"/>
  <c r="S371" i="19"/>
  <c r="G371" i="19"/>
  <c r="A371" i="19"/>
  <c r="U370" i="19"/>
  <c r="T370" i="19"/>
  <c r="S370" i="19"/>
  <c r="G370" i="19"/>
  <c r="A370" i="19"/>
  <c r="U369" i="19"/>
  <c r="T369" i="19"/>
  <c r="S369" i="19"/>
  <c r="G369" i="19"/>
  <c r="A369" i="19"/>
  <c r="U368" i="19"/>
  <c r="T368" i="19"/>
  <c r="S368" i="19"/>
  <c r="G368" i="19"/>
  <c r="A368" i="19"/>
  <c r="U367" i="19"/>
  <c r="T367" i="19"/>
  <c r="S367" i="19"/>
  <c r="G367" i="19"/>
  <c r="A367" i="19"/>
  <c r="U366" i="19"/>
  <c r="T366" i="19"/>
  <c r="S366" i="19"/>
  <c r="G366" i="19"/>
  <c r="A366" i="19"/>
  <c r="U365" i="19"/>
  <c r="T365" i="19"/>
  <c r="S365" i="19"/>
  <c r="G365" i="19"/>
  <c r="A365" i="19"/>
  <c r="U364" i="19"/>
  <c r="T364" i="19"/>
  <c r="S364" i="19"/>
  <c r="G364" i="19"/>
  <c r="A364" i="19"/>
  <c r="U363" i="19"/>
  <c r="T363" i="19"/>
  <c r="S363" i="19"/>
  <c r="G363" i="19"/>
  <c r="A363" i="19"/>
  <c r="U362" i="19"/>
  <c r="T362" i="19"/>
  <c r="S362" i="19"/>
  <c r="G362" i="19"/>
  <c r="A362" i="19"/>
  <c r="U361" i="19"/>
  <c r="T361" i="19"/>
  <c r="S361" i="19"/>
  <c r="G361" i="19"/>
  <c r="A361" i="19"/>
  <c r="U360" i="19"/>
  <c r="T360" i="19"/>
  <c r="S360" i="19"/>
  <c r="G360" i="19"/>
  <c r="A360" i="19"/>
  <c r="U359" i="19"/>
  <c r="T359" i="19"/>
  <c r="S359" i="19"/>
  <c r="G359" i="19"/>
  <c r="A359" i="19"/>
  <c r="U358" i="19"/>
  <c r="T358" i="19"/>
  <c r="S358" i="19"/>
  <c r="G358" i="19"/>
  <c r="A358" i="19"/>
  <c r="U357" i="19"/>
  <c r="T357" i="19"/>
  <c r="S357" i="19"/>
  <c r="G357" i="19"/>
  <c r="A357" i="19"/>
  <c r="U356" i="19"/>
  <c r="T356" i="19"/>
  <c r="S356" i="19"/>
  <c r="G356" i="19"/>
  <c r="A356" i="19"/>
  <c r="U355" i="19"/>
  <c r="T355" i="19"/>
  <c r="S355" i="19"/>
  <c r="G355" i="19"/>
  <c r="A355" i="19"/>
  <c r="U354" i="19"/>
  <c r="T354" i="19"/>
  <c r="S354" i="19"/>
  <c r="G354" i="19"/>
  <c r="A354" i="19"/>
  <c r="U353" i="19"/>
  <c r="T353" i="19"/>
  <c r="S353" i="19"/>
  <c r="G353" i="19"/>
  <c r="A353" i="19"/>
  <c r="U352" i="19"/>
  <c r="T352" i="19"/>
  <c r="S352" i="19"/>
  <c r="G352" i="19"/>
  <c r="A352" i="19"/>
  <c r="U351" i="19"/>
  <c r="T351" i="19"/>
  <c r="S351" i="19"/>
  <c r="G351" i="19"/>
  <c r="A351" i="19"/>
  <c r="U350" i="19"/>
  <c r="T350" i="19"/>
  <c r="S350" i="19"/>
  <c r="G350" i="19"/>
  <c r="A350" i="19"/>
  <c r="U349" i="19"/>
  <c r="T349" i="19"/>
  <c r="S349" i="19"/>
  <c r="G349" i="19"/>
  <c r="A349" i="19"/>
  <c r="U348" i="19"/>
  <c r="T348" i="19"/>
  <c r="S348" i="19"/>
  <c r="G348" i="19"/>
  <c r="A348" i="19"/>
  <c r="U347" i="19"/>
  <c r="T347" i="19"/>
  <c r="S347" i="19"/>
  <c r="G347" i="19"/>
  <c r="A347" i="19"/>
  <c r="U346" i="19"/>
  <c r="T346" i="19"/>
  <c r="S346" i="19"/>
  <c r="G346" i="19"/>
  <c r="A346" i="19"/>
  <c r="U345" i="19"/>
  <c r="T345" i="19"/>
  <c r="S345" i="19"/>
  <c r="G345" i="19"/>
  <c r="A345" i="19"/>
  <c r="U344" i="19"/>
  <c r="T344" i="19"/>
  <c r="S344" i="19"/>
  <c r="G344" i="19"/>
  <c r="A344" i="19"/>
  <c r="U343" i="19"/>
  <c r="T343" i="19"/>
  <c r="S343" i="19"/>
  <c r="G343" i="19"/>
  <c r="A343" i="19"/>
  <c r="U342" i="19"/>
  <c r="T342" i="19"/>
  <c r="S342" i="19"/>
  <c r="G342" i="19"/>
  <c r="A342" i="19"/>
  <c r="U341" i="19"/>
  <c r="T341" i="19"/>
  <c r="S341" i="19"/>
  <c r="G341" i="19"/>
  <c r="A341" i="19"/>
  <c r="U340" i="19"/>
  <c r="T340" i="19"/>
  <c r="S340" i="19"/>
  <c r="G340" i="19"/>
  <c r="A340" i="19"/>
  <c r="U339" i="19"/>
  <c r="T339" i="19"/>
  <c r="S339" i="19"/>
  <c r="G339" i="19"/>
  <c r="A339" i="19"/>
  <c r="U338" i="19"/>
  <c r="T338" i="19"/>
  <c r="S338" i="19"/>
  <c r="G338" i="19"/>
  <c r="A338" i="19"/>
  <c r="U337" i="19"/>
  <c r="T337" i="19"/>
  <c r="S337" i="19"/>
  <c r="G337" i="19"/>
  <c r="A337" i="19"/>
  <c r="U336" i="19"/>
  <c r="T336" i="19"/>
  <c r="S336" i="19"/>
  <c r="G336" i="19"/>
  <c r="A336" i="19"/>
  <c r="U335" i="19"/>
  <c r="T335" i="19"/>
  <c r="S335" i="19"/>
  <c r="G335" i="19"/>
  <c r="A335" i="19"/>
  <c r="U334" i="19"/>
  <c r="T334" i="19"/>
  <c r="S334" i="19"/>
  <c r="G334" i="19"/>
  <c r="A334" i="19"/>
  <c r="U333" i="19"/>
  <c r="T333" i="19"/>
  <c r="S333" i="19"/>
  <c r="G333" i="19"/>
  <c r="A333" i="19"/>
  <c r="U332" i="19"/>
  <c r="T332" i="19"/>
  <c r="S332" i="19"/>
  <c r="G332" i="19"/>
  <c r="A332" i="19"/>
  <c r="U331" i="19"/>
  <c r="T331" i="19"/>
  <c r="S331" i="19"/>
  <c r="G331" i="19"/>
  <c r="A331" i="19"/>
  <c r="U330" i="19"/>
  <c r="T330" i="19"/>
  <c r="S330" i="19"/>
  <c r="G330" i="19"/>
  <c r="A330" i="19"/>
  <c r="U329" i="19"/>
  <c r="T329" i="19"/>
  <c r="S329" i="19"/>
  <c r="G329" i="19"/>
  <c r="A329" i="19"/>
  <c r="U328" i="19"/>
  <c r="T328" i="19"/>
  <c r="S328" i="19"/>
  <c r="G328" i="19"/>
  <c r="A328" i="19"/>
  <c r="U327" i="19"/>
  <c r="T327" i="19"/>
  <c r="S327" i="19"/>
  <c r="G327" i="19"/>
  <c r="A327" i="19"/>
  <c r="U326" i="19"/>
  <c r="T326" i="19"/>
  <c r="S326" i="19"/>
  <c r="G326" i="19"/>
  <c r="A326" i="19"/>
  <c r="U325" i="19"/>
  <c r="T325" i="19"/>
  <c r="S325" i="19"/>
  <c r="G325" i="19"/>
  <c r="A325" i="19"/>
  <c r="U324" i="19"/>
  <c r="T324" i="19"/>
  <c r="S324" i="19"/>
  <c r="G324" i="19"/>
  <c r="A324" i="19"/>
  <c r="U323" i="19"/>
  <c r="T323" i="19"/>
  <c r="S323" i="19"/>
  <c r="G323" i="19"/>
  <c r="A323" i="19"/>
  <c r="U322" i="19"/>
  <c r="T322" i="19"/>
  <c r="S322" i="19"/>
  <c r="G322" i="19"/>
  <c r="A322" i="19"/>
  <c r="U321" i="19"/>
  <c r="T321" i="19"/>
  <c r="S321" i="19"/>
  <c r="G321" i="19"/>
  <c r="A321" i="19"/>
  <c r="U320" i="19"/>
  <c r="T320" i="19"/>
  <c r="S320" i="19"/>
  <c r="G320" i="19"/>
  <c r="A320" i="19"/>
  <c r="U319" i="19"/>
  <c r="T319" i="19"/>
  <c r="S319" i="19"/>
  <c r="G319" i="19"/>
  <c r="A319" i="19"/>
  <c r="U318" i="19"/>
  <c r="T318" i="19"/>
  <c r="S318" i="19"/>
  <c r="G318" i="19"/>
  <c r="A318" i="19"/>
  <c r="U317" i="19"/>
  <c r="T317" i="19"/>
  <c r="S317" i="19"/>
  <c r="G317" i="19"/>
  <c r="A317" i="19"/>
  <c r="U316" i="19"/>
  <c r="T316" i="19"/>
  <c r="S316" i="19"/>
  <c r="G316" i="19"/>
  <c r="A316" i="19"/>
  <c r="U315" i="19"/>
  <c r="T315" i="19"/>
  <c r="S315" i="19"/>
  <c r="G315" i="19"/>
  <c r="A315" i="19"/>
  <c r="U314" i="19"/>
  <c r="T314" i="19"/>
  <c r="S314" i="19"/>
  <c r="G314" i="19"/>
  <c r="A314" i="19"/>
  <c r="U313" i="19"/>
  <c r="T313" i="19"/>
  <c r="S313" i="19"/>
  <c r="G313" i="19"/>
  <c r="A313" i="19"/>
  <c r="U312" i="19"/>
  <c r="T312" i="19"/>
  <c r="S312" i="19"/>
  <c r="G312" i="19"/>
  <c r="A312" i="19"/>
  <c r="U311" i="19"/>
  <c r="T311" i="19"/>
  <c r="S311" i="19"/>
  <c r="G311" i="19"/>
  <c r="A311" i="19"/>
  <c r="U310" i="19"/>
  <c r="T310" i="19"/>
  <c r="S310" i="19"/>
  <c r="G310" i="19"/>
  <c r="A310" i="19"/>
  <c r="U309" i="19"/>
  <c r="T309" i="19"/>
  <c r="S309" i="19"/>
  <c r="G309" i="19"/>
  <c r="A309" i="19"/>
  <c r="U308" i="19"/>
  <c r="T308" i="19"/>
  <c r="S308" i="19"/>
  <c r="G308" i="19"/>
  <c r="A308" i="19"/>
  <c r="U307" i="19"/>
  <c r="T307" i="19"/>
  <c r="S307" i="19"/>
  <c r="G307" i="19"/>
  <c r="A307" i="19"/>
  <c r="U306" i="19"/>
  <c r="T306" i="19"/>
  <c r="S306" i="19"/>
  <c r="G306" i="19"/>
  <c r="A306" i="19"/>
  <c r="U305" i="19"/>
  <c r="T305" i="19"/>
  <c r="S305" i="19"/>
  <c r="G305" i="19"/>
  <c r="A305" i="19"/>
  <c r="U304" i="19"/>
  <c r="T304" i="19"/>
  <c r="S304" i="19"/>
  <c r="G304" i="19"/>
  <c r="A304" i="19"/>
  <c r="U303" i="19"/>
  <c r="T303" i="19"/>
  <c r="S303" i="19"/>
  <c r="G303" i="19"/>
  <c r="A303" i="19"/>
  <c r="U302" i="19"/>
  <c r="T302" i="19"/>
  <c r="S302" i="19"/>
  <c r="G302" i="19"/>
  <c r="A302" i="19"/>
  <c r="U301" i="19"/>
  <c r="T301" i="19"/>
  <c r="S301" i="19"/>
  <c r="G301" i="19"/>
  <c r="A301" i="19"/>
  <c r="U300" i="19"/>
  <c r="T300" i="19"/>
  <c r="S300" i="19"/>
  <c r="G300" i="19"/>
  <c r="A300" i="19"/>
  <c r="U299" i="19"/>
  <c r="T299" i="19"/>
  <c r="S299" i="19"/>
  <c r="G299" i="19"/>
  <c r="A299" i="19"/>
  <c r="U298" i="19"/>
  <c r="T298" i="19"/>
  <c r="S298" i="19"/>
  <c r="G298" i="19"/>
  <c r="A298" i="19"/>
  <c r="U297" i="19"/>
  <c r="T297" i="19"/>
  <c r="S297" i="19"/>
  <c r="G297" i="19"/>
  <c r="A297" i="19"/>
  <c r="U296" i="19"/>
  <c r="T296" i="19"/>
  <c r="S296" i="19"/>
  <c r="G296" i="19"/>
  <c r="A296" i="19"/>
  <c r="U295" i="19"/>
  <c r="T295" i="19"/>
  <c r="S295" i="19"/>
  <c r="G295" i="19"/>
  <c r="A295" i="19"/>
  <c r="U294" i="19"/>
  <c r="T294" i="19"/>
  <c r="S294" i="19"/>
  <c r="G294" i="19"/>
  <c r="A294" i="19"/>
  <c r="U293" i="19"/>
  <c r="T293" i="19"/>
  <c r="S293" i="19"/>
  <c r="G293" i="19"/>
  <c r="A293" i="19"/>
  <c r="U292" i="19"/>
  <c r="T292" i="19"/>
  <c r="S292" i="19"/>
  <c r="G292" i="19"/>
  <c r="A292" i="19"/>
  <c r="U291" i="19"/>
  <c r="T291" i="19"/>
  <c r="S291" i="19"/>
  <c r="G291" i="19"/>
  <c r="A291" i="19"/>
  <c r="U290" i="19"/>
  <c r="T290" i="19"/>
  <c r="S290" i="19"/>
  <c r="G290" i="19"/>
  <c r="A290" i="19"/>
  <c r="U289" i="19"/>
  <c r="T289" i="19"/>
  <c r="S289" i="19"/>
  <c r="G289" i="19"/>
  <c r="A289" i="19"/>
  <c r="U288" i="19"/>
  <c r="T288" i="19"/>
  <c r="S288" i="19"/>
  <c r="G288" i="19"/>
  <c r="A288" i="19"/>
  <c r="U287" i="19"/>
  <c r="T287" i="19"/>
  <c r="S287" i="19"/>
  <c r="G287" i="19"/>
  <c r="A287" i="19"/>
  <c r="U286" i="19"/>
  <c r="T286" i="19"/>
  <c r="S286" i="19"/>
  <c r="G286" i="19"/>
  <c r="A286" i="19"/>
  <c r="U285" i="19"/>
  <c r="T285" i="19"/>
  <c r="S285" i="19"/>
  <c r="G285" i="19"/>
  <c r="A285" i="19"/>
  <c r="U284" i="19"/>
  <c r="T284" i="19"/>
  <c r="S284" i="19"/>
  <c r="G284" i="19"/>
  <c r="A284" i="19"/>
  <c r="U283" i="19"/>
  <c r="T283" i="19"/>
  <c r="S283" i="19"/>
  <c r="G283" i="19"/>
  <c r="A283" i="19"/>
  <c r="U282" i="19"/>
  <c r="T282" i="19"/>
  <c r="S282" i="19"/>
  <c r="G282" i="19"/>
  <c r="A282" i="19"/>
  <c r="U281" i="19"/>
  <c r="T281" i="19"/>
  <c r="S281" i="19"/>
  <c r="G281" i="19"/>
  <c r="A281" i="19"/>
  <c r="U280" i="19"/>
  <c r="T280" i="19"/>
  <c r="S280" i="19"/>
  <c r="G280" i="19"/>
  <c r="A280" i="19"/>
  <c r="U279" i="19"/>
  <c r="T279" i="19"/>
  <c r="S279" i="19"/>
  <c r="G279" i="19"/>
  <c r="A279" i="19"/>
  <c r="U278" i="19"/>
  <c r="T278" i="19"/>
  <c r="S278" i="19"/>
  <c r="G278" i="19"/>
  <c r="A278" i="19"/>
  <c r="U277" i="19"/>
  <c r="T277" i="19"/>
  <c r="S277" i="19"/>
  <c r="G277" i="19"/>
  <c r="A277" i="19"/>
  <c r="U276" i="19"/>
  <c r="T276" i="19"/>
  <c r="S276" i="19"/>
  <c r="G276" i="19"/>
  <c r="A276" i="19"/>
  <c r="U275" i="19"/>
  <c r="T275" i="19"/>
  <c r="S275" i="19"/>
  <c r="G275" i="19"/>
  <c r="A275" i="19"/>
  <c r="U274" i="19"/>
  <c r="T274" i="19"/>
  <c r="S274" i="19"/>
  <c r="G274" i="19"/>
  <c r="A274" i="19"/>
  <c r="U273" i="19"/>
  <c r="T273" i="19"/>
  <c r="S273" i="19"/>
  <c r="G273" i="19"/>
  <c r="A273" i="19"/>
  <c r="U272" i="19"/>
  <c r="T272" i="19"/>
  <c r="S272" i="19"/>
  <c r="G272" i="19"/>
  <c r="A272" i="19"/>
  <c r="U271" i="19"/>
  <c r="T271" i="19"/>
  <c r="S271" i="19"/>
  <c r="G271" i="19"/>
  <c r="A271" i="19"/>
  <c r="U270" i="19"/>
  <c r="T270" i="19"/>
  <c r="S270" i="19"/>
  <c r="G270" i="19"/>
  <c r="A270" i="19"/>
  <c r="U269" i="19"/>
  <c r="T269" i="19"/>
  <c r="S269" i="19"/>
  <c r="G269" i="19"/>
  <c r="A269" i="19"/>
  <c r="U268" i="19"/>
  <c r="T268" i="19"/>
  <c r="S268" i="19"/>
  <c r="G268" i="19"/>
  <c r="A268" i="19"/>
  <c r="U267" i="19"/>
  <c r="T267" i="19"/>
  <c r="S267" i="19"/>
  <c r="G267" i="19"/>
  <c r="A267" i="19"/>
  <c r="U266" i="19"/>
  <c r="T266" i="19"/>
  <c r="S266" i="19"/>
  <c r="G266" i="19"/>
  <c r="A266" i="19"/>
  <c r="U265" i="19"/>
  <c r="T265" i="19"/>
  <c r="S265" i="19"/>
  <c r="G265" i="19"/>
  <c r="A265" i="19"/>
  <c r="U264" i="19"/>
  <c r="T264" i="19"/>
  <c r="S264" i="19"/>
  <c r="G264" i="19"/>
  <c r="A264" i="19"/>
  <c r="U263" i="19"/>
  <c r="T263" i="19"/>
  <c r="S263" i="19"/>
  <c r="G263" i="19"/>
  <c r="A263" i="19"/>
  <c r="U262" i="19"/>
  <c r="T262" i="19"/>
  <c r="S262" i="19"/>
  <c r="G262" i="19"/>
  <c r="A262" i="19"/>
  <c r="U261" i="19"/>
  <c r="T261" i="19"/>
  <c r="S261" i="19"/>
  <c r="G261" i="19"/>
  <c r="A261" i="19"/>
  <c r="U260" i="19"/>
  <c r="T260" i="19"/>
  <c r="S260" i="19"/>
  <c r="G260" i="19"/>
  <c r="A260" i="19"/>
  <c r="U259" i="19"/>
  <c r="T259" i="19"/>
  <c r="S259" i="19"/>
  <c r="G259" i="19"/>
  <c r="A259" i="19"/>
  <c r="U258" i="19"/>
  <c r="T258" i="19"/>
  <c r="S258" i="19"/>
  <c r="G258" i="19"/>
  <c r="A258" i="19"/>
  <c r="U257" i="19"/>
  <c r="T257" i="19"/>
  <c r="S257" i="19"/>
  <c r="G257" i="19"/>
  <c r="A257" i="19"/>
  <c r="U256" i="19"/>
  <c r="T256" i="19"/>
  <c r="S256" i="19"/>
  <c r="G256" i="19"/>
  <c r="A256" i="19"/>
  <c r="U255" i="19"/>
  <c r="T255" i="19"/>
  <c r="S255" i="19"/>
  <c r="G255" i="19"/>
  <c r="A255" i="19"/>
  <c r="U254" i="19"/>
  <c r="T254" i="19"/>
  <c r="S254" i="19"/>
  <c r="G254" i="19"/>
  <c r="A254" i="19"/>
  <c r="U253" i="19"/>
  <c r="T253" i="19"/>
  <c r="S253" i="19"/>
  <c r="G253" i="19"/>
  <c r="A253" i="19"/>
  <c r="U252" i="19"/>
  <c r="T252" i="19"/>
  <c r="S252" i="19"/>
  <c r="G252" i="19"/>
  <c r="A252" i="19"/>
  <c r="U251" i="19"/>
  <c r="T251" i="19"/>
  <c r="S251" i="19"/>
  <c r="G251" i="19"/>
  <c r="A251" i="19"/>
  <c r="U250" i="19"/>
  <c r="T250" i="19"/>
  <c r="S250" i="19"/>
  <c r="G250" i="19"/>
  <c r="A250" i="19"/>
  <c r="U249" i="19"/>
  <c r="T249" i="19"/>
  <c r="S249" i="19"/>
  <c r="G249" i="19"/>
  <c r="A249" i="19"/>
  <c r="U248" i="19"/>
  <c r="T248" i="19"/>
  <c r="S248" i="19"/>
  <c r="G248" i="19"/>
  <c r="A248" i="19"/>
  <c r="U247" i="19"/>
  <c r="T247" i="19"/>
  <c r="S247" i="19"/>
  <c r="G247" i="19"/>
  <c r="A247" i="19"/>
  <c r="U246" i="19"/>
  <c r="T246" i="19"/>
  <c r="S246" i="19"/>
  <c r="G246" i="19"/>
  <c r="A246" i="19"/>
  <c r="U245" i="19"/>
  <c r="T245" i="19"/>
  <c r="S245" i="19"/>
  <c r="G245" i="19"/>
  <c r="A245" i="19"/>
  <c r="U244" i="19"/>
  <c r="T244" i="19"/>
  <c r="S244" i="19"/>
  <c r="G244" i="19"/>
  <c r="A244" i="19"/>
  <c r="U243" i="19"/>
  <c r="T243" i="19"/>
  <c r="S243" i="19"/>
  <c r="G243" i="19"/>
  <c r="A243" i="19"/>
  <c r="U242" i="19"/>
  <c r="T242" i="19"/>
  <c r="S242" i="19"/>
  <c r="G242" i="19"/>
  <c r="A242" i="19"/>
  <c r="U241" i="19"/>
  <c r="T241" i="19"/>
  <c r="S241" i="19"/>
  <c r="G241" i="19"/>
  <c r="A241" i="19"/>
  <c r="U240" i="19"/>
  <c r="T240" i="19"/>
  <c r="S240" i="19"/>
  <c r="G240" i="19"/>
  <c r="A240" i="19"/>
  <c r="U239" i="19"/>
  <c r="T239" i="19"/>
  <c r="S239" i="19"/>
  <c r="G239" i="19"/>
  <c r="A239" i="19"/>
  <c r="U238" i="19"/>
  <c r="T238" i="19"/>
  <c r="S238" i="19"/>
  <c r="G238" i="19"/>
  <c r="A238" i="19"/>
  <c r="U237" i="19"/>
  <c r="T237" i="19"/>
  <c r="S237" i="19"/>
  <c r="G237" i="19"/>
  <c r="A237" i="19"/>
  <c r="U236" i="19"/>
  <c r="T236" i="19"/>
  <c r="S236" i="19"/>
  <c r="G236" i="19"/>
  <c r="A236" i="19"/>
  <c r="U235" i="19"/>
  <c r="T235" i="19"/>
  <c r="S235" i="19"/>
  <c r="G235" i="19"/>
  <c r="A235" i="19"/>
  <c r="U234" i="19"/>
  <c r="T234" i="19"/>
  <c r="S234" i="19"/>
  <c r="G234" i="19"/>
  <c r="A234" i="19"/>
  <c r="U233" i="19"/>
  <c r="T233" i="19"/>
  <c r="S233" i="19"/>
  <c r="G233" i="19"/>
  <c r="A233" i="19"/>
  <c r="U232" i="19"/>
  <c r="T232" i="19"/>
  <c r="S232" i="19"/>
  <c r="G232" i="19"/>
  <c r="A232" i="19"/>
  <c r="U231" i="19"/>
  <c r="T231" i="19"/>
  <c r="S231" i="19"/>
  <c r="G231" i="19"/>
  <c r="A231" i="19"/>
  <c r="U230" i="19"/>
  <c r="T230" i="19"/>
  <c r="S230" i="19"/>
  <c r="G230" i="19"/>
  <c r="A230" i="19"/>
  <c r="U229" i="19"/>
  <c r="T229" i="19"/>
  <c r="S229" i="19"/>
  <c r="G229" i="19"/>
  <c r="A229" i="19"/>
  <c r="U228" i="19"/>
  <c r="T228" i="19"/>
  <c r="S228" i="19"/>
  <c r="G228" i="19"/>
  <c r="A228" i="19"/>
  <c r="U227" i="19"/>
  <c r="T227" i="19"/>
  <c r="S227" i="19"/>
  <c r="G227" i="19"/>
  <c r="A227" i="19"/>
  <c r="U226" i="19"/>
  <c r="T226" i="19"/>
  <c r="S226" i="19"/>
  <c r="G226" i="19"/>
  <c r="A226" i="19"/>
  <c r="U225" i="19"/>
  <c r="T225" i="19"/>
  <c r="S225" i="19"/>
  <c r="G225" i="19"/>
  <c r="A225" i="19"/>
  <c r="U224" i="19"/>
  <c r="T224" i="19"/>
  <c r="S224" i="19"/>
  <c r="G224" i="19"/>
  <c r="A224" i="19"/>
  <c r="U223" i="19"/>
  <c r="T223" i="19"/>
  <c r="S223" i="19"/>
  <c r="G223" i="19"/>
  <c r="A223" i="19"/>
  <c r="U222" i="19"/>
  <c r="T222" i="19"/>
  <c r="S222" i="19"/>
  <c r="G222" i="19"/>
  <c r="A222" i="19"/>
  <c r="U221" i="19"/>
  <c r="T221" i="19"/>
  <c r="S221" i="19"/>
  <c r="G221" i="19"/>
  <c r="A221" i="19"/>
  <c r="U220" i="19"/>
  <c r="T220" i="19"/>
  <c r="S220" i="19"/>
  <c r="G220" i="19"/>
  <c r="A220" i="19"/>
  <c r="U219" i="19"/>
  <c r="T219" i="19"/>
  <c r="S219" i="19"/>
  <c r="G219" i="19"/>
  <c r="A219" i="19"/>
  <c r="U218" i="19"/>
  <c r="T218" i="19"/>
  <c r="S218" i="19"/>
  <c r="G218" i="19"/>
  <c r="A218" i="19"/>
  <c r="U217" i="19"/>
  <c r="T217" i="19"/>
  <c r="S217" i="19"/>
  <c r="G217" i="19"/>
  <c r="A217" i="19"/>
  <c r="U216" i="19"/>
  <c r="T216" i="19"/>
  <c r="S216" i="19"/>
  <c r="G216" i="19"/>
  <c r="A216" i="19"/>
  <c r="U215" i="19"/>
  <c r="T215" i="19"/>
  <c r="S215" i="19"/>
  <c r="G215" i="19"/>
  <c r="A215" i="19"/>
  <c r="U214" i="19"/>
  <c r="T214" i="19"/>
  <c r="S214" i="19"/>
  <c r="G214" i="19"/>
  <c r="A214" i="19"/>
  <c r="U213" i="19"/>
  <c r="T213" i="19"/>
  <c r="S213" i="19"/>
  <c r="G213" i="19"/>
  <c r="A213" i="19"/>
  <c r="U212" i="19"/>
  <c r="T212" i="19"/>
  <c r="S212" i="19"/>
  <c r="G212" i="19"/>
  <c r="A212" i="19"/>
  <c r="U211" i="19"/>
  <c r="T211" i="19"/>
  <c r="S211" i="19"/>
  <c r="G211" i="19"/>
  <c r="A211" i="19"/>
  <c r="U210" i="19"/>
  <c r="T210" i="19"/>
  <c r="S210" i="19"/>
  <c r="G210" i="19"/>
  <c r="A210" i="19"/>
  <c r="U209" i="19"/>
  <c r="T209" i="19"/>
  <c r="S209" i="19"/>
  <c r="G209" i="19"/>
  <c r="A209" i="19"/>
  <c r="U208" i="19"/>
  <c r="T208" i="19"/>
  <c r="S208" i="19"/>
  <c r="G208" i="19"/>
  <c r="A208" i="19"/>
  <c r="U207" i="19"/>
  <c r="T207" i="19"/>
  <c r="S207" i="19"/>
  <c r="G207" i="19"/>
  <c r="A207" i="19"/>
  <c r="U206" i="19"/>
  <c r="T206" i="19"/>
  <c r="S206" i="19"/>
  <c r="G206" i="19"/>
  <c r="A206" i="19"/>
  <c r="U205" i="19"/>
  <c r="T205" i="19"/>
  <c r="S205" i="19"/>
  <c r="G205" i="19"/>
  <c r="A205" i="19"/>
  <c r="U204" i="19"/>
  <c r="T204" i="19"/>
  <c r="S204" i="19"/>
  <c r="G204" i="19"/>
  <c r="A204" i="19"/>
  <c r="U203" i="19"/>
  <c r="T203" i="19"/>
  <c r="S203" i="19"/>
  <c r="G203" i="19"/>
  <c r="A203" i="19"/>
  <c r="U202" i="19"/>
  <c r="T202" i="19"/>
  <c r="S202" i="19"/>
  <c r="G202" i="19"/>
  <c r="A202" i="19"/>
  <c r="U201" i="19"/>
  <c r="T201" i="19"/>
  <c r="S201" i="19"/>
  <c r="G201" i="19"/>
  <c r="A201" i="19"/>
  <c r="U200" i="19"/>
  <c r="T200" i="19"/>
  <c r="S200" i="19"/>
  <c r="G200" i="19"/>
  <c r="A200" i="19"/>
  <c r="U199" i="19"/>
  <c r="T199" i="19"/>
  <c r="S199" i="19"/>
  <c r="G199" i="19"/>
  <c r="A199" i="19"/>
  <c r="U198" i="19"/>
  <c r="T198" i="19"/>
  <c r="S198" i="19"/>
  <c r="G198" i="19"/>
  <c r="A198" i="19"/>
  <c r="U197" i="19"/>
  <c r="T197" i="19"/>
  <c r="S197" i="19"/>
  <c r="G197" i="19"/>
  <c r="A197" i="19"/>
  <c r="U196" i="19"/>
  <c r="T196" i="19"/>
  <c r="S196" i="19"/>
  <c r="G196" i="19"/>
  <c r="A196" i="19"/>
  <c r="U195" i="19"/>
  <c r="T195" i="19"/>
  <c r="S195" i="19"/>
  <c r="G195" i="19"/>
  <c r="A195" i="19"/>
  <c r="U194" i="19"/>
  <c r="T194" i="19"/>
  <c r="S194" i="19"/>
  <c r="G194" i="19"/>
  <c r="A194" i="19"/>
  <c r="U193" i="19"/>
  <c r="T193" i="19"/>
  <c r="S193" i="19"/>
  <c r="G193" i="19"/>
  <c r="A193" i="19"/>
  <c r="U192" i="19"/>
  <c r="T192" i="19"/>
  <c r="S192" i="19"/>
  <c r="G192" i="19"/>
  <c r="A192" i="19"/>
  <c r="U191" i="19"/>
  <c r="T191" i="19"/>
  <c r="S191" i="19"/>
  <c r="G191" i="19"/>
  <c r="A191" i="19"/>
  <c r="U190" i="19"/>
  <c r="T190" i="19"/>
  <c r="S190" i="19"/>
  <c r="G190" i="19"/>
  <c r="A190" i="19"/>
  <c r="U189" i="19"/>
  <c r="T189" i="19"/>
  <c r="S189" i="19"/>
  <c r="G189" i="19"/>
  <c r="A189" i="19"/>
  <c r="U188" i="19"/>
  <c r="T188" i="19"/>
  <c r="S188" i="19"/>
  <c r="G188" i="19"/>
  <c r="A188" i="19"/>
  <c r="U187" i="19"/>
  <c r="T187" i="19"/>
  <c r="S187" i="19"/>
  <c r="G187" i="19"/>
  <c r="A187" i="19"/>
  <c r="U186" i="19"/>
  <c r="T186" i="19"/>
  <c r="S186" i="19"/>
  <c r="G186" i="19"/>
  <c r="A186" i="19"/>
  <c r="U185" i="19"/>
  <c r="T185" i="19"/>
  <c r="S185" i="19"/>
  <c r="G185" i="19"/>
  <c r="A185" i="19"/>
  <c r="U184" i="19"/>
  <c r="T184" i="19"/>
  <c r="S184" i="19"/>
  <c r="G184" i="19"/>
  <c r="A184" i="19"/>
  <c r="U183" i="19"/>
  <c r="T183" i="19"/>
  <c r="S183" i="19"/>
  <c r="G183" i="19"/>
  <c r="A183" i="19"/>
  <c r="U182" i="19"/>
  <c r="T182" i="19"/>
  <c r="S182" i="19"/>
  <c r="G182" i="19"/>
  <c r="A182" i="19"/>
  <c r="U181" i="19"/>
  <c r="T181" i="19"/>
  <c r="S181" i="19"/>
  <c r="G181" i="19"/>
  <c r="A181" i="19"/>
  <c r="U180" i="19"/>
  <c r="T180" i="19"/>
  <c r="S180" i="19"/>
  <c r="G180" i="19"/>
  <c r="A180" i="19"/>
  <c r="U179" i="19"/>
  <c r="T179" i="19"/>
  <c r="S179" i="19"/>
  <c r="G179" i="19"/>
  <c r="A179" i="19"/>
  <c r="U178" i="19"/>
  <c r="T178" i="19"/>
  <c r="S178" i="19"/>
  <c r="G178" i="19"/>
  <c r="A178" i="19"/>
  <c r="U177" i="19"/>
  <c r="T177" i="19"/>
  <c r="S177" i="19"/>
  <c r="G177" i="19"/>
  <c r="A177" i="19"/>
  <c r="U176" i="19"/>
  <c r="T176" i="19"/>
  <c r="S176" i="19"/>
  <c r="G176" i="19"/>
  <c r="A176" i="19"/>
  <c r="U175" i="19"/>
  <c r="T175" i="19"/>
  <c r="S175" i="19"/>
  <c r="G175" i="19"/>
  <c r="A175" i="19"/>
  <c r="U174" i="19"/>
  <c r="T174" i="19"/>
  <c r="S174" i="19"/>
  <c r="G174" i="19"/>
  <c r="A174" i="19"/>
  <c r="U173" i="19"/>
  <c r="T173" i="19"/>
  <c r="S173" i="19"/>
  <c r="G173" i="19"/>
  <c r="A173" i="19"/>
  <c r="U172" i="19"/>
  <c r="T172" i="19"/>
  <c r="S172" i="19"/>
  <c r="G172" i="19"/>
  <c r="A172" i="19"/>
  <c r="U171" i="19"/>
  <c r="T171" i="19"/>
  <c r="S171" i="19"/>
  <c r="G171" i="19"/>
  <c r="A171" i="19"/>
  <c r="U170" i="19"/>
  <c r="T170" i="19"/>
  <c r="S170" i="19"/>
  <c r="G170" i="19"/>
  <c r="A170" i="19"/>
  <c r="U169" i="19"/>
  <c r="T169" i="19"/>
  <c r="S169" i="19"/>
  <c r="G169" i="19"/>
  <c r="A169" i="19"/>
  <c r="U168" i="19"/>
  <c r="T168" i="19"/>
  <c r="S168" i="19"/>
  <c r="G168" i="19"/>
  <c r="A168" i="19"/>
  <c r="U167" i="19"/>
  <c r="T167" i="19"/>
  <c r="S167" i="19"/>
  <c r="G167" i="19"/>
  <c r="A167" i="19"/>
  <c r="U166" i="19"/>
  <c r="T166" i="19"/>
  <c r="S166" i="19"/>
  <c r="G166" i="19"/>
  <c r="A166" i="19"/>
  <c r="U165" i="19"/>
  <c r="T165" i="19"/>
  <c r="S165" i="19"/>
  <c r="G165" i="19"/>
  <c r="A165" i="19"/>
  <c r="U164" i="19"/>
  <c r="T164" i="19"/>
  <c r="S164" i="19"/>
  <c r="G164" i="19"/>
  <c r="A164" i="19"/>
  <c r="U163" i="19"/>
  <c r="T163" i="19"/>
  <c r="S163" i="19"/>
  <c r="G163" i="19"/>
  <c r="A163" i="19"/>
  <c r="U162" i="19"/>
  <c r="T162" i="19"/>
  <c r="S162" i="19"/>
  <c r="G162" i="19"/>
  <c r="A162" i="19"/>
  <c r="U161" i="19"/>
  <c r="T161" i="19"/>
  <c r="S161" i="19"/>
  <c r="G161" i="19"/>
  <c r="A161" i="19"/>
  <c r="U160" i="19"/>
  <c r="T160" i="19"/>
  <c r="S160" i="19"/>
  <c r="G160" i="19"/>
  <c r="A160" i="19"/>
  <c r="U159" i="19"/>
  <c r="T159" i="19"/>
  <c r="S159" i="19"/>
  <c r="G159" i="19"/>
  <c r="A159" i="19"/>
  <c r="U158" i="19"/>
  <c r="T158" i="19"/>
  <c r="S158" i="19"/>
  <c r="G158" i="19"/>
  <c r="A158" i="19"/>
  <c r="U157" i="19"/>
  <c r="T157" i="19"/>
  <c r="S157" i="19"/>
  <c r="G157" i="19"/>
  <c r="A157" i="19"/>
  <c r="U156" i="19"/>
  <c r="T156" i="19"/>
  <c r="S156" i="19"/>
  <c r="G156" i="19"/>
  <c r="A156" i="19"/>
  <c r="U155" i="19"/>
  <c r="T155" i="19"/>
  <c r="S155" i="19"/>
  <c r="G155" i="19"/>
  <c r="A155" i="19"/>
  <c r="U154" i="19"/>
  <c r="T154" i="19"/>
  <c r="S154" i="19"/>
  <c r="G154" i="19"/>
  <c r="A154" i="19"/>
  <c r="U153" i="19"/>
  <c r="T153" i="19"/>
  <c r="S153" i="19"/>
  <c r="G153" i="19"/>
  <c r="A153" i="19"/>
  <c r="U152" i="19"/>
  <c r="T152" i="19"/>
  <c r="S152" i="19"/>
  <c r="G152" i="19"/>
  <c r="A152" i="19"/>
  <c r="U151" i="19"/>
  <c r="T151" i="19"/>
  <c r="S151" i="19"/>
  <c r="G151" i="19"/>
  <c r="A151" i="19"/>
  <c r="U150" i="19"/>
  <c r="T150" i="19"/>
  <c r="S150" i="19"/>
  <c r="G150" i="19"/>
  <c r="A150" i="19"/>
  <c r="U149" i="19"/>
  <c r="T149" i="19"/>
  <c r="S149" i="19"/>
  <c r="G149" i="19"/>
  <c r="A149" i="19"/>
  <c r="U148" i="19"/>
  <c r="T148" i="19"/>
  <c r="S148" i="19"/>
  <c r="G148" i="19"/>
  <c r="J148" i="19" s="1"/>
  <c r="A148" i="19"/>
  <c r="U147" i="19"/>
  <c r="T147" i="19"/>
  <c r="S147" i="19"/>
  <c r="G147" i="19"/>
  <c r="A147" i="19"/>
  <c r="U146" i="19"/>
  <c r="T146" i="19"/>
  <c r="S146" i="19"/>
  <c r="G146" i="19"/>
  <c r="A146" i="19"/>
  <c r="U145" i="19"/>
  <c r="T145" i="19"/>
  <c r="S145" i="19"/>
  <c r="G145" i="19"/>
  <c r="A145" i="19"/>
  <c r="U144" i="19"/>
  <c r="T144" i="19"/>
  <c r="S144" i="19"/>
  <c r="G144" i="19"/>
  <c r="A144" i="19"/>
  <c r="U143" i="19"/>
  <c r="T143" i="19"/>
  <c r="S143" i="19"/>
  <c r="G143" i="19"/>
  <c r="A143" i="19"/>
  <c r="U142" i="19"/>
  <c r="T142" i="19"/>
  <c r="S142" i="19"/>
  <c r="G142" i="19"/>
  <c r="A142" i="19"/>
  <c r="U141" i="19"/>
  <c r="T141" i="19"/>
  <c r="S141" i="19"/>
  <c r="G141" i="19"/>
  <c r="A141" i="19"/>
  <c r="U140" i="19"/>
  <c r="T140" i="19"/>
  <c r="S140" i="19"/>
  <c r="G140" i="19"/>
  <c r="A140" i="19"/>
  <c r="U139" i="19"/>
  <c r="T139" i="19"/>
  <c r="S139" i="19"/>
  <c r="G139" i="19"/>
  <c r="A139" i="19"/>
  <c r="U138" i="19"/>
  <c r="T138" i="19"/>
  <c r="S138" i="19"/>
  <c r="G138" i="19"/>
  <c r="A138" i="19"/>
  <c r="U137" i="19"/>
  <c r="T137" i="19"/>
  <c r="S137" i="19"/>
  <c r="G137" i="19"/>
  <c r="A137" i="19"/>
  <c r="U136" i="19"/>
  <c r="T136" i="19"/>
  <c r="S136" i="19"/>
  <c r="G136" i="19"/>
  <c r="A136" i="19"/>
  <c r="U135" i="19"/>
  <c r="T135" i="19"/>
  <c r="S135" i="19"/>
  <c r="G135" i="19"/>
  <c r="A135" i="19"/>
  <c r="U134" i="19"/>
  <c r="T134" i="19"/>
  <c r="S134" i="19"/>
  <c r="G134" i="19"/>
  <c r="A134" i="19"/>
  <c r="U133" i="19"/>
  <c r="T133" i="19"/>
  <c r="S133" i="19"/>
  <c r="G133" i="19"/>
  <c r="A133" i="19"/>
  <c r="U132" i="19"/>
  <c r="T132" i="19"/>
  <c r="S132" i="19"/>
  <c r="G132" i="19"/>
  <c r="A132" i="19"/>
  <c r="U131" i="19"/>
  <c r="T131" i="19"/>
  <c r="S131" i="19"/>
  <c r="G131" i="19"/>
  <c r="A131" i="19"/>
  <c r="U130" i="19"/>
  <c r="T130" i="19"/>
  <c r="S130" i="19"/>
  <c r="G130" i="19"/>
  <c r="A130" i="19"/>
  <c r="U129" i="19"/>
  <c r="T129" i="19"/>
  <c r="S129" i="19"/>
  <c r="G129" i="19"/>
  <c r="A129" i="19"/>
  <c r="U128" i="19"/>
  <c r="T128" i="19"/>
  <c r="S128" i="19"/>
  <c r="G128" i="19"/>
  <c r="A128" i="19"/>
  <c r="U127" i="19"/>
  <c r="T127" i="19"/>
  <c r="S127" i="19"/>
  <c r="G127" i="19"/>
  <c r="A127" i="19"/>
  <c r="U126" i="19"/>
  <c r="T126" i="19"/>
  <c r="S126" i="19"/>
  <c r="G126" i="19"/>
  <c r="A126" i="19"/>
  <c r="U125" i="19"/>
  <c r="T125" i="19"/>
  <c r="S125" i="19"/>
  <c r="G125" i="19"/>
  <c r="A125" i="19"/>
  <c r="U124" i="19"/>
  <c r="T124" i="19"/>
  <c r="S124" i="19"/>
  <c r="G124" i="19"/>
  <c r="A124" i="19"/>
  <c r="U123" i="19"/>
  <c r="T123" i="19"/>
  <c r="S123" i="19"/>
  <c r="G123" i="19"/>
  <c r="A123" i="19"/>
  <c r="U122" i="19"/>
  <c r="T122" i="19"/>
  <c r="S122" i="19"/>
  <c r="G122" i="19"/>
  <c r="A122" i="19"/>
  <c r="U121" i="19"/>
  <c r="T121" i="19"/>
  <c r="S121" i="19"/>
  <c r="G121" i="19"/>
  <c r="A121" i="19"/>
  <c r="U120" i="19"/>
  <c r="T120" i="19"/>
  <c r="S120" i="19"/>
  <c r="G120" i="19"/>
  <c r="A120" i="19"/>
  <c r="U119" i="19"/>
  <c r="T119" i="19"/>
  <c r="S119" i="19"/>
  <c r="G119" i="19"/>
  <c r="A119" i="19"/>
  <c r="U118" i="19"/>
  <c r="T118" i="19"/>
  <c r="S118" i="19"/>
  <c r="G118" i="19"/>
  <c r="A118" i="19"/>
  <c r="U117" i="19"/>
  <c r="T117" i="19"/>
  <c r="S117" i="19"/>
  <c r="G117" i="19"/>
  <c r="A117" i="19"/>
  <c r="U116" i="19"/>
  <c r="T116" i="19"/>
  <c r="S116" i="19"/>
  <c r="G116" i="19"/>
  <c r="J116" i="19" s="1"/>
  <c r="A116" i="19"/>
  <c r="U115" i="19"/>
  <c r="T115" i="19"/>
  <c r="S115" i="19"/>
  <c r="G115" i="19"/>
  <c r="A115" i="19"/>
  <c r="U114" i="19"/>
  <c r="T114" i="19"/>
  <c r="S114" i="19"/>
  <c r="G114" i="19"/>
  <c r="A114" i="19"/>
  <c r="U113" i="19"/>
  <c r="T113" i="19"/>
  <c r="S113" i="19"/>
  <c r="G113" i="19"/>
  <c r="A113" i="19"/>
  <c r="U112" i="19"/>
  <c r="T112" i="19"/>
  <c r="S112" i="19"/>
  <c r="G112" i="19"/>
  <c r="A112" i="19"/>
  <c r="U111" i="19"/>
  <c r="T111" i="19"/>
  <c r="S111" i="19"/>
  <c r="G111" i="19"/>
  <c r="A111" i="19"/>
  <c r="U110" i="19"/>
  <c r="T110" i="19"/>
  <c r="S110" i="19"/>
  <c r="G110" i="19"/>
  <c r="A110" i="19"/>
  <c r="U109" i="19"/>
  <c r="T109" i="19"/>
  <c r="S109" i="19"/>
  <c r="G109" i="19"/>
  <c r="A109" i="19"/>
  <c r="U108" i="19"/>
  <c r="T108" i="19"/>
  <c r="S108" i="19"/>
  <c r="G108" i="19"/>
  <c r="A108" i="19"/>
  <c r="U107" i="19"/>
  <c r="T107" i="19"/>
  <c r="S107" i="19"/>
  <c r="G107" i="19"/>
  <c r="A107" i="19"/>
  <c r="U106" i="19"/>
  <c r="T106" i="19"/>
  <c r="S106" i="19"/>
  <c r="G106" i="19"/>
  <c r="A106" i="19"/>
  <c r="U105" i="19"/>
  <c r="T105" i="19"/>
  <c r="S105" i="19"/>
  <c r="G105" i="19"/>
  <c r="A105" i="19"/>
  <c r="U104" i="19"/>
  <c r="T104" i="19"/>
  <c r="S104" i="19"/>
  <c r="G104" i="19"/>
  <c r="A104" i="19"/>
  <c r="U103" i="19"/>
  <c r="T103" i="19"/>
  <c r="S103" i="19"/>
  <c r="G103" i="19"/>
  <c r="A103" i="19"/>
  <c r="U102" i="19"/>
  <c r="T102" i="19"/>
  <c r="S102" i="19"/>
  <c r="G102" i="19"/>
  <c r="A102" i="19"/>
  <c r="U101" i="19"/>
  <c r="T101" i="19"/>
  <c r="S101" i="19"/>
  <c r="G101" i="19"/>
  <c r="A101" i="19"/>
  <c r="U100" i="19"/>
  <c r="T100" i="19"/>
  <c r="S100" i="19"/>
  <c r="G100" i="19"/>
  <c r="A100" i="19"/>
  <c r="U99" i="19"/>
  <c r="T99" i="19"/>
  <c r="S99" i="19"/>
  <c r="G99" i="19"/>
  <c r="A99" i="19"/>
  <c r="U98" i="19"/>
  <c r="T98" i="19"/>
  <c r="S98" i="19"/>
  <c r="G98" i="19"/>
  <c r="I98" i="19" s="1"/>
  <c r="A98" i="19"/>
  <c r="U97" i="19"/>
  <c r="T97" i="19"/>
  <c r="S97" i="19"/>
  <c r="G97" i="19"/>
  <c r="A97" i="19"/>
  <c r="U96" i="19"/>
  <c r="T96" i="19"/>
  <c r="S96" i="19"/>
  <c r="G96" i="19"/>
  <c r="A96" i="19"/>
  <c r="U95" i="19"/>
  <c r="T95" i="19"/>
  <c r="S95" i="19"/>
  <c r="G95" i="19"/>
  <c r="A95" i="19"/>
  <c r="U94" i="19"/>
  <c r="T94" i="19"/>
  <c r="S94" i="19"/>
  <c r="G94" i="19"/>
  <c r="A94" i="19"/>
  <c r="U93" i="19"/>
  <c r="T93" i="19"/>
  <c r="S93" i="19"/>
  <c r="G93" i="19"/>
  <c r="A93" i="19"/>
  <c r="U92" i="19"/>
  <c r="T92" i="19"/>
  <c r="S92" i="19"/>
  <c r="G92" i="19"/>
  <c r="A92" i="19"/>
  <c r="U91" i="19"/>
  <c r="T91" i="19"/>
  <c r="S91" i="19"/>
  <c r="G91" i="19"/>
  <c r="A91" i="19"/>
  <c r="U90" i="19"/>
  <c r="T90" i="19"/>
  <c r="S90" i="19"/>
  <c r="G90" i="19"/>
  <c r="A90" i="19"/>
  <c r="U89" i="19"/>
  <c r="T89" i="19"/>
  <c r="S89" i="19"/>
  <c r="G89" i="19"/>
  <c r="A89" i="19"/>
  <c r="U88" i="19"/>
  <c r="T88" i="19"/>
  <c r="S88" i="19"/>
  <c r="G88" i="19"/>
  <c r="A88" i="19"/>
  <c r="U87" i="19"/>
  <c r="T87" i="19"/>
  <c r="S87" i="19"/>
  <c r="G87" i="19"/>
  <c r="A87" i="19"/>
  <c r="U86" i="19"/>
  <c r="T86" i="19"/>
  <c r="S86" i="19"/>
  <c r="G86" i="19"/>
  <c r="A86" i="19"/>
  <c r="U85" i="19"/>
  <c r="T85" i="19"/>
  <c r="S85" i="19"/>
  <c r="G85" i="19"/>
  <c r="A85" i="19"/>
  <c r="U84" i="19"/>
  <c r="T84" i="19"/>
  <c r="S84" i="19"/>
  <c r="G84" i="19"/>
  <c r="A84" i="19"/>
  <c r="U83" i="19"/>
  <c r="T83" i="19"/>
  <c r="S83" i="19"/>
  <c r="G83" i="19"/>
  <c r="A83" i="19"/>
  <c r="U82" i="19"/>
  <c r="T82" i="19"/>
  <c r="S82" i="19"/>
  <c r="G82" i="19"/>
  <c r="A82" i="19"/>
  <c r="U81" i="19"/>
  <c r="T81" i="19"/>
  <c r="S81" i="19"/>
  <c r="G81" i="19"/>
  <c r="A81" i="19"/>
  <c r="U80" i="19"/>
  <c r="T80" i="19"/>
  <c r="S80" i="19"/>
  <c r="G80" i="19"/>
  <c r="A80" i="19"/>
  <c r="U79" i="19"/>
  <c r="T79" i="19"/>
  <c r="S79" i="19"/>
  <c r="G79" i="19"/>
  <c r="A79" i="19"/>
  <c r="U78" i="19"/>
  <c r="T78" i="19"/>
  <c r="S78" i="19"/>
  <c r="G78" i="19"/>
  <c r="A78" i="19"/>
  <c r="U77" i="19"/>
  <c r="T77" i="19"/>
  <c r="S77" i="19"/>
  <c r="G77" i="19"/>
  <c r="A77" i="19"/>
  <c r="U76" i="19"/>
  <c r="T76" i="19"/>
  <c r="S76" i="19"/>
  <c r="G76" i="19"/>
  <c r="A76" i="19"/>
  <c r="U75" i="19"/>
  <c r="T75" i="19"/>
  <c r="S75" i="19"/>
  <c r="G75" i="19"/>
  <c r="A75" i="19"/>
  <c r="U74" i="19"/>
  <c r="T74" i="19"/>
  <c r="S74" i="19"/>
  <c r="G74" i="19"/>
  <c r="A74" i="19"/>
  <c r="U73" i="19"/>
  <c r="T73" i="19"/>
  <c r="S73" i="19"/>
  <c r="G73" i="19"/>
  <c r="A73" i="19"/>
  <c r="U72" i="19"/>
  <c r="T72" i="19"/>
  <c r="S72" i="19"/>
  <c r="G72" i="19"/>
  <c r="A72" i="19"/>
  <c r="U71" i="19"/>
  <c r="T71" i="19"/>
  <c r="S71" i="19"/>
  <c r="G71" i="19"/>
  <c r="A71" i="19"/>
  <c r="U70" i="19"/>
  <c r="T70" i="19"/>
  <c r="S70" i="19"/>
  <c r="G70" i="19"/>
  <c r="A70" i="19"/>
  <c r="U69" i="19"/>
  <c r="T69" i="19"/>
  <c r="S69" i="19"/>
  <c r="G69" i="19"/>
  <c r="I69" i="19" s="1"/>
  <c r="A69" i="19"/>
  <c r="U68" i="19"/>
  <c r="T68" i="19"/>
  <c r="S68" i="19"/>
  <c r="G68" i="19"/>
  <c r="A68" i="19"/>
  <c r="U67" i="19"/>
  <c r="T67" i="19"/>
  <c r="S67" i="19"/>
  <c r="G67" i="19"/>
  <c r="A67" i="19"/>
  <c r="U66" i="19"/>
  <c r="T66" i="19"/>
  <c r="S66" i="19"/>
  <c r="G66" i="19"/>
  <c r="A66" i="19"/>
  <c r="U65" i="19"/>
  <c r="T65" i="19"/>
  <c r="S65" i="19"/>
  <c r="G65" i="19"/>
  <c r="A65" i="19"/>
  <c r="U64" i="19"/>
  <c r="T64" i="19"/>
  <c r="S64" i="19"/>
  <c r="G64" i="19"/>
  <c r="A64" i="19"/>
  <c r="U63" i="19"/>
  <c r="T63" i="19"/>
  <c r="S63" i="19"/>
  <c r="G63" i="19"/>
  <c r="A63" i="19"/>
  <c r="U62" i="19"/>
  <c r="T62" i="19"/>
  <c r="S62" i="19"/>
  <c r="G62" i="19"/>
  <c r="A62" i="19"/>
  <c r="U61" i="19"/>
  <c r="T61" i="19"/>
  <c r="S61" i="19"/>
  <c r="G61" i="19"/>
  <c r="A61" i="19"/>
  <c r="U60" i="19"/>
  <c r="T60" i="19"/>
  <c r="S60" i="19"/>
  <c r="G60" i="19"/>
  <c r="A60" i="19"/>
  <c r="U59" i="19"/>
  <c r="T59" i="19"/>
  <c r="S59" i="19"/>
  <c r="G59" i="19"/>
  <c r="A59" i="19"/>
  <c r="U58" i="19"/>
  <c r="T58" i="19"/>
  <c r="S58" i="19"/>
  <c r="G58" i="19"/>
  <c r="A58" i="19"/>
  <c r="U57" i="19"/>
  <c r="T57" i="19"/>
  <c r="S57" i="19"/>
  <c r="G57" i="19"/>
  <c r="A57" i="19"/>
  <c r="U56" i="19"/>
  <c r="T56" i="19"/>
  <c r="S56" i="19"/>
  <c r="G56" i="19"/>
  <c r="A56" i="19"/>
  <c r="U55" i="19"/>
  <c r="T55" i="19"/>
  <c r="S55" i="19"/>
  <c r="G55" i="19"/>
  <c r="A55" i="19"/>
  <c r="U54" i="19"/>
  <c r="T54" i="19"/>
  <c r="S54" i="19"/>
  <c r="G54" i="19"/>
  <c r="A54" i="19"/>
  <c r="U53" i="19"/>
  <c r="T53" i="19"/>
  <c r="S53" i="19"/>
  <c r="G53" i="19"/>
  <c r="A53" i="19"/>
  <c r="U52" i="19"/>
  <c r="T52" i="19"/>
  <c r="S52" i="19"/>
  <c r="G52" i="19"/>
  <c r="A52" i="19"/>
  <c r="U51" i="19"/>
  <c r="T51" i="19"/>
  <c r="S51" i="19"/>
  <c r="G51" i="19"/>
  <c r="A51" i="19"/>
  <c r="U50" i="19"/>
  <c r="T50" i="19"/>
  <c r="S50" i="19"/>
  <c r="G50" i="19"/>
  <c r="A50" i="19"/>
  <c r="U49" i="19"/>
  <c r="T49" i="19"/>
  <c r="S49" i="19"/>
  <c r="G49" i="19"/>
  <c r="A49" i="19"/>
  <c r="U48" i="19"/>
  <c r="T48" i="19"/>
  <c r="S48" i="19"/>
  <c r="G48" i="19"/>
  <c r="A48" i="19"/>
  <c r="U47" i="19"/>
  <c r="T47" i="19"/>
  <c r="S47" i="19"/>
  <c r="G47" i="19"/>
  <c r="A47" i="19"/>
  <c r="U46" i="19"/>
  <c r="T46" i="19"/>
  <c r="S46" i="19"/>
  <c r="G46" i="19"/>
  <c r="A46" i="19"/>
  <c r="U45" i="19"/>
  <c r="T45" i="19"/>
  <c r="S45" i="19"/>
  <c r="G45" i="19"/>
  <c r="A45" i="19"/>
  <c r="U44" i="19"/>
  <c r="T44" i="19"/>
  <c r="S44" i="19"/>
  <c r="G44" i="19"/>
  <c r="A44" i="19"/>
  <c r="U43" i="19"/>
  <c r="T43" i="19"/>
  <c r="S43" i="19"/>
  <c r="G43" i="19"/>
  <c r="A43" i="19"/>
  <c r="U42" i="19"/>
  <c r="T42" i="19"/>
  <c r="S42" i="19"/>
  <c r="G42" i="19"/>
  <c r="A42" i="19"/>
  <c r="U41" i="19"/>
  <c r="T41" i="19"/>
  <c r="S41" i="19"/>
  <c r="G41" i="19"/>
  <c r="A41" i="19"/>
  <c r="U40" i="19"/>
  <c r="T40" i="19"/>
  <c r="S40" i="19"/>
  <c r="G40" i="19"/>
  <c r="A40" i="19"/>
  <c r="U39" i="19"/>
  <c r="T39" i="19"/>
  <c r="S39" i="19"/>
  <c r="G39" i="19"/>
  <c r="A39" i="19"/>
  <c r="U38" i="19"/>
  <c r="T38" i="19"/>
  <c r="S38" i="19"/>
  <c r="G38" i="19"/>
  <c r="A38" i="19"/>
  <c r="U37" i="19"/>
  <c r="T37" i="19"/>
  <c r="S37" i="19"/>
  <c r="G37" i="19"/>
  <c r="A37" i="19"/>
  <c r="U36" i="19"/>
  <c r="T36" i="19"/>
  <c r="S36" i="19"/>
  <c r="G36" i="19"/>
  <c r="A36" i="19"/>
  <c r="U35" i="19"/>
  <c r="T35" i="19"/>
  <c r="S35" i="19"/>
  <c r="G35" i="19"/>
  <c r="A35" i="19"/>
  <c r="U34" i="19"/>
  <c r="T34" i="19"/>
  <c r="S34" i="19"/>
  <c r="G34" i="19"/>
  <c r="A34" i="19"/>
  <c r="U33" i="19"/>
  <c r="T33" i="19"/>
  <c r="S33" i="19"/>
  <c r="G33" i="19"/>
  <c r="A33" i="19"/>
  <c r="U32" i="19"/>
  <c r="T32" i="19"/>
  <c r="S32" i="19"/>
  <c r="G32" i="19"/>
  <c r="A32" i="19"/>
  <c r="A31" i="19"/>
  <c r="A30" i="19"/>
  <c r="A29" i="19"/>
  <c r="A28" i="19"/>
  <c r="A27" i="19"/>
  <c r="A26" i="19"/>
  <c r="A25" i="19"/>
  <c r="A24" i="19"/>
  <c r="A23" i="19"/>
  <c r="A22" i="19"/>
  <c r="A21" i="19"/>
  <c r="A20" i="19"/>
  <c r="A19" i="19"/>
  <c r="A18" i="19"/>
  <c r="A17" i="19"/>
  <c r="A16" i="19"/>
  <c r="A15" i="19"/>
  <c r="A14" i="19"/>
  <c r="A13" i="19"/>
  <c r="A48" i="6"/>
  <c r="A47" i="6"/>
  <c r="A46" i="6"/>
  <c r="A45" i="6"/>
  <c r="A44" i="6"/>
  <c r="A43" i="6"/>
  <c r="A42" i="6"/>
  <c r="A41" i="6"/>
  <c r="A40" i="6"/>
  <c r="A39" i="6"/>
  <c r="A38" i="6"/>
  <c r="A37" i="6"/>
  <c r="A34" i="6"/>
  <c r="A33" i="6"/>
  <c r="T33" i="6"/>
  <c r="A44" i="5"/>
  <c r="A8" i="6"/>
  <c r="A7" i="15"/>
  <c r="Y6" i="9" s="1"/>
  <c r="AM304" i="15"/>
  <c r="W304" i="15"/>
  <c r="A304" i="15"/>
  <c r="AN304" i="15" s="1"/>
  <c r="AM303" i="15"/>
  <c r="W303" i="15"/>
  <c r="A303" i="15"/>
  <c r="AN303" i="15" s="1"/>
  <c r="AM302" i="15"/>
  <c r="W302" i="15"/>
  <c r="A302" i="15"/>
  <c r="AN302" i="15" s="1"/>
  <c r="AM301" i="15"/>
  <c r="W301" i="15"/>
  <c r="A301" i="15"/>
  <c r="AN301" i="15" s="1"/>
  <c r="AM300" i="15"/>
  <c r="W300" i="15"/>
  <c r="A300" i="15"/>
  <c r="AN300" i="15" s="1"/>
  <c r="AM299" i="15"/>
  <c r="W299" i="15"/>
  <c r="A299" i="15"/>
  <c r="AN299" i="15" s="1"/>
  <c r="AM298" i="15"/>
  <c r="W298" i="15"/>
  <c r="A298" i="15"/>
  <c r="AN298" i="15" s="1"/>
  <c r="AM297" i="15"/>
  <c r="W297" i="15"/>
  <c r="A297" i="15"/>
  <c r="AN297" i="15" s="1"/>
  <c r="AM296" i="15"/>
  <c r="W296" i="15"/>
  <c r="A296" i="15"/>
  <c r="AN296" i="15" s="1"/>
  <c r="AM295" i="15"/>
  <c r="W295" i="15"/>
  <c r="A295" i="15"/>
  <c r="AN295" i="15" s="1"/>
  <c r="AM294" i="15"/>
  <c r="W294" i="15"/>
  <c r="A294" i="15"/>
  <c r="AN294" i="15" s="1"/>
  <c r="AM293" i="15"/>
  <c r="W293" i="15"/>
  <c r="A293" i="15"/>
  <c r="AN293" i="15" s="1"/>
  <c r="AM292" i="15"/>
  <c r="W292" i="15"/>
  <c r="A292" i="15"/>
  <c r="AN292" i="15" s="1"/>
  <c r="AM291" i="15"/>
  <c r="W291" i="15"/>
  <c r="A291" i="15"/>
  <c r="AN291" i="15" s="1"/>
  <c r="AM290" i="15"/>
  <c r="W290" i="15"/>
  <c r="A290" i="15"/>
  <c r="AN290" i="15" s="1"/>
  <c r="AM289" i="15"/>
  <c r="W289" i="15"/>
  <c r="A289" i="15"/>
  <c r="Y288" i="9" s="1"/>
  <c r="AM288" i="15"/>
  <c r="W288" i="15"/>
  <c r="A288" i="15"/>
  <c r="AN288" i="15" s="1"/>
  <c r="AM287" i="15"/>
  <c r="W287" i="15"/>
  <c r="A287" i="15"/>
  <c r="Y286" i="9" s="1"/>
  <c r="AM286" i="15"/>
  <c r="W286" i="15"/>
  <c r="A286" i="15"/>
  <c r="AN286" i="15" s="1"/>
  <c r="AM285" i="15"/>
  <c r="W285" i="15"/>
  <c r="A285" i="15"/>
  <c r="AN285" i="15" s="1"/>
  <c r="AM284" i="15"/>
  <c r="W284" i="15"/>
  <c r="A284" i="15"/>
  <c r="AN284" i="15" s="1"/>
  <c r="AM283" i="15"/>
  <c r="W283" i="15"/>
  <c r="A283" i="15"/>
  <c r="AN283" i="15" s="1"/>
  <c r="AM282" i="15"/>
  <c r="W282" i="15"/>
  <c r="A282" i="15"/>
  <c r="AN282" i="15" s="1"/>
  <c r="AM281" i="15"/>
  <c r="W281" i="15"/>
  <c r="A281" i="15"/>
  <c r="AN281" i="15" s="1"/>
  <c r="AM280" i="15"/>
  <c r="W280" i="15"/>
  <c r="A280" i="15"/>
  <c r="Y279" i="9" s="1"/>
  <c r="AM279" i="15"/>
  <c r="W279" i="15"/>
  <c r="A279" i="15"/>
  <c r="AN279" i="15" s="1"/>
  <c r="AM278" i="15"/>
  <c r="W278" i="15"/>
  <c r="A278" i="15"/>
  <c r="AN278" i="15" s="1"/>
  <c r="AM277" i="15"/>
  <c r="W277" i="15"/>
  <c r="A277" i="15"/>
  <c r="AN277" i="15" s="1"/>
  <c r="AM276" i="15"/>
  <c r="W276" i="15"/>
  <c r="A276" i="15"/>
  <c r="Y275" i="9" s="1"/>
  <c r="AM275" i="15"/>
  <c r="W275" i="15"/>
  <c r="A275" i="15"/>
  <c r="AN275" i="15" s="1"/>
  <c r="AM274" i="15"/>
  <c r="W274" i="15"/>
  <c r="A274" i="15"/>
  <c r="AN274" i="15" s="1"/>
  <c r="AM273" i="15"/>
  <c r="W273" i="15"/>
  <c r="A273" i="15"/>
  <c r="Y272" i="9" s="1"/>
  <c r="AM272" i="15"/>
  <c r="W272" i="15"/>
  <c r="A272" i="15"/>
  <c r="AN272" i="15" s="1"/>
  <c r="AM271" i="15"/>
  <c r="W271" i="15"/>
  <c r="A271" i="15"/>
  <c r="AN271" i="15" s="1"/>
  <c r="AM270" i="15"/>
  <c r="W270" i="15"/>
  <c r="A270" i="15"/>
  <c r="AN270" i="15" s="1"/>
  <c r="AM269" i="15"/>
  <c r="W269" i="15"/>
  <c r="A269" i="15"/>
  <c r="AN269" i="15" s="1"/>
  <c r="AM268" i="15"/>
  <c r="W268" i="15"/>
  <c r="A268" i="15"/>
  <c r="AN268" i="15" s="1"/>
  <c r="AM267" i="15"/>
  <c r="W267" i="15"/>
  <c r="A267" i="15"/>
  <c r="Y266" i="9" s="1"/>
  <c r="AM266" i="15"/>
  <c r="W266" i="15"/>
  <c r="A266" i="15"/>
  <c r="AN266" i="15" s="1"/>
  <c r="AM265" i="15"/>
  <c r="W265" i="15"/>
  <c r="A265" i="15"/>
  <c r="AN265" i="15" s="1"/>
  <c r="AM264" i="15"/>
  <c r="W264" i="15"/>
  <c r="A264" i="15"/>
  <c r="AN264" i="15" s="1"/>
  <c r="AM263" i="15"/>
  <c r="W263" i="15"/>
  <c r="A263" i="15"/>
  <c r="AN263" i="15" s="1"/>
  <c r="AM262" i="15"/>
  <c r="W262" i="15"/>
  <c r="A262" i="15"/>
  <c r="AN262" i="15" s="1"/>
  <c r="AM261" i="15"/>
  <c r="W261" i="15"/>
  <c r="A261" i="15"/>
  <c r="AN261" i="15" s="1"/>
  <c r="AM260" i="15"/>
  <c r="W260" i="15"/>
  <c r="A260" i="15"/>
  <c r="AN260" i="15" s="1"/>
  <c r="AM259" i="15"/>
  <c r="W259" i="15"/>
  <c r="A259" i="15"/>
  <c r="AN259" i="15" s="1"/>
  <c r="AM258" i="15"/>
  <c r="W258" i="15"/>
  <c r="A258" i="15"/>
  <c r="Y257" i="9" s="1"/>
  <c r="AM257" i="15"/>
  <c r="W257" i="15"/>
  <c r="A257" i="15"/>
  <c r="AN257" i="15" s="1"/>
  <c r="AM256" i="15"/>
  <c r="W256" i="15"/>
  <c r="A256" i="15"/>
  <c r="AN256" i="15" s="1"/>
  <c r="AM255" i="15"/>
  <c r="W255" i="15"/>
  <c r="A255" i="15"/>
  <c r="AN255" i="15" s="1"/>
  <c r="AM254" i="15"/>
  <c r="W254" i="15"/>
  <c r="A254" i="15"/>
  <c r="Y253" i="9" s="1"/>
  <c r="AM253" i="15"/>
  <c r="W253" i="15"/>
  <c r="A253" i="15"/>
  <c r="AN253" i="15" s="1"/>
  <c r="AM252" i="15"/>
  <c r="W252" i="15"/>
  <c r="A252" i="15"/>
  <c r="AN252" i="15" s="1"/>
  <c r="AM251" i="15"/>
  <c r="W251" i="15"/>
  <c r="A251" i="15"/>
  <c r="Y250" i="9" s="1"/>
  <c r="AM250" i="15"/>
  <c r="W250" i="15"/>
  <c r="A250" i="15"/>
  <c r="AN250" i="15" s="1"/>
  <c r="AM249" i="15"/>
  <c r="W249" i="15"/>
  <c r="A249" i="15"/>
  <c r="AN249" i="15" s="1"/>
  <c r="AM248" i="15"/>
  <c r="W248" i="15"/>
  <c r="A248" i="15"/>
  <c r="AN248" i="15" s="1"/>
  <c r="AM247" i="15"/>
  <c r="W247" i="15"/>
  <c r="A247" i="15"/>
  <c r="Y246" i="9" s="1"/>
  <c r="AM246" i="15"/>
  <c r="W246" i="15"/>
  <c r="A246" i="15"/>
  <c r="AN246" i="15" s="1"/>
  <c r="AM245" i="15"/>
  <c r="W245" i="15"/>
  <c r="A245" i="15"/>
  <c r="AN245" i="15" s="1"/>
  <c r="AM244" i="15"/>
  <c r="W244" i="15"/>
  <c r="A244" i="15"/>
  <c r="AN244" i="15" s="1"/>
  <c r="AM243" i="15"/>
  <c r="W243" i="15"/>
  <c r="A243" i="15"/>
  <c r="Y242" i="9" s="1"/>
  <c r="AM242" i="15"/>
  <c r="W242" i="15"/>
  <c r="A242" i="15"/>
  <c r="AN242" i="15" s="1"/>
  <c r="AM241" i="15"/>
  <c r="W241" i="15"/>
  <c r="A241" i="15"/>
  <c r="AN241" i="15" s="1"/>
  <c r="AM240" i="15"/>
  <c r="W240" i="15"/>
  <c r="A240" i="15"/>
  <c r="AN240" i="15" s="1"/>
  <c r="AM239" i="15"/>
  <c r="W239" i="15"/>
  <c r="A239" i="15"/>
  <c r="AN239" i="15" s="1"/>
  <c r="AM238" i="15"/>
  <c r="W238" i="15"/>
  <c r="A238" i="15"/>
  <c r="AN238" i="15" s="1"/>
  <c r="AM237" i="15"/>
  <c r="W237" i="15"/>
  <c r="A237" i="15"/>
  <c r="AN237" i="15" s="1"/>
  <c r="AM236" i="15"/>
  <c r="W236" i="15"/>
  <c r="A236" i="15"/>
  <c r="AN236" i="15" s="1"/>
  <c r="AM235" i="15"/>
  <c r="W235" i="15"/>
  <c r="A235" i="15"/>
  <c r="AN235" i="15" s="1"/>
  <c r="AM234" i="15"/>
  <c r="W234" i="15"/>
  <c r="A234" i="15"/>
  <c r="Y233" i="9" s="1"/>
  <c r="AM233" i="15"/>
  <c r="W233" i="15"/>
  <c r="A233" i="15"/>
  <c r="AN233" i="15" s="1"/>
  <c r="AM232" i="15"/>
  <c r="W232" i="15"/>
  <c r="A232" i="15"/>
  <c r="AN232" i="15" s="1"/>
  <c r="AM231" i="15"/>
  <c r="W231" i="15"/>
  <c r="A231" i="15"/>
  <c r="AN231" i="15" s="1"/>
  <c r="AM230" i="15"/>
  <c r="W230" i="15"/>
  <c r="A230" i="15"/>
  <c r="AN230" i="15" s="1"/>
  <c r="AM229" i="15"/>
  <c r="W229" i="15"/>
  <c r="A229" i="15"/>
  <c r="Y228" i="9" s="1"/>
  <c r="AM228" i="15"/>
  <c r="W228" i="15"/>
  <c r="A228" i="15"/>
  <c r="AN228" i="15" s="1"/>
  <c r="AM227" i="15"/>
  <c r="W227" i="15"/>
  <c r="A227" i="15"/>
  <c r="AN227" i="15" s="1"/>
  <c r="AM226" i="15"/>
  <c r="W226" i="15"/>
  <c r="A226" i="15"/>
  <c r="AN226" i="15" s="1"/>
  <c r="AM225" i="15"/>
  <c r="W225" i="15"/>
  <c r="A225" i="15"/>
  <c r="AN225" i="15" s="1"/>
  <c r="AM224" i="15"/>
  <c r="W224" i="15"/>
  <c r="A224" i="15"/>
  <c r="AN224" i="15" s="1"/>
  <c r="AM223" i="15"/>
  <c r="W223" i="15"/>
  <c r="A223" i="15"/>
  <c r="Y222" i="9" s="1"/>
  <c r="AM222" i="15"/>
  <c r="W222" i="15"/>
  <c r="A222" i="15"/>
  <c r="AN222" i="15" s="1"/>
  <c r="AM221" i="15"/>
  <c r="W221" i="15"/>
  <c r="A221" i="15"/>
  <c r="AN221" i="15" s="1"/>
  <c r="AM220" i="15"/>
  <c r="W220" i="15"/>
  <c r="A220" i="15"/>
  <c r="AN220" i="15" s="1"/>
  <c r="AM219" i="15"/>
  <c r="W219" i="15"/>
  <c r="A219" i="15"/>
  <c r="AN219" i="15" s="1"/>
  <c r="AM218" i="15"/>
  <c r="W218" i="15"/>
  <c r="A218" i="15"/>
  <c r="AN218" i="15" s="1"/>
  <c r="AM217" i="15"/>
  <c r="W217" i="15"/>
  <c r="A217" i="15"/>
  <c r="AN217" i="15" s="1"/>
  <c r="AM216" i="15"/>
  <c r="W216" i="15"/>
  <c r="A216" i="15"/>
  <c r="AN216" i="15" s="1"/>
  <c r="AM215" i="15"/>
  <c r="W215" i="15"/>
  <c r="A215" i="15"/>
  <c r="AN215" i="15" s="1"/>
  <c r="AM214" i="15"/>
  <c r="W214" i="15"/>
  <c r="A214" i="15"/>
  <c r="AN214" i="15" s="1"/>
  <c r="AM213" i="15"/>
  <c r="W213" i="15"/>
  <c r="A213" i="15"/>
  <c r="AN213" i="15" s="1"/>
  <c r="AM212" i="15"/>
  <c r="W212" i="15"/>
  <c r="A212" i="15"/>
  <c r="AN212" i="15" s="1"/>
  <c r="AM211" i="15"/>
  <c r="W211" i="15"/>
  <c r="A211" i="15"/>
  <c r="AN211" i="15" s="1"/>
  <c r="AM210" i="15"/>
  <c r="W210" i="15"/>
  <c r="A210" i="15"/>
  <c r="AN210" i="15" s="1"/>
  <c r="AM209" i="15"/>
  <c r="W209" i="15"/>
  <c r="A209" i="15"/>
  <c r="AN209" i="15" s="1"/>
  <c r="AM208" i="15"/>
  <c r="W208" i="15"/>
  <c r="A208" i="15"/>
  <c r="AN208" i="15" s="1"/>
  <c r="AM207" i="15"/>
  <c r="W207" i="15"/>
  <c r="A207" i="15"/>
  <c r="Y206" i="9" s="1"/>
  <c r="AM206" i="15"/>
  <c r="W206" i="15"/>
  <c r="A206" i="15"/>
  <c r="AN206" i="15" s="1"/>
  <c r="AM205" i="15"/>
  <c r="W205" i="15"/>
  <c r="A205" i="15"/>
  <c r="AN205" i="15" s="1"/>
  <c r="AM204" i="15"/>
  <c r="W204" i="15"/>
  <c r="A204" i="15"/>
  <c r="AN204" i="15" s="1"/>
  <c r="AM203" i="15"/>
  <c r="W203" i="15"/>
  <c r="A203" i="15"/>
  <c r="AN203" i="15" s="1"/>
  <c r="AM202" i="15"/>
  <c r="W202" i="15"/>
  <c r="A202" i="15"/>
  <c r="AN202" i="15" s="1"/>
  <c r="AM201" i="15"/>
  <c r="W201" i="15"/>
  <c r="A201" i="15"/>
  <c r="AN201" i="15" s="1"/>
  <c r="AM200" i="15"/>
  <c r="W200" i="15"/>
  <c r="A200" i="15"/>
  <c r="AN200" i="15" s="1"/>
  <c r="AM199" i="15"/>
  <c r="W199" i="15"/>
  <c r="A199" i="15"/>
  <c r="AN199" i="15" s="1"/>
  <c r="AM198" i="15"/>
  <c r="W198" i="15"/>
  <c r="A198" i="15"/>
  <c r="AN198" i="15" s="1"/>
  <c r="AM197" i="15"/>
  <c r="W197" i="15"/>
  <c r="A197" i="15"/>
  <c r="AN197" i="15" s="1"/>
  <c r="AM196" i="15"/>
  <c r="W196" i="15"/>
  <c r="A196" i="15"/>
  <c r="AN196" i="15" s="1"/>
  <c r="AM195" i="15"/>
  <c r="W195" i="15"/>
  <c r="A195" i="15"/>
  <c r="AN195" i="15" s="1"/>
  <c r="AM194" i="15"/>
  <c r="W194" i="15"/>
  <c r="A194" i="15"/>
  <c r="AN194" i="15" s="1"/>
  <c r="AM193" i="15"/>
  <c r="W193" i="15"/>
  <c r="A193" i="15"/>
  <c r="AN193" i="15" s="1"/>
  <c r="AM192" i="15"/>
  <c r="W192" i="15"/>
  <c r="A192" i="15"/>
  <c r="AN192" i="15" s="1"/>
  <c r="AM191" i="15"/>
  <c r="W191" i="15"/>
  <c r="A191" i="15"/>
  <c r="AN191" i="15" s="1"/>
  <c r="AM190" i="15"/>
  <c r="W190" i="15"/>
  <c r="A190" i="15"/>
  <c r="Y189" i="9" s="1"/>
  <c r="AM189" i="15"/>
  <c r="W189" i="15"/>
  <c r="A189" i="15"/>
  <c r="Y188" i="9" s="1"/>
  <c r="AM188" i="15"/>
  <c r="W188" i="15"/>
  <c r="A188" i="15"/>
  <c r="Y187" i="9" s="1"/>
  <c r="AM187" i="15"/>
  <c r="W187" i="15"/>
  <c r="A187" i="15"/>
  <c r="AN187" i="15" s="1"/>
  <c r="AM186" i="15"/>
  <c r="W186" i="15"/>
  <c r="A186" i="15"/>
  <c r="AN186" i="15" s="1"/>
  <c r="AM185" i="15"/>
  <c r="W185" i="15"/>
  <c r="A185" i="15"/>
  <c r="AN185" i="15" s="1"/>
  <c r="AM184" i="15"/>
  <c r="W184" i="15"/>
  <c r="A184" i="15"/>
  <c r="AN184" i="15" s="1"/>
  <c r="AM183" i="15"/>
  <c r="W183" i="15"/>
  <c r="A183" i="15"/>
  <c r="AN183" i="15" s="1"/>
  <c r="AM182" i="15"/>
  <c r="W182" i="15"/>
  <c r="A182" i="15"/>
  <c r="AN182" i="15" s="1"/>
  <c r="AM181" i="15"/>
  <c r="W181" i="15"/>
  <c r="A181" i="15"/>
  <c r="AN181" i="15" s="1"/>
  <c r="AM180" i="15"/>
  <c r="W180" i="15"/>
  <c r="A180" i="15"/>
  <c r="AN180" i="15" s="1"/>
  <c r="AM179" i="15"/>
  <c r="W179" i="15"/>
  <c r="A179" i="15"/>
  <c r="AN179" i="15" s="1"/>
  <c r="AM178" i="15"/>
  <c r="W178" i="15"/>
  <c r="A178" i="15"/>
  <c r="AN178" i="15" s="1"/>
  <c r="AM177" i="15"/>
  <c r="W177" i="15"/>
  <c r="A177" i="15"/>
  <c r="Y176" i="9" s="1"/>
  <c r="AM176" i="15"/>
  <c r="W176" i="15"/>
  <c r="A176" i="15"/>
  <c r="AN176" i="15" s="1"/>
  <c r="AM175" i="15"/>
  <c r="W175" i="15"/>
  <c r="A175" i="15"/>
  <c r="AN175" i="15" s="1"/>
  <c r="AM174" i="15"/>
  <c r="W174" i="15"/>
  <c r="A174" i="15"/>
  <c r="AN174" i="15" s="1"/>
  <c r="AM173" i="15"/>
  <c r="W173" i="15"/>
  <c r="A173" i="15"/>
  <c r="AN173" i="15" s="1"/>
  <c r="AM172" i="15"/>
  <c r="W172" i="15"/>
  <c r="A172" i="15"/>
  <c r="AN172" i="15" s="1"/>
  <c r="AM171" i="15"/>
  <c r="W171" i="15"/>
  <c r="A171" i="15"/>
  <c r="AN171" i="15" s="1"/>
  <c r="AM170" i="15"/>
  <c r="W170" i="15"/>
  <c r="A170" i="15"/>
  <c r="AN170" i="15" s="1"/>
  <c r="AM169" i="15"/>
  <c r="W169" i="15"/>
  <c r="A169" i="15"/>
  <c r="AN169" i="15" s="1"/>
  <c r="AM168" i="15"/>
  <c r="W168" i="15"/>
  <c r="A168" i="15"/>
  <c r="AN168" i="15" s="1"/>
  <c r="AM167" i="15"/>
  <c r="W167" i="15"/>
  <c r="A167" i="15"/>
  <c r="AN167" i="15" s="1"/>
  <c r="AM166" i="15"/>
  <c r="W166" i="15"/>
  <c r="A166" i="15"/>
  <c r="AN166" i="15" s="1"/>
  <c r="AM165" i="15"/>
  <c r="W165" i="15"/>
  <c r="A165" i="15"/>
  <c r="AN165" i="15" s="1"/>
  <c r="AM164" i="15"/>
  <c r="W164" i="15"/>
  <c r="A164" i="15"/>
  <c r="AM163" i="15"/>
  <c r="W163" i="15"/>
  <c r="A163" i="15"/>
  <c r="AN163" i="15" s="1"/>
  <c r="AM162" i="15"/>
  <c r="W162" i="15"/>
  <c r="A162" i="15"/>
  <c r="AN162" i="15" s="1"/>
  <c r="AM161" i="15"/>
  <c r="W161" i="15"/>
  <c r="A161" i="15"/>
  <c r="AN161" i="15" s="1"/>
  <c r="AM160" i="15"/>
  <c r="W160" i="15"/>
  <c r="A160" i="15"/>
  <c r="AN160" i="15" s="1"/>
  <c r="AM159" i="15"/>
  <c r="W159" i="15"/>
  <c r="A159" i="15"/>
  <c r="AN159" i="15" s="1"/>
  <c r="AM158" i="15"/>
  <c r="W158" i="15"/>
  <c r="A158" i="15"/>
  <c r="AN158" i="15" s="1"/>
  <c r="AM157" i="15"/>
  <c r="W157" i="15"/>
  <c r="A157" i="15"/>
  <c r="Y156" i="9" s="1"/>
  <c r="AM156" i="15"/>
  <c r="W156" i="15"/>
  <c r="A156" i="15"/>
  <c r="AN156" i="15" s="1"/>
  <c r="AM155" i="15"/>
  <c r="W155" i="15"/>
  <c r="A155" i="15"/>
  <c r="AN155" i="15" s="1"/>
  <c r="AM154" i="15"/>
  <c r="W154" i="15"/>
  <c r="A154" i="15"/>
  <c r="AN154" i="15" s="1"/>
  <c r="AM153" i="15"/>
  <c r="W153" i="15"/>
  <c r="A153" i="15"/>
  <c r="AN153" i="15" s="1"/>
  <c r="AM152" i="15"/>
  <c r="W152" i="15"/>
  <c r="A152" i="15"/>
  <c r="AN152" i="15" s="1"/>
  <c r="AM151" i="15"/>
  <c r="W151" i="15"/>
  <c r="A151" i="15"/>
  <c r="AM150" i="15"/>
  <c r="W150" i="15"/>
  <c r="A150" i="15"/>
  <c r="AN150" i="15" s="1"/>
  <c r="AM149" i="15"/>
  <c r="W149" i="15"/>
  <c r="A149" i="15"/>
  <c r="AN149" i="15" s="1"/>
  <c r="AM148" i="15"/>
  <c r="W148" i="15"/>
  <c r="A148" i="15"/>
  <c r="AN148" i="15" s="1"/>
  <c r="AM147" i="15"/>
  <c r="W147" i="15"/>
  <c r="A147" i="15"/>
  <c r="AN147" i="15" s="1"/>
  <c r="AM146" i="15"/>
  <c r="W146" i="15"/>
  <c r="A146" i="15"/>
  <c r="AN146" i="15" s="1"/>
  <c r="AM145" i="15"/>
  <c r="W145" i="15"/>
  <c r="A145" i="15"/>
  <c r="AN145" i="15" s="1"/>
  <c r="AM144" i="15"/>
  <c r="W144" i="15"/>
  <c r="A144" i="15"/>
  <c r="AN144" i="15" s="1"/>
  <c r="AM143" i="15"/>
  <c r="W143" i="15"/>
  <c r="A143" i="15"/>
  <c r="AN143" i="15" s="1"/>
  <c r="AM142" i="15"/>
  <c r="W142" i="15"/>
  <c r="A142" i="15"/>
  <c r="AN142" i="15" s="1"/>
  <c r="AM141" i="15"/>
  <c r="W141" i="15"/>
  <c r="A141" i="15"/>
  <c r="AN141" i="15" s="1"/>
  <c r="AM140" i="15"/>
  <c r="W140" i="15"/>
  <c r="A140" i="15"/>
  <c r="AN140" i="15" s="1"/>
  <c r="AM139" i="15"/>
  <c r="W139" i="15"/>
  <c r="A139" i="15"/>
  <c r="AN139" i="15" s="1"/>
  <c r="AM138" i="15"/>
  <c r="W138" i="15"/>
  <c r="A138" i="15"/>
  <c r="AN138" i="15" s="1"/>
  <c r="AM137" i="15"/>
  <c r="W137" i="15"/>
  <c r="A137" i="15"/>
  <c r="AN137" i="15" s="1"/>
  <c r="AM136" i="15"/>
  <c r="W136" i="15"/>
  <c r="A136" i="15"/>
  <c r="AN136" i="15" s="1"/>
  <c r="AM135" i="15"/>
  <c r="W135" i="15"/>
  <c r="A135" i="15"/>
  <c r="AN135" i="15" s="1"/>
  <c r="AM134" i="15"/>
  <c r="W134" i="15"/>
  <c r="A134" i="15"/>
  <c r="AN134" i="15" s="1"/>
  <c r="AM133" i="15"/>
  <c r="W133" i="15"/>
  <c r="A133" i="15"/>
  <c r="AN133" i="15" s="1"/>
  <c r="AM132" i="15"/>
  <c r="W132" i="15"/>
  <c r="A132" i="15"/>
  <c r="AN132" i="15" s="1"/>
  <c r="AM131" i="15"/>
  <c r="W131" i="15"/>
  <c r="A131" i="15"/>
  <c r="AM130" i="15"/>
  <c r="W130" i="15"/>
  <c r="A130" i="15"/>
  <c r="AN130" i="15" s="1"/>
  <c r="AM129" i="15"/>
  <c r="W129" i="15"/>
  <c r="A129" i="15"/>
  <c r="AN129" i="15" s="1"/>
  <c r="AM128" i="15"/>
  <c r="W128" i="15"/>
  <c r="A128" i="15"/>
  <c r="AN128" i="15" s="1"/>
  <c r="AM127" i="15"/>
  <c r="W127" i="15"/>
  <c r="A127" i="15"/>
  <c r="AN127" i="15" s="1"/>
  <c r="AM126" i="15"/>
  <c r="W126" i="15"/>
  <c r="A126" i="15"/>
  <c r="AN126" i="15" s="1"/>
  <c r="AM125" i="15"/>
  <c r="W125" i="15"/>
  <c r="A125" i="15"/>
  <c r="AN125" i="15" s="1"/>
  <c r="AM124" i="15"/>
  <c r="W124" i="15"/>
  <c r="A124" i="15"/>
  <c r="AN124" i="15" s="1"/>
  <c r="AM123" i="15"/>
  <c r="W123" i="15"/>
  <c r="A123" i="15"/>
  <c r="AN123" i="15" s="1"/>
  <c r="AM122" i="15"/>
  <c r="W122" i="15"/>
  <c r="A122" i="15"/>
  <c r="AN122" i="15" s="1"/>
  <c r="AM121" i="15"/>
  <c r="W121" i="15"/>
  <c r="A121" i="15"/>
  <c r="AN121" i="15" s="1"/>
  <c r="AM120" i="15"/>
  <c r="W120" i="15"/>
  <c r="A120" i="15"/>
  <c r="AN120" i="15" s="1"/>
  <c r="AM119" i="15"/>
  <c r="W119" i="15"/>
  <c r="A119" i="15"/>
  <c r="AN119" i="15" s="1"/>
  <c r="AM118" i="15"/>
  <c r="W118" i="15"/>
  <c r="A118" i="15"/>
  <c r="AM117" i="15"/>
  <c r="W117" i="15"/>
  <c r="A117" i="15"/>
  <c r="AN117" i="15" s="1"/>
  <c r="AM116" i="15"/>
  <c r="W116" i="15"/>
  <c r="A116" i="15"/>
  <c r="AN116" i="15" s="1"/>
  <c r="AM115" i="15"/>
  <c r="W115" i="15"/>
  <c r="A115" i="15"/>
  <c r="AN115" i="15" s="1"/>
  <c r="AM114" i="15"/>
  <c r="W114" i="15"/>
  <c r="A114" i="15"/>
  <c r="AN114" i="15" s="1"/>
  <c r="AM113" i="15"/>
  <c r="W113" i="15"/>
  <c r="A113" i="15"/>
  <c r="AN113" i="15" s="1"/>
  <c r="AM112" i="15"/>
  <c r="W112" i="15"/>
  <c r="A112" i="15"/>
  <c r="Y111" i="9" s="1"/>
  <c r="AM111" i="15"/>
  <c r="W111" i="15"/>
  <c r="A111" i="15"/>
  <c r="AN111" i="15" s="1"/>
  <c r="AM110" i="15"/>
  <c r="W110" i="15"/>
  <c r="A110" i="15"/>
  <c r="AN110" i="15" s="1"/>
  <c r="AM109" i="15"/>
  <c r="W109" i="15"/>
  <c r="A109" i="15"/>
  <c r="AN109" i="15" s="1"/>
  <c r="AM108" i="15"/>
  <c r="W108" i="15"/>
  <c r="A108" i="15"/>
  <c r="AN108" i="15" s="1"/>
  <c r="AM107" i="15"/>
  <c r="W107" i="15"/>
  <c r="A107" i="15"/>
  <c r="AN107" i="15" s="1"/>
  <c r="AM106" i="15"/>
  <c r="W106" i="15"/>
  <c r="A106" i="15"/>
  <c r="AN106" i="15" s="1"/>
  <c r="AM105" i="15"/>
  <c r="W105" i="15"/>
  <c r="A105" i="15"/>
  <c r="AN105" i="15" s="1"/>
  <c r="AM104" i="15"/>
  <c r="W104" i="15"/>
  <c r="A104" i="15"/>
  <c r="AN104" i="15" s="1"/>
  <c r="AM103" i="15"/>
  <c r="W103" i="15"/>
  <c r="A103" i="15"/>
  <c r="AN103" i="15" s="1"/>
  <c r="AM102" i="15"/>
  <c r="W102" i="15"/>
  <c r="A102" i="15"/>
  <c r="AN102" i="15" s="1"/>
  <c r="AM101" i="15"/>
  <c r="W101" i="15"/>
  <c r="A101" i="15"/>
  <c r="AN101" i="15" s="1"/>
  <c r="AM100" i="15"/>
  <c r="W100" i="15"/>
  <c r="A100" i="15"/>
  <c r="AN100" i="15" s="1"/>
  <c r="AM99" i="15"/>
  <c r="W99" i="15"/>
  <c r="A99" i="15"/>
  <c r="AN99" i="15" s="1"/>
  <c r="AM98" i="15"/>
  <c r="W98" i="15"/>
  <c r="A98" i="15"/>
  <c r="AN98" i="15" s="1"/>
  <c r="AM97" i="15"/>
  <c r="W97" i="15"/>
  <c r="A97" i="15"/>
  <c r="AN97" i="15" s="1"/>
  <c r="AM96" i="15"/>
  <c r="W96" i="15"/>
  <c r="A96" i="15"/>
  <c r="AN96" i="15" s="1"/>
  <c r="AM95" i="15"/>
  <c r="W95" i="15"/>
  <c r="A95" i="15"/>
  <c r="AN95" i="15" s="1"/>
  <c r="AM94" i="15"/>
  <c r="W94" i="15"/>
  <c r="A94" i="15"/>
  <c r="AN94" i="15" s="1"/>
  <c r="AM93" i="15"/>
  <c r="W93" i="15"/>
  <c r="A93" i="15"/>
  <c r="AN93" i="15" s="1"/>
  <c r="AM92" i="15"/>
  <c r="W92" i="15"/>
  <c r="A92" i="15"/>
  <c r="AN92" i="15" s="1"/>
  <c r="AM91" i="15"/>
  <c r="W91" i="15"/>
  <c r="A91" i="15"/>
  <c r="AN91" i="15" s="1"/>
  <c r="AM90" i="15"/>
  <c r="W90" i="15"/>
  <c r="A90" i="15"/>
  <c r="AN90" i="15" s="1"/>
  <c r="AM89" i="15"/>
  <c r="W89" i="15"/>
  <c r="A89" i="15"/>
  <c r="AN89" i="15" s="1"/>
  <c r="AM88" i="15"/>
  <c r="W88" i="15"/>
  <c r="A88" i="15"/>
  <c r="AN88" i="15" s="1"/>
  <c r="AM87" i="15"/>
  <c r="W87" i="15"/>
  <c r="A87" i="15"/>
  <c r="AN87" i="15" s="1"/>
  <c r="AM86" i="15"/>
  <c r="W86" i="15"/>
  <c r="A86" i="15"/>
  <c r="AN86" i="15" s="1"/>
  <c r="AM85" i="15"/>
  <c r="W85" i="15"/>
  <c r="A85" i="15"/>
  <c r="AN85" i="15" s="1"/>
  <c r="AM84" i="15"/>
  <c r="W84" i="15"/>
  <c r="A84" i="15"/>
  <c r="AN84" i="15" s="1"/>
  <c r="AM83" i="15"/>
  <c r="W83" i="15"/>
  <c r="A83" i="15"/>
  <c r="AN83" i="15" s="1"/>
  <c r="AM82" i="15"/>
  <c r="W82" i="15"/>
  <c r="A82" i="15"/>
  <c r="AN82" i="15" s="1"/>
  <c r="AM81" i="15"/>
  <c r="W81" i="15"/>
  <c r="A81" i="15"/>
  <c r="AN81" i="15" s="1"/>
  <c r="AM80" i="15"/>
  <c r="W80" i="15"/>
  <c r="A80" i="15"/>
  <c r="AN80" i="15" s="1"/>
  <c r="AM79" i="15"/>
  <c r="W79" i="15"/>
  <c r="A79" i="15"/>
  <c r="Y78" i="9" s="1"/>
  <c r="AM78" i="15"/>
  <c r="W78" i="15"/>
  <c r="A78" i="15"/>
  <c r="AN78" i="15" s="1"/>
  <c r="AM77" i="15"/>
  <c r="W77" i="15"/>
  <c r="A77" i="15"/>
  <c r="AN77" i="15" s="1"/>
  <c r="AM76" i="15"/>
  <c r="W76" i="15"/>
  <c r="A76" i="15"/>
  <c r="AN76" i="15" s="1"/>
  <c r="AM75" i="15"/>
  <c r="W75" i="15"/>
  <c r="A75" i="15"/>
  <c r="AN75" i="15" s="1"/>
  <c r="AM74" i="15"/>
  <c r="W74" i="15"/>
  <c r="A74" i="15"/>
  <c r="AN74" i="15" s="1"/>
  <c r="AM73" i="15"/>
  <c r="W73" i="15"/>
  <c r="A73" i="15"/>
  <c r="AN73" i="15" s="1"/>
  <c r="AM72" i="15"/>
  <c r="W72" i="15"/>
  <c r="A72" i="15"/>
  <c r="AN72" i="15" s="1"/>
  <c r="AM71" i="15"/>
  <c r="W71" i="15"/>
  <c r="A71" i="15"/>
  <c r="AN71" i="15" s="1"/>
  <c r="AM70" i="15"/>
  <c r="W70" i="15"/>
  <c r="A70" i="15"/>
  <c r="AN70" i="15" s="1"/>
  <c r="AM69" i="15"/>
  <c r="W69" i="15"/>
  <c r="A69" i="15"/>
  <c r="AN69" i="15" s="1"/>
  <c r="AM68" i="15"/>
  <c r="W68" i="15"/>
  <c r="A68" i="15"/>
  <c r="AN68" i="15" s="1"/>
  <c r="AM67" i="15"/>
  <c r="W67" i="15"/>
  <c r="A67" i="15"/>
  <c r="AN67" i="15" s="1"/>
  <c r="AM66" i="15"/>
  <c r="W66" i="15"/>
  <c r="A66" i="15"/>
  <c r="AN66" i="15" s="1"/>
  <c r="AM65" i="15"/>
  <c r="W65" i="15"/>
  <c r="A65" i="15"/>
  <c r="AN65" i="15" s="1"/>
  <c r="AM64" i="15"/>
  <c r="W64" i="15"/>
  <c r="A64" i="15"/>
  <c r="AN64" i="15" s="1"/>
  <c r="AM63" i="15"/>
  <c r="W63" i="15"/>
  <c r="A63" i="15"/>
  <c r="AN63" i="15" s="1"/>
  <c r="AM62" i="15"/>
  <c r="W62" i="15"/>
  <c r="A62" i="15"/>
  <c r="AN62" i="15" s="1"/>
  <c r="AM61" i="15"/>
  <c r="W61" i="15"/>
  <c r="A61" i="15"/>
  <c r="AN61" i="15" s="1"/>
  <c r="AM60" i="15"/>
  <c r="W60" i="15"/>
  <c r="A60" i="15"/>
  <c r="AN60" i="15" s="1"/>
  <c r="AM59" i="15"/>
  <c r="W59" i="15"/>
  <c r="A59" i="15"/>
  <c r="AN59" i="15" s="1"/>
  <c r="AM58" i="15"/>
  <c r="W58" i="15"/>
  <c r="A58" i="15"/>
  <c r="AN58" i="15" s="1"/>
  <c r="AM57" i="15"/>
  <c r="W57" i="15"/>
  <c r="A57" i="15"/>
  <c r="AN57" i="15" s="1"/>
  <c r="AM56" i="15"/>
  <c r="W56" i="15"/>
  <c r="A56" i="15"/>
  <c r="AN56" i="15" s="1"/>
  <c r="AM55" i="15"/>
  <c r="W55" i="15"/>
  <c r="A55" i="15"/>
  <c r="AN55" i="15" s="1"/>
  <c r="AM54" i="15"/>
  <c r="W54" i="15"/>
  <c r="A54" i="15"/>
  <c r="AN54" i="15" s="1"/>
  <c r="AM53" i="15"/>
  <c r="W53" i="15"/>
  <c r="A53" i="15"/>
  <c r="Y52" i="9" s="1"/>
  <c r="AM52" i="15"/>
  <c r="W52" i="15"/>
  <c r="A52" i="15"/>
  <c r="AN52" i="15" s="1"/>
  <c r="AM51" i="15"/>
  <c r="W51" i="15"/>
  <c r="A51" i="15"/>
  <c r="AN51" i="15" s="1"/>
  <c r="AM50" i="15"/>
  <c r="W50" i="15"/>
  <c r="A50" i="15"/>
  <c r="AN50" i="15" s="1"/>
  <c r="AM49" i="15"/>
  <c r="W49" i="15"/>
  <c r="A49" i="15"/>
  <c r="AN49" i="15" s="1"/>
  <c r="AM48" i="15"/>
  <c r="W48" i="15"/>
  <c r="A48" i="15"/>
  <c r="AN48" i="15" s="1"/>
  <c r="AM47" i="15"/>
  <c r="W47" i="15"/>
  <c r="A47" i="15"/>
  <c r="AN47" i="15" s="1"/>
  <c r="AM46" i="15"/>
  <c r="W46" i="15"/>
  <c r="A46" i="15"/>
  <c r="Y45" i="9" s="1"/>
  <c r="AM45" i="15"/>
  <c r="W45" i="15"/>
  <c r="A45" i="15"/>
  <c r="AN45" i="15" s="1"/>
  <c r="AM44" i="15"/>
  <c r="W44" i="15"/>
  <c r="A44" i="15"/>
  <c r="AN44" i="15" s="1"/>
  <c r="AM43" i="15"/>
  <c r="W43" i="15"/>
  <c r="A43" i="15"/>
  <c r="AN43" i="15" s="1"/>
  <c r="AM42" i="15"/>
  <c r="W42" i="15"/>
  <c r="A42" i="15"/>
  <c r="AN42" i="15" s="1"/>
  <c r="AM41" i="15"/>
  <c r="W41" i="15"/>
  <c r="A41" i="15"/>
  <c r="AN41" i="15" s="1"/>
  <c r="AM40" i="15"/>
  <c r="W40" i="15"/>
  <c r="A40" i="15"/>
  <c r="AN40" i="15" s="1"/>
  <c r="AM39" i="15"/>
  <c r="W39" i="15"/>
  <c r="A39" i="15"/>
  <c r="AN39" i="15" s="1"/>
  <c r="AM38" i="15"/>
  <c r="W38" i="15"/>
  <c r="A38" i="15"/>
  <c r="AN38" i="15" s="1"/>
  <c r="AM37" i="15"/>
  <c r="W37" i="15"/>
  <c r="A37" i="15"/>
  <c r="AM36" i="15"/>
  <c r="W36" i="15"/>
  <c r="A36" i="15"/>
  <c r="Y35" i="9" s="1"/>
  <c r="AM35" i="15"/>
  <c r="W35" i="15"/>
  <c r="A35" i="15"/>
  <c r="Y34" i="9" s="1"/>
  <c r="AM34" i="15"/>
  <c r="W34" i="15"/>
  <c r="A34" i="15"/>
  <c r="AM33" i="15"/>
  <c r="W33" i="15"/>
  <c r="A33" i="15"/>
  <c r="AM32" i="15"/>
  <c r="W32" i="15"/>
  <c r="A32" i="15"/>
  <c r="AM31" i="15"/>
  <c r="W31" i="15"/>
  <c r="A31" i="15"/>
  <c r="Y30" i="9" s="1"/>
  <c r="AM30" i="15"/>
  <c r="W30" i="15"/>
  <c r="A30" i="15"/>
  <c r="AM29" i="15"/>
  <c r="W29" i="15"/>
  <c r="A29" i="15"/>
  <c r="AM28" i="15"/>
  <c r="W28" i="15"/>
  <c r="A28" i="15"/>
  <c r="AM27" i="15"/>
  <c r="W27" i="15"/>
  <c r="A27" i="15"/>
  <c r="AM26" i="15"/>
  <c r="W26" i="15"/>
  <c r="A26" i="15"/>
  <c r="AM25" i="15"/>
  <c r="W25" i="15"/>
  <c r="A25" i="15"/>
  <c r="AM24" i="15"/>
  <c r="W24" i="15"/>
  <c r="A24" i="15"/>
  <c r="AM23" i="15"/>
  <c r="W23" i="15"/>
  <c r="A23" i="15"/>
  <c r="AM22" i="15"/>
  <c r="W22" i="15"/>
  <c r="A22" i="15"/>
  <c r="AM21" i="15"/>
  <c r="W21" i="15"/>
  <c r="A21" i="15"/>
  <c r="AM20" i="15"/>
  <c r="W20" i="15"/>
  <c r="A20" i="15"/>
  <c r="Y19" i="9" s="1"/>
  <c r="AM19" i="15"/>
  <c r="W19" i="15"/>
  <c r="A19" i="15"/>
  <c r="AM18" i="15"/>
  <c r="W18" i="15"/>
  <c r="A18" i="15"/>
  <c r="AM17" i="15"/>
  <c r="W17" i="15"/>
  <c r="A17" i="15"/>
  <c r="AM16" i="15"/>
  <c r="W16" i="15"/>
  <c r="A16" i="15"/>
  <c r="AM15" i="15"/>
  <c r="W15" i="15"/>
  <c r="A15" i="15"/>
  <c r="AM14" i="15"/>
  <c r="W14" i="15"/>
  <c r="A14" i="15"/>
  <c r="AM13" i="15"/>
  <c r="W13" i="15"/>
  <c r="A13" i="15"/>
  <c r="AM12" i="15"/>
  <c r="W12" i="15"/>
  <c r="A12" i="15"/>
  <c r="AM11" i="15"/>
  <c r="W11" i="15"/>
  <c r="A11" i="15"/>
  <c r="AM10" i="15"/>
  <c r="W10" i="15"/>
  <c r="A10" i="15"/>
  <c r="AM9" i="15"/>
  <c r="W9" i="15"/>
  <c r="A9" i="15"/>
  <c r="AM8" i="15"/>
  <c r="W8" i="15"/>
  <c r="A8" i="15"/>
  <c r="Y7" i="9" s="1"/>
  <c r="AM7" i="15"/>
  <c r="W7" i="15"/>
  <c r="W6" i="15"/>
  <c r="W5" i="15"/>
  <c r="AN204" i="14"/>
  <c r="W204" i="14"/>
  <c r="AN203" i="14"/>
  <c r="W203" i="14"/>
  <c r="AN202" i="14"/>
  <c r="W202" i="14"/>
  <c r="AN201" i="14"/>
  <c r="W201" i="14"/>
  <c r="AN200" i="14"/>
  <c r="W200" i="14"/>
  <c r="AN199" i="14"/>
  <c r="W199" i="14"/>
  <c r="AN198" i="14"/>
  <c r="W198" i="14"/>
  <c r="AN197" i="14"/>
  <c r="W197" i="14"/>
  <c r="AN196" i="14"/>
  <c r="W196" i="14"/>
  <c r="AN195" i="14"/>
  <c r="W195" i="14"/>
  <c r="AN194" i="14"/>
  <c r="W194" i="14"/>
  <c r="AN193" i="14"/>
  <c r="W193" i="14"/>
  <c r="AN192" i="14"/>
  <c r="W192" i="14"/>
  <c r="AN191" i="14"/>
  <c r="W191" i="14"/>
  <c r="AN190" i="14"/>
  <c r="W190" i="14"/>
  <c r="AN189" i="14"/>
  <c r="W189" i="14"/>
  <c r="AN188" i="14"/>
  <c r="W188" i="14"/>
  <c r="AN187" i="14"/>
  <c r="W187" i="14"/>
  <c r="AN186" i="14"/>
  <c r="W186" i="14"/>
  <c r="AN185" i="14"/>
  <c r="W185" i="14"/>
  <c r="AN184" i="14"/>
  <c r="W184" i="14"/>
  <c r="AN183" i="14"/>
  <c r="W183" i="14"/>
  <c r="AN182" i="14"/>
  <c r="W182" i="14"/>
  <c r="AN181" i="14"/>
  <c r="W181" i="14"/>
  <c r="AN180" i="14"/>
  <c r="W180" i="14"/>
  <c r="AN179" i="14"/>
  <c r="W179" i="14"/>
  <c r="AN178" i="14"/>
  <c r="W178" i="14"/>
  <c r="AN177" i="14"/>
  <c r="W177" i="14"/>
  <c r="AN176" i="14"/>
  <c r="W176" i="14"/>
  <c r="AN175" i="14"/>
  <c r="W175" i="14"/>
  <c r="AN174" i="14"/>
  <c r="W174" i="14"/>
  <c r="AN173" i="14"/>
  <c r="W173" i="14"/>
  <c r="AN172" i="14"/>
  <c r="W172" i="14"/>
  <c r="AN171" i="14"/>
  <c r="W171" i="14"/>
  <c r="AN170" i="14"/>
  <c r="W170" i="14"/>
  <c r="AN169" i="14"/>
  <c r="W169" i="14"/>
  <c r="AN168" i="14"/>
  <c r="W168" i="14"/>
  <c r="AN167" i="14"/>
  <c r="W167" i="14"/>
  <c r="AN166" i="14"/>
  <c r="W166" i="14"/>
  <c r="AN165" i="14"/>
  <c r="W165" i="14"/>
  <c r="AN164" i="14"/>
  <c r="W164" i="14"/>
  <c r="AN163" i="14"/>
  <c r="W163" i="14"/>
  <c r="AN162" i="14"/>
  <c r="W162" i="14"/>
  <c r="AN161" i="14"/>
  <c r="W161" i="14"/>
  <c r="AN160" i="14"/>
  <c r="W160" i="14"/>
  <c r="AN159" i="14"/>
  <c r="W159" i="14"/>
  <c r="AN158" i="14"/>
  <c r="W158" i="14"/>
  <c r="AN157" i="14"/>
  <c r="W157" i="14"/>
  <c r="AN156" i="14"/>
  <c r="W156" i="14"/>
  <c r="AN155" i="14"/>
  <c r="W155" i="14"/>
  <c r="AN154" i="14"/>
  <c r="W154" i="14"/>
  <c r="AN153" i="14"/>
  <c r="W153" i="14"/>
  <c r="AN152" i="14"/>
  <c r="W152" i="14"/>
  <c r="AN151" i="14"/>
  <c r="W151" i="14"/>
  <c r="AN150" i="14"/>
  <c r="W150" i="14"/>
  <c r="AN149" i="14"/>
  <c r="W149" i="14"/>
  <c r="AN148" i="14"/>
  <c r="W148" i="14"/>
  <c r="AN147" i="14"/>
  <c r="W147" i="14"/>
  <c r="AN146" i="14"/>
  <c r="W146" i="14"/>
  <c r="AN145" i="14"/>
  <c r="W145" i="14"/>
  <c r="AN144" i="14"/>
  <c r="W144" i="14"/>
  <c r="AN143" i="14"/>
  <c r="W143" i="14"/>
  <c r="AN142" i="14"/>
  <c r="W142" i="14"/>
  <c r="AN141" i="14"/>
  <c r="W141" i="14"/>
  <c r="AN140" i="14"/>
  <c r="W140" i="14"/>
  <c r="AN139" i="14"/>
  <c r="W139" i="14"/>
  <c r="AN138" i="14"/>
  <c r="W138" i="14"/>
  <c r="AN137" i="14"/>
  <c r="W137" i="14"/>
  <c r="AN136" i="14"/>
  <c r="W136" i="14"/>
  <c r="AN135" i="14"/>
  <c r="W135" i="14"/>
  <c r="AN134" i="14"/>
  <c r="W134" i="14"/>
  <c r="AN133" i="14"/>
  <c r="W133" i="14"/>
  <c r="AN132" i="14"/>
  <c r="W132" i="14"/>
  <c r="AN131" i="14"/>
  <c r="W131" i="14"/>
  <c r="AN130" i="14"/>
  <c r="W130" i="14"/>
  <c r="AN129" i="14"/>
  <c r="W129" i="14"/>
  <c r="AN128" i="14"/>
  <c r="W128" i="14"/>
  <c r="AN127" i="14"/>
  <c r="W127" i="14"/>
  <c r="AN126" i="14"/>
  <c r="W126" i="14"/>
  <c r="AN125" i="14"/>
  <c r="W125" i="14"/>
  <c r="AN124" i="14"/>
  <c r="W124" i="14"/>
  <c r="AN123" i="14"/>
  <c r="W123" i="14"/>
  <c r="AN122" i="14"/>
  <c r="W122" i="14"/>
  <c r="AN121" i="14"/>
  <c r="W121" i="14"/>
  <c r="AN120" i="14"/>
  <c r="W120" i="14"/>
  <c r="AN119" i="14"/>
  <c r="W119" i="14"/>
  <c r="AN118" i="14"/>
  <c r="W118" i="14"/>
  <c r="AN117" i="14"/>
  <c r="W117" i="14"/>
  <c r="AN116" i="14"/>
  <c r="W116" i="14"/>
  <c r="AN115" i="14"/>
  <c r="W115" i="14"/>
  <c r="AN114" i="14"/>
  <c r="W114" i="14"/>
  <c r="AN113" i="14"/>
  <c r="W113" i="14"/>
  <c r="AN112" i="14"/>
  <c r="W112" i="14"/>
  <c r="AN111" i="14"/>
  <c r="W111" i="14"/>
  <c r="AN110" i="14"/>
  <c r="W110" i="14"/>
  <c r="AN109" i="14"/>
  <c r="W109" i="14"/>
  <c r="AN108" i="14"/>
  <c r="W108" i="14"/>
  <c r="AN107" i="14"/>
  <c r="W107" i="14"/>
  <c r="AN106" i="14"/>
  <c r="W106" i="14"/>
  <c r="AN105" i="14"/>
  <c r="W105" i="14"/>
  <c r="AN104" i="14"/>
  <c r="W104" i="14"/>
  <c r="AN103" i="14"/>
  <c r="W103" i="14"/>
  <c r="AN102" i="14"/>
  <c r="W102" i="14"/>
  <c r="AN101" i="14"/>
  <c r="W101" i="14"/>
  <c r="AN100" i="14"/>
  <c r="W100" i="14"/>
  <c r="AN99" i="14"/>
  <c r="W99" i="14"/>
  <c r="AN98" i="14"/>
  <c r="W98" i="14"/>
  <c r="AN97" i="14"/>
  <c r="W97" i="14"/>
  <c r="AN96" i="14"/>
  <c r="W96" i="14"/>
  <c r="AN95" i="14"/>
  <c r="W95" i="14"/>
  <c r="AN94" i="14"/>
  <c r="W94" i="14"/>
  <c r="AN93" i="14"/>
  <c r="W93" i="14"/>
  <c r="AN92" i="14"/>
  <c r="W92" i="14"/>
  <c r="AN91" i="14"/>
  <c r="W91" i="14"/>
  <c r="AN90" i="14"/>
  <c r="W90" i="14"/>
  <c r="AN89" i="14"/>
  <c r="W89" i="14"/>
  <c r="AN88" i="14"/>
  <c r="W88" i="14"/>
  <c r="AN87" i="14"/>
  <c r="W87" i="14"/>
  <c r="AN86" i="14"/>
  <c r="W86" i="14"/>
  <c r="AN85" i="14"/>
  <c r="W85" i="14"/>
  <c r="AN84" i="14"/>
  <c r="W84" i="14"/>
  <c r="AN83" i="14"/>
  <c r="W83" i="14"/>
  <c r="AN82" i="14"/>
  <c r="W82" i="14"/>
  <c r="AN81" i="14"/>
  <c r="W81" i="14"/>
  <c r="AN80" i="14"/>
  <c r="W80" i="14"/>
  <c r="AN79" i="14"/>
  <c r="W79" i="14"/>
  <c r="AN78" i="14"/>
  <c r="W78" i="14"/>
  <c r="AN77" i="14"/>
  <c r="W77" i="14"/>
  <c r="AN76" i="14"/>
  <c r="W76" i="14"/>
  <c r="AN75" i="14"/>
  <c r="W75" i="14"/>
  <c r="AN74" i="14"/>
  <c r="W74" i="14"/>
  <c r="AN73" i="14"/>
  <c r="W73" i="14"/>
  <c r="AN72" i="14"/>
  <c r="W72" i="14"/>
  <c r="AN71" i="14"/>
  <c r="W71" i="14"/>
  <c r="AN70" i="14"/>
  <c r="W70" i="14"/>
  <c r="AN69" i="14"/>
  <c r="W69" i="14"/>
  <c r="AN68" i="14"/>
  <c r="W68" i="14"/>
  <c r="AN67" i="14"/>
  <c r="W67" i="14"/>
  <c r="AN66" i="14"/>
  <c r="W66" i="14"/>
  <c r="AN65" i="14"/>
  <c r="W65" i="14"/>
  <c r="AN64" i="14"/>
  <c r="W64" i="14"/>
  <c r="AN63" i="14"/>
  <c r="W63" i="14"/>
  <c r="AN62" i="14"/>
  <c r="W62" i="14"/>
  <c r="AN61" i="14"/>
  <c r="W61" i="14"/>
  <c r="AN60" i="14"/>
  <c r="W60" i="14"/>
  <c r="AN59" i="14"/>
  <c r="W59" i="14"/>
  <c r="AN58" i="14"/>
  <c r="W58" i="14"/>
  <c r="AN57" i="14"/>
  <c r="W57" i="14"/>
  <c r="AN56" i="14"/>
  <c r="W56" i="14"/>
  <c r="AN55" i="14"/>
  <c r="W55" i="14"/>
  <c r="AN54" i="14"/>
  <c r="W54" i="14"/>
  <c r="AN53" i="14"/>
  <c r="W53" i="14"/>
  <c r="AN52" i="14"/>
  <c r="W52" i="14"/>
  <c r="AN51" i="14"/>
  <c r="W51" i="14"/>
  <c r="AN50" i="14"/>
  <c r="W50" i="14"/>
  <c r="AN49" i="14"/>
  <c r="W49" i="14"/>
  <c r="AN48" i="14"/>
  <c r="W48" i="14"/>
  <c r="AN47" i="14"/>
  <c r="W47" i="14"/>
  <c r="AN46" i="14"/>
  <c r="W46" i="14"/>
  <c r="AN45" i="14"/>
  <c r="W45" i="14"/>
  <c r="AN44" i="14"/>
  <c r="W44" i="14"/>
  <c r="AN43" i="14"/>
  <c r="W43" i="14"/>
  <c r="AN42" i="14"/>
  <c r="W42" i="14"/>
  <c r="AN41" i="14"/>
  <c r="W41" i="14"/>
  <c r="AN40" i="14"/>
  <c r="W40" i="14"/>
  <c r="AN39" i="14"/>
  <c r="W39" i="14"/>
  <c r="AN38" i="14"/>
  <c r="W38" i="14"/>
  <c r="AN37" i="14"/>
  <c r="W37" i="14"/>
  <c r="AN36" i="14"/>
  <c r="W36" i="14"/>
  <c r="AN35" i="14"/>
  <c r="W35" i="14"/>
  <c r="AN34" i="14"/>
  <c r="W34" i="14"/>
  <c r="AN33" i="14"/>
  <c r="W33" i="14"/>
  <c r="AN32" i="14"/>
  <c r="W32" i="14"/>
  <c r="AN31" i="14"/>
  <c r="W31" i="14"/>
  <c r="AN30" i="14"/>
  <c r="W30" i="14"/>
  <c r="AN29" i="14"/>
  <c r="W29" i="14"/>
  <c r="AN28" i="14"/>
  <c r="W28" i="14"/>
  <c r="AN27" i="14"/>
  <c r="W27" i="14"/>
  <c r="AN26" i="14"/>
  <c r="W26" i="14"/>
  <c r="AN25" i="14"/>
  <c r="W25" i="14"/>
  <c r="AN24" i="14"/>
  <c r="W24" i="14"/>
  <c r="AN23" i="14"/>
  <c r="W23" i="14"/>
  <c r="AN22" i="14"/>
  <c r="W22" i="14"/>
  <c r="AN21" i="14"/>
  <c r="W21" i="14"/>
  <c r="AN20" i="14"/>
  <c r="W20" i="14"/>
  <c r="AN19" i="14"/>
  <c r="W19" i="14"/>
  <c r="AN18" i="14"/>
  <c r="W18" i="14"/>
  <c r="AN17" i="14"/>
  <c r="W17" i="14"/>
  <c r="AN16" i="14"/>
  <c r="W16" i="14"/>
  <c r="AN15" i="14"/>
  <c r="W15" i="14"/>
  <c r="AN14" i="14"/>
  <c r="W14" i="14"/>
  <c r="AN13" i="14"/>
  <c r="W13" i="14"/>
  <c r="AN12" i="14"/>
  <c r="W12" i="14"/>
  <c r="AN11" i="14"/>
  <c r="W11" i="14"/>
  <c r="W10" i="14"/>
  <c r="W9" i="14"/>
  <c r="W8" i="14"/>
  <c r="W7" i="14"/>
  <c r="W6" i="14"/>
  <c r="W5" i="14"/>
  <c r="I49" i="12" a="1"/>
  <c r="I49" i="12" s="1"/>
  <c r="H49" i="12" a="1"/>
  <c r="H49" i="12" s="1"/>
  <c r="G49" i="12" a="1"/>
  <c r="G49" i="12" s="1"/>
  <c r="F49" i="12" a="1"/>
  <c r="F49" i="12" s="1"/>
  <c r="E49" i="12" a="1"/>
  <c r="E49" i="12" s="1"/>
  <c r="D49" i="12" a="1"/>
  <c r="D49" i="12" s="1"/>
  <c r="C49" i="12" a="1"/>
  <c r="C49" i="12" s="1"/>
  <c r="B49" i="12" a="1"/>
  <c r="B49" i="12" s="1"/>
  <c r="L48" i="12" a="1"/>
  <c r="L48" i="12" s="1"/>
  <c r="K48" i="12" a="1"/>
  <c r="K48" i="12" s="1"/>
  <c r="J48" i="12" a="1"/>
  <c r="J48" i="12" s="1"/>
  <c r="I48" i="12" a="1"/>
  <c r="I48" i="12" s="1"/>
  <c r="H48" i="12" a="1"/>
  <c r="H48" i="12" s="1"/>
  <c r="G48" i="12" a="1"/>
  <c r="G48" i="12" s="1"/>
  <c r="F48" i="12" a="1"/>
  <c r="F48" i="12" s="1"/>
  <c r="E48" i="12" a="1"/>
  <c r="E48" i="12" s="1"/>
  <c r="D48" i="12" a="1"/>
  <c r="D48" i="12" s="1"/>
  <c r="C48" i="12" a="1"/>
  <c r="C48" i="12" s="1"/>
  <c r="B48" i="12" a="1"/>
  <c r="B48" i="12" s="1"/>
  <c r="A48" i="12" a="1"/>
  <c r="A48" i="12" s="1"/>
  <c r="A49" i="12" s="1"/>
  <c r="I47" i="12" a="1"/>
  <c r="I47" i="12" s="1"/>
  <c r="H47" i="12" a="1"/>
  <c r="H47" i="12" s="1"/>
  <c r="G47" i="12" a="1"/>
  <c r="G47" i="12" s="1"/>
  <c r="F47" i="12" a="1"/>
  <c r="F47" i="12" s="1"/>
  <c r="E47" i="12" a="1"/>
  <c r="E47" i="12" s="1"/>
  <c r="D47" i="12" a="1"/>
  <c r="D47" i="12" s="1"/>
  <c r="C47" i="12" a="1"/>
  <c r="C47" i="12" s="1"/>
  <c r="B47" i="12" a="1"/>
  <c r="B47" i="12" s="1"/>
  <c r="L46" i="12" a="1"/>
  <c r="L46" i="12" s="1"/>
  <c r="K46" i="12" a="1"/>
  <c r="K46" i="12" s="1"/>
  <c r="J46" i="12" a="1"/>
  <c r="J46" i="12" s="1"/>
  <c r="I46" i="12" a="1"/>
  <c r="I46" i="12" s="1"/>
  <c r="H46" i="12" a="1"/>
  <c r="H46" i="12" s="1"/>
  <c r="G46" i="12" a="1"/>
  <c r="G46" i="12" s="1"/>
  <c r="F46" i="12" a="1"/>
  <c r="F46" i="12" s="1"/>
  <c r="E46" i="12" a="1"/>
  <c r="E46" i="12" s="1"/>
  <c r="D46" i="12" a="1"/>
  <c r="D46" i="12" s="1"/>
  <c r="C46" i="12" a="1"/>
  <c r="C46" i="12" s="1"/>
  <c r="B46" i="12" a="1"/>
  <c r="B46" i="12" s="1"/>
  <c r="A46" i="12" a="1"/>
  <c r="A46" i="12" s="1"/>
  <c r="A47" i="12" s="1"/>
  <c r="I45" i="12" a="1"/>
  <c r="I45" i="12" s="1"/>
  <c r="H45" i="12" a="1"/>
  <c r="H45" i="12" s="1"/>
  <c r="G45" i="12" a="1"/>
  <c r="G45" i="12" s="1"/>
  <c r="F45" i="12" a="1"/>
  <c r="F45" i="12" s="1"/>
  <c r="E45" i="12" a="1"/>
  <c r="E45" i="12" s="1"/>
  <c r="D45" i="12" a="1"/>
  <c r="D45" i="12" s="1"/>
  <c r="C45" i="12" a="1"/>
  <c r="C45" i="12" s="1"/>
  <c r="B45" i="12" a="1"/>
  <c r="B45" i="12" s="1"/>
  <c r="L44" i="12" a="1"/>
  <c r="L44" i="12" s="1"/>
  <c r="K44" i="12" a="1"/>
  <c r="K44" i="12" s="1"/>
  <c r="J44" i="12" a="1"/>
  <c r="J44" i="12" s="1"/>
  <c r="I44" i="12" a="1"/>
  <c r="I44" i="12" s="1"/>
  <c r="H44" i="12" a="1"/>
  <c r="H44" i="12" s="1"/>
  <c r="G44" i="12" a="1"/>
  <c r="G44" i="12" s="1"/>
  <c r="F44" i="12" a="1"/>
  <c r="F44" i="12" s="1"/>
  <c r="E44" i="12" a="1"/>
  <c r="E44" i="12" s="1"/>
  <c r="D44" i="12" a="1"/>
  <c r="D44" i="12" s="1"/>
  <c r="C44" i="12" a="1"/>
  <c r="C44" i="12" s="1"/>
  <c r="B44" i="12" a="1"/>
  <c r="B44" i="12" s="1"/>
  <c r="A44" i="12" a="1"/>
  <c r="A44" i="12" s="1"/>
  <c r="A45" i="12" s="1"/>
  <c r="I43" i="12" a="1"/>
  <c r="I43" i="12" s="1"/>
  <c r="H43" i="12" a="1"/>
  <c r="H43" i="12" s="1"/>
  <c r="G43" i="12" a="1"/>
  <c r="G43" i="12" s="1"/>
  <c r="F43" i="12" a="1"/>
  <c r="F43" i="12" s="1"/>
  <c r="E43" i="12" a="1"/>
  <c r="E43" i="12" s="1"/>
  <c r="D43" i="12" a="1"/>
  <c r="D43" i="12" s="1"/>
  <c r="C43" i="12" a="1"/>
  <c r="C43" i="12" s="1"/>
  <c r="B43" i="12" a="1"/>
  <c r="B43" i="12" s="1"/>
  <c r="L42" i="12" a="1"/>
  <c r="L42" i="12" s="1"/>
  <c r="K42" i="12" a="1"/>
  <c r="K42" i="12" s="1"/>
  <c r="J42" i="12" a="1"/>
  <c r="J42" i="12" s="1"/>
  <c r="I42" i="12" a="1"/>
  <c r="I42" i="12" s="1"/>
  <c r="H42" i="12" a="1"/>
  <c r="H42" i="12" s="1"/>
  <c r="G42" i="12" a="1"/>
  <c r="G42" i="12" s="1"/>
  <c r="F42" i="12" a="1"/>
  <c r="F42" i="12" s="1"/>
  <c r="E42" i="12" a="1"/>
  <c r="E42" i="12" s="1"/>
  <c r="D42" i="12" a="1"/>
  <c r="D42" i="12" s="1"/>
  <c r="C42" i="12" a="1"/>
  <c r="C42" i="12" s="1"/>
  <c r="B42" i="12" a="1"/>
  <c r="B42" i="12" s="1"/>
  <c r="A42" i="12" a="1"/>
  <c r="A42" i="12" s="1"/>
  <c r="A43" i="12" s="1"/>
  <c r="I41" i="12" a="1"/>
  <c r="I41" i="12" s="1"/>
  <c r="H41" i="12" a="1"/>
  <c r="H41" i="12" s="1"/>
  <c r="G41" i="12" a="1"/>
  <c r="G41" i="12" s="1"/>
  <c r="F41" i="12" a="1"/>
  <c r="F41" i="12" s="1"/>
  <c r="E41" i="12" a="1"/>
  <c r="E41" i="12" s="1"/>
  <c r="D41" i="12" a="1"/>
  <c r="D41" i="12" s="1"/>
  <c r="C41" i="12" a="1"/>
  <c r="C41" i="12" s="1"/>
  <c r="B41" i="12" a="1"/>
  <c r="B41" i="12" s="1"/>
  <c r="L40" i="12" a="1"/>
  <c r="L40" i="12" s="1"/>
  <c r="K40" i="12" a="1"/>
  <c r="K40" i="12" s="1"/>
  <c r="J40" i="12" a="1"/>
  <c r="J40" i="12" s="1"/>
  <c r="I40" i="12" a="1"/>
  <c r="I40" i="12" s="1"/>
  <c r="H40" i="12" a="1"/>
  <c r="H40" i="12" s="1"/>
  <c r="G40" i="12" a="1"/>
  <c r="G40" i="12" s="1"/>
  <c r="F40" i="12" a="1"/>
  <c r="F40" i="12" s="1"/>
  <c r="E40" i="12" a="1"/>
  <c r="E40" i="12" s="1"/>
  <c r="D40" i="12" a="1"/>
  <c r="D40" i="12" s="1"/>
  <c r="C40" i="12" a="1"/>
  <c r="C40" i="12" s="1"/>
  <c r="B40" i="12" a="1"/>
  <c r="B40" i="12" s="1"/>
  <c r="A40" i="12" a="1"/>
  <c r="A40" i="12" s="1"/>
  <c r="A41" i="12" s="1"/>
  <c r="I39" i="12" a="1"/>
  <c r="I39" i="12" s="1"/>
  <c r="H39" i="12" a="1"/>
  <c r="H39" i="12" s="1"/>
  <c r="G39" i="12" a="1"/>
  <c r="G39" i="12" s="1"/>
  <c r="F39" i="12" a="1"/>
  <c r="F39" i="12" s="1"/>
  <c r="E39" i="12" a="1"/>
  <c r="E39" i="12" s="1"/>
  <c r="D39" i="12" a="1"/>
  <c r="D39" i="12" s="1"/>
  <c r="C39" i="12" a="1"/>
  <c r="C39" i="12" s="1"/>
  <c r="B39" i="12" a="1"/>
  <c r="B39" i="12" s="1"/>
  <c r="L38" i="12" a="1"/>
  <c r="L38" i="12" s="1"/>
  <c r="K38" i="12" a="1"/>
  <c r="K38" i="12" s="1"/>
  <c r="J38" i="12" a="1"/>
  <c r="J38" i="12" s="1"/>
  <c r="I38" i="12" a="1"/>
  <c r="I38" i="12" s="1"/>
  <c r="H38" i="12" a="1"/>
  <c r="H38" i="12" s="1"/>
  <c r="G38" i="12" a="1"/>
  <c r="G38" i="12" s="1"/>
  <c r="F38" i="12" a="1"/>
  <c r="F38" i="12" s="1"/>
  <c r="E38" i="12" a="1"/>
  <c r="E38" i="12" s="1"/>
  <c r="D38" i="12" a="1"/>
  <c r="D38" i="12" s="1"/>
  <c r="C38" i="12" a="1"/>
  <c r="C38" i="12" s="1"/>
  <c r="B38" i="12" a="1"/>
  <c r="B38" i="12" s="1"/>
  <c r="A38" i="12" a="1"/>
  <c r="A38" i="12" s="1"/>
  <c r="A39" i="12" s="1"/>
  <c r="I37" i="12" a="1"/>
  <c r="I37" i="12" s="1"/>
  <c r="H37" i="12" a="1"/>
  <c r="H37" i="12" s="1"/>
  <c r="G37" i="12" a="1"/>
  <c r="G37" i="12" s="1"/>
  <c r="F37" i="12" a="1"/>
  <c r="F37" i="12" s="1"/>
  <c r="E37" i="12" a="1"/>
  <c r="E37" i="12" s="1"/>
  <c r="D37" i="12" a="1"/>
  <c r="D37" i="12" s="1"/>
  <c r="C37" i="12" a="1"/>
  <c r="C37" i="12" s="1"/>
  <c r="B37" i="12" a="1"/>
  <c r="B37" i="12" s="1"/>
  <c r="L36" i="12" a="1"/>
  <c r="L36" i="12" s="1"/>
  <c r="K36" i="12" a="1"/>
  <c r="K36" i="12" s="1"/>
  <c r="J36" i="12" a="1"/>
  <c r="J36" i="12" s="1"/>
  <c r="I36" i="12" a="1"/>
  <c r="I36" i="12" s="1"/>
  <c r="H36" i="12" a="1"/>
  <c r="H36" i="12" s="1"/>
  <c r="G36" i="12" a="1"/>
  <c r="G36" i="12" s="1"/>
  <c r="F36" i="12" a="1"/>
  <c r="F36" i="12" s="1"/>
  <c r="E36" i="12" a="1"/>
  <c r="E36" i="12" s="1"/>
  <c r="D36" i="12" a="1"/>
  <c r="D36" i="12" s="1"/>
  <c r="C36" i="12" a="1"/>
  <c r="C36" i="12" s="1"/>
  <c r="B36" i="12" a="1"/>
  <c r="B36" i="12" s="1"/>
  <c r="A36" i="12" a="1"/>
  <c r="A36" i="12" s="1"/>
  <c r="A37" i="12" s="1"/>
  <c r="I35" i="12" a="1"/>
  <c r="I35" i="12" s="1"/>
  <c r="H35" i="12" a="1"/>
  <c r="H35" i="12" s="1"/>
  <c r="G35" i="12" a="1"/>
  <c r="G35" i="12" s="1"/>
  <c r="F35" i="12" a="1"/>
  <c r="F35" i="12" s="1"/>
  <c r="E35" i="12" a="1"/>
  <c r="E35" i="12" s="1"/>
  <c r="D35" i="12" a="1"/>
  <c r="D35" i="12" s="1"/>
  <c r="C35" i="12" a="1"/>
  <c r="C35" i="12" s="1"/>
  <c r="B35" i="12" a="1"/>
  <c r="B35" i="12" s="1"/>
  <c r="L34" i="12" a="1"/>
  <c r="L34" i="12" s="1"/>
  <c r="K34" i="12" a="1"/>
  <c r="K34" i="12" s="1"/>
  <c r="J34" i="12" a="1"/>
  <c r="J34" i="12" s="1"/>
  <c r="I34" i="12" a="1"/>
  <c r="I34" i="12" s="1"/>
  <c r="H34" i="12" a="1"/>
  <c r="H34" i="12" s="1"/>
  <c r="G34" i="12" a="1"/>
  <c r="G34" i="12" s="1"/>
  <c r="F34" i="12" a="1"/>
  <c r="F34" i="12" s="1"/>
  <c r="E34" i="12" a="1"/>
  <c r="E34" i="12" s="1"/>
  <c r="D34" i="12" a="1"/>
  <c r="D34" i="12" s="1"/>
  <c r="C34" i="12" a="1"/>
  <c r="C34" i="12" s="1"/>
  <c r="B34" i="12" a="1"/>
  <c r="B34" i="12" s="1"/>
  <c r="A34" i="12" a="1"/>
  <c r="A34" i="12" s="1"/>
  <c r="A35" i="12" s="1"/>
  <c r="I33" i="12" a="1"/>
  <c r="I33" i="12" s="1"/>
  <c r="H33" i="12" a="1"/>
  <c r="H33" i="12" s="1"/>
  <c r="G33" i="12" a="1"/>
  <c r="G33" i="12" s="1"/>
  <c r="F33" i="12" a="1"/>
  <c r="F33" i="12" s="1"/>
  <c r="E33" i="12" a="1"/>
  <c r="E33" i="12" s="1"/>
  <c r="D33" i="12" a="1"/>
  <c r="D33" i="12" s="1"/>
  <c r="C33" i="12" a="1"/>
  <c r="C33" i="12" s="1"/>
  <c r="B33" i="12" a="1"/>
  <c r="B33" i="12" s="1"/>
  <c r="L32" i="12" a="1"/>
  <c r="L32" i="12" s="1"/>
  <c r="K32" i="12" a="1"/>
  <c r="K32" i="12" s="1"/>
  <c r="J32" i="12" a="1"/>
  <c r="J32" i="12" s="1"/>
  <c r="I32" i="12" a="1"/>
  <c r="I32" i="12" s="1"/>
  <c r="H32" i="12" a="1"/>
  <c r="H32" i="12" s="1"/>
  <c r="G32" i="12" a="1"/>
  <c r="G32" i="12" s="1"/>
  <c r="F32" i="12" a="1"/>
  <c r="F32" i="12" s="1"/>
  <c r="E32" i="12" a="1"/>
  <c r="E32" i="12" s="1"/>
  <c r="D32" i="12" a="1"/>
  <c r="D32" i="12" s="1"/>
  <c r="C32" i="12" a="1"/>
  <c r="C32" i="12" s="1"/>
  <c r="B32" i="12" a="1"/>
  <c r="B32" i="12" s="1"/>
  <c r="A32" i="12" a="1"/>
  <c r="A32" i="12" s="1"/>
  <c r="A33" i="12" s="1"/>
  <c r="I31" i="12" a="1"/>
  <c r="I31" i="12" s="1"/>
  <c r="H31" i="12" a="1"/>
  <c r="H31" i="12" s="1"/>
  <c r="G31" i="12" a="1"/>
  <c r="G31" i="12" s="1"/>
  <c r="F31" i="12" a="1"/>
  <c r="F31" i="12" s="1"/>
  <c r="E31" i="12" a="1"/>
  <c r="E31" i="12" s="1"/>
  <c r="D31" i="12" a="1"/>
  <c r="D31" i="12" s="1"/>
  <c r="C31" i="12" a="1"/>
  <c r="C31" i="12" s="1"/>
  <c r="B31" i="12" a="1"/>
  <c r="B31" i="12" s="1"/>
  <c r="L30" i="12" a="1"/>
  <c r="L30" i="12" s="1"/>
  <c r="K30" i="12" a="1"/>
  <c r="K30" i="12" s="1"/>
  <c r="J30" i="12" a="1"/>
  <c r="J30" i="12" s="1"/>
  <c r="I30" i="12" a="1"/>
  <c r="I30" i="12" s="1"/>
  <c r="H30" i="12" a="1"/>
  <c r="H30" i="12" s="1"/>
  <c r="G30" i="12" a="1"/>
  <c r="G30" i="12" s="1"/>
  <c r="F30" i="12" a="1"/>
  <c r="F30" i="12" s="1"/>
  <c r="E30" i="12" a="1"/>
  <c r="E30" i="12" s="1"/>
  <c r="D30" i="12" a="1"/>
  <c r="D30" i="12" s="1"/>
  <c r="C30" i="12" a="1"/>
  <c r="C30" i="12" s="1"/>
  <c r="B30" i="12" a="1"/>
  <c r="B30" i="12" s="1"/>
  <c r="A30" i="12" a="1"/>
  <c r="A30" i="12" s="1"/>
  <c r="A31" i="12" s="1"/>
  <c r="I29" i="12" a="1"/>
  <c r="I29" i="12" s="1"/>
  <c r="H29" i="12" a="1"/>
  <c r="H29" i="12" s="1"/>
  <c r="G29" i="12" a="1"/>
  <c r="G29" i="12" s="1"/>
  <c r="F29" i="12" a="1"/>
  <c r="F29" i="12" s="1"/>
  <c r="E29" i="12" a="1"/>
  <c r="E29" i="12" s="1"/>
  <c r="D29" i="12" a="1"/>
  <c r="D29" i="12" s="1"/>
  <c r="C29" i="12" a="1"/>
  <c r="C29" i="12" s="1"/>
  <c r="B29" i="12" a="1"/>
  <c r="B29" i="12" s="1"/>
  <c r="L28" i="12" a="1"/>
  <c r="L28" i="12" s="1"/>
  <c r="K28" i="12" a="1"/>
  <c r="K28" i="12" s="1"/>
  <c r="J28" i="12" a="1"/>
  <c r="J28" i="12" s="1"/>
  <c r="I28" i="12" a="1"/>
  <c r="I28" i="12" s="1"/>
  <c r="H28" i="12" a="1"/>
  <c r="H28" i="12" s="1"/>
  <c r="G28" i="12" a="1"/>
  <c r="G28" i="12" s="1"/>
  <c r="F28" i="12" a="1"/>
  <c r="F28" i="12" s="1"/>
  <c r="E28" i="12" a="1"/>
  <c r="E28" i="12" s="1"/>
  <c r="D28" i="12" a="1"/>
  <c r="D28" i="12" s="1"/>
  <c r="C28" i="12" a="1"/>
  <c r="C28" i="12" s="1"/>
  <c r="B28" i="12" a="1"/>
  <c r="B28" i="12" s="1"/>
  <c r="A28" i="12" a="1"/>
  <c r="A28" i="12" s="1"/>
  <c r="A29" i="12" s="1"/>
  <c r="I27" i="12" a="1"/>
  <c r="I27" i="12" s="1"/>
  <c r="H27" i="12" a="1"/>
  <c r="H27" i="12" s="1"/>
  <c r="G27" i="12" a="1"/>
  <c r="G27" i="12" s="1"/>
  <c r="F27" i="12" a="1"/>
  <c r="F27" i="12" s="1"/>
  <c r="E27" i="12" a="1"/>
  <c r="E27" i="12" s="1"/>
  <c r="D27" i="12" a="1"/>
  <c r="D27" i="12" s="1"/>
  <c r="C27" i="12" a="1"/>
  <c r="C27" i="12" s="1"/>
  <c r="B27" i="12" a="1"/>
  <c r="B27" i="12" s="1"/>
  <c r="L26" i="12" a="1"/>
  <c r="L26" i="12" s="1"/>
  <c r="K26" i="12" a="1"/>
  <c r="K26" i="12" s="1"/>
  <c r="J26" i="12" a="1"/>
  <c r="J26" i="12" s="1"/>
  <c r="I26" i="12" a="1"/>
  <c r="I26" i="12" s="1"/>
  <c r="H26" i="12" a="1"/>
  <c r="H26" i="12" s="1"/>
  <c r="G26" i="12" a="1"/>
  <c r="G26" i="12" s="1"/>
  <c r="F26" i="12" a="1"/>
  <c r="F26" i="12" s="1"/>
  <c r="E26" i="12" a="1"/>
  <c r="E26" i="12" s="1"/>
  <c r="D26" i="12" a="1"/>
  <c r="D26" i="12" s="1"/>
  <c r="C26" i="12" a="1"/>
  <c r="C26" i="12" s="1"/>
  <c r="B26" i="12" a="1"/>
  <c r="B26" i="12" s="1"/>
  <c r="A26" i="12" a="1"/>
  <c r="A26" i="12" s="1"/>
  <c r="A27" i="12" s="1"/>
  <c r="I25" i="12" a="1"/>
  <c r="I25" i="12" s="1"/>
  <c r="H25" i="12" a="1"/>
  <c r="H25" i="12" s="1"/>
  <c r="G25" i="12" a="1"/>
  <c r="G25" i="12" s="1"/>
  <c r="F25" i="12" a="1"/>
  <c r="F25" i="12" s="1"/>
  <c r="E25" i="12" a="1"/>
  <c r="E25" i="12" s="1"/>
  <c r="D25" i="12" a="1"/>
  <c r="D25" i="12" s="1"/>
  <c r="C25" i="12" a="1"/>
  <c r="C25" i="12" s="1"/>
  <c r="B25" i="12" a="1"/>
  <c r="B25" i="12" s="1"/>
  <c r="L24" i="12" a="1"/>
  <c r="L24" i="12" s="1"/>
  <c r="K24" i="12" a="1"/>
  <c r="K24" i="12" s="1"/>
  <c r="J24" i="12" a="1"/>
  <c r="J24" i="12" s="1"/>
  <c r="I24" i="12" a="1"/>
  <c r="I24" i="12" s="1"/>
  <c r="H24" i="12" a="1"/>
  <c r="H24" i="12" s="1"/>
  <c r="G24" i="12" a="1"/>
  <c r="G24" i="12" s="1"/>
  <c r="F24" i="12" a="1"/>
  <c r="F24" i="12" s="1"/>
  <c r="E24" i="12" a="1"/>
  <c r="E24" i="12" s="1"/>
  <c r="D24" i="12" a="1"/>
  <c r="D24" i="12" s="1"/>
  <c r="C24" i="12" a="1"/>
  <c r="C24" i="12" s="1"/>
  <c r="B24" i="12" a="1"/>
  <c r="B24" i="12" s="1"/>
  <c r="A24" i="12" a="1"/>
  <c r="A24" i="12" s="1"/>
  <c r="A25" i="12" s="1"/>
  <c r="I23" i="12" a="1"/>
  <c r="I23" i="12" s="1"/>
  <c r="H23" i="12" a="1"/>
  <c r="H23" i="12" s="1"/>
  <c r="G23" i="12" a="1"/>
  <c r="G23" i="12" s="1"/>
  <c r="F23" i="12" a="1"/>
  <c r="F23" i="12" s="1"/>
  <c r="E23" i="12" a="1"/>
  <c r="E23" i="12" s="1"/>
  <c r="D23" i="12" a="1"/>
  <c r="D23" i="12" s="1"/>
  <c r="C23" i="12" a="1"/>
  <c r="C23" i="12" s="1"/>
  <c r="B23" i="12" a="1"/>
  <c r="B23" i="12" s="1"/>
  <c r="L22" i="12" a="1"/>
  <c r="L22" i="12" s="1"/>
  <c r="K22" i="12" a="1"/>
  <c r="K22" i="12" s="1"/>
  <c r="J22" i="12" a="1"/>
  <c r="J22" i="12" s="1"/>
  <c r="I22" i="12" a="1"/>
  <c r="I22" i="12" s="1"/>
  <c r="H22" i="12" a="1"/>
  <c r="H22" i="12" s="1"/>
  <c r="G22" i="12" a="1"/>
  <c r="G22" i="12" s="1"/>
  <c r="F22" i="12" a="1"/>
  <c r="F22" i="12" s="1"/>
  <c r="E22" i="12" a="1"/>
  <c r="E22" i="12" s="1"/>
  <c r="D22" i="12" a="1"/>
  <c r="D22" i="12" s="1"/>
  <c r="C22" i="12" a="1"/>
  <c r="C22" i="12" s="1"/>
  <c r="B22" i="12" a="1"/>
  <c r="B22" i="12" s="1"/>
  <c r="A22" i="12" a="1"/>
  <c r="A22" i="12" s="1"/>
  <c r="A23" i="12" s="1"/>
  <c r="I21" i="12" a="1"/>
  <c r="I21" i="12" s="1"/>
  <c r="H21" i="12" a="1"/>
  <c r="H21" i="12" s="1"/>
  <c r="G21" i="12" a="1"/>
  <c r="G21" i="12" s="1"/>
  <c r="F21" i="12" a="1"/>
  <c r="F21" i="12" s="1"/>
  <c r="E21" i="12" a="1"/>
  <c r="E21" i="12" s="1"/>
  <c r="D21" i="12" a="1"/>
  <c r="D21" i="12" s="1"/>
  <c r="C21" i="12" a="1"/>
  <c r="C21" i="12" s="1"/>
  <c r="B21" i="12" a="1"/>
  <c r="B21" i="12" s="1"/>
  <c r="L20" i="12" a="1"/>
  <c r="L20" i="12" s="1"/>
  <c r="K20" i="12" a="1"/>
  <c r="K20" i="12" s="1"/>
  <c r="J20" i="12" a="1"/>
  <c r="J20" i="12" s="1"/>
  <c r="I20" i="12" a="1"/>
  <c r="I20" i="12" s="1"/>
  <c r="H20" i="12" a="1"/>
  <c r="H20" i="12" s="1"/>
  <c r="G20" i="12" a="1"/>
  <c r="G20" i="12" s="1"/>
  <c r="F20" i="12" a="1"/>
  <c r="F20" i="12" s="1"/>
  <c r="E20" i="12" a="1"/>
  <c r="E20" i="12" s="1"/>
  <c r="D20" i="12" a="1"/>
  <c r="D20" i="12" s="1"/>
  <c r="C20" i="12" a="1"/>
  <c r="C20" i="12" s="1"/>
  <c r="B20" i="12" a="1"/>
  <c r="B20" i="12" s="1"/>
  <c r="A20" i="12" a="1"/>
  <c r="A20" i="12" s="1"/>
  <c r="A21" i="12" s="1"/>
  <c r="I19" i="12" a="1"/>
  <c r="I19" i="12" s="1"/>
  <c r="H19" i="12" a="1"/>
  <c r="H19" i="12" s="1"/>
  <c r="G19" i="12" a="1"/>
  <c r="G19" i="12" s="1"/>
  <c r="F19" i="12" a="1"/>
  <c r="F19" i="12" s="1"/>
  <c r="E19" i="12" a="1"/>
  <c r="E19" i="12" s="1"/>
  <c r="D19" i="12" a="1"/>
  <c r="D19" i="12" s="1"/>
  <c r="C19" i="12" a="1"/>
  <c r="C19" i="12" s="1"/>
  <c r="B19" i="12" a="1"/>
  <c r="B19" i="12" s="1"/>
  <c r="L18" i="12" a="1"/>
  <c r="L18" i="12" s="1"/>
  <c r="K18" i="12" a="1"/>
  <c r="K18" i="12" s="1"/>
  <c r="J18" i="12" a="1"/>
  <c r="J18" i="12" s="1"/>
  <c r="I18" i="12" a="1"/>
  <c r="I18" i="12" s="1"/>
  <c r="H18" i="12" a="1"/>
  <c r="H18" i="12" s="1"/>
  <c r="G18" i="12" a="1"/>
  <c r="G18" i="12" s="1"/>
  <c r="F18" i="12" a="1"/>
  <c r="F18" i="12" s="1"/>
  <c r="E18" i="12" a="1"/>
  <c r="E18" i="12" s="1"/>
  <c r="D18" i="12" a="1"/>
  <c r="D18" i="12" s="1"/>
  <c r="C18" i="12" a="1"/>
  <c r="C18" i="12" s="1"/>
  <c r="B18" i="12" a="1"/>
  <c r="B18" i="12" s="1"/>
  <c r="A18" i="12" a="1"/>
  <c r="A18" i="12" s="1"/>
  <c r="A19" i="12" s="1"/>
  <c r="I17" i="12" a="1"/>
  <c r="I17" i="12" s="1"/>
  <c r="H17" i="12" a="1"/>
  <c r="H17" i="12" s="1"/>
  <c r="G17" i="12" a="1"/>
  <c r="G17" i="12" s="1"/>
  <c r="F17" i="12" a="1"/>
  <c r="F17" i="12" s="1"/>
  <c r="E17" i="12" a="1"/>
  <c r="E17" i="12" s="1"/>
  <c r="D17" i="12" a="1"/>
  <c r="D17" i="12" s="1"/>
  <c r="C17" i="12" a="1"/>
  <c r="C17" i="12" s="1"/>
  <c r="B17" i="12" a="1"/>
  <c r="B17" i="12" s="1"/>
  <c r="L16" i="12" a="1"/>
  <c r="L16" i="12" s="1"/>
  <c r="K16" i="12" a="1"/>
  <c r="K16" i="12" s="1"/>
  <c r="J16" i="12" a="1"/>
  <c r="J16" i="12" s="1"/>
  <c r="I16" i="12" a="1"/>
  <c r="I16" i="12" s="1"/>
  <c r="H16" i="12" a="1"/>
  <c r="H16" i="12" s="1"/>
  <c r="G16" i="12" a="1"/>
  <c r="G16" i="12" s="1"/>
  <c r="F16" i="12" a="1"/>
  <c r="F16" i="12" s="1"/>
  <c r="E16" i="12" a="1"/>
  <c r="E16" i="12" s="1"/>
  <c r="D16" i="12" a="1"/>
  <c r="D16" i="12" s="1"/>
  <c r="C16" i="12" a="1"/>
  <c r="C16" i="12" s="1"/>
  <c r="B16" i="12" a="1"/>
  <c r="B16" i="12" s="1"/>
  <c r="A16" i="12" a="1"/>
  <c r="A16" i="12" s="1"/>
  <c r="A17" i="12" s="1"/>
  <c r="I15" i="12" a="1"/>
  <c r="I15" i="12" s="1"/>
  <c r="H15" i="12" a="1"/>
  <c r="H15" i="12" s="1"/>
  <c r="G15" i="12" a="1"/>
  <c r="G15" i="12" s="1"/>
  <c r="F15" i="12" a="1"/>
  <c r="F15" i="12" s="1"/>
  <c r="E15" i="12" a="1"/>
  <c r="E15" i="12" s="1"/>
  <c r="D15" i="12" a="1"/>
  <c r="D15" i="12" s="1"/>
  <c r="C15" i="12" a="1"/>
  <c r="C15" i="12" s="1"/>
  <c r="B15" i="12" a="1"/>
  <c r="B15" i="12" s="1"/>
  <c r="L14" i="12" a="1"/>
  <c r="L14" i="12" s="1"/>
  <c r="K14" i="12" a="1"/>
  <c r="K14" i="12" s="1"/>
  <c r="J14" i="12" a="1"/>
  <c r="J14" i="12" s="1"/>
  <c r="I14" i="12" a="1"/>
  <c r="I14" i="12" s="1"/>
  <c r="H14" i="12" a="1"/>
  <c r="H14" i="12" s="1"/>
  <c r="G14" i="12" a="1"/>
  <c r="G14" i="12" s="1"/>
  <c r="F14" i="12" a="1"/>
  <c r="F14" i="12" s="1"/>
  <c r="E14" i="12" a="1"/>
  <c r="E14" i="12" s="1"/>
  <c r="D14" i="12" a="1"/>
  <c r="D14" i="12" s="1"/>
  <c r="C14" i="12" a="1"/>
  <c r="C14" i="12" s="1"/>
  <c r="B14" i="12" a="1"/>
  <c r="B14" i="12" s="1"/>
  <c r="A14" i="12" a="1"/>
  <c r="A14" i="12" s="1"/>
  <c r="A15" i="12" s="1"/>
  <c r="I13" i="12" a="1"/>
  <c r="I13" i="12" s="1"/>
  <c r="H13" i="12" a="1"/>
  <c r="H13" i="12" s="1"/>
  <c r="G13" i="12" a="1"/>
  <c r="G13" i="12" s="1"/>
  <c r="F13" i="12" a="1"/>
  <c r="F13" i="12" s="1"/>
  <c r="E13" i="12" a="1"/>
  <c r="E13" i="12" s="1"/>
  <c r="D13" i="12" a="1"/>
  <c r="D13" i="12" s="1"/>
  <c r="C13" i="12" a="1"/>
  <c r="C13" i="12" s="1"/>
  <c r="B13" i="12" a="1"/>
  <c r="B13" i="12" s="1"/>
  <c r="L12" i="12" a="1"/>
  <c r="L12" i="12" s="1"/>
  <c r="K12" i="12" a="1"/>
  <c r="K12" i="12" s="1"/>
  <c r="J12" i="12" a="1"/>
  <c r="J12" i="12" s="1"/>
  <c r="I12" i="12" a="1"/>
  <c r="I12" i="12" s="1"/>
  <c r="H12" i="12" a="1"/>
  <c r="H12" i="12" s="1"/>
  <c r="G12" i="12" a="1"/>
  <c r="G12" i="12" s="1"/>
  <c r="F12" i="12" a="1"/>
  <c r="F12" i="12" s="1"/>
  <c r="E12" i="12" a="1"/>
  <c r="E12" i="12" s="1"/>
  <c r="D12" i="12" a="1"/>
  <c r="D12" i="12" s="1"/>
  <c r="C12" i="12" a="1"/>
  <c r="C12" i="12" s="1"/>
  <c r="B12" i="12" a="1"/>
  <c r="B12" i="12" s="1"/>
  <c r="A12" i="12" a="1"/>
  <c r="A12" i="12" s="1"/>
  <c r="A13" i="12" s="1"/>
  <c r="I11" i="12" a="1"/>
  <c r="I11" i="12" s="1"/>
  <c r="H11" i="12" a="1"/>
  <c r="H11" i="12" s="1"/>
  <c r="G11" i="12" a="1"/>
  <c r="G11" i="12" s="1"/>
  <c r="F11" i="12" a="1"/>
  <c r="F11" i="12" s="1"/>
  <c r="E11" i="12" a="1"/>
  <c r="E11" i="12" s="1"/>
  <c r="D11" i="12" a="1"/>
  <c r="D11" i="12" s="1"/>
  <c r="C11" i="12" a="1"/>
  <c r="C11" i="12" s="1"/>
  <c r="B11" i="12" a="1"/>
  <c r="B11" i="12" s="1"/>
  <c r="L10" i="12" a="1"/>
  <c r="L10" i="12" s="1"/>
  <c r="K10" i="12" a="1"/>
  <c r="K10" i="12" s="1"/>
  <c r="J10" i="12" a="1"/>
  <c r="J10" i="12" s="1"/>
  <c r="I10" i="12" a="1"/>
  <c r="I10" i="12" s="1"/>
  <c r="H10" i="12" a="1"/>
  <c r="H10" i="12" s="1"/>
  <c r="G10" i="12" a="1"/>
  <c r="G10" i="12" s="1"/>
  <c r="F10" i="12" a="1"/>
  <c r="F10" i="12" s="1"/>
  <c r="E10" i="12" a="1"/>
  <c r="E10" i="12" s="1"/>
  <c r="D10" i="12" a="1"/>
  <c r="D10" i="12" s="1"/>
  <c r="C10" i="12" a="1"/>
  <c r="C10" i="12" s="1"/>
  <c r="B10" i="12" a="1"/>
  <c r="B10" i="12" s="1"/>
  <c r="A10" i="12" a="1"/>
  <c r="A10" i="12" s="1"/>
  <c r="A11" i="12" s="1"/>
  <c r="I9" i="12" a="1"/>
  <c r="I9" i="12" s="1"/>
  <c r="H9" i="12" a="1"/>
  <c r="H9" i="12" s="1"/>
  <c r="G9" i="12" a="1"/>
  <c r="G9" i="12" s="1"/>
  <c r="F9" i="12" a="1"/>
  <c r="F9" i="12" s="1"/>
  <c r="E9" i="12" a="1"/>
  <c r="E9" i="12" s="1"/>
  <c r="D9" i="12" a="1"/>
  <c r="D9" i="12" s="1"/>
  <c r="C9" i="12" a="1"/>
  <c r="C9" i="12" s="1"/>
  <c r="B9" i="12" a="1"/>
  <c r="B9" i="12" s="1"/>
  <c r="L8" i="12" a="1"/>
  <c r="L8" i="12" s="1"/>
  <c r="K8" i="12" a="1"/>
  <c r="K8" i="12" s="1"/>
  <c r="J8" i="12" a="1"/>
  <c r="J8" i="12" s="1"/>
  <c r="I8" i="12" a="1"/>
  <c r="I8" i="12" s="1"/>
  <c r="H8" i="12" a="1"/>
  <c r="H8" i="12" s="1"/>
  <c r="G8" i="12" a="1"/>
  <c r="G8" i="12" s="1"/>
  <c r="F8" i="12" a="1"/>
  <c r="F8" i="12" s="1"/>
  <c r="E8" i="12" a="1"/>
  <c r="E8" i="12" s="1"/>
  <c r="D8" i="12" a="1"/>
  <c r="D8" i="12" s="1"/>
  <c r="C8" i="12" a="1"/>
  <c r="C8" i="12" s="1"/>
  <c r="B8" i="12" a="1"/>
  <c r="B8" i="12" s="1"/>
  <c r="I7" i="12" a="1"/>
  <c r="I7" i="12" s="1"/>
  <c r="H7" i="12" a="1"/>
  <c r="H7" i="12" s="1"/>
  <c r="G7" i="12" a="1"/>
  <c r="G7" i="12" s="1"/>
  <c r="F7" i="12" a="1"/>
  <c r="F7" i="12" s="1"/>
  <c r="E7" i="12" a="1"/>
  <c r="E7" i="12" s="1"/>
  <c r="D7" i="12" a="1"/>
  <c r="D7" i="12" s="1"/>
  <c r="C7" i="12" a="1"/>
  <c r="C7" i="12" s="1"/>
  <c r="B7" i="12" a="1"/>
  <c r="B7" i="12" s="1"/>
  <c r="L6" i="12" a="1"/>
  <c r="L6" i="12" s="1"/>
  <c r="K6" i="12" a="1"/>
  <c r="K6" i="12" s="1"/>
  <c r="J6" i="12" a="1"/>
  <c r="J6" i="12" s="1"/>
  <c r="I6" i="12" a="1"/>
  <c r="I6" i="12" s="1"/>
  <c r="H6" i="12" a="1"/>
  <c r="H6" i="12" s="1"/>
  <c r="G6" i="12" a="1"/>
  <c r="G6" i="12" s="1"/>
  <c r="F6" i="12" a="1"/>
  <c r="F6" i="12" s="1"/>
  <c r="E6" i="12" a="1"/>
  <c r="E6" i="12" s="1"/>
  <c r="D6" i="12" a="1"/>
  <c r="D6" i="12" s="1"/>
  <c r="C6" i="12" a="1"/>
  <c r="C6" i="12" s="1"/>
  <c r="B6" i="12" a="1"/>
  <c r="B6" i="12" s="1"/>
  <c r="X203" i="9"/>
  <c r="X202" i="9"/>
  <c r="X201" i="9"/>
  <c r="X200" i="9"/>
  <c r="X199" i="9"/>
  <c r="X198" i="9"/>
  <c r="X197" i="9"/>
  <c r="X196" i="9"/>
  <c r="X195" i="9"/>
  <c r="X194" i="9"/>
  <c r="X193" i="9"/>
  <c r="X192" i="9"/>
  <c r="X191" i="9"/>
  <c r="X190" i="9"/>
  <c r="X189" i="9"/>
  <c r="X188" i="9"/>
  <c r="X187" i="9"/>
  <c r="X186" i="9"/>
  <c r="X185" i="9"/>
  <c r="X184" i="9"/>
  <c r="X183" i="9"/>
  <c r="X182" i="9"/>
  <c r="X181" i="9"/>
  <c r="X180" i="9"/>
  <c r="X179" i="9"/>
  <c r="X178" i="9"/>
  <c r="X177" i="9"/>
  <c r="X176" i="9"/>
  <c r="X175" i="9"/>
  <c r="X174" i="9"/>
  <c r="X173" i="9"/>
  <c r="X172" i="9"/>
  <c r="X171" i="9"/>
  <c r="X170" i="9"/>
  <c r="X169" i="9"/>
  <c r="X168" i="9"/>
  <c r="X167" i="9"/>
  <c r="X166" i="9"/>
  <c r="X165" i="9"/>
  <c r="X164" i="9"/>
  <c r="X163" i="9"/>
  <c r="X162" i="9"/>
  <c r="X161" i="9"/>
  <c r="X160" i="9"/>
  <c r="X159" i="9"/>
  <c r="X158" i="9"/>
  <c r="X157" i="9"/>
  <c r="X156" i="9"/>
  <c r="X155" i="9"/>
  <c r="X154" i="9"/>
  <c r="X153" i="9"/>
  <c r="X152" i="9"/>
  <c r="X151" i="9"/>
  <c r="X150" i="9"/>
  <c r="X149" i="9"/>
  <c r="X148" i="9"/>
  <c r="X147" i="9"/>
  <c r="X146" i="9"/>
  <c r="X145" i="9"/>
  <c r="X144" i="9"/>
  <c r="X143" i="9"/>
  <c r="X142" i="9"/>
  <c r="X141" i="9"/>
  <c r="X140" i="9"/>
  <c r="X139" i="9"/>
  <c r="X138" i="9"/>
  <c r="X137" i="9"/>
  <c r="X136" i="9"/>
  <c r="X135" i="9"/>
  <c r="X134" i="9"/>
  <c r="X133" i="9"/>
  <c r="X132" i="9"/>
  <c r="X131" i="9"/>
  <c r="X130" i="9"/>
  <c r="X129" i="9"/>
  <c r="X128" i="9"/>
  <c r="X127" i="9"/>
  <c r="X126" i="9"/>
  <c r="X125" i="9"/>
  <c r="X124" i="9"/>
  <c r="X123" i="9"/>
  <c r="X122" i="9"/>
  <c r="X121" i="9"/>
  <c r="X120" i="9"/>
  <c r="X119" i="9"/>
  <c r="X118" i="9"/>
  <c r="X117" i="9"/>
  <c r="X116" i="9"/>
  <c r="X115" i="9"/>
  <c r="X114" i="9"/>
  <c r="X113" i="9"/>
  <c r="X112" i="9"/>
  <c r="X111" i="9"/>
  <c r="X110" i="9"/>
  <c r="X109" i="9"/>
  <c r="X108" i="9"/>
  <c r="X107" i="9"/>
  <c r="X106" i="9"/>
  <c r="X105" i="9"/>
  <c r="X104" i="9"/>
  <c r="X103" i="9"/>
  <c r="X102" i="9"/>
  <c r="X101" i="9"/>
  <c r="X100" i="9"/>
  <c r="X99" i="9"/>
  <c r="X98" i="9"/>
  <c r="X97" i="9"/>
  <c r="X96" i="9"/>
  <c r="X95" i="9"/>
  <c r="X94" i="9"/>
  <c r="X93" i="9"/>
  <c r="X92" i="9"/>
  <c r="X91" i="9"/>
  <c r="X90" i="9"/>
  <c r="X89" i="9"/>
  <c r="X88" i="9"/>
  <c r="X87" i="9"/>
  <c r="X86" i="9"/>
  <c r="X85" i="9"/>
  <c r="X84" i="9"/>
  <c r="X83" i="9"/>
  <c r="X82" i="9"/>
  <c r="X81" i="9"/>
  <c r="X80" i="9"/>
  <c r="X79" i="9"/>
  <c r="X78" i="9"/>
  <c r="X77" i="9"/>
  <c r="X76" i="9"/>
  <c r="X75" i="9"/>
  <c r="X74" i="9"/>
  <c r="X73" i="9"/>
  <c r="X72" i="9"/>
  <c r="X71" i="9"/>
  <c r="X70" i="9"/>
  <c r="X69" i="9"/>
  <c r="X68" i="9"/>
  <c r="X67" i="9"/>
  <c r="X66" i="9"/>
  <c r="X65" i="9"/>
  <c r="X64" i="9"/>
  <c r="X63" i="9"/>
  <c r="X62" i="9"/>
  <c r="X61" i="9"/>
  <c r="X60" i="9"/>
  <c r="X59" i="9"/>
  <c r="X58" i="9"/>
  <c r="X57" i="9"/>
  <c r="X56" i="9"/>
  <c r="X55" i="9"/>
  <c r="X54" i="9"/>
  <c r="X53" i="9"/>
  <c r="X52" i="9"/>
  <c r="X51" i="9"/>
  <c r="X50" i="9"/>
  <c r="X49" i="9"/>
  <c r="X48" i="9"/>
  <c r="X47" i="9"/>
  <c r="X46" i="9"/>
  <c r="X45" i="9"/>
  <c r="X44" i="9"/>
  <c r="X43" i="9"/>
  <c r="X42" i="9"/>
  <c r="X41" i="9"/>
  <c r="X40" i="9"/>
  <c r="X39" i="9"/>
  <c r="X38" i="9"/>
  <c r="X37" i="9"/>
  <c r="X36" i="9"/>
  <c r="X35" i="9"/>
  <c r="X34" i="9"/>
  <c r="X33" i="9"/>
  <c r="X32" i="9"/>
  <c r="X31" i="9"/>
  <c r="X30" i="9"/>
  <c r="X29" i="9"/>
  <c r="X28" i="9"/>
  <c r="X27" i="9"/>
  <c r="X26" i="9"/>
  <c r="X25" i="9"/>
  <c r="X24" i="9"/>
  <c r="X23" i="9"/>
  <c r="X22" i="9"/>
  <c r="X21" i="9"/>
  <c r="X20" i="9"/>
  <c r="X19" i="9"/>
  <c r="X18" i="9"/>
  <c r="X17" i="9"/>
  <c r="X16" i="9"/>
  <c r="X15" i="9"/>
  <c r="X14" i="9"/>
  <c r="X13" i="9"/>
  <c r="X12" i="9"/>
  <c r="X11" i="9"/>
  <c r="X10" i="9"/>
  <c r="X9" i="9"/>
  <c r="X8" i="9"/>
  <c r="X7" i="9"/>
  <c r="X6" i="9"/>
  <c r="Y5" i="9"/>
  <c r="X5" i="9"/>
  <c r="Y4" i="9"/>
  <c r="X4" i="9"/>
  <c r="W108" i="7"/>
  <c r="A108" i="7"/>
  <c r="W107" i="7"/>
  <c r="A107" i="7"/>
  <c r="W106" i="7"/>
  <c r="A106" i="7"/>
  <c r="W105" i="7"/>
  <c r="A105" i="7"/>
  <c r="W104" i="7"/>
  <c r="A104" i="7"/>
  <c r="W103" i="7"/>
  <c r="A103" i="7"/>
  <c r="W102" i="7"/>
  <c r="A102" i="7"/>
  <c r="W101" i="7"/>
  <c r="A101" i="7"/>
  <c r="W100" i="7"/>
  <c r="A100" i="7"/>
  <c r="W99" i="7"/>
  <c r="A99" i="7"/>
  <c r="W98" i="7"/>
  <c r="A98" i="7"/>
  <c r="W97" i="7"/>
  <c r="A97" i="7"/>
  <c r="W96" i="7"/>
  <c r="A96" i="7"/>
  <c r="W95" i="7"/>
  <c r="A95" i="7"/>
  <c r="W94" i="7"/>
  <c r="A94" i="7"/>
  <c r="W93" i="7"/>
  <c r="A93" i="7"/>
  <c r="W92" i="7"/>
  <c r="A92" i="7"/>
  <c r="W91" i="7"/>
  <c r="A91" i="7"/>
  <c r="W90" i="7"/>
  <c r="A90" i="7"/>
  <c r="W89" i="7"/>
  <c r="A89" i="7"/>
  <c r="W88" i="7"/>
  <c r="A88" i="7"/>
  <c r="W87" i="7"/>
  <c r="A87" i="7"/>
  <c r="W86" i="7"/>
  <c r="A86" i="7"/>
  <c r="W85" i="7"/>
  <c r="A85" i="7"/>
  <c r="W84" i="7"/>
  <c r="A84" i="7"/>
  <c r="W83" i="7"/>
  <c r="A83" i="7"/>
  <c r="W82" i="7"/>
  <c r="A82" i="7"/>
  <c r="W81" i="7"/>
  <c r="A81" i="7"/>
  <c r="W80" i="7"/>
  <c r="A80" i="7"/>
  <c r="W79" i="7"/>
  <c r="A79" i="7"/>
  <c r="W78" i="7"/>
  <c r="A78" i="7"/>
  <c r="W77" i="7"/>
  <c r="A77" i="7"/>
  <c r="W76" i="7"/>
  <c r="A76" i="7"/>
  <c r="W75" i="7"/>
  <c r="A75" i="7"/>
  <c r="W74" i="7"/>
  <c r="A74" i="7"/>
  <c r="W73" i="7"/>
  <c r="A73" i="7"/>
  <c r="W72" i="7"/>
  <c r="A72" i="7"/>
  <c r="W71" i="7"/>
  <c r="A71" i="7"/>
  <c r="W70" i="7"/>
  <c r="A70" i="7"/>
  <c r="W69" i="7"/>
  <c r="A69" i="7"/>
  <c r="W68" i="7"/>
  <c r="A68" i="7"/>
  <c r="W67" i="7"/>
  <c r="A67" i="7"/>
  <c r="W66" i="7"/>
  <c r="A66" i="7"/>
  <c r="W65" i="7"/>
  <c r="A65" i="7"/>
  <c r="W64" i="7"/>
  <c r="A64" i="7"/>
  <c r="W63" i="7"/>
  <c r="A63" i="7"/>
  <c r="W62" i="7"/>
  <c r="A62" i="7"/>
  <c r="W61" i="7"/>
  <c r="A61" i="7"/>
  <c r="W60" i="7"/>
  <c r="A60" i="7"/>
  <c r="W59" i="7"/>
  <c r="A59" i="7"/>
  <c r="W58" i="7"/>
  <c r="A58" i="7"/>
  <c r="W57" i="7"/>
  <c r="A57" i="7"/>
  <c r="W56" i="7"/>
  <c r="A56" i="7"/>
  <c r="W55" i="7"/>
  <c r="A55" i="7"/>
  <c r="W54" i="7"/>
  <c r="A54" i="7"/>
  <c r="W53" i="7"/>
  <c r="A53" i="7"/>
  <c r="W52" i="7"/>
  <c r="A52" i="7"/>
  <c r="W51" i="7"/>
  <c r="A51" i="7"/>
  <c r="W50" i="7"/>
  <c r="A50" i="7"/>
  <c r="W49" i="7"/>
  <c r="A49" i="7"/>
  <c r="W48" i="7"/>
  <c r="A48" i="7"/>
  <c r="W47" i="7"/>
  <c r="A47" i="7"/>
  <c r="W46" i="7"/>
  <c r="A46" i="7"/>
  <c r="W45" i="7"/>
  <c r="A45" i="7"/>
  <c r="W44" i="7"/>
  <c r="A44" i="7"/>
  <c r="W43" i="7"/>
  <c r="A43" i="7"/>
  <c r="W42" i="7"/>
  <c r="A42" i="7"/>
  <c r="W41" i="7"/>
  <c r="A41" i="7"/>
  <c r="W40" i="7"/>
  <c r="A40" i="7"/>
  <c r="W39" i="7"/>
  <c r="A39" i="7"/>
  <c r="W38" i="7"/>
  <c r="A38" i="7"/>
  <c r="W37" i="7"/>
  <c r="A37" i="7"/>
  <c r="W36" i="7"/>
  <c r="A36" i="7"/>
  <c r="W35" i="7"/>
  <c r="A35" i="7"/>
  <c r="W34" i="7"/>
  <c r="A34" i="7"/>
  <c r="W33" i="7"/>
  <c r="A33" i="7"/>
  <c r="W32" i="7"/>
  <c r="A32" i="7"/>
  <c r="W31" i="7"/>
  <c r="A31" i="7"/>
  <c r="W30" i="7"/>
  <c r="A30" i="7"/>
  <c r="W29" i="7"/>
  <c r="A29" i="7"/>
  <c r="W28" i="7"/>
  <c r="A28" i="7"/>
  <c r="W27" i="7"/>
  <c r="A27" i="7"/>
  <c r="W26" i="7"/>
  <c r="A26" i="7"/>
  <c r="W25" i="7"/>
  <c r="A25" i="7"/>
  <c r="W24" i="7"/>
  <c r="A24" i="7"/>
  <c r="W23" i="7"/>
  <c r="A23" i="7"/>
  <c r="W22" i="7"/>
  <c r="A22" i="7"/>
  <c r="W21" i="7"/>
  <c r="A21" i="7"/>
  <c r="W20" i="7"/>
  <c r="A20" i="7"/>
  <c r="W19" i="7"/>
  <c r="A19" i="7"/>
  <c r="W18" i="7"/>
  <c r="A18" i="7"/>
  <c r="W17" i="7"/>
  <c r="A17" i="7"/>
  <c r="W16" i="7"/>
  <c r="A16" i="7"/>
  <c r="W15" i="7"/>
  <c r="A15" i="7"/>
  <c r="W14" i="7"/>
  <c r="A14" i="7"/>
  <c r="W13" i="7"/>
  <c r="A13" i="7"/>
  <c r="W12" i="7"/>
  <c r="A12" i="7"/>
  <c r="W11" i="7"/>
  <c r="A11" i="7"/>
  <c r="W10" i="7"/>
  <c r="A10" i="7"/>
  <c r="W9" i="7"/>
  <c r="A9" i="7"/>
  <c r="W8" i="7"/>
  <c r="A8" i="7"/>
  <c r="W7" i="7"/>
  <c r="A7" i="7"/>
  <c r="W6" i="7"/>
  <c r="A6" i="7"/>
  <c r="W5" i="7"/>
  <c r="A5" i="7"/>
  <c r="V5" i="8" s="1"/>
  <c r="X5" i="8" s="1"/>
  <c r="T104" i="6"/>
  <c r="I104" i="6"/>
  <c r="A104" i="6"/>
  <c r="T103" i="6"/>
  <c r="I103" i="6"/>
  <c r="A103" i="6"/>
  <c r="T102" i="6"/>
  <c r="I102" i="6"/>
  <c r="A102" i="6"/>
  <c r="T101" i="6"/>
  <c r="I101" i="6"/>
  <c r="A101" i="6"/>
  <c r="T100" i="6"/>
  <c r="I100" i="6"/>
  <c r="A100" i="6"/>
  <c r="T99" i="6"/>
  <c r="I99" i="6"/>
  <c r="A99" i="6"/>
  <c r="T98" i="6"/>
  <c r="I98" i="6"/>
  <c r="A98" i="6"/>
  <c r="T97" i="6"/>
  <c r="I97" i="6"/>
  <c r="A97" i="6"/>
  <c r="T96" i="6"/>
  <c r="I96" i="6"/>
  <c r="A96" i="6"/>
  <c r="T95" i="6"/>
  <c r="I95" i="6"/>
  <c r="A95" i="6"/>
  <c r="T94" i="6"/>
  <c r="I94" i="6"/>
  <c r="A94" i="6"/>
  <c r="T93" i="6"/>
  <c r="I93" i="6"/>
  <c r="A93" i="6"/>
  <c r="T92" i="6"/>
  <c r="I92" i="6"/>
  <c r="A92" i="6"/>
  <c r="T91" i="6"/>
  <c r="I91" i="6"/>
  <c r="A91" i="6"/>
  <c r="T90" i="6"/>
  <c r="I90" i="6"/>
  <c r="A90" i="6"/>
  <c r="T89" i="6"/>
  <c r="I89" i="6"/>
  <c r="A89" i="6"/>
  <c r="T88" i="6"/>
  <c r="I88" i="6"/>
  <c r="A88" i="6"/>
  <c r="T87" i="6"/>
  <c r="I87" i="6"/>
  <c r="A87" i="6"/>
  <c r="T86" i="6"/>
  <c r="I86" i="6"/>
  <c r="A86" i="6"/>
  <c r="T85" i="6"/>
  <c r="I85" i="6"/>
  <c r="A85" i="6"/>
  <c r="T84" i="6"/>
  <c r="I84" i="6"/>
  <c r="A84" i="6"/>
  <c r="T83" i="6"/>
  <c r="I83" i="6"/>
  <c r="A83" i="6"/>
  <c r="T82" i="6"/>
  <c r="I82" i="6"/>
  <c r="A82" i="6"/>
  <c r="T81" i="6"/>
  <c r="I81" i="6"/>
  <c r="A81" i="6"/>
  <c r="T80" i="6"/>
  <c r="I80" i="6"/>
  <c r="A80" i="6"/>
  <c r="T79" i="6"/>
  <c r="I79" i="6"/>
  <c r="A79" i="6"/>
  <c r="T78" i="6"/>
  <c r="I78" i="6"/>
  <c r="A78" i="6"/>
  <c r="T77" i="6"/>
  <c r="I77" i="6"/>
  <c r="A77" i="6"/>
  <c r="T76" i="6"/>
  <c r="I76" i="6"/>
  <c r="A76" i="6"/>
  <c r="T75" i="6"/>
  <c r="I75" i="6"/>
  <c r="A75" i="6"/>
  <c r="T74" i="6"/>
  <c r="I74" i="6"/>
  <c r="A74" i="6"/>
  <c r="T73" i="6"/>
  <c r="I73" i="6"/>
  <c r="A73" i="6"/>
  <c r="T72" i="6"/>
  <c r="I72" i="6"/>
  <c r="A72" i="6"/>
  <c r="T71" i="6"/>
  <c r="I71" i="6"/>
  <c r="A71" i="6"/>
  <c r="T70" i="6"/>
  <c r="I70" i="6"/>
  <c r="A70" i="6"/>
  <c r="T69" i="6"/>
  <c r="I69" i="6"/>
  <c r="A69" i="6"/>
  <c r="T68" i="6"/>
  <c r="I68" i="6"/>
  <c r="A68" i="6"/>
  <c r="T67" i="6"/>
  <c r="I67" i="6"/>
  <c r="A67" i="6"/>
  <c r="T66" i="6"/>
  <c r="I66" i="6"/>
  <c r="A66" i="6"/>
  <c r="T65" i="6"/>
  <c r="I65" i="6"/>
  <c r="A65" i="6"/>
  <c r="T64" i="6"/>
  <c r="I64" i="6"/>
  <c r="A64" i="6"/>
  <c r="T63" i="6"/>
  <c r="I63" i="6"/>
  <c r="A63" i="6"/>
  <c r="T62" i="6"/>
  <c r="I62" i="6"/>
  <c r="A62" i="6"/>
  <c r="T61" i="6"/>
  <c r="I61" i="6"/>
  <c r="A61" i="6"/>
  <c r="T60" i="6"/>
  <c r="I60" i="6"/>
  <c r="A60" i="6"/>
  <c r="T59" i="6"/>
  <c r="I59" i="6"/>
  <c r="A59" i="6"/>
  <c r="T58" i="6"/>
  <c r="I58" i="6"/>
  <c r="A58" i="6"/>
  <c r="T57" i="6"/>
  <c r="I57" i="6"/>
  <c r="A57" i="6"/>
  <c r="T56" i="6"/>
  <c r="I56" i="6"/>
  <c r="A56" i="6"/>
  <c r="T55" i="6"/>
  <c r="I55" i="6"/>
  <c r="A55" i="6"/>
  <c r="T54" i="6"/>
  <c r="I54" i="6"/>
  <c r="A54" i="6"/>
  <c r="T53" i="6"/>
  <c r="I53" i="6"/>
  <c r="A53" i="6"/>
  <c r="T52" i="6"/>
  <c r="I52" i="6"/>
  <c r="A52" i="6"/>
  <c r="T51" i="6"/>
  <c r="I51" i="6"/>
  <c r="A51" i="6"/>
  <c r="T50" i="6"/>
  <c r="I50" i="6"/>
  <c r="A50" i="6"/>
  <c r="T49" i="6"/>
  <c r="I49" i="6"/>
  <c r="A49" i="6"/>
  <c r="T48" i="6"/>
  <c r="I48" i="6"/>
  <c r="T47" i="6"/>
  <c r="I47" i="6"/>
  <c r="T46" i="6"/>
  <c r="I46" i="6"/>
  <c r="T45" i="6"/>
  <c r="I45" i="6"/>
  <c r="T44" i="6"/>
  <c r="I44" i="6"/>
  <c r="T43" i="6"/>
  <c r="I43" i="6"/>
  <c r="T42" i="6"/>
  <c r="I42" i="6"/>
  <c r="T41" i="6"/>
  <c r="I41" i="6"/>
  <c r="T40" i="6"/>
  <c r="I40" i="6"/>
  <c r="T39" i="6"/>
  <c r="I39" i="6"/>
  <c r="T38" i="6"/>
  <c r="I38" i="6"/>
  <c r="T37" i="6"/>
  <c r="I37" i="6"/>
  <c r="T36" i="6"/>
  <c r="I36" i="6"/>
  <c r="A36" i="6"/>
  <c r="T35" i="6"/>
  <c r="I35" i="6"/>
  <c r="A35" i="6"/>
  <c r="T34" i="6"/>
  <c r="T32" i="6"/>
  <c r="I32" i="6"/>
  <c r="A32" i="6"/>
  <c r="T31" i="6"/>
  <c r="I31" i="6"/>
  <c r="A31" i="6"/>
  <c r="T30" i="6"/>
  <c r="I30" i="6"/>
  <c r="A30" i="6"/>
  <c r="T29" i="6"/>
  <c r="I29" i="6"/>
  <c r="A29" i="6"/>
  <c r="T28" i="6"/>
  <c r="I28" i="6"/>
  <c r="A28" i="6"/>
  <c r="T27" i="6"/>
  <c r="I27" i="6"/>
  <c r="A27" i="6"/>
  <c r="T26" i="6"/>
  <c r="I26" i="6"/>
  <c r="A26" i="6"/>
  <c r="T25" i="6"/>
  <c r="I25" i="6"/>
  <c r="A25" i="6"/>
  <c r="T24" i="6"/>
  <c r="I24" i="6"/>
  <c r="A24" i="6"/>
  <c r="T23" i="6"/>
  <c r="I23" i="6"/>
  <c r="A23" i="6"/>
  <c r="T22" i="6"/>
  <c r="I22" i="6"/>
  <c r="A22" i="6"/>
  <c r="T21" i="6"/>
  <c r="I21" i="6"/>
  <c r="A21" i="6"/>
  <c r="T20" i="6"/>
  <c r="I20" i="6"/>
  <c r="A20" i="6"/>
  <c r="T19" i="6"/>
  <c r="I19" i="6"/>
  <c r="A19" i="6"/>
  <c r="T18" i="6"/>
  <c r="I18" i="6"/>
  <c r="A18" i="6"/>
  <c r="T17" i="6"/>
  <c r="I17" i="6"/>
  <c r="A17" i="6"/>
  <c r="T16" i="6"/>
  <c r="I16" i="6"/>
  <c r="A16" i="6"/>
  <c r="T15" i="6"/>
  <c r="I15" i="6"/>
  <c r="A15" i="6"/>
  <c r="T14" i="6"/>
  <c r="I14" i="6"/>
  <c r="A14" i="6"/>
  <c r="T13" i="6"/>
  <c r="I13" i="6"/>
  <c r="A13" i="6"/>
  <c r="T12" i="6"/>
  <c r="I12" i="6"/>
  <c r="A12" i="6"/>
  <c r="T11" i="6"/>
  <c r="I11" i="6"/>
  <c r="A11" i="6"/>
  <c r="T10" i="6"/>
  <c r="I10" i="6"/>
  <c r="A10" i="6"/>
  <c r="T9" i="6"/>
  <c r="I9" i="6"/>
  <c r="A9" i="6"/>
  <c r="T8" i="6"/>
  <c r="I8" i="6"/>
  <c r="T7" i="6"/>
  <c r="I7" i="6"/>
  <c r="A7" i="6"/>
  <c r="T6" i="6"/>
  <c r="I6" i="6"/>
  <c r="A6" i="6"/>
  <c r="T5" i="6"/>
  <c r="I5" i="6"/>
  <c r="A5" i="6"/>
  <c r="P17" i="5"/>
  <c r="O17" i="5"/>
  <c r="N17" i="5"/>
  <c r="M17" i="5"/>
  <c r="L17" i="5"/>
  <c r="K17" i="5"/>
  <c r="H17" i="5" a="1"/>
  <c r="H17" i="5" s="1"/>
  <c r="G17" i="5" a="1"/>
  <c r="G17" i="5" s="1"/>
  <c r="F17" i="5" a="1"/>
  <c r="F17" i="5" s="1"/>
  <c r="E17" i="5" a="1"/>
  <c r="E17" i="5" s="1"/>
  <c r="D17" i="5" a="1"/>
  <c r="D17" i="5" s="1"/>
  <c r="C17" i="5" a="1"/>
  <c r="C17" i="5" s="1"/>
  <c r="B17" i="5" a="1"/>
  <c r="B17" i="5" s="1"/>
  <c r="P16" i="5"/>
  <c r="O16" i="5"/>
  <c r="N16" i="5"/>
  <c r="M16" i="5"/>
  <c r="L16" i="5"/>
  <c r="K16" i="5"/>
  <c r="H16" i="5"/>
  <c r="G16" i="5"/>
  <c r="F16" i="5"/>
  <c r="E16" i="5"/>
  <c r="D16" i="5"/>
  <c r="C16" i="5"/>
  <c r="B16" i="5"/>
  <c r="P15" i="5"/>
  <c r="O15" i="5"/>
  <c r="N15" i="5"/>
  <c r="M15" i="5"/>
  <c r="L15" i="5"/>
  <c r="K15" i="5"/>
  <c r="H15" i="5"/>
  <c r="G15" i="5"/>
  <c r="F15" i="5"/>
  <c r="E15" i="5"/>
  <c r="D15" i="5"/>
  <c r="C15" i="5"/>
  <c r="B15" i="5"/>
  <c r="P14" i="5"/>
  <c r="O14" i="5"/>
  <c r="N14" i="5"/>
  <c r="M14" i="5"/>
  <c r="L14" i="5"/>
  <c r="K14" i="5"/>
  <c r="H14" i="5"/>
  <c r="G14" i="5"/>
  <c r="F14" i="5"/>
  <c r="E14" i="5"/>
  <c r="D14" i="5"/>
  <c r="C14" i="5"/>
  <c r="B14" i="5"/>
  <c r="P13" i="5"/>
  <c r="O13" i="5"/>
  <c r="N13" i="5"/>
  <c r="M13" i="5"/>
  <c r="L13" i="5"/>
  <c r="K13" i="5"/>
  <c r="H13" i="5"/>
  <c r="G13" i="5"/>
  <c r="F13" i="5"/>
  <c r="E13" i="5"/>
  <c r="D13" i="5"/>
  <c r="C13" i="5"/>
  <c r="B13" i="5"/>
  <c r="P12" i="5"/>
  <c r="O12" i="5"/>
  <c r="N12" i="5"/>
  <c r="M12" i="5"/>
  <c r="L12" i="5"/>
  <c r="K12" i="5"/>
  <c r="H12" i="5"/>
  <c r="G12" i="5"/>
  <c r="F12" i="5"/>
  <c r="E12" i="5"/>
  <c r="D12" i="5"/>
  <c r="C12" i="5"/>
  <c r="B12" i="5"/>
  <c r="P11" i="5"/>
  <c r="O11" i="5"/>
  <c r="N11" i="5"/>
  <c r="M11" i="5"/>
  <c r="L11" i="5"/>
  <c r="K11" i="5"/>
  <c r="H11" i="5"/>
  <c r="G11" i="5"/>
  <c r="F11" i="5"/>
  <c r="E11" i="5"/>
  <c r="D11" i="5"/>
  <c r="C11" i="5"/>
  <c r="B11" i="5"/>
  <c r="P10" i="5"/>
  <c r="O10" i="5"/>
  <c r="N10" i="5"/>
  <c r="M10" i="5"/>
  <c r="L10" i="5"/>
  <c r="K10" i="5"/>
  <c r="H10" i="5"/>
  <c r="G10" i="5"/>
  <c r="F10" i="5"/>
  <c r="E10" i="5"/>
  <c r="D10" i="5"/>
  <c r="C10" i="5"/>
  <c r="B10" i="5"/>
  <c r="K17" i="3"/>
  <c r="J17" i="3"/>
  <c r="I17" i="3"/>
  <c r="F17" i="3"/>
  <c r="E17" i="3"/>
  <c r="D17" i="3"/>
  <c r="C17" i="3"/>
  <c r="B17" i="3"/>
  <c r="K16" i="3"/>
  <c r="J16" i="3"/>
  <c r="I16" i="3"/>
  <c r="F16" i="3"/>
  <c r="E16" i="3"/>
  <c r="D16" i="3"/>
  <c r="C16" i="3"/>
  <c r="B16" i="3"/>
  <c r="K15" i="3"/>
  <c r="J15" i="3"/>
  <c r="I15" i="3"/>
  <c r="F15" i="3"/>
  <c r="E15" i="3"/>
  <c r="D15" i="3"/>
  <c r="C15" i="3"/>
  <c r="B15" i="3"/>
  <c r="K14" i="3"/>
  <c r="J14" i="3"/>
  <c r="I14" i="3"/>
  <c r="F14" i="3"/>
  <c r="E14" i="3"/>
  <c r="D14" i="3"/>
  <c r="C14" i="3"/>
  <c r="B14" i="3"/>
  <c r="K13" i="3"/>
  <c r="J13" i="3"/>
  <c r="I13" i="3"/>
  <c r="F13" i="3"/>
  <c r="E13" i="3"/>
  <c r="D13" i="3"/>
  <c r="C13" i="3"/>
  <c r="B13" i="3"/>
  <c r="K12" i="3"/>
  <c r="J12" i="3"/>
  <c r="I12" i="3"/>
  <c r="F12" i="3"/>
  <c r="E12" i="3"/>
  <c r="D12" i="3"/>
  <c r="C12" i="3"/>
  <c r="B12" i="3"/>
  <c r="K11" i="3"/>
  <c r="J11" i="3"/>
  <c r="I11" i="3"/>
  <c r="F11" i="3"/>
  <c r="E11" i="3"/>
  <c r="D11" i="3"/>
  <c r="C11" i="3"/>
  <c r="B11" i="3"/>
  <c r="K10" i="3"/>
  <c r="J10" i="3"/>
  <c r="I10" i="3"/>
  <c r="F10" i="3"/>
  <c r="E10" i="3"/>
  <c r="D10" i="3"/>
  <c r="C10" i="3"/>
  <c r="B10" i="3"/>
  <c r="K5" i="3"/>
  <c r="I5" i="3"/>
  <c r="G5" i="3"/>
  <c r="E5" i="3"/>
  <c r="C5" i="3"/>
  <c r="G12" i="1"/>
  <c r="B3" i="1"/>
  <c r="X104" i="8"/>
  <c r="V104" i="8"/>
  <c r="A104" i="8" a="1"/>
  <c r="A104" i="8" s="1"/>
  <c r="X103" i="8"/>
  <c r="V103" i="8"/>
  <c r="A103" i="8" a="1"/>
  <c r="A103" i="8" s="1"/>
  <c r="X102" i="8"/>
  <c r="V102" i="8"/>
  <c r="A102" i="8" a="1"/>
  <c r="A102" i="8" s="1"/>
  <c r="X101" i="8"/>
  <c r="V101" i="8"/>
  <c r="A101" i="8" a="1"/>
  <c r="A101" i="8" s="1"/>
  <c r="X100" i="8"/>
  <c r="V100" i="8"/>
  <c r="A100" i="8" a="1"/>
  <c r="A100" i="8" s="1"/>
  <c r="X99" i="8"/>
  <c r="V99" i="8"/>
  <c r="A99" i="8" a="1"/>
  <c r="A99" i="8" s="1"/>
  <c r="X98" i="8"/>
  <c r="V98" i="8"/>
  <c r="A98" i="8" a="1"/>
  <c r="A98" i="8" s="1"/>
  <c r="X97" i="8"/>
  <c r="V97" i="8"/>
  <c r="A97" i="8" a="1"/>
  <c r="A97" i="8" s="1"/>
  <c r="X96" i="8"/>
  <c r="V96" i="8"/>
  <c r="A96" i="8" a="1"/>
  <c r="A96" i="8" s="1"/>
  <c r="X95" i="8"/>
  <c r="V95" i="8"/>
  <c r="A95" i="8" a="1"/>
  <c r="A95" i="8" s="1"/>
  <c r="X94" i="8"/>
  <c r="V94" i="8"/>
  <c r="A94" i="8" a="1"/>
  <c r="A94" i="8" s="1"/>
  <c r="X93" i="8"/>
  <c r="V93" i="8"/>
  <c r="A93" i="8" a="1"/>
  <c r="A93" i="8" s="1"/>
  <c r="X92" i="8"/>
  <c r="V92" i="8"/>
  <c r="A92" i="8" a="1"/>
  <c r="A92" i="8" s="1"/>
  <c r="X91" i="8"/>
  <c r="V91" i="8"/>
  <c r="A91" i="8" a="1"/>
  <c r="A91" i="8" s="1"/>
  <c r="X90" i="8"/>
  <c r="V90" i="8"/>
  <c r="A90" i="8" a="1"/>
  <c r="A90" i="8" s="1"/>
  <c r="X89" i="8"/>
  <c r="V89" i="8"/>
  <c r="A89" i="8" a="1"/>
  <c r="A89" i="8" s="1"/>
  <c r="X88" i="8"/>
  <c r="V88" i="8"/>
  <c r="A88" i="8" a="1"/>
  <c r="A88" i="8" s="1"/>
  <c r="X87" i="8"/>
  <c r="V87" i="8"/>
  <c r="A87" i="8" a="1"/>
  <c r="A87" i="8" s="1"/>
  <c r="X86" i="8"/>
  <c r="V86" i="8"/>
  <c r="A86" i="8" a="1"/>
  <c r="A86" i="8" s="1"/>
  <c r="X85" i="8"/>
  <c r="V85" i="8"/>
  <c r="A85" i="8" a="1"/>
  <c r="A85" i="8" s="1"/>
  <c r="X84" i="8"/>
  <c r="V84" i="8"/>
  <c r="A84" i="8" a="1"/>
  <c r="A84" i="8" s="1"/>
  <c r="X83" i="8"/>
  <c r="V83" i="8"/>
  <c r="A83" i="8" a="1"/>
  <c r="A83" i="8" s="1"/>
  <c r="X82" i="8"/>
  <c r="V82" i="8"/>
  <c r="A82" i="8" a="1"/>
  <c r="A82" i="8" s="1"/>
  <c r="X81" i="8"/>
  <c r="V81" i="8"/>
  <c r="A81" i="8" a="1"/>
  <c r="A81" i="8" s="1"/>
  <c r="X80" i="8"/>
  <c r="V80" i="8"/>
  <c r="A80" i="8" a="1"/>
  <c r="A80" i="8" s="1"/>
  <c r="X79" i="8"/>
  <c r="V79" i="8"/>
  <c r="A79" i="8" a="1"/>
  <c r="A79" i="8" s="1"/>
  <c r="X78" i="8"/>
  <c r="V78" i="8"/>
  <c r="A78" i="8" a="1"/>
  <c r="A78" i="8" s="1"/>
  <c r="X77" i="8"/>
  <c r="V77" i="8"/>
  <c r="A77" i="8" a="1"/>
  <c r="A77" i="8" s="1"/>
  <c r="X76" i="8"/>
  <c r="V76" i="8"/>
  <c r="A76" i="8" a="1"/>
  <c r="A76" i="8" s="1"/>
  <c r="X75" i="8"/>
  <c r="V75" i="8"/>
  <c r="A75" i="8" a="1"/>
  <c r="A75" i="8" s="1"/>
  <c r="X74" i="8"/>
  <c r="V74" i="8"/>
  <c r="A74" i="8" a="1"/>
  <c r="A74" i="8" s="1"/>
  <c r="X73" i="8"/>
  <c r="V73" i="8"/>
  <c r="A73" i="8" a="1"/>
  <c r="A73" i="8" s="1"/>
  <c r="X72" i="8"/>
  <c r="V72" i="8"/>
  <c r="A72" i="8" a="1"/>
  <c r="A72" i="8" s="1"/>
  <c r="X71" i="8"/>
  <c r="V71" i="8"/>
  <c r="A71" i="8" a="1"/>
  <c r="A71" i="8" s="1"/>
  <c r="X70" i="8"/>
  <c r="V70" i="8"/>
  <c r="A70" i="8" a="1"/>
  <c r="A70" i="8" s="1"/>
  <c r="X69" i="8"/>
  <c r="V69" i="8"/>
  <c r="A69" i="8" a="1"/>
  <c r="A69" i="8" s="1"/>
  <c r="X68" i="8"/>
  <c r="V68" i="8"/>
  <c r="A68" i="8" a="1"/>
  <c r="A68" i="8" s="1"/>
  <c r="X67" i="8"/>
  <c r="V67" i="8"/>
  <c r="A67" i="8" a="1"/>
  <c r="A67" i="8" s="1"/>
  <c r="X66" i="8"/>
  <c r="V66" i="8"/>
  <c r="A66" i="8" a="1"/>
  <c r="A66" i="8" s="1"/>
  <c r="X65" i="8"/>
  <c r="V65" i="8"/>
  <c r="A65" i="8" a="1"/>
  <c r="A65" i="8" s="1"/>
  <c r="X64" i="8"/>
  <c r="V64" i="8"/>
  <c r="A64" i="8" a="1"/>
  <c r="A64" i="8" s="1"/>
  <c r="X63" i="8"/>
  <c r="V63" i="8"/>
  <c r="A63" i="8" a="1"/>
  <c r="A63" i="8" s="1"/>
  <c r="X62" i="8"/>
  <c r="V62" i="8"/>
  <c r="A62" i="8" a="1"/>
  <c r="A62" i="8" s="1"/>
  <c r="X61" i="8"/>
  <c r="V61" i="8"/>
  <c r="A61" i="8" a="1"/>
  <c r="A61" i="8" s="1"/>
  <c r="X60" i="8"/>
  <c r="V60" i="8"/>
  <c r="A60" i="8" a="1"/>
  <c r="A60" i="8" s="1"/>
  <c r="X59" i="8"/>
  <c r="V59" i="8"/>
  <c r="A59" i="8" a="1"/>
  <c r="A59" i="8" s="1"/>
  <c r="X58" i="8"/>
  <c r="V58" i="8"/>
  <c r="A58" i="8" a="1"/>
  <c r="A58" i="8" s="1"/>
  <c r="X57" i="8"/>
  <c r="V57" i="8"/>
  <c r="A57" i="8" a="1"/>
  <c r="A57" i="8" s="1"/>
  <c r="X56" i="8"/>
  <c r="V56" i="8"/>
  <c r="A56" i="8" a="1"/>
  <c r="A56" i="8" s="1"/>
  <c r="X55" i="8"/>
  <c r="V55" i="8"/>
  <c r="A55" i="8" a="1"/>
  <c r="A55" i="8" s="1"/>
  <c r="X54" i="8"/>
  <c r="V54" i="8"/>
  <c r="A54" i="8" a="1"/>
  <c r="A54" i="8" s="1"/>
  <c r="X53" i="8"/>
  <c r="V53" i="8"/>
  <c r="A53" i="8" a="1"/>
  <c r="A53" i="8" s="1"/>
  <c r="X52" i="8"/>
  <c r="V52" i="8"/>
  <c r="A52" i="8" a="1"/>
  <c r="A52" i="8" s="1"/>
  <c r="X51" i="8"/>
  <c r="V51" i="8"/>
  <c r="A51" i="8" a="1"/>
  <c r="A51" i="8" s="1"/>
  <c r="X50" i="8"/>
  <c r="V50" i="8"/>
  <c r="A50" i="8" a="1"/>
  <c r="A50" i="8" s="1"/>
  <c r="X49" i="8"/>
  <c r="V49" i="8"/>
  <c r="A49" i="8" a="1"/>
  <c r="A49" i="8" s="1"/>
  <c r="X48" i="8"/>
  <c r="V48" i="8"/>
  <c r="A48" i="8" a="1"/>
  <c r="A48" i="8" s="1"/>
  <c r="X47" i="8"/>
  <c r="V47" i="8"/>
  <c r="A47" i="8" a="1"/>
  <c r="A47" i="8" s="1"/>
  <c r="X46" i="8"/>
  <c r="V46" i="8"/>
  <c r="A46" i="8" a="1"/>
  <c r="A46" i="8" s="1"/>
  <c r="X45" i="8"/>
  <c r="V45" i="8"/>
  <c r="A45" i="8" a="1"/>
  <c r="A45" i="8" s="1"/>
  <c r="X44" i="8"/>
  <c r="V44" i="8"/>
  <c r="A44" i="8" a="1"/>
  <c r="A44" i="8" s="1"/>
  <c r="X43" i="8"/>
  <c r="V43" i="8"/>
  <c r="A43" i="8" a="1"/>
  <c r="A43" i="8" s="1"/>
  <c r="X42" i="8"/>
  <c r="V42" i="8"/>
  <c r="A42" i="8" a="1"/>
  <c r="A42" i="8" s="1"/>
  <c r="X41" i="8"/>
  <c r="V41" i="8"/>
  <c r="A41" i="8" a="1"/>
  <c r="A41" i="8" s="1"/>
  <c r="X40" i="8"/>
  <c r="V40" i="8"/>
  <c r="A40" i="8" a="1"/>
  <c r="A40" i="8" s="1"/>
  <c r="X39" i="8"/>
  <c r="V39" i="8"/>
  <c r="A39" i="8" a="1"/>
  <c r="A39" i="8" s="1"/>
  <c r="X38" i="8"/>
  <c r="V38" i="8"/>
  <c r="A38" i="8" a="1"/>
  <c r="A38" i="8" s="1"/>
  <c r="X37" i="8"/>
  <c r="V37" i="8"/>
  <c r="A37" i="8" a="1"/>
  <c r="A37" i="8" s="1"/>
  <c r="X36" i="8"/>
  <c r="V36" i="8"/>
  <c r="A36" i="8" a="1"/>
  <c r="A36" i="8" s="1"/>
  <c r="X35" i="8"/>
  <c r="V35" i="8"/>
  <c r="A35" i="8" a="1"/>
  <c r="A35" i="8" s="1"/>
  <c r="X34" i="8"/>
  <c r="V34" i="8"/>
  <c r="A34" i="8" a="1"/>
  <c r="A34" i="8" s="1"/>
  <c r="X33" i="8"/>
  <c r="V33" i="8"/>
  <c r="A33" i="8" a="1"/>
  <c r="A33" i="8" s="1"/>
  <c r="X32" i="8"/>
  <c r="V32" i="8"/>
  <c r="A32" i="8" a="1"/>
  <c r="A32" i="8" s="1"/>
  <c r="X31" i="8"/>
  <c r="V31" i="8"/>
  <c r="A31" i="8" a="1"/>
  <c r="A31" i="8" s="1"/>
  <c r="X30" i="8"/>
  <c r="V30" i="8"/>
  <c r="A30" i="8" a="1"/>
  <c r="A30" i="8" s="1"/>
  <c r="X29" i="8"/>
  <c r="V29" i="8"/>
  <c r="A29" i="8" a="1"/>
  <c r="A29" i="8" s="1"/>
  <c r="X28" i="8"/>
  <c r="V28" i="8"/>
  <c r="A28" i="8" a="1"/>
  <c r="A28" i="8" s="1"/>
  <c r="X27" i="8"/>
  <c r="V27" i="8"/>
  <c r="A27" i="8" a="1"/>
  <c r="A27" i="8" s="1"/>
  <c r="X26" i="8"/>
  <c r="V26" i="8"/>
  <c r="A26" i="8" a="1"/>
  <c r="A26" i="8" s="1"/>
  <c r="X25" i="8"/>
  <c r="V25" i="8"/>
  <c r="A25" i="8" a="1"/>
  <c r="A25" i="8" s="1"/>
  <c r="X24" i="8"/>
  <c r="V24" i="8"/>
  <c r="A24" i="8" a="1"/>
  <c r="A24" i="8" s="1"/>
  <c r="X23" i="8"/>
  <c r="V23" i="8"/>
  <c r="A23" i="8" a="1"/>
  <c r="A23" i="8" s="1"/>
  <c r="X22" i="8"/>
  <c r="V22" i="8"/>
  <c r="A22" i="8" a="1"/>
  <c r="A22" i="8" s="1"/>
  <c r="X21" i="8"/>
  <c r="V21" i="8"/>
  <c r="A21" i="8" a="1"/>
  <c r="A21" i="8" s="1"/>
  <c r="X20" i="8"/>
  <c r="V20" i="8"/>
  <c r="A20" i="8" a="1"/>
  <c r="A20" i="8" s="1"/>
  <c r="X19" i="8"/>
  <c r="V19" i="8"/>
  <c r="A19" i="8" a="1"/>
  <c r="A19" i="8" s="1"/>
  <c r="X18" i="8"/>
  <c r="V18" i="8"/>
  <c r="A18" i="8" a="1"/>
  <c r="A18" i="8" s="1"/>
  <c r="X17" i="8"/>
  <c r="V17" i="8"/>
  <c r="A17" i="8" a="1"/>
  <c r="A17" i="8" s="1"/>
  <c r="X16" i="8"/>
  <c r="V16" i="8"/>
  <c r="A16" i="8" a="1"/>
  <c r="A16" i="8" s="1"/>
  <c r="X15" i="8"/>
  <c r="V15" i="8"/>
  <c r="A15" i="8" a="1"/>
  <c r="A15" i="8" s="1"/>
  <c r="X14" i="8"/>
  <c r="V14" i="8"/>
  <c r="A14" i="8" a="1"/>
  <c r="A14" i="8" s="1"/>
  <c r="X13" i="8"/>
  <c r="V13" i="8"/>
  <c r="A13" i="8" a="1"/>
  <c r="A13" i="8" s="1"/>
  <c r="X12" i="8"/>
  <c r="V12" i="8"/>
  <c r="A12" i="8" a="1"/>
  <c r="A12" i="8" s="1"/>
  <c r="X11" i="8"/>
  <c r="V11" i="8"/>
  <c r="A11" i="8" a="1"/>
  <c r="A11" i="8" s="1"/>
  <c r="X10" i="8"/>
  <c r="V10" i="8"/>
  <c r="A10" i="8" a="1"/>
  <c r="A10" i="8" s="1"/>
  <c r="X9" i="8"/>
  <c r="V9" i="8"/>
  <c r="A9" i="8" a="1"/>
  <c r="A9" i="8" s="1"/>
  <c r="X8" i="8"/>
  <c r="V8" i="8"/>
  <c r="A8" i="8" a="1"/>
  <c r="A8" i="8" s="1"/>
  <c r="X7" i="8"/>
  <c r="V7" i="8"/>
  <c r="A7" i="8" a="1"/>
  <c r="A7" i="8" s="1"/>
  <c r="A6" i="8" a="1"/>
  <c r="A6" i="8" s="1"/>
  <c r="A5" i="8" a="1"/>
  <c r="A5" i="8" s="1"/>
  <c r="L1385" i="19" l="1"/>
  <c r="J1385" i="19"/>
  <c r="I1385" i="19"/>
  <c r="L1384" i="19"/>
  <c r="J1384" i="19"/>
  <c r="I1384" i="19"/>
  <c r="L1383" i="19"/>
  <c r="J1383" i="19"/>
  <c r="I1383" i="19"/>
  <c r="L1382" i="19"/>
  <c r="J1382" i="19"/>
  <c r="I1382" i="19"/>
  <c r="L1381" i="19"/>
  <c r="J1381" i="19"/>
  <c r="I1381" i="19"/>
  <c r="L1380" i="19"/>
  <c r="J1380" i="19"/>
  <c r="I1380" i="19"/>
  <c r="L1379" i="19"/>
  <c r="J1379" i="19"/>
  <c r="I1379" i="19"/>
  <c r="L1378" i="19"/>
  <c r="J1378" i="19"/>
  <c r="I1378" i="19"/>
  <c r="L1377" i="19"/>
  <c r="J1377" i="19"/>
  <c r="I1377" i="19"/>
  <c r="L1376" i="19"/>
  <c r="J1376" i="19"/>
  <c r="I1376" i="19"/>
  <c r="L1375" i="19"/>
  <c r="J1375" i="19"/>
  <c r="I1375" i="19"/>
  <c r="L1374" i="19"/>
  <c r="J1374" i="19"/>
  <c r="I1374" i="19"/>
  <c r="L1373" i="19"/>
  <c r="J1373" i="19"/>
  <c r="I1373" i="19"/>
  <c r="L1372" i="19"/>
  <c r="J1372" i="19"/>
  <c r="I1372" i="19"/>
  <c r="L1371" i="19"/>
  <c r="J1371" i="19"/>
  <c r="I1371" i="19"/>
  <c r="L1370" i="19"/>
  <c r="J1370" i="19"/>
  <c r="I1370" i="19"/>
  <c r="L1369" i="19"/>
  <c r="J1369" i="19"/>
  <c r="I1369" i="19"/>
  <c r="L1368" i="19"/>
  <c r="J1368" i="19"/>
  <c r="I1368" i="19"/>
  <c r="L1367" i="19"/>
  <c r="J1367" i="19"/>
  <c r="I1367" i="19"/>
  <c r="L1366" i="19"/>
  <c r="J1366" i="19"/>
  <c r="I1366" i="19"/>
  <c r="L1365" i="19"/>
  <c r="J1365" i="19"/>
  <c r="I1365" i="19"/>
  <c r="L1364" i="19"/>
  <c r="J1364" i="19"/>
  <c r="I1364" i="19"/>
  <c r="L1363" i="19"/>
  <c r="J1363" i="19"/>
  <c r="I1363" i="19"/>
  <c r="L1362" i="19"/>
  <c r="J1362" i="19"/>
  <c r="I1362" i="19"/>
  <c r="L1361" i="19"/>
  <c r="J1361" i="19"/>
  <c r="I1361" i="19"/>
  <c r="L1360" i="19"/>
  <c r="J1360" i="19"/>
  <c r="I1360" i="19"/>
  <c r="L1359" i="19"/>
  <c r="J1359" i="19"/>
  <c r="I1359" i="19"/>
  <c r="L1358" i="19"/>
  <c r="J1358" i="19"/>
  <c r="I1358" i="19"/>
  <c r="L1357" i="19"/>
  <c r="J1357" i="19"/>
  <c r="I1357" i="19"/>
  <c r="L1356" i="19"/>
  <c r="J1356" i="19"/>
  <c r="I1356" i="19"/>
  <c r="L1355" i="19"/>
  <c r="J1355" i="19"/>
  <c r="I1355" i="19"/>
  <c r="L1354" i="19"/>
  <c r="J1354" i="19"/>
  <c r="I1354" i="19"/>
  <c r="L1353" i="19"/>
  <c r="J1353" i="19"/>
  <c r="I1353" i="19"/>
  <c r="L1352" i="19"/>
  <c r="J1352" i="19"/>
  <c r="I1352" i="19"/>
  <c r="L1351" i="19"/>
  <c r="J1351" i="19"/>
  <c r="I1351" i="19"/>
  <c r="L1350" i="19"/>
  <c r="J1350" i="19"/>
  <c r="I1350" i="19"/>
  <c r="L1349" i="19"/>
  <c r="J1349" i="19"/>
  <c r="I1349" i="19"/>
  <c r="L1348" i="19"/>
  <c r="J1348" i="19"/>
  <c r="I1348" i="19"/>
  <c r="L1347" i="19"/>
  <c r="J1347" i="19"/>
  <c r="I1347" i="19"/>
  <c r="L1346" i="19"/>
  <c r="J1346" i="19"/>
  <c r="I1346" i="19"/>
  <c r="L1345" i="19"/>
  <c r="J1345" i="19"/>
  <c r="I1345" i="19"/>
  <c r="L1344" i="19"/>
  <c r="J1344" i="19"/>
  <c r="I1344" i="19"/>
  <c r="L1343" i="19"/>
  <c r="J1343" i="19"/>
  <c r="I1343" i="19"/>
  <c r="L1342" i="19"/>
  <c r="J1342" i="19"/>
  <c r="I1342" i="19"/>
  <c r="L1341" i="19"/>
  <c r="J1341" i="19"/>
  <c r="I1341" i="19"/>
  <c r="L1340" i="19"/>
  <c r="J1340" i="19"/>
  <c r="I1340" i="19"/>
  <c r="L1339" i="19"/>
  <c r="J1339" i="19"/>
  <c r="I1339" i="19"/>
  <c r="L1338" i="19"/>
  <c r="J1338" i="19"/>
  <c r="I1338" i="19"/>
  <c r="L1337" i="19"/>
  <c r="J1337" i="19"/>
  <c r="I1337" i="19"/>
  <c r="L1336" i="19"/>
  <c r="J1336" i="19"/>
  <c r="I1336" i="19"/>
  <c r="L1335" i="19"/>
  <c r="J1335" i="19"/>
  <c r="I1335" i="19"/>
  <c r="L1334" i="19"/>
  <c r="J1334" i="19"/>
  <c r="I1334" i="19"/>
  <c r="L1333" i="19"/>
  <c r="J1333" i="19"/>
  <c r="I1333" i="19"/>
  <c r="L1332" i="19"/>
  <c r="J1332" i="19"/>
  <c r="I1332" i="19"/>
  <c r="L1331" i="19"/>
  <c r="J1331" i="19"/>
  <c r="I1331" i="19"/>
  <c r="L1330" i="19"/>
  <c r="J1330" i="19"/>
  <c r="I1330" i="19"/>
  <c r="L1329" i="19"/>
  <c r="J1329" i="19"/>
  <c r="I1329" i="19"/>
  <c r="L1328" i="19"/>
  <c r="J1328" i="19"/>
  <c r="I1328" i="19"/>
  <c r="L1327" i="19"/>
  <c r="J1327" i="19"/>
  <c r="I1327" i="19"/>
  <c r="L1326" i="19"/>
  <c r="J1326" i="19"/>
  <c r="I1326" i="19"/>
  <c r="L1325" i="19"/>
  <c r="J1325" i="19"/>
  <c r="I1325" i="19"/>
  <c r="L1324" i="19"/>
  <c r="J1324" i="19"/>
  <c r="I1324" i="19"/>
  <c r="L1323" i="19"/>
  <c r="J1323" i="19"/>
  <c r="I1323" i="19"/>
  <c r="L1322" i="19"/>
  <c r="J1322" i="19"/>
  <c r="I1322" i="19"/>
  <c r="L1321" i="19"/>
  <c r="J1321" i="19"/>
  <c r="I1321" i="19"/>
  <c r="L1320" i="19"/>
  <c r="J1320" i="19"/>
  <c r="I1320" i="19"/>
  <c r="L1319" i="19"/>
  <c r="J1319" i="19"/>
  <c r="I1319" i="19"/>
  <c r="L1318" i="19"/>
  <c r="J1318" i="19"/>
  <c r="I1318" i="19"/>
  <c r="L1317" i="19"/>
  <c r="J1317" i="19"/>
  <c r="I1317" i="19"/>
  <c r="L1316" i="19"/>
  <c r="J1316" i="19"/>
  <c r="I1316" i="19"/>
  <c r="L1315" i="19"/>
  <c r="J1315" i="19"/>
  <c r="I1315" i="19"/>
  <c r="L1314" i="19"/>
  <c r="J1314" i="19"/>
  <c r="I1314" i="19"/>
  <c r="L1313" i="19"/>
  <c r="J1313" i="19"/>
  <c r="I1313" i="19"/>
  <c r="L1312" i="19"/>
  <c r="J1312" i="19"/>
  <c r="I1312" i="19"/>
  <c r="L1311" i="19"/>
  <c r="J1311" i="19"/>
  <c r="I1311" i="19"/>
  <c r="L1310" i="19"/>
  <c r="J1310" i="19"/>
  <c r="I1310" i="19"/>
  <c r="L1309" i="19"/>
  <c r="J1309" i="19"/>
  <c r="I1309" i="19"/>
  <c r="L1308" i="19"/>
  <c r="J1308" i="19"/>
  <c r="I1308" i="19"/>
  <c r="L1307" i="19"/>
  <c r="J1307" i="19"/>
  <c r="I1307" i="19"/>
  <c r="L1306" i="19"/>
  <c r="J1306" i="19"/>
  <c r="I1306" i="19"/>
  <c r="L1305" i="19"/>
  <c r="J1305" i="19"/>
  <c r="I1305" i="19"/>
  <c r="L1304" i="19"/>
  <c r="J1304" i="19"/>
  <c r="I1304" i="19"/>
  <c r="L1303" i="19"/>
  <c r="J1303" i="19"/>
  <c r="I1303" i="19"/>
  <c r="L1302" i="19"/>
  <c r="J1302" i="19"/>
  <c r="I1302" i="19"/>
  <c r="L1301" i="19"/>
  <c r="J1301" i="19"/>
  <c r="I1301" i="19"/>
  <c r="L1300" i="19"/>
  <c r="J1300" i="19"/>
  <c r="I1300" i="19"/>
  <c r="L1299" i="19"/>
  <c r="J1299" i="19"/>
  <c r="I1299" i="19"/>
  <c r="L1298" i="19"/>
  <c r="J1298" i="19"/>
  <c r="I1298" i="19"/>
  <c r="L1297" i="19"/>
  <c r="J1297" i="19"/>
  <c r="I1297" i="19"/>
  <c r="L1296" i="19"/>
  <c r="J1296" i="19"/>
  <c r="I1296" i="19"/>
  <c r="L1295" i="19"/>
  <c r="J1295" i="19"/>
  <c r="I1295" i="19"/>
  <c r="L1294" i="19"/>
  <c r="J1294" i="19"/>
  <c r="I1294" i="19"/>
  <c r="L1293" i="19"/>
  <c r="J1293" i="19"/>
  <c r="I1293" i="19"/>
  <c r="L1292" i="19"/>
  <c r="J1292" i="19"/>
  <c r="I1292" i="19"/>
  <c r="L1291" i="19"/>
  <c r="J1291" i="19"/>
  <c r="I1291" i="19"/>
  <c r="L1290" i="19"/>
  <c r="J1290" i="19"/>
  <c r="I1290" i="19"/>
  <c r="L1289" i="19"/>
  <c r="J1289" i="19"/>
  <c r="I1289" i="19"/>
  <c r="L1288" i="19"/>
  <c r="J1288" i="19"/>
  <c r="I1288" i="19"/>
  <c r="L1287" i="19"/>
  <c r="J1287" i="19"/>
  <c r="I1287" i="19"/>
  <c r="L1286" i="19"/>
  <c r="J1286" i="19"/>
  <c r="I1286" i="19"/>
  <c r="L1285" i="19"/>
  <c r="J1285" i="19"/>
  <c r="I1285" i="19"/>
  <c r="L1284" i="19"/>
  <c r="J1284" i="19"/>
  <c r="I1284" i="19"/>
  <c r="L1283" i="19"/>
  <c r="J1283" i="19"/>
  <c r="I1283" i="19"/>
  <c r="L1282" i="19"/>
  <c r="J1282" i="19"/>
  <c r="I1282" i="19"/>
  <c r="L1281" i="19"/>
  <c r="J1281" i="19"/>
  <c r="I1281" i="19"/>
  <c r="L1280" i="19"/>
  <c r="J1280" i="19"/>
  <c r="I1280" i="19"/>
  <c r="L1279" i="19"/>
  <c r="J1279" i="19"/>
  <c r="I1279" i="19"/>
  <c r="L1278" i="19"/>
  <c r="J1278" i="19"/>
  <c r="I1278" i="19"/>
  <c r="L1277" i="19"/>
  <c r="J1277" i="19"/>
  <c r="I1277" i="19"/>
  <c r="L1276" i="19"/>
  <c r="J1276" i="19"/>
  <c r="I1276" i="19"/>
  <c r="L1275" i="19"/>
  <c r="J1275" i="19"/>
  <c r="I1275" i="19"/>
  <c r="L1274" i="19"/>
  <c r="J1274" i="19"/>
  <c r="I1274" i="19"/>
  <c r="L1273" i="19"/>
  <c r="J1273" i="19"/>
  <c r="I1273" i="19"/>
  <c r="L1272" i="19"/>
  <c r="J1272" i="19"/>
  <c r="I1272" i="19"/>
  <c r="L1271" i="19"/>
  <c r="J1271" i="19"/>
  <c r="I1271" i="19"/>
  <c r="L1270" i="19"/>
  <c r="J1270" i="19"/>
  <c r="I1270" i="19"/>
  <c r="L1269" i="19"/>
  <c r="J1269" i="19"/>
  <c r="I1269" i="19"/>
  <c r="L1268" i="19"/>
  <c r="J1268" i="19"/>
  <c r="I1268" i="19"/>
  <c r="L1267" i="19"/>
  <c r="J1267" i="19"/>
  <c r="I1267" i="19"/>
  <c r="L1266" i="19"/>
  <c r="J1266" i="19"/>
  <c r="I1266" i="19"/>
  <c r="L1265" i="19"/>
  <c r="J1265" i="19"/>
  <c r="I1265" i="19"/>
  <c r="L1264" i="19"/>
  <c r="J1264" i="19"/>
  <c r="I1264" i="19"/>
  <c r="L1263" i="19"/>
  <c r="J1263" i="19"/>
  <c r="I1263" i="19"/>
  <c r="L1262" i="19"/>
  <c r="J1262" i="19"/>
  <c r="I1262" i="19"/>
  <c r="L1261" i="19"/>
  <c r="J1261" i="19"/>
  <c r="I1261" i="19"/>
  <c r="L1260" i="19"/>
  <c r="J1260" i="19"/>
  <c r="I1260" i="19"/>
  <c r="L1259" i="19"/>
  <c r="J1259" i="19"/>
  <c r="I1259" i="19"/>
  <c r="L1258" i="19"/>
  <c r="J1258" i="19"/>
  <c r="I1258" i="19"/>
  <c r="L1257" i="19"/>
  <c r="J1257" i="19"/>
  <c r="I1257" i="19"/>
  <c r="L1256" i="19"/>
  <c r="J1256" i="19"/>
  <c r="I1256" i="19"/>
  <c r="L1255" i="19"/>
  <c r="J1255" i="19"/>
  <c r="I1255" i="19"/>
  <c r="L1254" i="19"/>
  <c r="J1254" i="19"/>
  <c r="I1254" i="19"/>
  <c r="L1253" i="19"/>
  <c r="J1253" i="19"/>
  <c r="I1253" i="19"/>
  <c r="L1252" i="19"/>
  <c r="J1252" i="19"/>
  <c r="I1252" i="19"/>
  <c r="L1251" i="19"/>
  <c r="J1251" i="19"/>
  <c r="I1251" i="19"/>
  <c r="L1250" i="19"/>
  <c r="J1250" i="19"/>
  <c r="I1250" i="19"/>
  <c r="L1249" i="19"/>
  <c r="J1249" i="19"/>
  <c r="I1249" i="19"/>
  <c r="L1248" i="19"/>
  <c r="J1248" i="19"/>
  <c r="I1248" i="19"/>
  <c r="L1247" i="19"/>
  <c r="J1247" i="19"/>
  <c r="I1247" i="19"/>
  <c r="L1246" i="19"/>
  <c r="J1246" i="19"/>
  <c r="I1246" i="19"/>
  <c r="L1245" i="19"/>
  <c r="J1245" i="19"/>
  <c r="I1245" i="19"/>
  <c r="L1244" i="19"/>
  <c r="J1244" i="19"/>
  <c r="I1244" i="19"/>
  <c r="L1243" i="19"/>
  <c r="J1243" i="19"/>
  <c r="I1243" i="19"/>
  <c r="L1242" i="19"/>
  <c r="J1242" i="19"/>
  <c r="I1242" i="19"/>
  <c r="L1241" i="19"/>
  <c r="J1241" i="19"/>
  <c r="I1241" i="19"/>
  <c r="L1240" i="19"/>
  <c r="J1240" i="19"/>
  <c r="I1240" i="19"/>
  <c r="L1239" i="19"/>
  <c r="J1239" i="19"/>
  <c r="I1239" i="19"/>
  <c r="L1238" i="19"/>
  <c r="J1238" i="19"/>
  <c r="I1238" i="19"/>
  <c r="L1237" i="19"/>
  <c r="J1237" i="19"/>
  <c r="I1237" i="19"/>
  <c r="L1236" i="19"/>
  <c r="J1236" i="19"/>
  <c r="I1236" i="19"/>
  <c r="L1235" i="19"/>
  <c r="J1235" i="19"/>
  <c r="I1235" i="19"/>
  <c r="L1234" i="19"/>
  <c r="J1234" i="19"/>
  <c r="I1234" i="19"/>
  <c r="L1233" i="19"/>
  <c r="J1233" i="19"/>
  <c r="I1233" i="19"/>
  <c r="L1232" i="19"/>
  <c r="J1232" i="19"/>
  <c r="I1232" i="19"/>
  <c r="L1231" i="19"/>
  <c r="J1231" i="19"/>
  <c r="I1231" i="19"/>
  <c r="L1230" i="19"/>
  <c r="J1230" i="19"/>
  <c r="I1230" i="19"/>
  <c r="L1229" i="19"/>
  <c r="J1229" i="19"/>
  <c r="I1229" i="19"/>
  <c r="L1228" i="19"/>
  <c r="J1228" i="19"/>
  <c r="I1228" i="19"/>
  <c r="L1227" i="19"/>
  <c r="J1227" i="19"/>
  <c r="I1227" i="19"/>
  <c r="L1226" i="19"/>
  <c r="J1226" i="19"/>
  <c r="I1226" i="19"/>
  <c r="L1225" i="19"/>
  <c r="J1225" i="19"/>
  <c r="I1225" i="19"/>
  <c r="L1224" i="19"/>
  <c r="J1224" i="19"/>
  <c r="I1224" i="19"/>
  <c r="L1223" i="19"/>
  <c r="J1223" i="19"/>
  <c r="I1223" i="19"/>
  <c r="L1222" i="19"/>
  <c r="J1222" i="19"/>
  <c r="I1222" i="19"/>
  <c r="L1221" i="19"/>
  <c r="J1221" i="19"/>
  <c r="I1221" i="19"/>
  <c r="L1220" i="19"/>
  <c r="J1220" i="19"/>
  <c r="I1220" i="19"/>
  <c r="L1219" i="19"/>
  <c r="J1219" i="19"/>
  <c r="I1219" i="19"/>
  <c r="L1218" i="19"/>
  <c r="J1218" i="19"/>
  <c r="I1218" i="19"/>
  <c r="L1217" i="19"/>
  <c r="J1217" i="19"/>
  <c r="I1217" i="19"/>
  <c r="L1216" i="19"/>
  <c r="J1216" i="19"/>
  <c r="I1216" i="19"/>
  <c r="L1215" i="19"/>
  <c r="J1215" i="19"/>
  <c r="I1215" i="19"/>
  <c r="L1214" i="19"/>
  <c r="J1214" i="19"/>
  <c r="I1214" i="19"/>
  <c r="L1213" i="19"/>
  <c r="J1213" i="19"/>
  <c r="I1213" i="19"/>
  <c r="L1212" i="19"/>
  <c r="J1212" i="19"/>
  <c r="I1212" i="19"/>
  <c r="L1211" i="19"/>
  <c r="J1211" i="19"/>
  <c r="I1211" i="19"/>
  <c r="L1210" i="19"/>
  <c r="J1210" i="19"/>
  <c r="I1210" i="19"/>
  <c r="L1209" i="19"/>
  <c r="J1209" i="19"/>
  <c r="I1209" i="19"/>
  <c r="L1208" i="19"/>
  <c r="J1208" i="19"/>
  <c r="I1208" i="19"/>
  <c r="L1207" i="19"/>
  <c r="J1207" i="19"/>
  <c r="I1207" i="19"/>
  <c r="L1206" i="19"/>
  <c r="J1206" i="19"/>
  <c r="I1206" i="19"/>
  <c r="L1205" i="19"/>
  <c r="J1205" i="19"/>
  <c r="I1205" i="19"/>
  <c r="L1204" i="19"/>
  <c r="J1204" i="19"/>
  <c r="I1204" i="19"/>
  <c r="L1203" i="19"/>
  <c r="J1203" i="19"/>
  <c r="I1203" i="19"/>
  <c r="L1202" i="19"/>
  <c r="J1202" i="19"/>
  <c r="I1202" i="19"/>
  <c r="L1201" i="19"/>
  <c r="J1201" i="19"/>
  <c r="I1201" i="19"/>
  <c r="L1200" i="19"/>
  <c r="J1200" i="19"/>
  <c r="I1200" i="19"/>
  <c r="L1199" i="19"/>
  <c r="J1199" i="19"/>
  <c r="I1199" i="19"/>
  <c r="L1198" i="19"/>
  <c r="J1198" i="19"/>
  <c r="I1198" i="19"/>
  <c r="L1197" i="19"/>
  <c r="J1197" i="19"/>
  <c r="I1197" i="19"/>
  <c r="L1196" i="19"/>
  <c r="J1196" i="19"/>
  <c r="I1196" i="19"/>
  <c r="L1195" i="19"/>
  <c r="J1195" i="19"/>
  <c r="I1195" i="19"/>
  <c r="L1194" i="19"/>
  <c r="J1194" i="19"/>
  <c r="I1194" i="19"/>
  <c r="L1193" i="19"/>
  <c r="J1193" i="19"/>
  <c r="I1193" i="19"/>
  <c r="L1192" i="19"/>
  <c r="J1192" i="19"/>
  <c r="I1192" i="19"/>
  <c r="L1191" i="19"/>
  <c r="J1191" i="19"/>
  <c r="I1191" i="19"/>
  <c r="L1190" i="19"/>
  <c r="J1190" i="19"/>
  <c r="I1190" i="19"/>
  <c r="L1189" i="19"/>
  <c r="J1189" i="19"/>
  <c r="I1189" i="19"/>
  <c r="L1188" i="19"/>
  <c r="J1188" i="19"/>
  <c r="I1188" i="19"/>
  <c r="L1187" i="19"/>
  <c r="J1187" i="19"/>
  <c r="I1187" i="19"/>
  <c r="L1186" i="19"/>
  <c r="J1186" i="19"/>
  <c r="I1186" i="19"/>
  <c r="L1185" i="19"/>
  <c r="J1185" i="19"/>
  <c r="I1185" i="19"/>
  <c r="L1184" i="19"/>
  <c r="J1184" i="19"/>
  <c r="I1184" i="19"/>
  <c r="L1183" i="19"/>
  <c r="J1183" i="19"/>
  <c r="I1183" i="19"/>
  <c r="L1182" i="19"/>
  <c r="J1182" i="19"/>
  <c r="I1182" i="19"/>
  <c r="I1181" i="19"/>
  <c r="J1181" i="19"/>
  <c r="L1181" i="19"/>
  <c r="I1180" i="19"/>
  <c r="J1180" i="19"/>
  <c r="L1180" i="19"/>
  <c r="I1179" i="19"/>
  <c r="J1179" i="19"/>
  <c r="L1179" i="19"/>
  <c r="L1178" i="19"/>
  <c r="I1178" i="19"/>
  <c r="J1178" i="19"/>
  <c r="L1177" i="19"/>
  <c r="J1177" i="19"/>
  <c r="I1177" i="19"/>
  <c r="J1176" i="19"/>
  <c r="L1176" i="19"/>
  <c r="I1176" i="19"/>
  <c r="I1175" i="19"/>
  <c r="L1175" i="19"/>
  <c r="J1175" i="19"/>
  <c r="L1174" i="19"/>
  <c r="I1174" i="19"/>
  <c r="J1174" i="19"/>
  <c r="L1173" i="19"/>
  <c r="I1173" i="19"/>
  <c r="J1173" i="19"/>
  <c r="L1172" i="19"/>
  <c r="J1172" i="19"/>
  <c r="I1172" i="19"/>
  <c r="J1171" i="19"/>
  <c r="L1171" i="19"/>
  <c r="I1171" i="19"/>
  <c r="L1170" i="19"/>
  <c r="J1170" i="19"/>
  <c r="I1170" i="19"/>
  <c r="L1169" i="19"/>
  <c r="J1169" i="19"/>
  <c r="I1169" i="19"/>
  <c r="L1168" i="19"/>
  <c r="J1168" i="19"/>
  <c r="I1168" i="19"/>
  <c r="I1167" i="19"/>
  <c r="L1167" i="19"/>
  <c r="J1167" i="19"/>
  <c r="L1166" i="19"/>
  <c r="J1166" i="19"/>
  <c r="I1166" i="19"/>
  <c r="L1165" i="19"/>
  <c r="J1165" i="19"/>
  <c r="I1165" i="19"/>
  <c r="L1164" i="19"/>
  <c r="J1164" i="19"/>
  <c r="I1164" i="19"/>
  <c r="I1163" i="19"/>
  <c r="J1163" i="19"/>
  <c r="L1163" i="19"/>
  <c r="I1162" i="19"/>
  <c r="J1162" i="19"/>
  <c r="L1162" i="19"/>
  <c r="I1161" i="19"/>
  <c r="J1161" i="19"/>
  <c r="L1161" i="19"/>
  <c r="J1160" i="19"/>
  <c r="L1160" i="19"/>
  <c r="I1160" i="19"/>
  <c r="L1159" i="19"/>
  <c r="J1159" i="19"/>
  <c r="I1159" i="19"/>
  <c r="L1158" i="19"/>
  <c r="I1158" i="19"/>
  <c r="J1158" i="19"/>
  <c r="J1157" i="19"/>
  <c r="I1157" i="19"/>
  <c r="L1157" i="19"/>
  <c r="J1156" i="19"/>
  <c r="I1156" i="19"/>
  <c r="L1156" i="19"/>
  <c r="L1155" i="19"/>
  <c r="J1155" i="19"/>
  <c r="I1155" i="19"/>
  <c r="L1154" i="19"/>
  <c r="J1154" i="19"/>
  <c r="I1154" i="19"/>
  <c r="L1153" i="19"/>
  <c r="J1153" i="19"/>
  <c r="I1153" i="19"/>
  <c r="I1152" i="19"/>
  <c r="J1152" i="19"/>
  <c r="L1152" i="19"/>
  <c r="I1151" i="19"/>
  <c r="J1151" i="19"/>
  <c r="L1151" i="19"/>
  <c r="I1150" i="19"/>
  <c r="J1150" i="19"/>
  <c r="L1150" i="19"/>
  <c r="J1149" i="19"/>
  <c r="L1149" i="19"/>
  <c r="I1149" i="19"/>
  <c r="I1148" i="19"/>
  <c r="L1148" i="19"/>
  <c r="J1148" i="19"/>
  <c r="L1147" i="19"/>
  <c r="I1147" i="19"/>
  <c r="J1147" i="19"/>
  <c r="I1146" i="19"/>
  <c r="J1146" i="19"/>
  <c r="L1146" i="19"/>
  <c r="I1145" i="19"/>
  <c r="J1145" i="19"/>
  <c r="L1145" i="19"/>
  <c r="I1144" i="19"/>
  <c r="J1144" i="19"/>
  <c r="L1144" i="19"/>
  <c r="I1143" i="19"/>
  <c r="J1143" i="19"/>
  <c r="L1143" i="19"/>
  <c r="I1142" i="19"/>
  <c r="J1142" i="19"/>
  <c r="L1142" i="19"/>
  <c r="L1141" i="19"/>
  <c r="J1141" i="19"/>
  <c r="I1141" i="19"/>
  <c r="J1140" i="19"/>
  <c r="I1140" i="19"/>
  <c r="L1140" i="19"/>
  <c r="J1139" i="19"/>
  <c r="L1139" i="19"/>
  <c r="I1139" i="19"/>
  <c r="L1138" i="19"/>
  <c r="J1138" i="19"/>
  <c r="I1138" i="19"/>
  <c r="L1137" i="19"/>
  <c r="I1137" i="19"/>
  <c r="J1137" i="19"/>
  <c r="J1136" i="19"/>
  <c r="L1136" i="19"/>
  <c r="I1136" i="19"/>
  <c r="L1135" i="19"/>
  <c r="J1135" i="19"/>
  <c r="I1135" i="19"/>
  <c r="J1134" i="19"/>
  <c r="I1134" i="19"/>
  <c r="L1134" i="19"/>
  <c r="L1133" i="19"/>
  <c r="J1133" i="19"/>
  <c r="I1133" i="19"/>
  <c r="L1132" i="19"/>
  <c r="J1132" i="19"/>
  <c r="I1132" i="19"/>
  <c r="I1131" i="19"/>
  <c r="L1131" i="19"/>
  <c r="J1131" i="19"/>
  <c r="L1130" i="19"/>
  <c r="J1130" i="19"/>
  <c r="I1130" i="19"/>
  <c r="L1129" i="19"/>
  <c r="J1129" i="19"/>
  <c r="I1129" i="19"/>
  <c r="L1128" i="19"/>
  <c r="J1128" i="19"/>
  <c r="I1128" i="19"/>
  <c r="I1127" i="19"/>
  <c r="J1127" i="19"/>
  <c r="L1127" i="19"/>
  <c r="I1126" i="19"/>
  <c r="J1126" i="19"/>
  <c r="L1126" i="19"/>
  <c r="I1125" i="19"/>
  <c r="J1125" i="19"/>
  <c r="L1125" i="19"/>
  <c r="J1124" i="19"/>
  <c r="L1124" i="19"/>
  <c r="I1124" i="19"/>
  <c r="L1123" i="19"/>
  <c r="J1123" i="19"/>
  <c r="I1123" i="19"/>
  <c r="L1122" i="19"/>
  <c r="I1122" i="19"/>
  <c r="J1122" i="19"/>
  <c r="L1121" i="19"/>
  <c r="J1121" i="19"/>
  <c r="I1121" i="19"/>
  <c r="L1120" i="19"/>
  <c r="J1120" i="19"/>
  <c r="I1120" i="19"/>
  <c r="L1119" i="19"/>
  <c r="J1119" i="19"/>
  <c r="I1119" i="19"/>
  <c r="L1118" i="19"/>
  <c r="J1118" i="19"/>
  <c r="I1118" i="19"/>
  <c r="J1117" i="19"/>
  <c r="L1117" i="19"/>
  <c r="I1117" i="19"/>
  <c r="I1116" i="19"/>
  <c r="L1116" i="19"/>
  <c r="J1116" i="19"/>
  <c r="I1115" i="19"/>
  <c r="J1115" i="19"/>
  <c r="L1115" i="19"/>
  <c r="I1114" i="19"/>
  <c r="J1114" i="19"/>
  <c r="L1114" i="19"/>
  <c r="J1113" i="19"/>
  <c r="L1113" i="19"/>
  <c r="I1113" i="19"/>
  <c r="I1112" i="19"/>
  <c r="L1112" i="19"/>
  <c r="J1112" i="19"/>
  <c r="J1111" i="19"/>
  <c r="I1111" i="19"/>
  <c r="L1111" i="19"/>
  <c r="I1110" i="19"/>
  <c r="J1110" i="19"/>
  <c r="L1110" i="19"/>
  <c r="I1109" i="19"/>
  <c r="J1109" i="19"/>
  <c r="L1109" i="19"/>
  <c r="I1108" i="19"/>
  <c r="J1108" i="19"/>
  <c r="L1108" i="19"/>
  <c r="I1107" i="19"/>
  <c r="J1107" i="19"/>
  <c r="L1107" i="19"/>
  <c r="I1106" i="19"/>
  <c r="J1106" i="19"/>
  <c r="L1106" i="19"/>
  <c r="I1105" i="19"/>
  <c r="J1105" i="19"/>
  <c r="L1105" i="19"/>
  <c r="J1104" i="19"/>
  <c r="L1104" i="19"/>
  <c r="I1104" i="19"/>
  <c r="J1103" i="19"/>
  <c r="L1103" i="19"/>
  <c r="I1103" i="19"/>
  <c r="L1102" i="19"/>
  <c r="J1102" i="19"/>
  <c r="I1102" i="19"/>
  <c r="L1101" i="19"/>
  <c r="J1101" i="19"/>
  <c r="I1101" i="19"/>
  <c r="L1100" i="19"/>
  <c r="J1100" i="19"/>
  <c r="I1100" i="19"/>
  <c r="L1099" i="19"/>
  <c r="J1099" i="19"/>
  <c r="I1099" i="19"/>
  <c r="L1098" i="19"/>
  <c r="J1098" i="19"/>
  <c r="I1098" i="19"/>
  <c r="L1097" i="19"/>
  <c r="J1097" i="19"/>
  <c r="I1097" i="19"/>
  <c r="I1096" i="19"/>
  <c r="L1096" i="19"/>
  <c r="J1096" i="19"/>
  <c r="L1095" i="19"/>
  <c r="I1095" i="19"/>
  <c r="J1095" i="19"/>
  <c r="I1094" i="19"/>
  <c r="L1094" i="19"/>
  <c r="J1094" i="19"/>
  <c r="I1093" i="19"/>
  <c r="J1093" i="19"/>
  <c r="L1093" i="19"/>
  <c r="J1092" i="19"/>
  <c r="I1092" i="19"/>
  <c r="L1092" i="19"/>
  <c r="J1091" i="19"/>
  <c r="I1091" i="19"/>
  <c r="L1091" i="19"/>
  <c r="L1090" i="19"/>
  <c r="J1090" i="19"/>
  <c r="I1090" i="19"/>
  <c r="L1089" i="19"/>
  <c r="J1089" i="19"/>
  <c r="I1089" i="19"/>
  <c r="L1088" i="19"/>
  <c r="J1088" i="19"/>
  <c r="I1088" i="19"/>
  <c r="L1087" i="19"/>
  <c r="J1087" i="19"/>
  <c r="I1087" i="19"/>
  <c r="L1086" i="19"/>
  <c r="J1086" i="19"/>
  <c r="I1086" i="19"/>
  <c r="L1085" i="19"/>
  <c r="J1085" i="19"/>
  <c r="I1085" i="19"/>
  <c r="L1084" i="19"/>
  <c r="J1084" i="19"/>
  <c r="I1084" i="19"/>
  <c r="L1083" i="19"/>
  <c r="J1083" i="19"/>
  <c r="I1083" i="19"/>
  <c r="L1082" i="19"/>
  <c r="J1082" i="19"/>
  <c r="I1082" i="19"/>
  <c r="L1081" i="19"/>
  <c r="J1081" i="19"/>
  <c r="I1081" i="19"/>
  <c r="L1080" i="19"/>
  <c r="J1080" i="19"/>
  <c r="I1080" i="19"/>
  <c r="L1079" i="19"/>
  <c r="J1079" i="19"/>
  <c r="I1079" i="19"/>
  <c r="L1078" i="19"/>
  <c r="J1078" i="19"/>
  <c r="I1078" i="19"/>
  <c r="L1077" i="19"/>
  <c r="J1077" i="19"/>
  <c r="I1077" i="19"/>
  <c r="L1076" i="19"/>
  <c r="J1076" i="19"/>
  <c r="I1076" i="19"/>
  <c r="L1075" i="19"/>
  <c r="J1075" i="19"/>
  <c r="I1075" i="19"/>
  <c r="L1074" i="19"/>
  <c r="J1074" i="19"/>
  <c r="I1074" i="19"/>
  <c r="J1073" i="19"/>
  <c r="L1073" i="19"/>
  <c r="I1073" i="19"/>
  <c r="I1072" i="19"/>
  <c r="J1072" i="19"/>
  <c r="L1072" i="19"/>
  <c r="I1071" i="19"/>
  <c r="J1071" i="19"/>
  <c r="L1071" i="19"/>
  <c r="I1070" i="19"/>
  <c r="J1070" i="19"/>
  <c r="L1070" i="19"/>
  <c r="I1069" i="19"/>
  <c r="J1069" i="19"/>
  <c r="L1069" i="19"/>
  <c r="J1068" i="19"/>
  <c r="I1068" i="19"/>
  <c r="L1068" i="19"/>
  <c r="I1067" i="19"/>
  <c r="J1067" i="19"/>
  <c r="L1067" i="19"/>
  <c r="J1066" i="19"/>
  <c r="I1066" i="19"/>
  <c r="L1066" i="19"/>
  <c r="I1065" i="19"/>
  <c r="J1065" i="19"/>
  <c r="L1065" i="19"/>
  <c r="L1064" i="19"/>
  <c r="J1064" i="19"/>
  <c r="I1064" i="19"/>
  <c r="I1063" i="19"/>
  <c r="J1063" i="19"/>
  <c r="L1063" i="19"/>
  <c r="L1062" i="19"/>
  <c r="J1062" i="19"/>
  <c r="I1062" i="19"/>
  <c r="I1061" i="19"/>
  <c r="L1061" i="19"/>
  <c r="J1061" i="19"/>
  <c r="L1060" i="19"/>
  <c r="J1060" i="19"/>
  <c r="I1060" i="19"/>
  <c r="L1059" i="19"/>
  <c r="J1059" i="19"/>
  <c r="I1059" i="19"/>
  <c r="J1058" i="19"/>
  <c r="I1058" i="19"/>
  <c r="L1058" i="19"/>
  <c r="J1057" i="19"/>
  <c r="I1057" i="19"/>
  <c r="L1057" i="19"/>
  <c r="L1056" i="19"/>
  <c r="J1056" i="19"/>
  <c r="I1056" i="19"/>
  <c r="L1055" i="19"/>
  <c r="J1055" i="19"/>
  <c r="I1055" i="19"/>
  <c r="I1054" i="19"/>
  <c r="L1054" i="19"/>
  <c r="J1054" i="19"/>
  <c r="J1053" i="19"/>
  <c r="L1053" i="19"/>
  <c r="I1053" i="19"/>
  <c r="I1052" i="19"/>
  <c r="J1052" i="19"/>
  <c r="L1052" i="19"/>
  <c r="L1051" i="19"/>
  <c r="I1051" i="19"/>
  <c r="J1051" i="19"/>
  <c r="L1050" i="19"/>
  <c r="J1050" i="19"/>
  <c r="I1050" i="19"/>
  <c r="L1049" i="19"/>
  <c r="J1049" i="19"/>
  <c r="I1049" i="19"/>
  <c r="L1048" i="19"/>
  <c r="J1048" i="19"/>
  <c r="I1048" i="19"/>
  <c r="L1047" i="19"/>
  <c r="J1047" i="19"/>
  <c r="I1047" i="19"/>
  <c r="I1046" i="19"/>
  <c r="J1046" i="19"/>
  <c r="L1046" i="19"/>
  <c r="L1045" i="19"/>
  <c r="J1045" i="19"/>
  <c r="I1045" i="19"/>
  <c r="I1044" i="19"/>
  <c r="L1044" i="19"/>
  <c r="J1044" i="19"/>
  <c r="L1043" i="19"/>
  <c r="J1043" i="19"/>
  <c r="I1043" i="19"/>
  <c r="L1042" i="19"/>
  <c r="I1042" i="19"/>
  <c r="J1042" i="19"/>
  <c r="L1041" i="19"/>
  <c r="I1041" i="19"/>
  <c r="J1041" i="19"/>
  <c r="J1040" i="19"/>
  <c r="L1040" i="19"/>
  <c r="I1040" i="19"/>
  <c r="I1039" i="19"/>
  <c r="L1039" i="19"/>
  <c r="J1039" i="19"/>
  <c r="I1038" i="19"/>
  <c r="J1038" i="19"/>
  <c r="L1038" i="19"/>
  <c r="I1037" i="19"/>
  <c r="J1037" i="19"/>
  <c r="L1037" i="19"/>
  <c r="I1036" i="19"/>
  <c r="J1036" i="19"/>
  <c r="L1036" i="19"/>
  <c r="I1035" i="19"/>
  <c r="J1035" i="19"/>
  <c r="L1035" i="19"/>
  <c r="L1034" i="19"/>
  <c r="J1034" i="19"/>
  <c r="I1034" i="19"/>
  <c r="L1033" i="19"/>
  <c r="J1033" i="19"/>
  <c r="I1033" i="19"/>
  <c r="L1032" i="19"/>
  <c r="J1032" i="19"/>
  <c r="I1032" i="19"/>
  <c r="I1031" i="19"/>
  <c r="J1031" i="19"/>
  <c r="L1031" i="19"/>
  <c r="J1030" i="19"/>
  <c r="I1030" i="19"/>
  <c r="L1030" i="19"/>
  <c r="L1029" i="19"/>
  <c r="J1029" i="19"/>
  <c r="I1029" i="19"/>
  <c r="L1028" i="19"/>
  <c r="J1028" i="19"/>
  <c r="I1028" i="19"/>
  <c r="J1027" i="19"/>
  <c r="L1027" i="19"/>
  <c r="I1027" i="19"/>
  <c r="I1026" i="19"/>
  <c r="L1026" i="19"/>
  <c r="J1026" i="19"/>
  <c r="I1025" i="19"/>
  <c r="L1025" i="19"/>
  <c r="J1025" i="19"/>
  <c r="I1024" i="19"/>
  <c r="J1024" i="19"/>
  <c r="L1024" i="19"/>
  <c r="I1023" i="19"/>
  <c r="L1023" i="19"/>
  <c r="J1023" i="19"/>
  <c r="I1022" i="19"/>
  <c r="J1022" i="19"/>
  <c r="L1022" i="19"/>
  <c r="J1021" i="19"/>
  <c r="L1021" i="19"/>
  <c r="I1021" i="19"/>
  <c r="I1020" i="19"/>
  <c r="J1020" i="19"/>
  <c r="L1020" i="19"/>
  <c r="I1019" i="19"/>
  <c r="J1019" i="19"/>
  <c r="L1019" i="19"/>
  <c r="J1018" i="19"/>
  <c r="I1018" i="19"/>
  <c r="L1018" i="19"/>
  <c r="J1017" i="19"/>
  <c r="L1017" i="19"/>
  <c r="I1017" i="19"/>
  <c r="I1016" i="19"/>
  <c r="J1016" i="19"/>
  <c r="L1016" i="19"/>
  <c r="J1015" i="19"/>
  <c r="L1015" i="19"/>
  <c r="I1015" i="19"/>
  <c r="I1014" i="19"/>
  <c r="J1014" i="19"/>
  <c r="L1014" i="19"/>
  <c r="I1013" i="19"/>
  <c r="J1013" i="19"/>
  <c r="L1013" i="19"/>
  <c r="I1012" i="19"/>
  <c r="J1012" i="19"/>
  <c r="L1012" i="19"/>
  <c r="I1011" i="19"/>
  <c r="J1011" i="19"/>
  <c r="L1011" i="19"/>
  <c r="L1010" i="19"/>
  <c r="I1010" i="19"/>
  <c r="J1010" i="19"/>
  <c r="L1009" i="19"/>
  <c r="J1009" i="19"/>
  <c r="I1009" i="19"/>
  <c r="I1008" i="19"/>
  <c r="L1008" i="19"/>
  <c r="J1008" i="19"/>
  <c r="I1007" i="19"/>
  <c r="L1007" i="19"/>
  <c r="J1007" i="19"/>
  <c r="L1006" i="19"/>
  <c r="J1006" i="19"/>
  <c r="I1006" i="19"/>
  <c r="I1005" i="19"/>
  <c r="J1005" i="19"/>
  <c r="L1005" i="19"/>
  <c r="J1004" i="19"/>
  <c r="I1004" i="19"/>
  <c r="L1004" i="19"/>
  <c r="L1003" i="19"/>
  <c r="J1003" i="19"/>
  <c r="I1003" i="19"/>
  <c r="J1002" i="19"/>
  <c r="I1002" i="19"/>
  <c r="L1002" i="19"/>
  <c r="L1001" i="19"/>
  <c r="J1001" i="19"/>
  <c r="I1001" i="19"/>
  <c r="J1000" i="19"/>
  <c r="I1000" i="19"/>
  <c r="L1000" i="19"/>
  <c r="L999" i="19"/>
  <c r="J999" i="19"/>
  <c r="I999" i="19"/>
  <c r="L998" i="19"/>
  <c r="J998" i="19"/>
  <c r="I998" i="19"/>
  <c r="L997" i="19"/>
  <c r="J997" i="19"/>
  <c r="I997" i="19"/>
  <c r="L996" i="19"/>
  <c r="J996" i="19"/>
  <c r="I996" i="19"/>
  <c r="L995" i="19"/>
  <c r="J995" i="19"/>
  <c r="I995" i="19"/>
  <c r="L994" i="19"/>
  <c r="J994" i="19"/>
  <c r="I994" i="19"/>
  <c r="L993" i="19"/>
  <c r="J993" i="19"/>
  <c r="I993" i="19"/>
  <c r="L992" i="19"/>
  <c r="J992" i="19"/>
  <c r="I992" i="19"/>
  <c r="L991" i="19"/>
  <c r="J991" i="19"/>
  <c r="I991" i="19"/>
  <c r="L990" i="19"/>
  <c r="J990" i="19"/>
  <c r="I990" i="19"/>
  <c r="L989" i="19"/>
  <c r="J989" i="19"/>
  <c r="I989" i="19"/>
  <c r="L988" i="19"/>
  <c r="J988" i="19"/>
  <c r="I988" i="19"/>
  <c r="L987" i="19"/>
  <c r="I987" i="19"/>
  <c r="J987" i="19"/>
  <c r="I986" i="19"/>
  <c r="J986" i="19"/>
  <c r="L986" i="19"/>
  <c r="I985" i="19"/>
  <c r="J985" i="19"/>
  <c r="L985" i="19"/>
  <c r="J984" i="19"/>
  <c r="I984" i="19"/>
  <c r="L984" i="19"/>
  <c r="I983" i="19"/>
  <c r="J983" i="19"/>
  <c r="L983" i="19"/>
  <c r="J982" i="19"/>
  <c r="L982" i="19"/>
  <c r="I982" i="19"/>
  <c r="L981" i="19"/>
  <c r="I981" i="19"/>
  <c r="J981" i="19"/>
  <c r="I980" i="19"/>
  <c r="J980" i="19"/>
  <c r="L980" i="19"/>
  <c r="J979" i="19"/>
  <c r="L979" i="19"/>
  <c r="I979" i="19"/>
  <c r="I978" i="19"/>
  <c r="J978" i="19"/>
  <c r="L978" i="19"/>
  <c r="I977" i="19"/>
  <c r="J977" i="19"/>
  <c r="L977" i="19"/>
  <c r="L976" i="19"/>
  <c r="J976" i="19"/>
  <c r="I976" i="19"/>
  <c r="J975" i="19"/>
  <c r="I975" i="19"/>
  <c r="L975" i="19"/>
  <c r="J974" i="19"/>
  <c r="I974" i="19"/>
  <c r="L974" i="19"/>
  <c r="L973" i="19"/>
  <c r="J973" i="19"/>
  <c r="I973" i="19"/>
  <c r="L972" i="19"/>
  <c r="J972" i="19"/>
  <c r="I972" i="19"/>
  <c r="I971" i="19"/>
  <c r="L971" i="19"/>
  <c r="J971" i="19"/>
  <c r="I970" i="19"/>
  <c r="L970" i="19"/>
  <c r="J970" i="19"/>
  <c r="I969" i="19"/>
  <c r="J969" i="19"/>
  <c r="L969" i="19"/>
  <c r="I968" i="19"/>
  <c r="L968" i="19"/>
  <c r="J968" i="19"/>
  <c r="J967" i="19"/>
  <c r="L967" i="19"/>
  <c r="I967" i="19"/>
  <c r="I966" i="19"/>
  <c r="J966" i="19"/>
  <c r="L966" i="19"/>
  <c r="I965" i="19"/>
  <c r="J965" i="19"/>
  <c r="L965" i="19"/>
  <c r="L964" i="19"/>
  <c r="J964" i="19"/>
  <c r="I964" i="19"/>
  <c r="J963" i="19"/>
  <c r="I963" i="19"/>
  <c r="L963" i="19"/>
  <c r="I962" i="19"/>
  <c r="J962" i="19"/>
  <c r="L962" i="19"/>
  <c r="I961" i="19"/>
  <c r="J961" i="19"/>
  <c r="L961" i="19"/>
  <c r="I960" i="19"/>
  <c r="J960" i="19"/>
  <c r="L960" i="19"/>
  <c r="I959" i="19"/>
  <c r="L959" i="19"/>
  <c r="J959" i="19"/>
  <c r="L958" i="19"/>
  <c r="I958" i="19"/>
  <c r="J958" i="19"/>
  <c r="L957" i="19"/>
  <c r="I957" i="19"/>
  <c r="J957" i="19"/>
  <c r="L956" i="19"/>
  <c r="J956" i="19"/>
  <c r="I956" i="19"/>
  <c r="L955" i="19"/>
  <c r="J955" i="19"/>
  <c r="I955" i="19"/>
  <c r="L954" i="19"/>
  <c r="J954" i="19"/>
  <c r="I954" i="19"/>
  <c r="L953" i="19"/>
  <c r="J953" i="19"/>
  <c r="I953" i="19"/>
  <c r="L952" i="19"/>
  <c r="J952" i="19"/>
  <c r="I952" i="19"/>
  <c r="L951" i="19"/>
  <c r="J951" i="19"/>
  <c r="I951" i="19"/>
  <c r="L950" i="19"/>
  <c r="J950" i="19"/>
  <c r="I950" i="19"/>
  <c r="L949" i="19"/>
  <c r="J949" i="19"/>
  <c r="I949" i="19"/>
  <c r="L948" i="19"/>
  <c r="J948" i="19"/>
  <c r="I948" i="19"/>
  <c r="I947" i="19"/>
  <c r="J947" i="19"/>
  <c r="L947" i="19"/>
  <c r="J946" i="19"/>
  <c r="L946" i="19"/>
  <c r="I946" i="19"/>
  <c r="I945" i="19"/>
  <c r="L945" i="19"/>
  <c r="J945" i="19"/>
  <c r="L944" i="19"/>
  <c r="J944" i="19"/>
  <c r="I944" i="19"/>
  <c r="L943" i="19"/>
  <c r="J943" i="19"/>
  <c r="I943" i="19"/>
  <c r="L942" i="19"/>
  <c r="J942" i="19"/>
  <c r="I942" i="19"/>
  <c r="L941" i="19"/>
  <c r="J941" i="19"/>
  <c r="I941" i="19"/>
  <c r="I940" i="19"/>
  <c r="L940" i="19"/>
  <c r="J940" i="19"/>
  <c r="I939" i="19"/>
  <c r="J939" i="19"/>
  <c r="L939" i="19"/>
  <c r="I938" i="19"/>
  <c r="J938" i="19"/>
  <c r="L938" i="19"/>
  <c r="I937" i="19"/>
  <c r="J937" i="19"/>
  <c r="L937" i="19"/>
  <c r="L936" i="19"/>
  <c r="J936" i="19"/>
  <c r="I936" i="19"/>
  <c r="L935" i="19"/>
  <c r="J935" i="19"/>
  <c r="I935" i="19"/>
  <c r="I934" i="19"/>
  <c r="L934" i="19"/>
  <c r="J934" i="19"/>
  <c r="I933" i="19"/>
  <c r="J933" i="19"/>
  <c r="L933" i="19"/>
  <c r="I932" i="19"/>
  <c r="J932" i="19"/>
  <c r="L932" i="19"/>
  <c r="L931" i="19"/>
  <c r="I931" i="19"/>
  <c r="J931" i="19"/>
  <c r="I930" i="19"/>
  <c r="J930" i="19"/>
  <c r="L930" i="19"/>
  <c r="J929" i="19"/>
  <c r="L929" i="19"/>
  <c r="I929" i="19"/>
  <c r="I928" i="19"/>
  <c r="J928" i="19"/>
  <c r="L928" i="19"/>
  <c r="L927" i="19"/>
  <c r="I927" i="19"/>
  <c r="J927" i="19"/>
  <c r="I926" i="19"/>
  <c r="J926" i="19"/>
  <c r="L926" i="19"/>
  <c r="J925" i="19"/>
  <c r="L925" i="19"/>
  <c r="I925" i="19"/>
  <c r="I924" i="19"/>
  <c r="L924" i="19"/>
  <c r="J924" i="19"/>
  <c r="J923" i="19"/>
  <c r="I923" i="19"/>
  <c r="L923" i="19"/>
  <c r="I922" i="19"/>
  <c r="J922" i="19"/>
  <c r="L922" i="19"/>
  <c r="I921" i="19"/>
  <c r="J921" i="19"/>
  <c r="L921" i="19"/>
  <c r="L920" i="19"/>
  <c r="I920" i="19"/>
  <c r="J920" i="19"/>
  <c r="L919" i="19"/>
  <c r="I919" i="19"/>
  <c r="J919" i="19"/>
  <c r="J918" i="19"/>
  <c r="I918" i="19"/>
  <c r="L918" i="19"/>
  <c r="J917" i="19"/>
  <c r="I917" i="19"/>
  <c r="L917" i="19"/>
  <c r="J916" i="19"/>
  <c r="L916" i="19"/>
  <c r="I916" i="19"/>
  <c r="I915" i="19"/>
  <c r="J915" i="19"/>
  <c r="L915" i="19"/>
  <c r="I914" i="19"/>
  <c r="L914" i="19"/>
  <c r="J914" i="19"/>
  <c r="L913" i="19"/>
  <c r="J913" i="19"/>
  <c r="I913" i="19"/>
  <c r="J912" i="19"/>
  <c r="I912" i="19"/>
  <c r="L912" i="19"/>
  <c r="L911" i="19"/>
  <c r="J911" i="19"/>
  <c r="I911" i="19"/>
  <c r="I910" i="19"/>
  <c r="L910" i="19"/>
  <c r="J910" i="19"/>
  <c r="J909" i="19"/>
  <c r="L909" i="19"/>
  <c r="I909" i="19"/>
  <c r="L908" i="19"/>
  <c r="J908" i="19"/>
  <c r="I908" i="19"/>
  <c r="J907" i="19"/>
  <c r="I907" i="19"/>
  <c r="L907" i="19"/>
  <c r="I906" i="19"/>
  <c r="J906" i="19"/>
  <c r="L906" i="19"/>
  <c r="L905" i="19"/>
  <c r="I905" i="19"/>
  <c r="J905" i="19"/>
  <c r="I904" i="19"/>
  <c r="J904" i="19"/>
  <c r="L904" i="19"/>
  <c r="I903" i="19"/>
  <c r="J903" i="19"/>
  <c r="L903" i="19"/>
  <c r="L902" i="19"/>
  <c r="I902" i="19"/>
  <c r="J902" i="19"/>
  <c r="J901" i="19"/>
  <c r="I901" i="19"/>
  <c r="L901" i="19"/>
  <c r="I900" i="19"/>
  <c r="J900" i="19"/>
  <c r="L900" i="19"/>
  <c r="I899" i="19"/>
  <c r="J899" i="19"/>
  <c r="L899" i="19"/>
  <c r="I898" i="19"/>
  <c r="L898" i="19"/>
  <c r="J898" i="19"/>
  <c r="L897" i="19"/>
  <c r="J897" i="19"/>
  <c r="I897" i="19"/>
  <c r="J896" i="19"/>
  <c r="I896" i="19"/>
  <c r="L896" i="19"/>
  <c r="I895" i="19"/>
  <c r="J895" i="19"/>
  <c r="L895" i="19"/>
  <c r="J894" i="19"/>
  <c r="I894" i="19"/>
  <c r="L894" i="19"/>
  <c r="J893" i="19"/>
  <c r="I893" i="19"/>
  <c r="L893" i="19"/>
  <c r="L892" i="19"/>
  <c r="J892" i="19"/>
  <c r="I892" i="19"/>
  <c r="L891" i="19"/>
  <c r="J891" i="19"/>
  <c r="I891" i="19"/>
  <c r="L890" i="19"/>
  <c r="J890" i="19"/>
  <c r="I890" i="19"/>
  <c r="L889" i="19"/>
  <c r="J889" i="19"/>
  <c r="I889" i="19"/>
  <c r="L888" i="19"/>
  <c r="J888" i="19"/>
  <c r="I888" i="19"/>
  <c r="J887" i="19"/>
  <c r="I887" i="19"/>
  <c r="L887" i="19"/>
  <c r="I886" i="19"/>
  <c r="J886" i="19"/>
  <c r="L886" i="19"/>
  <c r="L885" i="19"/>
  <c r="J885" i="19"/>
  <c r="I885" i="19"/>
  <c r="L884" i="19"/>
  <c r="J884" i="19"/>
  <c r="I884" i="19"/>
  <c r="L883" i="19"/>
  <c r="J883" i="19"/>
  <c r="I883" i="19"/>
  <c r="L882" i="19"/>
  <c r="J882" i="19"/>
  <c r="I882" i="19"/>
  <c r="L881" i="19"/>
  <c r="J881" i="19"/>
  <c r="I881" i="19"/>
  <c r="L880" i="19"/>
  <c r="J880" i="19"/>
  <c r="I880" i="19"/>
  <c r="L879" i="19"/>
  <c r="J879" i="19"/>
  <c r="I879" i="19"/>
  <c r="L878" i="19"/>
  <c r="J878" i="19"/>
  <c r="I878" i="19"/>
  <c r="L877" i="19"/>
  <c r="J877" i="19"/>
  <c r="I877" i="19"/>
  <c r="L876" i="19"/>
  <c r="J876" i="19"/>
  <c r="I876" i="19"/>
  <c r="L875" i="19"/>
  <c r="J875" i="19"/>
  <c r="I875" i="19"/>
  <c r="L874" i="19"/>
  <c r="J874" i="19"/>
  <c r="I874" i="19"/>
  <c r="L873" i="19"/>
  <c r="J873" i="19"/>
  <c r="I873" i="19"/>
  <c r="L872" i="19"/>
  <c r="J872" i="19"/>
  <c r="I872" i="19"/>
  <c r="L871" i="19"/>
  <c r="J871" i="19"/>
  <c r="I871" i="19"/>
  <c r="L870" i="19"/>
  <c r="J870" i="19"/>
  <c r="I870" i="19"/>
  <c r="L869" i="19"/>
  <c r="J869" i="19"/>
  <c r="I869" i="19"/>
  <c r="L868" i="19"/>
  <c r="J868" i="19"/>
  <c r="I868" i="19"/>
  <c r="L867" i="19"/>
  <c r="J867" i="19"/>
  <c r="I867" i="19"/>
  <c r="L866" i="19"/>
  <c r="J866" i="19"/>
  <c r="I866" i="19"/>
  <c r="L865" i="19"/>
  <c r="J865" i="19"/>
  <c r="I865" i="19"/>
  <c r="L864" i="19"/>
  <c r="J864" i="19"/>
  <c r="I864" i="19"/>
  <c r="I863" i="19"/>
  <c r="L863" i="19"/>
  <c r="J863" i="19"/>
  <c r="I862" i="19"/>
  <c r="J862" i="19"/>
  <c r="L862" i="19"/>
  <c r="L861" i="19"/>
  <c r="J861" i="19"/>
  <c r="I861" i="19"/>
  <c r="L860" i="19"/>
  <c r="J860" i="19"/>
  <c r="I860" i="19"/>
  <c r="L859" i="19"/>
  <c r="I859" i="19"/>
  <c r="J859" i="19"/>
  <c r="I858" i="19"/>
  <c r="L858" i="19"/>
  <c r="J858" i="19"/>
  <c r="L857" i="19"/>
  <c r="J857" i="19"/>
  <c r="I857" i="19"/>
  <c r="I856" i="19"/>
  <c r="L856" i="19"/>
  <c r="J856" i="19"/>
  <c r="J855" i="19"/>
  <c r="I855" i="19"/>
  <c r="L855" i="19"/>
  <c r="J854" i="19"/>
  <c r="I854" i="19"/>
  <c r="L854" i="19"/>
  <c r="L853" i="19"/>
  <c r="J853" i="19"/>
  <c r="I853" i="19"/>
  <c r="L852" i="19"/>
  <c r="I852" i="19"/>
  <c r="J852" i="19"/>
  <c r="L851" i="19"/>
  <c r="J851" i="19"/>
  <c r="I851" i="19"/>
  <c r="L850" i="19"/>
  <c r="J850" i="19"/>
  <c r="I850" i="19"/>
  <c r="L849" i="19"/>
  <c r="I849" i="19"/>
  <c r="J849" i="19"/>
  <c r="J848" i="19"/>
  <c r="I848" i="19"/>
  <c r="L848" i="19"/>
  <c r="L847" i="19"/>
  <c r="J847" i="19"/>
  <c r="I847" i="19"/>
  <c r="L846" i="19"/>
  <c r="J846" i="19"/>
  <c r="I846" i="19"/>
  <c r="L845" i="19"/>
  <c r="J845" i="19"/>
  <c r="I845" i="19"/>
  <c r="L844" i="19"/>
  <c r="J844" i="19"/>
  <c r="I844" i="19"/>
  <c r="J843" i="19"/>
  <c r="I843" i="19"/>
  <c r="L843" i="19"/>
  <c r="J842" i="19"/>
  <c r="I842" i="19"/>
  <c r="L842" i="19"/>
  <c r="L841" i="19"/>
  <c r="J841" i="19"/>
  <c r="I841" i="19"/>
  <c r="L840" i="19"/>
  <c r="J840" i="19"/>
  <c r="I840" i="19"/>
  <c r="J839" i="19"/>
  <c r="I839" i="19"/>
  <c r="L839" i="19"/>
  <c r="I838" i="19"/>
  <c r="L838" i="19"/>
  <c r="J838" i="19"/>
  <c r="I837" i="19"/>
  <c r="J837" i="19"/>
  <c r="L837" i="19"/>
  <c r="L836" i="19"/>
  <c r="J836" i="19"/>
  <c r="I836" i="19"/>
  <c r="L835" i="19"/>
  <c r="J835" i="19"/>
  <c r="I835" i="19"/>
  <c r="L834" i="19"/>
  <c r="J834" i="19"/>
  <c r="I834" i="19"/>
  <c r="L833" i="19"/>
  <c r="J833" i="19"/>
  <c r="I833" i="19"/>
  <c r="L832" i="19"/>
  <c r="J832" i="19"/>
  <c r="I832" i="19"/>
  <c r="L831" i="19"/>
  <c r="J831" i="19"/>
  <c r="I831" i="19"/>
  <c r="I830" i="19"/>
  <c r="J830" i="19"/>
  <c r="L830" i="19"/>
  <c r="I829" i="19"/>
  <c r="J829" i="19"/>
  <c r="L829" i="19"/>
  <c r="J828" i="19"/>
  <c r="L828" i="19"/>
  <c r="I828" i="19"/>
  <c r="L827" i="19"/>
  <c r="J827" i="19"/>
  <c r="I827" i="19"/>
  <c r="L826" i="19"/>
  <c r="I826" i="19"/>
  <c r="J826" i="19"/>
  <c r="I825" i="19"/>
  <c r="L825" i="19"/>
  <c r="J825" i="19"/>
  <c r="I824" i="19"/>
  <c r="L824" i="19"/>
  <c r="J824" i="19"/>
  <c r="I823" i="19"/>
  <c r="J823" i="19"/>
  <c r="L823" i="19"/>
  <c r="L822" i="19"/>
  <c r="J822" i="19"/>
  <c r="I822" i="19"/>
  <c r="L821" i="19"/>
  <c r="J821" i="19"/>
  <c r="I821" i="19"/>
  <c r="L820" i="19"/>
  <c r="J820" i="19"/>
  <c r="I820" i="19"/>
  <c r="L819" i="19"/>
  <c r="J819" i="19"/>
  <c r="I819" i="19"/>
  <c r="L818" i="19"/>
  <c r="J818" i="19"/>
  <c r="I818" i="19"/>
  <c r="J817" i="19"/>
  <c r="L817" i="19"/>
  <c r="I817" i="19"/>
  <c r="L816" i="19"/>
  <c r="J816" i="19"/>
  <c r="I816" i="19"/>
  <c r="L815" i="19"/>
  <c r="J815" i="19"/>
  <c r="I815" i="19"/>
  <c r="L814" i="19"/>
  <c r="J814" i="19"/>
  <c r="I814" i="19"/>
  <c r="I813" i="19"/>
  <c r="L813" i="19"/>
  <c r="J813" i="19"/>
  <c r="L812" i="19"/>
  <c r="J812" i="19"/>
  <c r="I812" i="19"/>
  <c r="J811" i="19"/>
  <c r="I811" i="19"/>
  <c r="L811" i="19"/>
  <c r="I810" i="19"/>
  <c r="L810" i="19"/>
  <c r="J810" i="19"/>
  <c r="L809" i="19"/>
  <c r="J809" i="19"/>
  <c r="I809" i="19"/>
  <c r="L808" i="19"/>
  <c r="I808" i="19"/>
  <c r="J808" i="19"/>
  <c r="L807" i="19"/>
  <c r="J807" i="19"/>
  <c r="I807" i="19"/>
  <c r="I806" i="19"/>
  <c r="L806" i="19"/>
  <c r="J806" i="19"/>
  <c r="L805" i="19"/>
  <c r="J805" i="19"/>
  <c r="I805" i="19"/>
  <c r="L804" i="19"/>
  <c r="J804" i="19"/>
  <c r="I804" i="19"/>
  <c r="J803" i="19"/>
  <c r="L803" i="19"/>
  <c r="I803" i="19"/>
  <c r="I802" i="19"/>
  <c r="L802" i="19"/>
  <c r="J802" i="19"/>
  <c r="L801" i="19"/>
  <c r="J801" i="19"/>
  <c r="I801" i="19"/>
  <c r="L800" i="19"/>
  <c r="J800" i="19"/>
  <c r="I800" i="19"/>
  <c r="L799" i="19"/>
  <c r="J799" i="19"/>
  <c r="I799" i="19"/>
  <c r="L798" i="19"/>
  <c r="J798" i="19"/>
  <c r="I798" i="19"/>
  <c r="L797" i="19"/>
  <c r="J797" i="19"/>
  <c r="I797" i="19"/>
  <c r="L796" i="19"/>
  <c r="J796" i="19"/>
  <c r="I796" i="19"/>
  <c r="J795" i="19"/>
  <c r="L795" i="19"/>
  <c r="I795" i="19"/>
  <c r="L794" i="19"/>
  <c r="J794" i="19"/>
  <c r="I794" i="19"/>
  <c r="L793" i="19"/>
  <c r="J793" i="19"/>
  <c r="I793" i="19"/>
  <c r="I792" i="19"/>
  <c r="J792" i="19"/>
  <c r="L792" i="19"/>
  <c r="L791" i="19"/>
  <c r="J791" i="19"/>
  <c r="I791" i="19"/>
  <c r="L790" i="19"/>
  <c r="J790" i="19"/>
  <c r="I790" i="19"/>
  <c r="L789" i="19"/>
  <c r="J789" i="19"/>
  <c r="I789" i="19"/>
  <c r="L788" i="19"/>
  <c r="J788" i="19"/>
  <c r="I788" i="19"/>
  <c r="L787" i="19"/>
  <c r="J787" i="19"/>
  <c r="I787" i="19"/>
  <c r="L786" i="19"/>
  <c r="J786" i="19"/>
  <c r="I786" i="19"/>
  <c r="I785" i="19"/>
  <c r="J785" i="19"/>
  <c r="L785" i="19"/>
  <c r="J784" i="19"/>
  <c r="I784" i="19"/>
  <c r="L784" i="19"/>
  <c r="I783" i="19"/>
  <c r="L783" i="19"/>
  <c r="J783" i="19"/>
  <c r="J782" i="19"/>
  <c r="I782" i="19"/>
  <c r="L782" i="19"/>
  <c r="L781" i="19"/>
  <c r="J781" i="19"/>
  <c r="I781" i="19"/>
  <c r="L780" i="19"/>
  <c r="J780" i="19"/>
  <c r="I780" i="19"/>
  <c r="L779" i="19"/>
  <c r="J779" i="19"/>
  <c r="I779" i="19"/>
  <c r="I778" i="19"/>
  <c r="L778" i="19"/>
  <c r="J778" i="19"/>
  <c r="J777" i="19"/>
  <c r="I777" i="19"/>
  <c r="L777" i="19"/>
  <c r="L776" i="19"/>
  <c r="J776" i="19"/>
  <c r="I776" i="19"/>
  <c r="J775" i="19"/>
  <c r="I775" i="19"/>
  <c r="L775" i="19"/>
  <c r="L774" i="19"/>
  <c r="J774" i="19"/>
  <c r="I774" i="19"/>
  <c r="L773" i="19"/>
  <c r="J773" i="19"/>
  <c r="I773" i="19"/>
  <c r="L772" i="19"/>
  <c r="I772" i="19"/>
  <c r="J772" i="19"/>
  <c r="I771" i="19"/>
  <c r="J771" i="19"/>
  <c r="L771" i="19"/>
  <c r="J770" i="19"/>
  <c r="I770" i="19"/>
  <c r="L770" i="19"/>
  <c r="I769" i="19"/>
  <c r="J769" i="19"/>
  <c r="L769" i="19"/>
  <c r="L768" i="19"/>
  <c r="J768" i="19"/>
  <c r="I768" i="19"/>
  <c r="L767" i="19"/>
  <c r="J767" i="19"/>
  <c r="I767" i="19"/>
  <c r="L766" i="19"/>
  <c r="J766" i="19"/>
  <c r="I766" i="19"/>
  <c r="L765" i="19"/>
  <c r="J765" i="19"/>
  <c r="I765" i="19"/>
  <c r="L764" i="19"/>
  <c r="J764" i="19"/>
  <c r="I764" i="19"/>
  <c r="L763" i="19"/>
  <c r="J763" i="19"/>
  <c r="I763" i="19"/>
  <c r="L762" i="19"/>
  <c r="J762" i="19"/>
  <c r="I762" i="19"/>
  <c r="L761" i="19"/>
  <c r="J761" i="19"/>
  <c r="I761" i="19"/>
  <c r="L760" i="19"/>
  <c r="J760" i="19"/>
  <c r="I760" i="19"/>
  <c r="J759" i="19"/>
  <c r="I759" i="19"/>
  <c r="I758" i="19"/>
  <c r="L758" i="19"/>
  <c r="J758" i="19"/>
  <c r="J757" i="19"/>
  <c r="L757" i="19"/>
  <c r="I757" i="19"/>
  <c r="J756" i="19"/>
  <c r="L756" i="19"/>
  <c r="I756" i="19"/>
  <c r="I755" i="19"/>
  <c r="J755" i="19"/>
  <c r="L755" i="19"/>
  <c r="L754" i="19"/>
  <c r="I754" i="19"/>
  <c r="J754" i="19"/>
  <c r="I753" i="19"/>
  <c r="L753" i="19"/>
  <c r="J753" i="19"/>
  <c r="I752" i="19"/>
  <c r="L752" i="19"/>
  <c r="J752" i="19"/>
  <c r="J751" i="19"/>
  <c r="L751" i="19"/>
  <c r="I751" i="19"/>
  <c r="I750" i="19"/>
  <c r="J750" i="19"/>
  <c r="L750" i="19"/>
  <c r="L749" i="19"/>
  <c r="I749" i="19"/>
  <c r="J749" i="19"/>
  <c r="L748" i="19"/>
  <c r="I748" i="19"/>
  <c r="J748" i="19"/>
  <c r="J747" i="19"/>
  <c r="L747" i="19"/>
  <c r="I747" i="19"/>
  <c r="J746" i="19"/>
  <c r="I746" i="19"/>
  <c r="L746" i="19"/>
  <c r="J745" i="19"/>
  <c r="L745" i="19"/>
  <c r="I745" i="19"/>
  <c r="I744" i="19"/>
  <c r="L744" i="19"/>
  <c r="J744" i="19"/>
  <c r="J743" i="19"/>
  <c r="L743" i="19"/>
  <c r="J742" i="19"/>
  <c r="L742" i="19"/>
  <c r="I742" i="19"/>
  <c r="I741" i="19"/>
  <c r="L741" i="19"/>
  <c r="J741" i="19"/>
  <c r="J740" i="19"/>
  <c r="L740" i="19"/>
  <c r="I740" i="19"/>
  <c r="J739" i="19"/>
  <c r="I739" i="19"/>
  <c r="L739" i="19"/>
  <c r="L738" i="19"/>
  <c r="I738" i="19"/>
  <c r="J738" i="19"/>
  <c r="J737" i="19"/>
  <c r="L737" i="19"/>
  <c r="I737" i="19"/>
  <c r="I736" i="19"/>
  <c r="L736" i="19"/>
  <c r="J736" i="19"/>
  <c r="J735" i="19"/>
  <c r="L735" i="19"/>
  <c r="I735" i="19"/>
  <c r="I734" i="19"/>
  <c r="J734" i="19"/>
  <c r="L734" i="19"/>
  <c r="L733" i="19"/>
  <c r="I733" i="19"/>
  <c r="J733" i="19"/>
  <c r="L732" i="19"/>
  <c r="I732" i="19"/>
  <c r="J732" i="19"/>
  <c r="L731" i="19"/>
  <c r="J731" i="19"/>
  <c r="I731" i="19"/>
  <c r="L730" i="19"/>
  <c r="I730" i="19"/>
  <c r="J730" i="19"/>
  <c r="J729" i="19"/>
  <c r="L729" i="19"/>
  <c r="I729" i="19"/>
  <c r="I728" i="19"/>
  <c r="J728" i="19"/>
  <c r="L728" i="19"/>
  <c r="I727" i="19"/>
  <c r="L727" i="19"/>
  <c r="J727" i="19"/>
  <c r="I726" i="19"/>
  <c r="L726" i="19"/>
  <c r="J726" i="19"/>
  <c r="I725" i="19"/>
  <c r="L725" i="19"/>
  <c r="J725" i="19"/>
  <c r="I724" i="19"/>
  <c r="J724" i="19"/>
  <c r="L724" i="19"/>
  <c r="J723" i="19"/>
  <c r="L723" i="19"/>
  <c r="I723" i="19"/>
  <c r="L722" i="19"/>
  <c r="J722" i="19"/>
  <c r="I722" i="19"/>
  <c r="L721" i="19"/>
  <c r="I721" i="19"/>
  <c r="J721" i="19"/>
  <c r="I720" i="19"/>
  <c r="J720" i="19"/>
  <c r="L720" i="19"/>
  <c r="L719" i="19"/>
  <c r="J719" i="19"/>
  <c r="I719" i="19"/>
  <c r="I718" i="19"/>
  <c r="J718" i="19"/>
  <c r="L718" i="19"/>
  <c r="I717" i="19"/>
  <c r="J717" i="19"/>
  <c r="L717" i="19"/>
  <c r="I716" i="19"/>
  <c r="L716" i="19"/>
  <c r="J716" i="19"/>
  <c r="I715" i="19"/>
  <c r="J715" i="19"/>
  <c r="L715" i="19"/>
  <c r="I714" i="19"/>
  <c r="L714" i="19"/>
  <c r="J714" i="19"/>
  <c r="L713" i="19"/>
  <c r="J713" i="19"/>
  <c r="I713" i="19"/>
  <c r="L712" i="19"/>
  <c r="I712" i="19"/>
  <c r="J712" i="19"/>
  <c r="J711" i="19"/>
  <c r="I711" i="19"/>
  <c r="L711" i="19"/>
  <c r="L710" i="19"/>
  <c r="J710" i="19"/>
  <c r="I710" i="19"/>
  <c r="L709" i="19"/>
  <c r="J709" i="19"/>
  <c r="I709" i="19"/>
  <c r="L708" i="19"/>
  <c r="J708" i="19"/>
  <c r="I708" i="19"/>
  <c r="L707" i="19"/>
  <c r="J707" i="19"/>
  <c r="I707" i="19"/>
  <c r="L706" i="19"/>
  <c r="J706" i="19"/>
  <c r="I706" i="19"/>
  <c r="I705" i="19"/>
  <c r="J705" i="19"/>
  <c r="L705" i="19"/>
  <c r="L704" i="19"/>
  <c r="J704" i="19"/>
  <c r="I704" i="19"/>
  <c r="L703" i="19"/>
  <c r="J703" i="19"/>
  <c r="I703" i="19"/>
  <c r="L702" i="19"/>
  <c r="I702" i="19"/>
  <c r="J702" i="19"/>
  <c r="L701" i="19"/>
  <c r="J701" i="19"/>
  <c r="I701" i="19"/>
  <c r="L700" i="19"/>
  <c r="J700" i="19"/>
  <c r="I700" i="19"/>
  <c r="L699" i="19"/>
  <c r="J699" i="19"/>
  <c r="I699" i="19"/>
  <c r="L698" i="19"/>
  <c r="J698" i="19"/>
  <c r="I698" i="19"/>
  <c r="J697" i="19"/>
  <c r="I697" i="19"/>
  <c r="L697" i="19"/>
  <c r="L696" i="19"/>
  <c r="J696" i="19"/>
  <c r="I696" i="19"/>
  <c r="L695" i="19"/>
  <c r="J695" i="19"/>
  <c r="I695" i="19"/>
  <c r="L694" i="19"/>
  <c r="J694" i="19"/>
  <c r="I694" i="19"/>
  <c r="L693" i="19"/>
  <c r="J693" i="19"/>
  <c r="I693" i="19"/>
  <c r="L692" i="19"/>
  <c r="I692" i="19"/>
  <c r="J692" i="19"/>
  <c r="J691" i="19"/>
  <c r="I691" i="19"/>
  <c r="L691" i="19"/>
  <c r="L690" i="19"/>
  <c r="J690" i="19"/>
  <c r="I690" i="19"/>
  <c r="L689" i="19"/>
  <c r="J689" i="19"/>
  <c r="I689" i="19"/>
  <c r="L688" i="19"/>
  <c r="J688" i="19"/>
  <c r="I688" i="19"/>
  <c r="L687" i="19"/>
  <c r="J687" i="19"/>
  <c r="I687" i="19"/>
  <c r="L686" i="19"/>
  <c r="J686" i="19"/>
  <c r="I686" i="19"/>
  <c r="L685" i="19"/>
  <c r="J685" i="19"/>
  <c r="I685" i="19"/>
  <c r="L684" i="19"/>
  <c r="J684" i="19"/>
  <c r="I684" i="19"/>
  <c r="L683" i="19"/>
  <c r="J683" i="19"/>
  <c r="I683" i="19"/>
  <c r="L682" i="19"/>
  <c r="J682" i="19"/>
  <c r="I682" i="19"/>
  <c r="L681" i="19"/>
  <c r="J681" i="19"/>
  <c r="I681" i="19"/>
  <c r="L680" i="19"/>
  <c r="I680" i="19"/>
  <c r="J680" i="19"/>
  <c r="L679" i="19"/>
  <c r="J679" i="19"/>
  <c r="I679" i="19"/>
  <c r="L678" i="19"/>
  <c r="J678" i="19"/>
  <c r="I678" i="19"/>
  <c r="J677" i="19"/>
  <c r="I677" i="19"/>
  <c r="L677" i="19"/>
  <c r="L676" i="19"/>
  <c r="J676" i="19"/>
  <c r="I676" i="19"/>
  <c r="L675" i="19"/>
  <c r="J675" i="19"/>
  <c r="I675" i="19"/>
  <c r="I674" i="19"/>
  <c r="L674" i="19"/>
  <c r="J674" i="19"/>
  <c r="J673" i="19"/>
  <c r="I673" i="19"/>
  <c r="L673" i="19"/>
  <c r="L672" i="19"/>
  <c r="J672" i="19"/>
  <c r="I672" i="19"/>
  <c r="L671" i="19"/>
  <c r="J671" i="19"/>
  <c r="I671" i="19"/>
  <c r="L670" i="19"/>
  <c r="J670" i="19"/>
  <c r="I670" i="19"/>
  <c r="L669" i="19"/>
  <c r="J669" i="19"/>
  <c r="I669" i="19"/>
  <c r="I668" i="19"/>
  <c r="L668" i="19"/>
  <c r="J668" i="19"/>
  <c r="L667" i="19"/>
  <c r="J667" i="19"/>
  <c r="I667" i="19"/>
  <c r="L666" i="19"/>
  <c r="J666" i="19"/>
  <c r="I666" i="19"/>
  <c r="L665" i="19"/>
  <c r="J665" i="19"/>
  <c r="I665" i="19"/>
  <c r="J664" i="19"/>
  <c r="I664" i="19"/>
  <c r="L664" i="19"/>
  <c r="L663" i="19"/>
  <c r="J663" i="19"/>
  <c r="I663" i="19"/>
  <c r="L662" i="19"/>
  <c r="J662" i="19"/>
  <c r="I662" i="19"/>
  <c r="L661" i="19"/>
  <c r="J661" i="19"/>
  <c r="I661" i="19"/>
  <c r="L660" i="19"/>
  <c r="J660" i="19"/>
  <c r="I660" i="19"/>
  <c r="L659" i="19"/>
  <c r="I659" i="19"/>
  <c r="J659" i="19"/>
  <c r="J658" i="19"/>
  <c r="I658" i="19"/>
  <c r="L658" i="19"/>
  <c r="L657" i="19"/>
  <c r="J657" i="19"/>
  <c r="I657" i="19"/>
  <c r="L656" i="19"/>
  <c r="I656" i="19"/>
  <c r="J656" i="19"/>
  <c r="L655" i="19"/>
  <c r="J655" i="19"/>
  <c r="I655" i="19"/>
  <c r="L654" i="19"/>
  <c r="J654" i="19"/>
  <c r="I654" i="19"/>
  <c r="J653" i="19"/>
  <c r="I653" i="19"/>
  <c r="L653" i="19"/>
  <c r="J652" i="19"/>
  <c r="I652" i="19"/>
  <c r="L652" i="19"/>
  <c r="L651" i="19"/>
  <c r="J651" i="19"/>
  <c r="I651" i="19"/>
  <c r="L650" i="19"/>
  <c r="J650" i="19"/>
  <c r="I650" i="19"/>
  <c r="L649" i="19"/>
  <c r="J649" i="19"/>
  <c r="I649" i="19"/>
  <c r="L648" i="19"/>
  <c r="J648" i="19"/>
  <c r="I648" i="19"/>
  <c r="L647" i="19"/>
  <c r="I647" i="19"/>
  <c r="J647" i="19"/>
  <c r="J646" i="19"/>
  <c r="I646" i="19"/>
  <c r="L646" i="19"/>
  <c r="L645" i="19"/>
  <c r="J645" i="19"/>
  <c r="I645" i="19"/>
  <c r="L644" i="19"/>
  <c r="J644" i="19"/>
  <c r="I644" i="19"/>
  <c r="L643" i="19"/>
  <c r="J643" i="19"/>
  <c r="I643" i="19"/>
  <c r="L642" i="19"/>
  <c r="J642" i="19"/>
  <c r="I642" i="19"/>
  <c r="L641" i="19"/>
  <c r="J641" i="19"/>
  <c r="I641" i="19"/>
  <c r="L640" i="19"/>
  <c r="J640" i="19"/>
  <c r="I640" i="19"/>
  <c r="L639" i="19"/>
  <c r="J639" i="19"/>
  <c r="I639" i="19"/>
  <c r="L638" i="19"/>
  <c r="J638" i="19"/>
  <c r="I638" i="19"/>
  <c r="L637" i="19"/>
  <c r="J637" i="19"/>
  <c r="I637" i="19"/>
  <c r="L636" i="19"/>
  <c r="I636" i="19"/>
  <c r="J636" i="19"/>
  <c r="L635" i="19"/>
  <c r="J635" i="19"/>
  <c r="I635" i="19"/>
  <c r="L634" i="19"/>
  <c r="J634" i="19"/>
  <c r="I634" i="19"/>
  <c r="J633" i="19"/>
  <c r="I633" i="19"/>
  <c r="L633" i="19"/>
  <c r="L632" i="19"/>
  <c r="I632" i="19"/>
  <c r="J632" i="19"/>
  <c r="L631" i="19"/>
  <c r="J631" i="19"/>
  <c r="I631" i="19"/>
  <c r="L630" i="19"/>
  <c r="J630" i="19"/>
  <c r="I630" i="19"/>
  <c r="L629" i="19"/>
  <c r="J629" i="19"/>
  <c r="I629" i="19"/>
  <c r="L628" i="19"/>
  <c r="J628" i="19"/>
  <c r="I628" i="19"/>
  <c r="L627" i="19"/>
  <c r="J627" i="19"/>
  <c r="I627" i="19"/>
  <c r="L626" i="19"/>
  <c r="J626" i="19"/>
  <c r="I626" i="19"/>
  <c r="L625" i="19"/>
  <c r="J625" i="19"/>
  <c r="I625" i="19"/>
  <c r="L624" i="19"/>
  <c r="J624" i="19"/>
  <c r="I624" i="19"/>
  <c r="L623" i="19"/>
  <c r="J623" i="19"/>
  <c r="I623" i="19"/>
  <c r="L622" i="19"/>
  <c r="J622" i="19"/>
  <c r="I622" i="19"/>
  <c r="J621" i="19"/>
  <c r="I621" i="19"/>
  <c r="L621" i="19"/>
  <c r="L620" i="19"/>
  <c r="J620" i="19"/>
  <c r="I620" i="19"/>
  <c r="L619" i="19"/>
  <c r="J619" i="19"/>
  <c r="I619" i="19"/>
  <c r="L618" i="19"/>
  <c r="J618" i="19"/>
  <c r="I618" i="19"/>
  <c r="L617" i="19"/>
  <c r="J617" i="19"/>
  <c r="I617" i="19"/>
  <c r="L616" i="19"/>
  <c r="J616" i="19"/>
  <c r="I616" i="19"/>
  <c r="J615" i="19"/>
  <c r="I615" i="19"/>
  <c r="L615" i="19"/>
  <c r="L614" i="19"/>
  <c r="J614" i="19"/>
  <c r="I614" i="19"/>
  <c r="L613" i="19"/>
  <c r="I613" i="19"/>
  <c r="J613" i="19"/>
  <c r="L612" i="19"/>
  <c r="J612" i="19"/>
  <c r="I612" i="19"/>
  <c r="L611" i="19"/>
  <c r="J611" i="19"/>
  <c r="I611" i="19"/>
  <c r="L610" i="19"/>
  <c r="J610" i="19"/>
  <c r="I610" i="19"/>
  <c r="J609" i="19"/>
  <c r="I609" i="19"/>
  <c r="L609" i="19"/>
  <c r="L608" i="19"/>
  <c r="J608" i="19"/>
  <c r="I608" i="19"/>
  <c r="L607" i="19"/>
  <c r="J607" i="19"/>
  <c r="I607" i="19"/>
  <c r="L606" i="19"/>
  <c r="J606" i="19"/>
  <c r="I606" i="19"/>
  <c r="L605" i="19"/>
  <c r="J605" i="19"/>
  <c r="I605" i="19"/>
  <c r="L604" i="19"/>
  <c r="I604" i="19"/>
  <c r="J604" i="19"/>
  <c r="J603" i="19"/>
  <c r="I603" i="19"/>
  <c r="L603" i="19"/>
  <c r="L602" i="19"/>
  <c r="J602" i="19"/>
  <c r="I602" i="19"/>
  <c r="L601" i="19"/>
  <c r="J601" i="19"/>
  <c r="I601" i="19"/>
  <c r="L600" i="19"/>
  <c r="J600" i="19"/>
  <c r="I600" i="19"/>
  <c r="L599" i="19"/>
  <c r="J599" i="19"/>
  <c r="I599" i="19"/>
  <c r="L598" i="19"/>
  <c r="J598" i="19"/>
  <c r="I598" i="19"/>
  <c r="L597" i="19"/>
  <c r="J597" i="19"/>
  <c r="I597" i="19"/>
  <c r="L596" i="19"/>
  <c r="J596" i="19"/>
  <c r="I596" i="19"/>
  <c r="L595" i="19"/>
  <c r="J595" i="19"/>
  <c r="I595" i="19"/>
  <c r="L594" i="19"/>
  <c r="J594" i="19"/>
  <c r="I594" i="19"/>
  <c r="L593" i="19"/>
  <c r="I593" i="19"/>
  <c r="J593" i="19"/>
  <c r="L592" i="19"/>
  <c r="J592" i="19"/>
  <c r="I592" i="19"/>
  <c r="L591" i="19"/>
  <c r="J591" i="19"/>
  <c r="I591" i="19"/>
  <c r="J590" i="19"/>
  <c r="I590" i="19"/>
  <c r="L590" i="19"/>
  <c r="L589" i="19"/>
  <c r="J589" i="19"/>
  <c r="I589" i="19"/>
  <c r="L588" i="19"/>
  <c r="J588" i="19"/>
  <c r="I588" i="19"/>
  <c r="I587" i="19"/>
  <c r="L587" i="19"/>
  <c r="J587" i="19"/>
  <c r="J586" i="19"/>
  <c r="I586" i="19"/>
  <c r="L586" i="19"/>
  <c r="L585" i="19"/>
  <c r="J585" i="19"/>
  <c r="I585" i="19"/>
  <c r="L584" i="19"/>
  <c r="J584" i="19"/>
  <c r="I584" i="19"/>
  <c r="L583" i="19"/>
  <c r="J583" i="19"/>
  <c r="I583" i="19"/>
  <c r="L582" i="19"/>
  <c r="J582" i="19"/>
  <c r="I582" i="19"/>
  <c r="I581" i="19"/>
  <c r="L581" i="19"/>
  <c r="J581" i="19"/>
  <c r="L580" i="19"/>
  <c r="J580" i="19"/>
  <c r="I580" i="19"/>
  <c r="L579" i="19"/>
  <c r="J579" i="19"/>
  <c r="I579" i="19"/>
  <c r="L578" i="19"/>
  <c r="J578" i="19"/>
  <c r="I578" i="19"/>
  <c r="J577" i="19"/>
  <c r="I577" i="19"/>
  <c r="L577" i="19"/>
  <c r="L576" i="19"/>
  <c r="J576" i="19"/>
  <c r="I576" i="19"/>
  <c r="L575" i="19"/>
  <c r="J575" i="19"/>
  <c r="I575" i="19"/>
  <c r="L574" i="19"/>
  <c r="J574" i="19"/>
  <c r="I574" i="19"/>
  <c r="L573" i="19"/>
  <c r="J573" i="19"/>
  <c r="I573" i="19"/>
  <c r="L572" i="19"/>
  <c r="I572" i="19"/>
  <c r="J572" i="19"/>
  <c r="J571" i="19"/>
  <c r="I571" i="19"/>
  <c r="L571" i="19"/>
  <c r="L570" i="19"/>
  <c r="J570" i="19"/>
  <c r="I570" i="19"/>
  <c r="L569" i="19"/>
  <c r="I569" i="19"/>
  <c r="J569" i="19"/>
  <c r="L568" i="19"/>
  <c r="J568" i="19"/>
  <c r="I568" i="19"/>
  <c r="L567" i="19"/>
  <c r="J567" i="19"/>
  <c r="I567" i="19"/>
  <c r="J566" i="19"/>
  <c r="I566" i="19"/>
  <c r="L566" i="19"/>
  <c r="J565" i="19"/>
  <c r="I565" i="19"/>
  <c r="L565" i="19"/>
  <c r="L564" i="19"/>
  <c r="J564" i="19"/>
  <c r="I564" i="19"/>
  <c r="L563" i="19"/>
  <c r="J563" i="19"/>
  <c r="I563" i="19"/>
  <c r="L562" i="19"/>
  <c r="J562" i="19"/>
  <c r="I562" i="19"/>
  <c r="L561" i="19"/>
  <c r="J561" i="19"/>
  <c r="I561" i="19"/>
  <c r="I560" i="19"/>
  <c r="L560" i="19"/>
  <c r="J560" i="19"/>
  <c r="L559" i="19"/>
  <c r="J559" i="19"/>
  <c r="I559" i="19"/>
  <c r="L558" i="19"/>
  <c r="J558" i="19"/>
  <c r="I558" i="19"/>
  <c r="L557" i="19"/>
  <c r="J557" i="19"/>
  <c r="I557" i="19"/>
  <c r="L556" i="19"/>
  <c r="J556" i="19"/>
  <c r="I556" i="19"/>
  <c r="L555" i="19"/>
  <c r="J555" i="19"/>
  <c r="I555" i="19"/>
  <c r="L554" i="19"/>
  <c r="J554" i="19"/>
  <c r="I554" i="19"/>
  <c r="L553" i="19"/>
  <c r="J553" i="19"/>
  <c r="I553" i="19"/>
  <c r="L552" i="19"/>
  <c r="J552" i="19"/>
  <c r="I552" i="19"/>
  <c r="L551" i="19"/>
  <c r="J551" i="19"/>
  <c r="I551" i="19"/>
  <c r="L550" i="19"/>
  <c r="J550" i="19"/>
  <c r="I550" i="19"/>
  <c r="J549" i="19"/>
  <c r="I549" i="19"/>
  <c r="L549" i="19"/>
  <c r="L548" i="19"/>
  <c r="J548" i="19"/>
  <c r="I548" i="19"/>
  <c r="L547" i="19"/>
  <c r="I547" i="19"/>
  <c r="J547" i="19"/>
  <c r="L546" i="19"/>
  <c r="I546" i="19"/>
  <c r="J546" i="19"/>
  <c r="L545" i="19"/>
  <c r="J545" i="19"/>
  <c r="I545" i="19"/>
  <c r="L544" i="19"/>
  <c r="J544" i="19"/>
  <c r="I544" i="19"/>
  <c r="L543" i="19"/>
  <c r="J543" i="19"/>
  <c r="I543" i="19"/>
  <c r="L542" i="19"/>
  <c r="J542" i="19"/>
  <c r="I542" i="19"/>
  <c r="L541" i="19"/>
  <c r="J541" i="19"/>
  <c r="I541" i="19"/>
  <c r="L540" i="19"/>
  <c r="J540" i="19"/>
  <c r="I540" i="19"/>
  <c r="L539" i="19"/>
  <c r="J539" i="19"/>
  <c r="I539" i="19"/>
  <c r="L538" i="19"/>
  <c r="J538" i="19"/>
  <c r="I538" i="19"/>
  <c r="L537" i="19"/>
  <c r="J537" i="19"/>
  <c r="I537" i="19"/>
  <c r="L536" i="19"/>
  <c r="J536" i="19"/>
  <c r="I536" i="19"/>
  <c r="L535" i="19"/>
  <c r="I535" i="19"/>
  <c r="J535" i="19"/>
  <c r="L534" i="19"/>
  <c r="J534" i="19"/>
  <c r="I534" i="19"/>
  <c r="L533" i="19"/>
  <c r="J533" i="19"/>
  <c r="I533" i="19"/>
  <c r="L532" i="19"/>
  <c r="J532" i="19"/>
  <c r="I532" i="19"/>
  <c r="L531" i="19"/>
  <c r="J531" i="19"/>
  <c r="I531" i="19"/>
  <c r="L530" i="19"/>
  <c r="J530" i="19"/>
  <c r="I530" i="19"/>
  <c r="J529" i="19"/>
  <c r="I529" i="19"/>
  <c r="L529" i="19"/>
  <c r="L528" i="19"/>
  <c r="J528" i="19"/>
  <c r="I528" i="19"/>
  <c r="L527" i="19"/>
  <c r="I527" i="19"/>
  <c r="J527" i="19"/>
  <c r="L526" i="19"/>
  <c r="J526" i="19"/>
  <c r="I526" i="19"/>
  <c r="L525" i="19"/>
  <c r="J525" i="19"/>
  <c r="I525" i="19"/>
  <c r="J524" i="19"/>
  <c r="I524" i="19"/>
  <c r="L524" i="19"/>
  <c r="L523" i="19"/>
  <c r="J523" i="19"/>
  <c r="I523" i="19"/>
  <c r="L522" i="19"/>
  <c r="J522" i="19"/>
  <c r="I522" i="19"/>
  <c r="L521" i="19"/>
  <c r="J521" i="19"/>
  <c r="I521" i="19"/>
  <c r="L520" i="19"/>
  <c r="J520" i="19"/>
  <c r="I520" i="19"/>
  <c r="L519" i="19"/>
  <c r="J519" i="19"/>
  <c r="I519" i="19"/>
  <c r="L518" i="19"/>
  <c r="J518" i="19"/>
  <c r="I518" i="19"/>
  <c r="L517" i="19"/>
  <c r="J517" i="19"/>
  <c r="I517" i="19"/>
  <c r="L516" i="19"/>
  <c r="J516" i="19"/>
  <c r="I516" i="19"/>
  <c r="L515" i="19"/>
  <c r="J515" i="19"/>
  <c r="I515" i="19"/>
  <c r="L514" i="19"/>
  <c r="J514" i="19"/>
  <c r="I514" i="19"/>
  <c r="L513" i="19"/>
  <c r="J513" i="19"/>
  <c r="I513" i="19"/>
  <c r="L512" i="19"/>
  <c r="J512" i="19"/>
  <c r="I512" i="19"/>
  <c r="L511" i="19"/>
  <c r="J511" i="19"/>
  <c r="I511" i="19"/>
  <c r="L510" i="19"/>
  <c r="J510" i="19"/>
  <c r="I510" i="19"/>
  <c r="L509" i="19"/>
  <c r="J509" i="19"/>
  <c r="I509" i="19"/>
  <c r="L508" i="19"/>
  <c r="J508" i="19"/>
  <c r="I508" i="19"/>
  <c r="L507" i="19"/>
  <c r="J507" i="19"/>
  <c r="I507" i="19"/>
  <c r="L506" i="19"/>
  <c r="J506" i="19"/>
  <c r="I506" i="19"/>
  <c r="L505" i="19"/>
  <c r="J505" i="19"/>
  <c r="I505" i="19"/>
  <c r="L504" i="19"/>
  <c r="J504" i="19"/>
  <c r="I504" i="19"/>
  <c r="L503" i="19"/>
  <c r="J503" i="19"/>
  <c r="I503" i="19"/>
  <c r="L502" i="19"/>
  <c r="J502" i="19"/>
  <c r="I502" i="19"/>
  <c r="L501" i="19"/>
  <c r="J501" i="19"/>
  <c r="I501" i="19"/>
  <c r="L500" i="19"/>
  <c r="J500" i="19"/>
  <c r="I500" i="19"/>
  <c r="L499" i="19"/>
  <c r="J499" i="19"/>
  <c r="I499" i="19"/>
  <c r="L498" i="19"/>
  <c r="J498" i="19"/>
  <c r="I498" i="19"/>
  <c r="L497" i="19"/>
  <c r="J497" i="19"/>
  <c r="I497" i="19"/>
  <c r="L496" i="19"/>
  <c r="J496" i="19"/>
  <c r="I496" i="19"/>
  <c r="L495" i="19"/>
  <c r="J495" i="19"/>
  <c r="I495" i="19"/>
  <c r="L494" i="19"/>
  <c r="J494" i="19"/>
  <c r="I494" i="19"/>
  <c r="L493" i="19"/>
  <c r="I493" i="19"/>
  <c r="J493" i="19"/>
  <c r="L492" i="19"/>
  <c r="J492" i="19"/>
  <c r="I492" i="19"/>
  <c r="J491" i="19"/>
  <c r="I491" i="19"/>
  <c r="L491" i="19"/>
  <c r="L490" i="19"/>
  <c r="J490" i="19"/>
  <c r="I490" i="19"/>
  <c r="J489" i="19"/>
  <c r="I489" i="19"/>
  <c r="L489" i="19"/>
  <c r="J488" i="19"/>
  <c r="I488" i="19"/>
  <c r="L488" i="19"/>
  <c r="L487" i="19"/>
  <c r="J487" i="19"/>
  <c r="I487" i="19"/>
  <c r="L486" i="19"/>
  <c r="J486" i="19"/>
  <c r="I486" i="19"/>
  <c r="L485" i="19"/>
  <c r="J485" i="19"/>
  <c r="I485" i="19"/>
  <c r="L484" i="19"/>
  <c r="J484" i="19"/>
  <c r="I484" i="19"/>
  <c r="I483" i="19"/>
  <c r="L483" i="19"/>
  <c r="J483" i="19"/>
  <c r="L482" i="19"/>
  <c r="J482" i="19"/>
  <c r="I482" i="19"/>
  <c r="L481" i="19"/>
  <c r="J481" i="19"/>
  <c r="I481" i="19"/>
  <c r="L480" i="19"/>
  <c r="J480" i="19"/>
  <c r="I480" i="19"/>
  <c r="J479" i="19"/>
  <c r="I479" i="19"/>
  <c r="L479" i="19"/>
  <c r="J478" i="19"/>
  <c r="I478" i="19"/>
  <c r="L478" i="19"/>
  <c r="I477" i="19"/>
  <c r="J477" i="19"/>
  <c r="L477" i="19"/>
  <c r="J476" i="19"/>
  <c r="I476" i="19"/>
  <c r="L476" i="19"/>
  <c r="J475" i="19"/>
  <c r="I475" i="19"/>
  <c r="L475" i="19"/>
  <c r="L474" i="19"/>
  <c r="J474" i="19"/>
  <c r="I474" i="19"/>
  <c r="J473" i="19"/>
  <c r="L473" i="19"/>
  <c r="I473" i="19"/>
  <c r="L472" i="19"/>
  <c r="J472" i="19"/>
  <c r="I472" i="19"/>
  <c r="L471" i="19"/>
  <c r="J471" i="19"/>
  <c r="I471" i="19"/>
  <c r="L470" i="19"/>
  <c r="J470" i="19"/>
  <c r="I470" i="19"/>
  <c r="J469" i="19"/>
  <c r="L469" i="19"/>
  <c r="I469" i="19"/>
  <c r="L468" i="19"/>
  <c r="J468" i="19"/>
  <c r="I468" i="19"/>
  <c r="L467" i="19"/>
  <c r="J467" i="19"/>
  <c r="I467" i="19"/>
  <c r="L466" i="19"/>
  <c r="J466" i="19"/>
  <c r="I466" i="19"/>
  <c r="I465" i="19"/>
  <c r="L465" i="19"/>
  <c r="J465" i="19"/>
  <c r="J464" i="19"/>
  <c r="I464" i="19"/>
  <c r="L464" i="19"/>
  <c r="L463" i="19"/>
  <c r="J463" i="19"/>
  <c r="I463" i="19"/>
  <c r="L462" i="19"/>
  <c r="J462" i="19"/>
  <c r="I462" i="19"/>
  <c r="I461" i="19"/>
  <c r="J461" i="19"/>
  <c r="L461" i="19"/>
  <c r="I460" i="19"/>
  <c r="J460" i="19"/>
  <c r="L460" i="19"/>
  <c r="I459" i="19"/>
  <c r="J459" i="19"/>
  <c r="L459" i="19"/>
  <c r="J458" i="19"/>
  <c r="L458" i="19"/>
  <c r="I458" i="19"/>
  <c r="I457" i="19"/>
  <c r="J457" i="19"/>
  <c r="L457" i="19"/>
  <c r="I456" i="19"/>
  <c r="J456" i="19"/>
  <c r="L456" i="19"/>
  <c r="I455" i="19"/>
  <c r="J455" i="19"/>
  <c r="L455" i="19"/>
  <c r="I454" i="19"/>
  <c r="J454" i="19"/>
  <c r="L454" i="19"/>
  <c r="I453" i="19"/>
  <c r="J453" i="19"/>
  <c r="L453" i="19"/>
  <c r="L452" i="19"/>
  <c r="I452" i="19"/>
  <c r="J452" i="19"/>
  <c r="L451" i="19"/>
  <c r="I451" i="19"/>
  <c r="J451" i="19"/>
  <c r="J450" i="19"/>
  <c r="I450" i="19"/>
  <c r="L450" i="19"/>
  <c r="L449" i="19"/>
  <c r="J449" i="19"/>
  <c r="I449" i="19"/>
  <c r="J448" i="19"/>
  <c r="I448" i="19"/>
  <c r="L448" i="19"/>
  <c r="L447" i="19"/>
  <c r="J447" i="19"/>
  <c r="I447" i="19"/>
  <c r="J446" i="19"/>
  <c r="I446" i="19"/>
  <c r="L446" i="19"/>
  <c r="J445" i="19"/>
  <c r="L445" i="19"/>
  <c r="I445" i="19"/>
  <c r="I444" i="19"/>
  <c r="J444" i="19"/>
  <c r="L444" i="19"/>
  <c r="I443" i="19"/>
  <c r="J443" i="19"/>
  <c r="L443" i="19"/>
  <c r="L442" i="19"/>
  <c r="J442" i="19"/>
  <c r="I442" i="19"/>
  <c r="L441" i="19"/>
  <c r="J441" i="19"/>
  <c r="I441" i="19"/>
  <c r="L440" i="19"/>
  <c r="J440" i="19"/>
  <c r="I440" i="19"/>
  <c r="L439" i="19"/>
  <c r="J439" i="19"/>
  <c r="I439" i="19"/>
  <c r="J438" i="19"/>
  <c r="L438" i="19"/>
  <c r="I438" i="19"/>
  <c r="I437" i="19"/>
  <c r="L437" i="19"/>
  <c r="J437" i="19"/>
  <c r="L436" i="19"/>
  <c r="J436" i="19"/>
  <c r="I436" i="19"/>
  <c r="L435" i="19"/>
  <c r="J435" i="19"/>
  <c r="I435" i="19"/>
  <c r="L434" i="19"/>
  <c r="J434" i="19"/>
  <c r="I434" i="19"/>
  <c r="L433" i="19"/>
  <c r="J433" i="19"/>
  <c r="I433" i="19"/>
  <c r="L432" i="19"/>
  <c r="J432" i="19"/>
  <c r="I432" i="19"/>
  <c r="J431" i="19"/>
  <c r="I431" i="19"/>
  <c r="L431" i="19"/>
  <c r="J430" i="19"/>
  <c r="I430" i="19"/>
  <c r="L430" i="19"/>
  <c r="L429" i="19"/>
  <c r="J429" i="19"/>
  <c r="I429" i="19"/>
  <c r="J428" i="19"/>
  <c r="I428" i="19"/>
  <c r="L428" i="19"/>
  <c r="L427" i="19"/>
  <c r="J427" i="19"/>
  <c r="I427" i="19"/>
  <c r="I426" i="19"/>
  <c r="L426" i="19"/>
  <c r="J426" i="19"/>
  <c r="L425" i="19"/>
  <c r="J425" i="19"/>
  <c r="I425" i="19"/>
  <c r="L424" i="19"/>
  <c r="I424" i="19"/>
  <c r="J424" i="19"/>
  <c r="L423" i="19"/>
  <c r="J423" i="19"/>
  <c r="I423" i="19"/>
  <c r="L422" i="19"/>
  <c r="I422" i="19"/>
  <c r="J422" i="19"/>
  <c r="I421" i="19"/>
  <c r="J421" i="19"/>
  <c r="L421" i="19"/>
  <c r="I420" i="19"/>
  <c r="J420" i="19"/>
  <c r="L420" i="19"/>
  <c r="L419" i="19"/>
  <c r="I419" i="19"/>
  <c r="J419" i="19"/>
  <c r="I418" i="19"/>
  <c r="L418" i="19"/>
  <c r="J418" i="19"/>
  <c r="I417" i="19"/>
  <c r="J417" i="19"/>
  <c r="L417" i="19"/>
  <c r="I416" i="19"/>
  <c r="J416" i="19"/>
  <c r="L416" i="19"/>
  <c r="L415" i="19"/>
  <c r="J415" i="19"/>
  <c r="I415" i="19"/>
  <c r="I414" i="19"/>
  <c r="L414" i="19"/>
  <c r="J414" i="19"/>
  <c r="I413" i="19"/>
  <c r="L413" i="19"/>
  <c r="J413" i="19"/>
  <c r="L412" i="19"/>
  <c r="I412" i="19"/>
  <c r="J412" i="19"/>
  <c r="L411" i="19"/>
  <c r="J411" i="19"/>
  <c r="I411" i="19"/>
  <c r="L410" i="19"/>
  <c r="J410" i="19"/>
  <c r="I410" i="19"/>
  <c r="I409" i="19"/>
  <c r="J409" i="19"/>
  <c r="L409" i="19"/>
  <c r="I408" i="19"/>
  <c r="J408" i="19"/>
  <c r="L408" i="19"/>
  <c r="L407" i="19"/>
  <c r="I407" i="19"/>
  <c r="J407" i="19"/>
  <c r="I406" i="19"/>
  <c r="J406" i="19"/>
  <c r="L406" i="19"/>
  <c r="J405" i="19"/>
  <c r="L405" i="19"/>
  <c r="I405" i="19"/>
  <c r="J404" i="19"/>
  <c r="I404" i="19"/>
  <c r="L404" i="19"/>
  <c r="I403" i="19"/>
  <c r="J403" i="19"/>
  <c r="L403" i="19"/>
  <c r="J402" i="19"/>
  <c r="L402" i="19"/>
  <c r="I402" i="19"/>
  <c r="L401" i="19"/>
  <c r="J401" i="19"/>
  <c r="I401" i="19"/>
  <c r="L400" i="19"/>
  <c r="J400" i="19"/>
  <c r="I400" i="19"/>
  <c r="L399" i="19"/>
  <c r="J399" i="19"/>
  <c r="I399" i="19"/>
  <c r="I398" i="19"/>
  <c r="J398" i="19"/>
  <c r="L398" i="19"/>
  <c r="L397" i="19"/>
  <c r="I397" i="19"/>
  <c r="J397" i="19"/>
  <c r="I396" i="19"/>
  <c r="L396" i="19"/>
  <c r="J396" i="19"/>
  <c r="I395" i="19"/>
  <c r="J395" i="19"/>
  <c r="L395" i="19"/>
  <c r="I394" i="19"/>
  <c r="J394" i="19"/>
  <c r="L394" i="19"/>
  <c r="I393" i="19"/>
  <c r="J393" i="19"/>
  <c r="L393" i="19"/>
  <c r="I392" i="19"/>
  <c r="J392" i="19"/>
  <c r="L392" i="19"/>
  <c r="I391" i="19"/>
  <c r="J391" i="19"/>
  <c r="L391" i="19"/>
  <c r="I390" i="19"/>
  <c r="J390" i="19"/>
  <c r="L390" i="19"/>
  <c r="J389" i="19"/>
  <c r="I389" i="19"/>
  <c r="L389" i="19"/>
  <c r="L388" i="19"/>
  <c r="J388" i="19"/>
  <c r="I388" i="19"/>
  <c r="L387" i="19"/>
  <c r="J387" i="19"/>
  <c r="I387" i="19"/>
  <c r="L386" i="19"/>
  <c r="J386" i="19"/>
  <c r="I386" i="19"/>
  <c r="L385" i="19"/>
  <c r="J385" i="19"/>
  <c r="I385" i="19"/>
  <c r="L384" i="19"/>
  <c r="J384" i="19"/>
  <c r="I384" i="19"/>
  <c r="L383" i="19"/>
  <c r="J383" i="19"/>
  <c r="I383" i="19"/>
  <c r="J382" i="19"/>
  <c r="I382" i="19"/>
  <c r="L382" i="19"/>
  <c r="L381" i="19"/>
  <c r="J381" i="19"/>
  <c r="I381" i="19"/>
  <c r="J380" i="19"/>
  <c r="I380" i="19"/>
  <c r="L380" i="19"/>
  <c r="L379" i="19"/>
  <c r="J379" i="19"/>
  <c r="I379" i="19"/>
  <c r="L378" i="19"/>
  <c r="J378" i="19"/>
  <c r="I378" i="19"/>
  <c r="L377" i="19"/>
  <c r="I377" i="19"/>
  <c r="J377" i="19"/>
  <c r="I376" i="19"/>
  <c r="L376" i="19"/>
  <c r="J376" i="19"/>
  <c r="L375" i="19"/>
  <c r="J375" i="19"/>
  <c r="I375" i="19"/>
  <c r="J374" i="19"/>
  <c r="I374" i="19"/>
  <c r="L374" i="19"/>
  <c r="I373" i="19"/>
  <c r="L373" i="19"/>
  <c r="J373" i="19"/>
  <c r="J372" i="19"/>
  <c r="I372" i="19"/>
  <c r="L372" i="19"/>
  <c r="L371" i="19"/>
  <c r="I371" i="19"/>
  <c r="J371" i="19"/>
  <c r="L370" i="19"/>
  <c r="J370" i="19"/>
  <c r="I370" i="19"/>
  <c r="L369" i="19"/>
  <c r="J369" i="19"/>
  <c r="I369" i="19"/>
  <c r="I368" i="19"/>
  <c r="L368" i="19"/>
  <c r="J368" i="19"/>
  <c r="I367" i="19"/>
  <c r="L367" i="19"/>
  <c r="J367" i="19"/>
  <c r="J366" i="19"/>
  <c r="L366" i="19"/>
  <c r="I366" i="19"/>
  <c r="I365" i="19"/>
  <c r="J365" i="19"/>
  <c r="L365" i="19"/>
  <c r="I364" i="19"/>
  <c r="J364" i="19"/>
  <c r="L364" i="19"/>
  <c r="L363" i="19"/>
  <c r="J363" i="19"/>
  <c r="I363" i="19"/>
  <c r="J362" i="19"/>
  <c r="L362" i="19"/>
  <c r="I362" i="19"/>
  <c r="I361" i="19"/>
  <c r="J361" i="19"/>
  <c r="L361" i="19"/>
  <c r="I360" i="19"/>
  <c r="J360" i="19"/>
  <c r="L360" i="19"/>
  <c r="I359" i="19"/>
  <c r="J359" i="19"/>
  <c r="L359" i="19"/>
  <c r="I358" i="19"/>
  <c r="J358" i="19"/>
  <c r="L358" i="19"/>
  <c r="I357" i="19"/>
  <c r="J357" i="19"/>
  <c r="L357" i="19"/>
  <c r="J356" i="19"/>
  <c r="L356" i="19"/>
  <c r="I356" i="19"/>
  <c r="L355" i="19"/>
  <c r="J355" i="19"/>
  <c r="I355" i="19"/>
  <c r="L354" i="19"/>
  <c r="J354" i="19"/>
  <c r="I354" i="19"/>
  <c r="J353" i="19"/>
  <c r="I353" i="19"/>
  <c r="L353" i="19"/>
  <c r="L352" i="19"/>
  <c r="J352" i="19"/>
  <c r="I352" i="19"/>
  <c r="I351" i="19"/>
  <c r="L351" i="19"/>
  <c r="J351" i="19"/>
  <c r="J350" i="19"/>
  <c r="I350" i="19"/>
  <c r="L350" i="19"/>
  <c r="I349" i="19"/>
  <c r="L349" i="19"/>
  <c r="J349" i="19"/>
  <c r="I348" i="19"/>
  <c r="J348" i="19"/>
  <c r="L348" i="19"/>
  <c r="L347" i="19"/>
  <c r="J347" i="19"/>
  <c r="I347" i="19"/>
  <c r="J346" i="19"/>
  <c r="I346" i="19"/>
  <c r="L346" i="19"/>
  <c r="L345" i="19"/>
  <c r="J345" i="19"/>
  <c r="I345" i="19"/>
  <c r="L344" i="19"/>
  <c r="J344" i="19"/>
  <c r="I344" i="19"/>
  <c r="L343" i="19"/>
  <c r="J343" i="19"/>
  <c r="I343" i="19"/>
  <c r="L342" i="19"/>
  <c r="J342" i="19"/>
  <c r="I342" i="19"/>
  <c r="I341" i="19"/>
  <c r="L341" i="19"/>
  <c r="J341" i="19"/>
  <c r="L340" i="19"/>
  <c r="J340" i="19"/>
  <c r="I340" i="19"/>
  <c r="L339" i="19"/>
  <c r="J339" i="19"/>
  <c r="I339" i="19"/>
  <c r="L338" i="19"/>
  <c r="J338" i="19"/>
  <c r="I338" i="19"/>
  <c r="I337" i="19"/>
  <c r="J337" i="19"/>
  <c r="L337" i="19"/>
  <c r="L336" i="19"/>
  <c r="J336" i="19"/>
  <c r="I336" i="19"/>
  <c r="L335" i="19"/>
  <c r="J335" i="19"/>
  <c r="I335" i="19"/>
  <c r="L334" i="19"/>
  <c r="J334" i="19"/>
  <c r="I334" i="19"/>
  <c r="I333" i="19"/>
  <c r="L333" i="19"/>
  <c r="J333" i="19"/>
  <c r="J332" i="19"/>
  <c r="I332" i="19"/>
  <c r="L332" i="19"/>
  <c r="I331" i="19"/>
  <c r="L331" i="19"/>
  <c r="J331" i="19"/>
  <c r="I330" i="19"/>
  <c r="J330" i="19"/>
  <c r="L330" i="19"/>
  <c r="J329" i="19"/>
  <c r="L329" i="19"/>
  <c r="I329" i="19"/>
  <c r="I328" i="19"/>
  <c r="J328" i="19"/>
  <c r="L328" i="19"/>
  <c r="I327" i="19"/>
  <c r="J327" i="19"/>
  <c r="L327" i="19"/>
  <c r="J326" i="19"/>
  <c r="I326" i="19"/>
  <c r="L326" i="19"/>
  <c r="J325" i="19"/>
  <c r="L325" i="19"/>
  <c r="I325" i="19"/>
  <c r="I324" i="19"/>
  <c r="J324" i="19"/>
  <c r="L324" i="19"/>
  <c r="L323" i="19"/>
  <c r="J323" i="19"/>
  <c r="I323" i="19"/>
  <c r="I322" i="19"/>
  <c r="L322" i="19"/>
  <c r="J322" i="19"/>
  <c r="I321" i="19"/>
  <c r="J321" i="19"/>
  <c r="L321" i="19"/>
  <c r="L320" i="19"/>
  <c r="I320" i="19"/>
  <c r="J320" i="19"/>
  <c r="L319" i="19"/>
  <c r="J319" i="19"/>
  <c r="I319" i="19"/>
  <c r="L318" i="19"/>
  <c r="J318" i="19"/>
  <c r="I318" i="19"/>
  <c r="L317" i="19"/>
  <c r="J317" i="19"/>
  <c r="I317" i="19"/>
  <c r="L316" i="19"/>
  <c r="J316" i="19"/>
  <c r="I316" i="19"/>
  <c r="L315" i="19"/>
  <c r="J315" i="19"/>
  <c r="I315" i="19"/>
  <c r="L314" i="19"/>
  <c r="J314" i="19"/>
  <c r="I314" i="19"/>
  <c r="L313" i="19"/>
  <c r="J313" i="19"/>
  <c r="I313" i="19"/>
  <c r="J312" i="19"/>
  <c r="I312" i="19"/>
  <c r="L312" i="19"/>
  <c r="I311" i="19"/>
  <c r="L311" i="19"/>
  <c r="J311" i="19"/>
  <c r="L310" i="19"/>
  <c r="J310" i="19"/>
  <c r="I310" i="19"/>
  <c r="L309" i="19"/>
  <c r="I309" i="19"/>
  <c r="J309" i="19"/>
  <c r="L308" i="19"/>
  <c r="I308" i="19"/>
  <c r="J308" i="19"/>
  <c r="I307" i="19"/>
  <c r="J307" i="19"/>
  <c r="L307" i="19"/>
  <c r="L306" i="19"/>
  <c r="J306" i="19"/>
  <c r="I306" i="19"/>
  <c r="L305" i="19"/>
  <c r="J305" i="19"/>
  <c r="I305" i="19"/>
  <c r="L304" i="19"/>
  <c r="J304" i="19"/>
  <c r="I304" i="19"/>
  <c r="L303" i="19"/>
  <c r="J303" i="19"/>
  <c r="I303" i="19"/>
  <c r="L302" i="19"/>
  <c r="J302" i="19"/>
  <c r="I302" i="19"/>
  <c r="L301" i="19"/>
  <c r="J301" i="19"/>
  <c r="I301" i="19"/>
  <c r="L300" i="19"/>
  <c r="I300" i="19"/>
  <c r="J300" i="19"/>
  <c r="I299" i="19"/>
  <c r="J299" i="19"/>
  <c r="L299" i="19"/>
  <c r="L298" i="19"/>
  <c r="I298" i="19"/>
  <c r="J298" i="19"/>
  <c r="J297" i="19"/>
  <c r="L297" i="19"/>
  <c r="I297" i="19"/>
  <c r="J296" i="19"/>
  <c r="L296" i="19"/>
  <c r="I296" i="19"/>
  <c r="I295" i="19"/>
  <c r="L295" i="19"/>
  <c r="J295" i="19"/>
  <c r="I294" i="19"/>
  <c r="J294" i="19"/>
  <c r="L294" i="19"/>
  <c r="J293" i="19"/>
  <c r="I293" i="19"/>
  <c r="L293" i="19"/>
  <c r="J292" i="19"/>
  <c r="L292" i="19"/>
  <c r="I292" i="19"/>
  <c r="I291" i="19"/>
  <c r="J291" i="19"/>
  <c r="L291" i="19"/>
  <c r="J290" i="19"/>
  <c r="L290" i="19"/>
  <c r="I290" i="19"/>
  <c r="J289" i="19"/>
  <c r="I289" i="19"/>
  <c r="L289" i="19"/>
  <c r="L288" i="19"/>
  <c r="J288" i="19"/>
  <c r="I288" i="19"/>
  <c r="J287" i="19"/>
  <c r="L287" i="19"/>
  <c r="I287" i="19"/>
  <c r="I286" i="19"/>
  <c r="J286" i="19"/>
  <c r="L286" i="19"/>
  <c r="L285" i="19"/>
  <c r="J285" i="19"/>
  <c r="I285" i="19"/>
  <c r="J284" i="19"/>
  <c r="L284" i="19"/>
  <c r="I284" i="19"/>
  <c r="L283" i="19"/>
  <c r="I283" i="19"/>
  <c r="J283" i="19"/>
  <c r="L282" i="19"/>
  <c r="J282" i="19"/>
  <c r="I282" i="19"/>
  <c r="J281" i="19"/>
  <c r="I281" i="19"/>
  <c r="L281" i="19"/>
  <c r="I280" i="19"/>
  <c r="L280" i="19"/>
  <c r="J280" i="19"/>
  <c r="L279" i="19"/>
  <c r="J279" i="19"/>
  <c r="I279" i="19"/>
  <c r="I278" i="19"/>
  <c r="L278" i="19"/>
  <c r="J278" i="19"/>
  <c r="L277" i="19"/>
  <c r="J277" i="19"/>
  <c r="I277" i="19"/>
  <c r="J276" i="19"/>
  <c r="I276" i="19"/>
  <c r="L276" i="19"/>
  <c r="J275" i="19"/>
  <c r="L275" i="19"/>
  <c r="I275" i="19"/>
  <c r="L274" i="19"/>
  <c r="J274" i="19"/>
  <c r="I274" i="19"/>
  <c r="I273" i="19"/>
  <c r="L273" i="19"/>
  <c r="J273" i="19"/>
  <c r="I272" i="19"/>
  <c r="J272" i="19"/>
  <c r="L272" i="19"/>
  <c r="L271" i="19"/>
  <c r="J271" i="19"/>
  <c r="I271" i="19"/>
  <c r="J270" i="19"/>
  <c r="I270" i="19"/>
  <c r="L270" i="19"/>
  <c r="L269" i="19"/>
  <c r="J269" i="19"/>
  <c r="I269" i="19"/>
  <c r="L268" i="19"/>
  <c r="I268" i="19"/>
  <c r="J268" i="19"/>
  <c r="L267" i="19"/>
  <c r="J267" i="19"/>
  <c r="I267" i="19"/>
  <c r="L266" i="19"/>
  <c r="J266" i="19"/>
  <c r="I266" i="19"/>
  <c r="L265" i="19"/>
  <c r="I265" i="19"/>
  <c r="J265" i="19"/>
  <c r="L264" i="19"/>
  <c r="J264" i="19"/>
  <c r="I264" i="19"/>
  <c r="L263" i="19"/>
  <c r="J263" i="19"/>
  <c r="I263" i="19"/>
  <c r="L262" i="19"/>
  <c r="J262" i="19"/>
  <c r="I262" i="19"/>
  <c r="L261" i="19"/>
  <c r="J261" i="19"/>
  <c r="I261" i="19"/>
  <c r="L260" i="19"/>
  <c r="J260" i="19"/>
  <c r="I260" i="19"/>
  <c r="I259" i="19"/>
  <c r="L259" i="19"/>
  <c r="J259" i="19"/>
  <c r="L258" i="19"/>
  <c r="J258" i="19"/>
  <c r="I258" i="19"/>
  <c r="J257" i="19"/>
  <c r="I257" i="19"/>
  <c r="L257" i="19"/>
  <c r="L256" i="19"/>
  <c r="J256" i="19"/>
  <c r="I256" i="19"/>
  <c r="L255" i="19"/>
  <c r="J255" i="19"/>
  <c r="I255" i="19"/>
  <c r="L254" i="19"/>
  <c r="I254" i="19"/>
  <c r="J254" i="19"/>
  <c r="L253" i="19"/>
  <c r="J253" i="19"/>
  <c r="I253" i="19"/>
  <c r="L252" i="19"/>
  <c r="J252" i="19"/>
  <c r="I252" i="19"/>
  <c r="I251" i="19"/>
  <c r="L251" i="19"/>
  <c r="J251" i="19"/>
  <c r="I250" i="19"/>
  <c r="L250" i="19"/>
  <c r="J250" i="19"/>
  <c r="L249" i="19"/>
  <c r="J249" i="19"/>
  <c r="I249" i="19"/>
  <c r="L248" i="19"/>
  <c r="I248" i="19"/>
  <c r="J248" i="19"/>
  <c r="J247" i="19"/>
  <c r="I247" i="19"/>
  <c r="L247" i="19"/>
  <c r="L246" i="19"/>
  <c r="J246" i="19"/>
  <c r="I246" i="19"/>
  <c r="L245" i="19"/>
  <c r="I245" i="19"/>
  <c r="J245" i="19"/>
  <c r="L244" i="19"/>
  <c r="J244" i="19"/>
  <c r="I244" i="19"/>
  <c r="J243" i="19"/>
  <c r="L243" i="19"/>
  <c r="I243" i="19"/>
  <c r="I242" i="19"/>
  <c r="J242" i="19"/>
  <c r="L242" i="19"/>
  <c r="L241" i="19"/>
  <c r="I241" i="19"/>
  <c r="J241" i="19"/>
  <c r="I240" i="19"/>
  <c r="L240" i="19"/>
  <c r="J240" i="19"/>
  <c r="J239" i="19"/>
  <c r="I239" i="19"/>
  <c r="L239" i="19"/>
  <c r="J238" i="19"/>
  <c r="L238" i="19"/>
  <c r="I238" i="19"/>
  <c r="J237" i="19"/>
  <c r="I237" i="19"/>
  <c r="L237" i="19"/>
  <c r="L236" i="19"/>
  <c r="I236" i="19"/>
  <c r="J236" i="19"/>
  <c r="I235" i="19"/>
  <c r="J235" i="19"/>
  <c r="L235" i="19"/>
  <c r="I234" i="19"/>
  <c r="J234" i="19"/>
  <c r="L234" i="19"/>
  <c r="I233" i="19"/>
  <c r="J233" i="19"/>
  <c r="L233" i="19"/>
  <c r="L232" i="19"/>
  <c r="I232" i="19"/>
  <c r="J232" i="19"/>
  <c r="I231" i="19"/>
  <c r="J231" i="19"/>
  <c r="L231" i="19"/>
  <c r="I230" i="19"/>
  <c r="J230" i="19"/>
  <c r="L230" i="19"/>
  <c r="L229" i="19"/>
  <c r="J229" i="19"/>
  <c r="I229" i="19"/>
  <c r="L228" i="19"/>
  <c r="I228" i="19"/>
  <c r="J228" i="19"/>
  <c r="L227" i="19"/>
  <c r="I227" i="19"/>
  <c r="J227" i="19"/>
  <c r="I226" i="19"/>
  <c r="J226" i="19"/>
  <c r="L226" i="19"/>
  <c r="L225" i="19"/>
  <c r="J225" i="19"/>
  <c r="I225" i="19"/>
  <c r="L224" i="19"/>
  <c r="J224" i="19"/>
  <c r="I224" i="19"/>
  <c r="I223" i="19"/>
  <c r="J223" i="19"/>
  <c r="L223" i="19"/>
  <c r="I222" i="19"/>
  <c r="J222" i="19"/>
  <c r="L222" i="19"/>
  <c r="I221" i="19"/>
  <c r="J221" i="19"/>
  <c r="L221" i="19"/>
  <c r="L220" i="19"/>
  <c r="J220" i="19"/>
  <c r="I220" i="19"/>
  <c r="I219" i="19"/>
  <c r="L219" i="19"/>
  <c r="J219" i="19"/>
  <c r="J218" i="19"/>
  <c r="L218" i="19"/>
  <c r="I218" i="19"/>
  <c r="I217" i="19"/>
  <c r="L217" i="19"/>
  <c r="J217" i="19"/>
  <c r="L216" i="19"/>
  <c r="J216" i="19"/>
  <c r="I216" i="19"/>
  <c r="I215" i="19"/>
  <c r="L215" i="19"/>
  <c r="J215" i="19"/>
  <c r="J214" i="19"/>
  <c r="I214" i="19"/>
  <c r="L214" i="19"/>
  <c r="L213" i="19"/>
  <c r="J213" i="19"/>
  <c r="I213" i="19"/>
  <c r="L212" i="19"/>
  <c r="I212" i="19"/>
  <c r="J212" i="19"/>
  <c r="L211" i="19"/>
  <c r="J211" i="19"/>
  <c r="I211" i="19"/>
  <c r="L210" i="19"/>
  <c r="I210" i="19"/>
  <c r="J210" i="19"/>
  <c r="I209" i="19"/>
  <c r="J209" i="19"/>
  <c r="L209" i="19"/>
  <c r="L208" i="19"/>
  <c r="I208" i="19"/>
  <c r="J208" i="19"/>
  <c r="L207" i="19"/>
  <c r="J207" i="19"/>
  <c r="I207" i="19"/>
  <c r="I206" i="19"/>
  <c r="L206" i="19"/>
  <c r="J206" i="19"/>
  <c r="I205" i="19"/>
  <c r="J205" i="19"/>
  <c r="L205" i="19"/>
  <c r="I204" i="19"/>
  <c r="J204" i="19"/>
  <c r="L204" i="19"/>
  <c r="I203" i="19"/>
  <c r="J203" i="19"/>
  <c r="L203" i="19"/>
  <c r="L202" i="19"/>
  <c r="I202" i="19"/>
  <c r="J202" i="19"/>
  <c r="I201" i="19"/>
  <c r="J201" i="19"/>
  <c r="L201" i="19"/>
  <c r="I200" i="19"/>
  <c r="L200" i="19"/>
  <c r="J200" i="19"/>
  <c r="L199" i="19"/>
  <c r="J199" i="19"/>
  <c r="I199" i="19"/>
  <c r="L198" i="19"/>
  <c r="J198" i="19"/>
  <c r="I198" i="19"/>
  <c r="J197" i="19"/>
  <c r="L197" i="19"/>
  <c r="I197" i="19"/>
  <c r="J196" i="19"/>
  <c r="L196" i="19"/>
  <c r="I196" i="19"/>
  <c r="I195" i="19"/>
  <c r="J195" i="19"/>
  <c r="L195" i="19"/>
  <c r="L194" i="19"/>
  <c r="J194" i="19"/>
  <c r="I194" i="19"/>
  <c r="L193" i="19"/>
  <c r="J193" i="19"/>
  <c r="I193" i="19"/>
  <c r="J192" i="19"/>
  <c r="I192" i="19"/>
  <c r="L192" i="19"/>
  <c r="L191" i="19"/>
  <c r="J191" i="19"/>
  <c r="I191" i="19"/>
  <c r="J190" i="19"/>
  <c r="I190" i="19"/>
  <c r="L190" i="19"/>
  <c r="L189" i="19"/>
  <c r="I189" i="19"/>
  <c r="J189" i="19"/>
  <c r="L188" i="19"/>
  <c r="J188" i="19"/>
  <c r="I188" i="19"/>
  <c r="I187" i="19"/>
  <c r="L187" i="19"/>
  <c r="J187" i="19"/>
  <c r="I186" i="19"/>
  <c r="L186" i="19"/>
  <c r="J186" i="19"/>
  <c r="J185" i="19"/>
  <c r="I185" i="19"/>
  <c r="L185" i="19"/>
  <c r="L184" i="19"/>
  <c r="J184" i="19"/>
  <c r="I184" i="19"/>
  <c r="L183" i="19"/>
  <c r="I183" i="19"/>
  <c r="J183" i="19"/>
  <c r="J182" i="19"/>
  <c r="L182" i="19"/>
  <c r="I182" i="19"/>
  <c r="L181" i="19"/>
  <c r="I181" i="19"/>
  <c r="J181" i="19"/>
  <c r="L180" i="19"/>
  <c r="I180" i="19"/>
  <c r="J180" i="19"/>
  <c r="L179" i="19"/>
  <c r="I179" i="19"/>
  <c r="J179" i="19"/>
  <c r="L178" i="19"/>
  <c r="I178" i="19"/>
  <c r="J178" i="19"/>
  <c r="I177" i="19"/>
  <c r="L177" i="19"/>
  <c r="J177" i="19"/>
  <c r="J176" i="19"/>
  <c r="I176" i="19"/>
  <c r="L176" i="19"/>
  <c r="I175" i="19"/>
  <c r="L175" i="19"/>
  <c r="J175" i="19"/>
  <c r="I174" i="19"/>
  <c r="J174" i="19"/>
  <c r="L174" i="19"/>
  <c r="J173" i="19"/>
  <c r="I173" i="19"/>
  <c r="L173" i="19"/>
  <c r="L172" i="19"/>
  <c r="I172" i="19"/>
  <c r="J172" i="19"/>
  <c r="J171" i="19"/>
  <c r="I171" i="19"/>
  <c r="L171" i="19"/>
  <c r="J170" i="19"/>
  <c r="I170" i="19"/>
  <c r="L170" i="19"/>
  <c r="I169" i="19"/>
  <c r="L169" i="19"/>
  <c r="J169" i="19"/>
  <c r="J168" i="19"/>
  <c r="L168" i="19"/>
  <c r="I168" i="19"/>
  <c r="J167" i="19"/>
  <c r="I167" i="19"/>
  <c r="L167" i="19"/>
  <c r="J166" i="19"/>
  <c r="I166" i="19"/>
  <c r="L166" i="19"/>
  <c r="I165" i="19"/>
  <c r="J165" i="19"/>
  <c r="L165" i="19"/>
  <c r="J164" i="19"/>
  <c r="I164" i="19"/>
  <c r="L164" i="19"/>
  <c r="L163" i="19"/>
  <c r="I163" i="19"/>
  <c r="J163" i="19"/>
  <c r="L162" i="19"/>
  <c r="I162" i="19"/>
  <c r="J162" i="19"/>
  <c r="L161" i="19"/>
  <c r="J161" i="19"/>
  <c r="I161" i="19"/>
  <c r="L160" i="19"/>
  <c r="I160" i="19"/>
  <c r="J160" i="19"/>
  <c r="L159" i="19"/>
  <c r="J159" i="19"/>
  <c r="I159" i="19"/>
  <c r="L158" i="19"/>
  <c r="I158" i="19"/>
  <c r="J158" i="19"/>
  <c r="L157" i="19"/>
  <c r="I157" i="19"/>
  <c r="J157" i="19"/>
  <c r="J156" i="19"/>
  <c r="L156" i="19"/>
  <c r="I156" i="19"/>
  <c r="J155" i="19"/>
  <c r="L155" i="19"/>
  <c r="I155" i="19"/>
  <c r="J154" i="19"/>
  <c r="L154" i="19"/>
  <c r="I154" i="19"/>
  <c r="J153" i="19"/>
  <c r="L153" i="19"/>
  <c r="I153" i="19"/>
  <c r="J152" i="19"/>
  <c r="I152" i="19"/>
  <c r="L152" i="19"/>
  <c r="I151" i="19"/>
  <c r="L151" i="19"/>
  <c r="J151" i="19"/>
  <c r="L150" i="19"/>
  <c r="I150" i="19"/>
  <c r="J150" i="19"/>
  <c r="J149" i="19"/>
  <c r="L149" i="19"/>
  <c r="I149" i="19"/>
  <c r="I148" i="19"/>
  <c r="L148" i="19"/>
  <c r="J147" i="19"/>
  <c r="I147" i="19"/>
  <c r="L147" i="19"/>
  <c r="I146" i="19"/>
  <c r="J146" i="19"/>
  <c r="L146" i="19"/>
  <c r="L145" i="19"/>
  <c r="I145" i="19"/>
  <c r="J145" i="19"/>
  <c r="J144" i="19"/>
  <c r="I144" i="19"/>
  <c r="L144" i="19"/>
  <c r="L143" i="19"/>
  <c r="J143" i="19"/>
  <c r="I143" i="19"/>
  <c r="L142" i="19"/>
  <c r="I142" i="19"/>
  <c r="J142" i="19"/>
  <c r="L141" i="19"/>
  <c r="J141" i="19"/>
  <c r="I141" i="19"/>
  <c r="L140" i="19"/>
  <c r="I140" i="19"/>
  <c r="J140" i="19"/>
  <c r="J139" i="19"/>
  <c r="I139" i="19"/>
  <c r="L139" i="19"/>
  <c r="J138" i="19"/>
  <c r="L138" i="19"/>
  <c r="I138" i="19"/>
  <c r="J137" i="19"/>
  <c r="I137" i="19"/>
  <c r="L137" i="19"/>
  <c r="J136" i="19"/>
  <c r="L136" i="19"/>
  <c r="I136" i="19"/>
  <c r="J135" i="19"/>
  <c r="I135" i="19"/>
  <c r="L135" i="19"/>
  <c r="I134" i="19"/>
  <c r="J134" i="19"/>
  <c r="L134" i="19"/>
  <c r="L133" i="19"/>
  <c r="I133" i="19"/>
  <c r="J133" i="19"/>
  <c r="J132" i="19"/>
  <c r="L132" i="19"/>
  <c r="I132" i="19"/>
  <c r="L131" i="19"/>
  <c r="J131" i="19"/>
  <c r="I131" i="19"/>
  <c r="L130" i="19"/>
  <c r="I130" i="19"/>
  <c r="J130" i="19"/>
  <c r="J129" i="19"/>
  <c r="L129" i="19"/>
  <c r="I129" i="19"/>
  <c r="L128" i="19"/>
  <c r="J128" i="19"/>
  <c r="I128" i="19"/>
  <c r="J127" i="19"/>
  <c r="L127" i="19"/>
  <c r="I127" i="19"/>
  <c r="J126" i="19"/>
  <c r="L126" i="19"/>
  <c r="I126" i="19"/>
  <c r="J125" i="19"/>
  <c r="L125" i="19"/>
  <c r="I125" i="19"/>
  <c r="J124" i="19"/>
  <c r="L124" i="19"/>
  <c r="I124" i="19"/>
  <c r="J123" i="19"/>
  <c r="L123" i="19"/>
  <c r="I123" i="19"/>
  <c r="J122" i="19"/>
  <c r="L122" i="19"/>
  <c r="I122" i="19"/>
  <c r="J121" i="19"/>
  <c r="L121" i="19"/>
  <c r="I121" i="19"/>
  <c r="I120" i="19"/>
  <c r="L120" i="19"/>
  <c r="J120" i="19"/>
  <c r="J119" i="19"/>
  <c r="I119" i="19"/>
  <c r="L119" i="19"/>
  <c r="L118" i="19"/>
  <c r="I118" i="19"/>
  <c r="J118" i="19"/>
  <c r="J117" i="19"/>
  <c r="L117" i="19"/>
  <c r="I117" i="19"/>
  <c r="L116" i="19"/>
  <c r="I116" i="19"/>
  <c r="J115" i="19"/>
  <c r="L115" i="19"/>
  <c r="I115" i="19"/>
  <c r="J114" i="19"/>
  <c r="L114" i="19"/>
  <c r="I114" i="19"/>
  <c r="J113" i="19"/>
  <c r="L113" i="19"/>
  <c r="I113" i="19"/>
  <c r="L112" i="19"/>
  <c r="I112" i="19"/>
  <c r="J112" i="19"/>
  <c r="J111" i="19"/>
  <c r="L111" i="19"/>
  <c r="I111" i="19"/>
  <c r="J110" i="19"/>
  <c r="L110" i="19"/>
  <c r="I110" i="19"/>
  <c r="J109" i="19"/>
  <c r="L109" i="19"/>
  <c r="I109" i="19"/>
  <c r="L108" i="19"/>
  <c r="I108" i="19"/>
  <c r="J108" i="19"/>
  <c r="J107" i="19"/>
  <c r="L107" i="19"/>
  <c r="I107" i="19"/>
  <c r="J106" i="19"/>
  <c r="L106" i="19"/>
  <c r="I106" i="19"/>
  <c r="I105" i="19"/>
  <c r="J105" i="19"/>
  <c r="L105" i="19"/>
  <c r="J104" i="19"/>
  <c r="I104" i="19"/>
  <c r="L104" i="19"/>
  <c r="L103" i="19"/>
  <c r="I103" i="19"/>
  <c r="J103" i="19"/>
  <c r="J102" i="19"/>
  <c r="L102" i="19"/>
  <c r="I102" i="19"/>
  <c r="I101" i="19"/>
  <c r="J101" i="19"/>
  <c r="L101" i="19"/>
  <c r="I100" i="19"/>
  <c r="J100" i="19"/>
  <c r="L100" i="19"/>
  <c r="J99" i="19"/>
  <c r="L99" i="19"/>
  <c r="I99" i="19"/>
  <c r="J98" i="19"/>
  <c r="L98" i="19"/>
  <c r="I97" i="19"/>
  <c r="J97" i="19"/>
  <c r="L97" i="19"/>
  <c r="J96" i="19"/>
  <c r="L96" i="19"/>
  <c r="I96" i="19"/>
  <c r="I95" i="19"/>
  <c r="L95" i="19"/>
  <c r="J95" i="19"/>
  <c r="J94" i="19"/>
  <c r="L94" i="19"/>
  <c r="I94" i="19"/>
  <c r="I93" i="19"/>
  <c r="L93" i="19"/>
  <c r="J93" i="19"/>
  <c r="L92" i="19"/>
  <c r="I92" i="19"/>
  <c r="J92" i="19"/>
  <c r="I91" i="19"/>
  <c r="L91" i="19"/>
  <c r="J91" i="19"/>
  <c r="J90" i="19"/>
  <c r="L90" i="19"/>
  <c r="I90" i="19"/>
  <c r="I89" i="19"/>
  <c r="J89" i="19"/>
  <c r="L89" i="19"/>
  <c r="L88" i="19"/>
  <c r="I88" i="19"/>
  <c r="J88" i="19"/>
  <c r="J87" i="19"/>
  <c r="I87" i="19"/>
  <c r="L87" i="19"/>
  <c r="L86" i="19"/>
  <c r="I86" i="19"/>
  <c r="J86" i="19"/>
  <c r="J85" i="19"/>
  <c r="I85" i="19"/>
  <c r="L85" i="19"/>
  <c r="L84" i="19"/>
  <c r="I84" i="19"/>
  <c r="J84" i="19"/>
  <c r="I83" i="19"/>
  <c r="J83" i="19"/>
  <c r="L83" i="19"/>
  <c r="L82" i="19"/>
  <c r="J82" i="19"/>
  <c r="I82" i="19"/>
  <c r="J81" i="19"/>
  <c r="L81" i="19"/>
  <c r="I81" i="19"/>
  <c r="J80" i="19"/>
  <c r="L80" i="19"/>
  <c r="I80" i="19"/>
  <c r="J79" i="19"/>
  <c r="I79" i="19"/>
  <c r="L79" i="19"/>
  <c r="J78" i="19"/>
  <c r="L78" i="19"/>
  <c r="I78" i="19"/>
  <c r="J77" i="19"/>
  <c r="L77" i="19"/>
  <c r="I77" i="19"/>
  <c r="I76" i="19"/>
  <c r="L76" i="19"/>
  <c r="J76" i="19"/>
  <c r="L75" i="19"/>
  <c r="J75" i="19"/>
  <c r="I75" i="19"/>
  <c r="I74" i="19"/>
  <c r="J74" i="19"/>
  <c r="L74" i="19"/>
  <c r="J73" i="19"/>
  <c r="L73" i="19"/>
  <c r="I73" i="19"/>
  <c r="I72" i="19"/>
  <c r="L72" i="19"/>
  <c r="J72" i="19"/>
  <c r="I71" i="19"/>
  <c r="J71" i="19"/>
  <c r="L71" i="19"/>
  <c r="J70" i="19"/>
  <c r="L70" i="19"/>
  <c r="I70" i="19"/>
  <c r="J69" i="19"/>
  <c r="L69" i="19"/>
  <c r="L68" i="19"/>
  <c r="I68" i="19"/>
  <c r="J68" i="19"/>
  <c r="J67" i="19"/>
  <c r="L67" i="19"/>
  <c r="I67" i="19"/>
  <c r="J66" i="19"/>
  <c r="L66" i="19"/>
  <c r="I66" i="19"/>
  <c r="L65" i="19"/>
  <c r="I65" i="19"/>
  <c r="J65" i="19"/>
  <c r="J64" i="19"/>
  <c r="L64" i="19"/>
  <c r="I64" i="19"/>
  <c r="J63" i="19"/>
  <c r="L63" i="19"/>
  <c r="I63" i="19"/>
  <c r="J62" i="19"/>
  <c r="L62" i="19"/>
  <c r="I62" i="19"/>
  <c r="I61" i="19"/>
  <c r="L61" i="19"/>
  <c r="J61" i="19"/>
  <c r="L60" i="19"/>
  <c r="I60" i="19"/>
  <c r="J60" i="19"/>
  <c r="L59" i="19"/>
  <c r="I59" i="19"/>
  <c r="J59" i="19"/>
  <c r="L58" i="19"/>
  <c r="I58" i="19"/>
  <c r="J58" i="19"/>
  <c r="I57" i="19"/>
  <c r="L57" i="19"/>
  <c r="J57" i="19"/>
  <c r="L56" i="19"/>
  <c r="I56" i="19"/>
  <c r="J56" i="19"/>
  <c r="J55" i="19"/>
  <c r="L55" i="19"/>
  <c r="I55" i="19"/>
  <c r="I54" i="19"/>
  <c r="L54" i="19"/>
  <c r="J54" i="19"/>
  <c r="L53" i="19"/>
  <c r="I53" i="19"/>
  <c r="J53" i="19"/>
  <c r="I52" i="19"/>
  <c r="L52" i="19"/>
  <c r="J52" i="19"/>
  <c r="I51" i="19"/>
  <c r="L51" i="19"/>
  <c r="J51" i="19"/>
  <c r="L50" i="19"/>
  <c r="I50" i="19"/>
  <c r="J50" i="19"/>
  <c r="L49" i="19"/>
  <c r="I49" i="19"/>
  <c r="J49" i="19"/>
  <c r="J48" i="19"/>
  <c r="L48" i="19"/>
  <c r="I48" i="19"/>
  <c r="I47" i="19"/>
  <c r="L47" i="19"/>
  <c r="J47" i="19"/>
  <c r="I46" i="19"/>
  <c r="J46" i="19"/>
  <c r="L46" i="19"/>
  <c r="L45" i="19"/>
  <c r="J45" i="19"/>
  <c r="I45" i="19"/>
  <c r="I44" i="19"/>
  <c r="J44" i="19"/>
  <c r="L44" i="19"/>
  <c r="L43" i="19"/>
  <c r="I43" i="19"/>
  <c r="J43" i="19"/>
  <c r="I42" i="19"/>
  <c r="J42" i="19"/>
  <c r="L42" i="19"/>
  <c r="L41" i="19"/>
  <c r="J41" i="19"/>
  <c r="I41" i="19"/>
  <c r="J40" i="19"/>
  <c r="L40" i="19"/>
  <c r="I40" i="19"/>
  <c r="L39" i="19"/>
  <c r="I39" i="19"/>
  <c r="J39" i="19"/>
  <c r="L38" i="19"/>
  <c r="J38" i="19"/>
  <c r="I38" i="19"/>
  <c r="L37" i="19"/>
  <c r="I37" i="19"/>
  <c r="J37" i="19"/>
  <c r="J36" i="19"/>
  <c r="L36" i="19"/>
  <c r="I36" i="19"/>
  <c r="L35" i="19"/>
  <c r="J35" i="19"/>
  <c r="I35" i="19"/>
  <c r="I34" i="19"/>
  <c r="L34" i="19"/>
  <c r="J34" i="19"/>
  <c r="L33" i="19"/>
  <c r="I33" i="19"/>
  <c r="J33" i="19"/>
  <c r="J32" i="19"/>
  <c r="L32" i="19"/>
  <c r="I32" i="19"/>
  <c r="AN37" i="15"/>
  <c r="E12" i="1"/>
  <c r="AN34" i="15"/>
  <c r="AN33" i="15"/>
  <c r="AN32" i="15"/>
  <c r="AN30" i="15"/>
  <c r="AN29" i="15"/>
  <c r="AN28" i="15"/>
  <c r="V6" i="8"/>
  <c r="X6" i="8" s="1"/>
  <c r="A12" i="4" a="1"/>
  <c r="A12" i="2" a="1"/>
  <c r="D15" i="2" s="1"/>
  <c r="G8" i="1"/>
  <c r="C12" i="1"/>
  <c r="C8" i="1" a="1"/>
  <c r="C8" i="1" s="1"/>
  <c r="Y303" i="9"/>
  <c r="AN10" i="14"/>
  <c r="AN9" i="14"/>
  <c r="AN8" i="14"/>
  <c r="AN27" i="15"/>
  <c r="AN26" i="15"/>
  <c r="AN24" i="15"/>
  <c r="AN25" i="15"/>
  <c r="AN23" i="15"/>
  <c r="AN22" i="15"/>
  <c r="AN21" i="15"/>
  <c r="AN19" i="15"/>
  <c r="Y296" i="9"/>
  <c r="AN18" i="15"/>
  <c r="Y204" i="9"/>
  <c r="AN17" i="15"/>
  <c r="AN16" i="15"/>
  <c r="AN15" i="15"/>
  <c r="AN14" i="15"/>
  <c r="AN13" i="15"/>
  <c r="AN12" i="15"/>
  <c r="AN11" i="15"/>
  <c r="A5" i="3"/>
  <c r="AN10" i="15"/>
  <c r="Y223" i="9"/>
  <c r="AN9" i="15"/>
  <c r="Y83" i="9"/>
  <c r="Y39" i="9"/>
  <c r="Y259" i="9"/>
  <c r="Y135" i="9"/>
  <c r="Y157" i="9"/>
  <c r="Y245" i="9"/>
  <c r="Y281" i="9"/>
  <c r="Y289" i="9"/>
  <c r="Y244" i="9"/>
  <c r="Y252" i="9"/>
  <c r="Y76" i="9"/>
  <c r="Y186" i="9"/>
  <c r="Y226" i="9"/>
  <c r="Y90" i="9"/>
  <c r="Y230" i="9"/>
  <c r="Y302" i="9"/>
  <c r="Y54" i="9"/>
  <c r="Y208" i="9"/>
  <c r="Y23" i="9"/>
  <c r="Y89" i="9"/>
  <c r="Y133" i="9"/>
  <c r="O5" i="5"/>
  <c r="J7" i="4" s="1"/>
  <c r="M5" i="5"/>
  <c r="I7" i="4" s="1"/>
  <c r="K5" i="5"/>
  <c r="G7" i="2" s="1"/>
  <c r="I5" i="5"/>
  <c r="E7" i="4" s="1"/>
  <c r="F5" i="5"/>
  <c r="C7" i="4" s="1"/>
  <c r="C5" i="5"/>
  <c r="B7" i="4" s="1"/>
  <c r="A5" i="5"/>
  <c r="Y267" i="9"/>
  <c r="Y47" i="9"/>
  <c r="Y274" i="9"/>
  <c r="Y10" i="9"/>
  <c r="Y212" i="9"/>
  <c r="Y29" i="9"/>
  <c r="Y88" i="9"/>
  <c r="Y110" i="9"/>
  <c r="Y264" i="9"/>
  <c r="Y132" i="9"/>
  <c r="Y74" i="9"/>
  <c r="Y278" i="9"/>
  <c r="Y36" i="9"/>
  <c r="Y154" i="9"/>
  <c r="A12" i="1"/>
  <c r="Y46" i="9"/>
  <c r="Y178" i="9"/>
  <c r="Y68" i="9"/>
  <c r="Y141" i="9"/>
  <c r="Y200" i="9"/>
  <c r="Y125" i="9"/>
  <c r="Y162" i="9"/>
  <c r="Y184" i="9"/>
  <c r="Y229" i="9"/>
  <c r="Y134" i="9"/>
  <c r="Y24" i="9"/>
  <c r="Y118" i="9"/>
  <c r="Y81" i="9"/>
  <c r="Y61" i="9"/>
  <c r="Y96" i="9"/>
  <c r="Y190" i="9"/>
  <c r="Y235" i="9"/>
  <c r="Y173" i="9"/>
  <c r="Y285" i="9"/>
  <c r="Y21" i="9"/>
  <c r="Y43" i="9"/>
  <c r="Y79" i="9"/>
  <c r="Y13" i="9"/>
  <c r="Y101" i="9"/>
  <c r="Y87" i="9"/>
  <c r="Y217" i="9"/>
  <c r="E8" i="1"/>
  <c r="Y95" i="9"/>
  <c r="Y299" i="9"/>
  <c r="Y82" i="9"/>
  <c r="Y170" i="9"/>
  <c r="Y49" i="9"/>
  <c r="Y139" i="9"/>
  <c r="Y249" i="9"/>
  <c r="Y277" i="9"/>
  <c r="A8" i="1"/>
  <c r="Y145" i="9"/>
  <c r="Y280" i="9"/>
  <c r="Y8" i="9"/>
  <c r="Y18" i="9"/>
  <c r="Y172" i="9"/>
  <c r="Y40" i="9"/>
  <c r="Y254" i="9"/>
  <c r="Y262" i="9"/>
  <c r="Y77" i="9"/>
  <c r="Y128" i="9"/>
  <c r="Y11" i="9"/>
  <c r="Y158" i="9"/>
  <c r="AN188" i="15"/>
  <c r="Y63" i="9"/>
  <c r="Y238" i="9"/>
  <c r="Y129" i="9"/>
  <c r="Y143" i="9"/>
  <c r="Y194" i="9"/>
  <c r="Y33" i="9"/>
  <c r="Y114" i="9"/>
  <c r="Y165" i="9"/>
  <c r="Y70" i="9"/>
  <c r="Y55" i="9"/>
  <c r="Y121" i="9"/>
  <c r="Y136" i="9"/>
  <c r="Y209" i="9"/>
  <c r="Y26" i="9"/>
  <c r="Y93" i="9"/>
  <c r="Y124" i="9"/>
  <c r="Y185" i="9"/>
  <c r="Y94" i="9"/>
  <c r="Y38" i="9"/>
  <c r="Y211" i="9"/>
  <c r="Y97" i="9"/>
  <c r="Y115" i="9"/>
  <c r="Y214" i="9"/>
  <c r="Y276" i="9"/>
  <c r="Y72" i="9"/>
  <c r="Y116" i="9"/>
  <c r="Y220" i="9"/>
  <c r="Y27" i="9"/>
  <c r="Y221" i="9"/>
  <c r="Y14" i="9"/>
  <c r="Y60" i="9"/>
  <c r="Y75" i="9"/>
  <c r="Y148" i="9"/>
  <c r="Y287" i="9"/>
  <c r="Y181" i="9"/>
  <c r="Y197" i="9"/>
  <c r="Y232" i="9"/>
  <c r="Y293" i="9"/>
  <c r="Y31" i="9"/>
  <c r="Y294" i="9"/>
  <c r="Y122" i="9"/>
  <c r="Y198" i="9"/>
  <c r="Y152" i="9"/>
  <c r="Y168" i="9"/>
  <c r="Y240" i="9"/>
  <c r="Y108" i="9"/>
  <c r="Y195" i="9"/>
  <c r="Y12" i="9"/>
  <c r="Y56" i="9"/>
  <c r="Y231" i="9"/>
  <c r="Y57" i="9"/>
  <c r="Y171" i="9"/>
  <c r="Y86" i="9"/>
  <c r="Y59" i="9"/>
  <c r="Y295" i="9"/>
  <c r="Y17" i="9"/>
  <c r="Y100" i="9"/>
  <c r="Y144" i="9"/>
  <c r="Y174" i="9"/>
  <c r="Y207" i="9"/>
  <c r="Y251" i="9"/>
  <c r="Y300" i="9"/>
  <c r="Y20" i="9"/>
  <c r="Y103" i="9"/>
  <c r="Y210" i="9"/>
  <c r="Y258" i="9"/>
  <c r="Y164" i="9"/>
  <c r="Y193" i="9"/>
  <c r="Y64" i="9"/>
  <c r="Y22" i="9"/>
  <c r="Y102" i="9"/>
  <c r="Y131" i="9"/>
  <c r="Y239" i="9"/>
  <c r="AN247" i="15"/>
  <c r="AN254" i="15"/>
  <c r="Y203" i="9"/>
  <c r="Y53" i="9"/>
  <c r="Y67" i="9"/>
  <c r="Y80" i="9"/>
  <c r="Y297" i="9"/>
  <c r="Y109" i="9"/>
  <c r="Y167" i="9"/>
  <c r="Y218" i="9"/>
  <c r="Y44" i="9"/>
  <c r="Y138" i="9"/>
  <c r="Y28" i="9"/>
  <c r="Y213" i="9"/>
  <c r="Y248" i="9"/>
  <c r="AN7" i="15"/>
  <c r="Y41" i="9"/>
  <c r="Y142" i="9"/>
  <c r="Y155" i="9"/>
  <c r="AN35" i="15"/>
  <c r="AN234" i="15"/>
  <c r="AN276" i="15"/>
  <c r="Y42" i="9"/>
  <c r="Y219" i="9"/>
  <c r="AN207" i="15"/>
  <c r="Y255" i="9"/>
  <c r="Y69" i="9"/>
  <c r="Y199" i="9"/>
  <c r="Y227" i="9"/>
  <c r="Y261" i="9"/>
  <c r="Y123" i="9"/>
  <c r="Y263" i="9"/>
  <c r="G43" i="11" a="1"/>
  <c r="G43" i="11" s="1"/>
  <c r="Y84" i="9"/>
  <c r="Y149" i="9"/>
  <c r="Y265" i="9"/>
  <c r="AN273" i="15"/>
  <c r="Y73" i="9"/>
  <c r="Y37" i="9"/>
  <c r="Y191" i="9"/>
  <c r="Y268" i="9"/>
  <c r="Y151" i="9"/>
  <c r="Y271" i="9"/>
  <c r="Y50" i="9"/>
  <c r="Y62" i="9"/>
  <c r="Y99" i="9"/>
  <c r="Y126" i="9"/>
  <c r="Y179" i="9"/>
  <c r="Y51" i="9"/>
  <c r="Y180" i="9"/>
  <c r="Y236" i="9"/>
  <c r="E60" i="10" a="1"/>
  <c r="E60" i="10" s="1"/>
  <c r="L40" i="11" a="1"/>
  <c r="L40" i="11" s="1"/>
  <c r="Y182" i="9"/>
  <c r="Y270" i="9"/>
  <c r="Y243" i="9"/>
  <c r="AN31" i="15"/>
  <c r="AN189" i="15"/>
  <c r="Y147" i="9"/>
  <c r="Y160" i="9"/>
  <c r="Y216" i="9"/>
  <c r="AN258" i="15"/>
  <c r="Y161" i="9"/>
  <c r="B28" i="10" a="1"/>
  <c r="B28" i="10" s="1"/>
  <c r="Y112" i="9"/>
  <c r="Y16" i="9"/>
  <c r="Y175" i="9"/>
  <c r="G30" i="10" a="1"/>
  <c r="G30" i="10" s="1"/>
  <c r="Y66" i="9"/>
  <c r="Y224" i="9"/>
  <c r="J20" i="11" a="1"/>
  <c r="J20" i="11" s="1"/>
  <c r="Y127" i="9"/>
  <c r="Y177" i="9"/>
  <c r="Y201" i="9"/>
  <c r="Y225" i="9"/>
  <c r="Y283" i="9"/>
  <c r="I58" i="10" a="1"/>
  <c r="I58" i="10" s="1"/>
  <c r="Y284" i="9"/>
  <c r="Y92" i="9"/>
  <c r="Y105" i="9"/>
  <c r="Y290" i="9"/>
  <c r="Y291" i="9"/>
  <c r="Y106" i="9"/>
  <c r="Y119" i="9"/>
  <c r="Y71" i="9"/>
  <c r="Y104" i="9"/>
  <c r="Y183" i="9"/>
  <c r="Y273" i="9"/>
  <c r="K32" i="10" a="1"/>
  <c r="K32" i="10" s="1"/>
  <c r="A18" i="11" a="1"/>
  <c r="A18" i="11" s="1"/>
  <c r="A19" i="11" s="1"/>
  <c r="E34" i="10" a="1"/>
  <c r="E34" i="10" s="1"/>
  <c r="C19" i="11" a="1"/>
  <c r="C19" i="11" s="1"/>
  <c r="D35" i="10" a="1"/>
  <c r="D35" i="10" s="1"/>
  <c r="Y298" i="9"/>
  <c r="I36" i="10" a="1"/>
  <c r="I36" i="10" s="1"/>
  <c r="E29" i="11" a="1"/>
  <c r="E29" i="11" s="1"/>
  <c r="Y140" i="9"/>
  <c r="Y196" i="9"/>
  <c r="B42" i="10" a="1"/>
  <c r="B42" i="10" s="1"/>
  <c r="E31" i="11" a="1"/>
  <c r="E31" i="11" s="1"/>
  <c r="AN20" i="15"/>
  <c r="AN46" i="15"/>
  <c r="AN157" i="15"/>
  <c r="AN177" i="15"/>
  <c r="AN229" i="15"/>
  <c r="AN267" i="15"/>
  <c r="Y234" i="9"/>
  <c r="Y256" i="9"/>
  <c r="F38" i="11" a="1"/>
  <c r="F38" i="11" s="1"/>
  <c r="AN53" i="15"/>
  <c r="AN79" i="15"/>
  <c r="AN190" i="15"/>
  <c r="AN280" i="15"/>
  <c r="Y85" i="9"/>
  <c r="Y107" i="9"/>
  <c r="Y301" i="9"/>
  <c r="B43" i="10" a="1"/>
  <c r="B43" i="10" s="1"/>
  <c r="AN112" i="15"/>
  <c r="AN223" i="15"/>
  <c r="AN287" i="15"/>
  <c r="Y153" i="9"/>
  <c r="C47" i="10" a="1"/>
  <c r="C47" i="10" s="1"/>
  <c r="Y9" i="9"/>
  <c r="Y215" i="9"/>
  <c r="Y237" i="9"/>
  <c r="I48" i="10" a="1"/>
  <c r="I48" i="10" s="1"/>
  <c r="E43" i="11" a="1"/>
  <c r="E43" i="11" s="1"/>
  <c r="AN243" i="15"/>
  <c r="Y120" i="9"/>
  <c r="Y260" i="9"/>
  <c r="Y282" i="9"/>
  <c r="H6" i="10" a="1"/>
  <c r="H6" i="10" s="1"/>
  <c r="C50" i="10" a="1"/>
  <c r="C50" i="10" s="1"/>
  <c r="I63" i="11" a="1"/>
  <c r="I63" i="11" s="1"/>
  <c r="Y32" i="9"/>
  <c r="Y65" i="9"/>
  <c r="Y98" i="9"/>
  <c r="Y166" i="9"/>
  <c r="A8" i="10" a="1"/>
  <c r="A8" i="10" s="1"/>
  <c r="A9" i="10" s="1"/>
  <c r="L56" i="10" a="1"/>
  <c r="L56" i="10" s="1"/>
  <c r="B59" i="11" a="1"/>
  <c r="B59" i="11" s="1"/>
  <c r="L8" i="10" a="1"/>
  <c r="L8" i="10" s="1"/>
  <c r="Y241" i="9"/>
  <c r="D14" i="10" a="1"/>
  <c r="D14" i="10" s="1"/>
  <c r="C15" i="10" a="1"/>
  <c r="C15" i="10" s="1"/>
  <c r="A62" i="10" a="1"/>
  <c r="A62" i="10" s="1"/>
  <c r="A63" i="10" s="1"/>
  <c r="B18" i="10" a="1"/>
  <c r="B18" i="10" s="1"/>
  <c r="B63" i="10" a="1"/>
  <c r="B63" i="10" s="1"/>
  <c r="AN251" i="15"/>
  <c r="AN289" i="15"/>
  <c r="F20" i="10" a="1"/>
  <c r="F20" i="10" s="1"/>
  <c r="I64" i="10" a="1"/>
  <c r="I64" i="10" s="1"/>
  <c r="AN36" i="15"/>
  <c r="Y146" i="9"/>
  <c r="Y169" i="9"/>
  <c r="Y202" i="9"/>
  <c r="K64" i="10" a="1"/>
  <c r="K64" i="10" s="1"/>
  <c r="F21" i="10" a="1"/>
  <c r="F21" i="10" s="1"/>
  <c r="F6" i="11" a="1"/>
  <c r="F6" i="11" s="1"/>
  <c r="J12" i="10" a="1"/>
  <c r="J12" i="10" s="1"/>
  <c r="J23" i="11" a="1"/>
  <c r="J23" i="11" s="1"/>
  <c r="Y25" i="9"/>
  <c r="Y58" i="9"/>
  <c r="Y91" i="9"/>
  <c r="Y113" i="9"/>
  <c r="Y192" i="9"/>
  <c r="Y247" i="9"/>
  <c r="Y269" i="9"/>
  <c r="I12" i="11" a="1"/>
  <c r="I12" i="11" s="1"/>
  <c r="J52" i="10" a="1"/>
  <c r="J52" i="10" s="1"/>
  <c r="Y159" i="9"/>
  <c r="Y292" i="9"/>
  <c r="Y15" i="9"/>
  <c r="Y48" i="9"/>
  <c r="Y137" i="9"/>
  <c r="Y205" i="9"/>
  <c r="B29" i="10" a="1"/>
  <c r="B29" i="10" s="1"/>
  <c r="A14" i="11" a="1"/>
  <c r="A14" i="11" s="1"/>
  <c r="A15" i="11" s="1"/>
  <c r="J17" i="11" a="1"/>
  <c r="J17" i="11" s="1"/>
  <c r="AN118" i="15"/>
  <c r="Y117" i="9"/>
  <c r="AN131" i="15"/>
  <c r="Y130" i="9"/>
  <c r="AN151" i="15"/>
  <c r="Y150" i="9"/>
  <c r="AN164" i="15"/>
  <c r="Y163" i="9"/>
  <c r="H16" i="10" a="1"/>
  <c r="H16" i="10" s="1"/>
  <c r="G44" i="10" a="1"/>
  <c r="G44" i="10" s="1"/>
  <c r="B15" i="11" a="1"/>
  <c r="B15" i="11" s="1"/>
  <c r="I33" i="11" a="1"/>
  <c r="I33" i="11" s="1"/>
  <c r="F31" i="10" a="1"/>
  <c r="F31" i="10" s="1"/>
  <c r="A46" i="10" a="1"/>
  <c r="A46" i="10" s="1"/>
  <c r="A47" i="10" s="1"/>
  <c r="B36" i="11" a="1"/>
  <c r="B36" i="11" s="1"/>
  <c r="H16" i="11" a="1"/>
  <c r="H16" i="11" s="1"/>
  <c r="L64" i="11" a="1"/>
  <c r="L64" i="11" s="1"/>
  <c r="A6" i="12" a="1"/>
  <c r="A6" i="12" s="1"/>
  <c r="A7" i="12" s="1"/>
  <c r="A8" i="12" a="1"/>
  <c r="A8" i="12" s="1"/>
  <c r="A9" i="12" s="1"/>
  <c r="K22" i="10" a="1"/>
  <c r="K22" i="10" s="1"/>
  <c r="D51" i="10" a="1"/>
  <c r="D51" i="10" s="1"/>
  <c r="D22" i="11" a="1"/>
  <c r="D22" i="11" s="1"/>
  <c r="C46" i="11" a="1"/>
  <c r="C46" i="11" s="1"/>
  <c r="D24" i="10" a="1"/>
  <c r="D24" i="10" s="1"/>
  <c r="K8" i="11" a="1"/>
  <c r="K8" i="11" s="1"/>
  <c r="H48" i="11" a="1"/>
  <c r="H48" i="11" s="1"/>
  <c r="F10" i="10" a="1"/>
  <c r="F10" i="10" s="1"/>
  <c r="C38" i="10" a="1"/>
  <c r="C38" i="10" s="1"/>
  <c r="E63" i="11" a="1"/>
  <c r="E63" i="11" s="1"/>
  <c r="E60" i="11" a="1"/>
  <c r="E60" i="11" s="1"/>
  <c r="C47" i="11" a="1"/>
  <c r="C47" i="11" s="1"/>
  <c r="B42" i="11" a="1"/>
  <c r="B42" i="11" s="1"/>
  <c r="C39" i="11" a="1"/>
  <c r="C39" i="11" s="1"/>
  <c r="F32" i="11" a="1"/>
  <c r="F32" i="11" s="1"/>
  <c r="C28" i="11" a="1"/>
  <c r="C28" i="11" s="1"/>
  <c r="D26" i="11" a="1"/>
  <c r="D26" i="11" s="1"/>
  <c r="K22" i="11" a="1"/>
  <c r="K22" i="11" s="1"/>
  <c r="D21" i="11" a="1"/>
  <c r="D21" i="11" s="1"/>
  <c r="J19" i="11" a="1"/>
  <c r="J19" i="11" s="1"/>
  <c r="E18" i="11" a="1"/>
  <c r="E18" i="11" s="1"/>
  <c r="B13" i="11" a="1"/>
  <c r="B13" i="11" s="1"/>
  <c r="K6" i="11" a="1"/>
  <c r="K6" i="11" s="1"/>
  <c r="E11" i="10" a="1"/>
  <c r="E11" i="10" s="1"/>
  <c r="B39" i="10" a="1"/>
  <c r="B39" i="10" s="1"/>
  <c r="D54" i="10" a="1"/>
  <c r="D54" i="10" s="1"/>
  <c r="E25" i="11" a="1"/>
  <c r="E25" i="11" s="1"/>
  <c r="F62" i="10" a="1"/>
  <c r="F62" i="10" s="1"/>
  <c r="H58" i="10" a="1"/>
  <c r="H58" i="10" s="1"/>
  <c r="C57" i="10" a="1"/>
  <c r="C57" i="10" s="1"/>
  <c r="J54" i="10" a="1"/>
  <c r="J54" i="10" s="1"/>
  <c r="E53" i="10" a="1"/>
  <c r="E53" i="10" s="1"/>
  <c r="L50" i="10" a="1"/>
  <c r="L50" i="10" s="1"/>
  <c r="A50" i="10" a="1"/>
  <c r="A50" i="10" s="1"/>
  <c r="A51" i="10" s="1"/>
  <c r="C46" i="10" a="1"/>
  <c r="C46" i="10" s="1"/>
  <c r="J64" i="10" a="1"/>
  <c r="J64" i="10" s="1"/>
  <c r="E63" i="10" a="1"/>
  <c r="E63" i="10" s="1"/>
  <c r="L60" i="10" a="1"/>
  <c r="L60" i="10" s="1"/>
  <c r="A60" i="10" a="1"/>
  <c r="A60" i="10" s="1"/>
  <c r="A61" i="10" s="1"/>
  <c r="C56" i="10" a="1"/>
  <c r="C56" i="10" s="1"/>
  <c r="E52" i="10" a="1"/>
  <c r="E52" i="10" s="1"/>
  <c r="G48" i="10" a="1"/>
  <c r="G48" i="10" s="1"/>
  <c r="B47" i="10" a="1"/>
  <c r="B47" i="10" s="1"/>
  <c r="I44" i="10" a="1"/>
  <c r="I44" i="10" s="1"/>
  <c r="D43" i="10" a="1"/>
  <c r="D43" i="10" s="1"/>
  <c r="K40" i="10" a="1"/>
  <c r="K40" i="10" s="1"/>
  <c r="F39" i="10" a="1"/>
  <c r="F39" i="10" s="1"/>
  <c r="E62" i="10" a="1"/>
  <c r="E62" i="10" s="1"/>
  <c r="G58" i="10" a="1"/>
  <c r="G58" i="10" s="1"/>
  <c r="B57" i="10" a="1"/>
  <c r="B57" i="10" s="1"/>
  <c r="I54" i="10" a="1"/>
  <c r="I54" i="10" s="1"/>
  <c r="D64" i="10" a="1"/>
  <c r="D64" i="10" s="1"/>
  <c r="F60" i="10" a="1"/>
  <c r="F60" i="10" s="1"/>
  <c r="H56" i="10" a="1"/>
  <c r="H56" i="10" s="1"/>
  <c r="H64" i="10" a="1"/>
  <c r="H64" i="10" s="1"/>
  <c r="E61" i="10" a="1"/>
  <c r="E61" i="10" s="1"/>
  <c r="K56" i="10" a="1"/>
  <c r="K56" i="10" s="1"/>
  <c r="D55" i="10" a="1"/>
  <c r="D55" i="10" s="1"/>
  <c r="C54" i="10" a="1"/>
  <c r="C54" i="10" s="1"/>
  <c r="B50" i="10" a="1"/>
  <c r="B50" i="10" s="1"/>
  <c r="L46" i="10" a="1"/>
  <c r="L46" i="10" s="1"/>
  <c r="F45" i="10" a="1"/>
  <c r="F45" i="10" s="1"/>
  <c r="F44" i="10" a="1"/>
  <c r="F44" i="10" s="1"/>
  <c r="L42" i="10" a="1"/>
  <c r="L42" i="10" s="1"/>
  <c r="H36" i="10" a="1"/>
  <c r="H36" i="10" s="1"/>
  <c r="C35" i="10" a="1"/>
  <c r="C35" i="10" s="1"/>
  <c r="J32" i="10" a="1"/>
  <c r="J32" i="10" s="1"/>
  <c r="E31" i="10" a="1"/>
  <c r="E31" i="10" s="1"/>
  <c r="L28" i="10" a="1"/>
  <c r="L28" i="10" s="1"/>
  <c r="A28" i="10" a="1"/>
  <c r="A28" i="10" s="1"/>
  <c r="A29" i="10" s="1"/>
  <c r="C24" i="10" a="1"/>
  <c r="C24" i="10" s="1"/>
  <c r="E20" i="10" a="1"/>
  <c r="E20" i="10" s="1"/>
  <c r="G16" i="10" a="1"/>
  <c r="G16" i="10" s="1"/>
  <c r="B15" i="10" a="1"/>
  <c r="B15" i="10" s="1"/>
  <c r="I12" i="10" a="1"/>
  <c r="I12" i="10" s="1"/>
  <c r="D11" i="10" a="1"/>
  <c r="D11" i="10" s="1"/>
  <c r="K8" i="10" a="1"/>
  <c r="K8" i="10" s="1"/>
  <c r="F7" i="10" a="1"/>
  <c r="F7" i="10" s="1"/>
  <c r="L62" i="10" a="1"/>
  <c r="L62" i="10" s="1"/>
  <c r="C60" i="10" a="1"/>
  <c r="C60" i="10" s="1"/>
  <c r="F58" i="10" a="1"/>
  <c r="F58" i="10" s="1"/>
  <c r="H52" i="10" a="1"/>
  <c r="H52" i="10" s="1"/>
  <c r="B51" i="10" a="1"/>
  <c r="B51" i="10" s="1"/>
  <c r="F48" i="10" a="1"/>
  <c r="F48" i="10" s="1"/>
  <c r="F41" i="10" a="1"/>
  <c r="F41" i="10" s="1"/>
  <c r="F40" i="10" a="1"/>
  <c r="F40" i="10" s="1"/>
  <c r="L38" i="10" a="1"/>
  <c r="L38" i="10" s="1"/>
  <c r="A38" i="10" a="1"/>
  <c r="A38" i="10" s="1"/>
  <c r="A39" i="10" s="1"/>
  <c r="C34" i="10" a="1"/>
  <c r="C34" i="10" s="1"/>
  <c r="E30" i="10" a="1"/>
  <c r="E30" i="10" s="1"/>
  <c r="G26" i="10" a="1"/>
  <c r="G26" i="10" s="1"/>
  <c r="B25" i="10" a="1"/>
  <c r="B25" i="10" s="1"/>
  <c r="I22" i="10" a="1"/>
  <c r="I22" i="10" s="1"/>
  <c r="D21" i="10" a="1"/>
  <c r="D21" i="10" s="1"/>
  <c r="K18" i="10" a="1"/>
  <c r="K18" i="10" s="1"/>
  <c r="F17" i="10" a="1"/>
  <c r="F17" i="10" s="1"/>
  <c r="B14" i="10" a="1"/>
  <c r="B14" i="10" s="1"/>
  <c r="D10" i="10" a="1"/>
  <c r="D10" i="10" s="1"/>
  <c r="F6" i="10" a="1"/>
  <c r="F6" i="10" s="1"/>
  <c r="G64" i="10" a="1"/>
  <c r="G64" i="10" s="1"/>
  <c r="D61" i="10" a="1"/>
  <c r="D61" i="10" s="1"/>
  <c r="J56" i="10" a="1"/>
  <c r="J56" i="10" s="1"/>
  <c r="C55" i="10" a="1"/>
  <c r="C55" i="10" s="1"/>
  <c r="B54" i="10" a="1"/>
  <c r="B54" i="10" s="1"/>
  <c r="F49" i="10" a="1"/>
  <c r="F49" i="10" s="1"/>
  <c r="K46" i="10" a="1"/>
  <c r="K46" i="10" s="1"/>
  <c r="E45" i="10" a="1"/>
  <c r="E45" i="10" s="1"/>
  <c r="E44" i="10" a="1"/>
  <c r="E44" i="10" s="1"/>
  <c r="K42" i="10" a="1"/>
  <c r="K42" i="10" s="1"/>
  <c r="G36" i="10" a="1"/>
  <c r="G36" i="10" s="1"/>
  <c r="B35" i="10" a="1"/>
  <c r="B35" i="10" s="1"/>
  <c r="I32" i="10" a="1"/>
  <c r="I32" i="10" s="1"/>
  <c r="D31" i="10" a="1"/>
  <c r="D31" i="10" s="1"/>
  <c r="K28" i="10" a="1"/>
  <c r="K28" i="10" s="1"/>
  <c r="F27" i="10" a="1"/>
  <c r="F27" i="10" s="1"/>
  <c r="B24" i="10" a="1"/>
  <c r="B24" i="10" s="1"/>
  <c r="D20" i="10" a="1"/>
  <c r="D20" i="10" s="1"/>
  <c r="F16" i="10" a="1"/>
  <c r="F16" i="10" s="1"/>
  <c r="H12" i="10" a="1"/>
  <c r="H12" i="10" s="1"/>
  <c r="C11" i="10" a="1"/>
  <c r="C11" i="10" s="1"/>
  <c r="J8" i="10" a="1"/>
  <c r="J8" i="10" s="1"/>
  <c r="E7" i="10" a="1"/>
  <c r="E7" i="10" s="1"/>
  <c r="K62" i="10" a="1"/>
  <c r="K62" i="10" s="1"/>
  <c r="B60" i="10" a="1"/>
  <c r="B60" i="10" s="1"/>
  <c r="E58" i="10" a="1"/>
  <c r="E58" i="10" s="1"/>
  <c r="G52" i="10" a="1"/>
  <c r="G52" i="10" s="1"/>
  <c r="E48" i="10" a="1"/>
  <c r="E48" i="10" s="1"/>
  <c r="E41" i="10" a="1"/>
  <c r="E41" i="10" s="1"/>
  <c r="E40" i="10" a="1"/>
  <c r="E40" i="10" s="1"/>
  <c r="K38" i="10" a="1"/>
  <c r="K38" i="10" s="1"/>
  <c r="F37" i="10" a="1"/>
  <c r="F37" i="10" s="1"/>
  <c r="B34" i="10" a="1"/>
  <c r="B34" i="10" s="1"/>
  <c r="D30" i="10" a="1"/>
  <c r="D30" i="10" s="1"/>
  <c r="F26" i="10" a="1"/>
  <c r="F26" i="10" s="1"/>
  <c r="H22" i="10" a="1"/>
  <c r="H22" i="10" s="1"/>
  <c r="C21" i="10" a="1"/>
  <c r="C21" i="10" s="1"/>
  <c r="J18" i="10" a="1"/>
  <c r="J18" i="10" s="1"/>
  <c r="E17" i="10" a="1"/>
  <c r="E17" i="10" s="1"/>
  <c r="L14" i="10" a="1"/>
  <c r="L14" i="10" s="1"/>
  <c r="A14" i="10" a="1"/>
  <c r="A14" i="10" s="1"/>
  <c r="A15" i="10" s="1"/>
  <c r="C10" i="10" a="1"/>
  <c r="C10" i="10" s="1"/>
  <c r="E6" i="10" a="1"/>
  <c r="E6" i="10" s="1"/>
  <c r="F64" i="10" a="1"/>
  <c r="F64" i="10" s="1"/>
  <c r="J62" i="10" a="1"/>
  <c r="J62" i="10" s="1"/>
  <c r="C61" i="10" a="1"/>
  <c r="C61" i="10" s="1"/>
  <c r="F59" i="10" a="1"/>
  <c r="F59" i="10" s="1"/>
  <c r="I56" i="10" a="1"/>
  <c r="I56" i="10" s="1"/>
  <c r="B55" i="10" a="1"/>
  <c r="B55" i="10" s="1"/>
  <c r="A54" i="10" a="1"/>
  <c r="A54" i="10" s="1"/>
  <c r="A55" i="10" s="1"/>
  <c r="K50" i="10" a="1"/>
  <c r="K50" i="10" s="1"/>
  <c r="E49" i="10" a="1"/>
  <c r="E49" i="10" s="1"/>
  <c r="J46" i="10" a="1"/>
  <c r="J46" i="10" s="1"/>
  <c r="D45" i="10" a="1"/>
  <c r="D45" i="10" s="1"/>
  <c r="D44" i="10" a="1"/>
  <c r="D44" i="10" s="1"/>
  <c r="J42" i="10" a="1"/>
  <c r="J42" i="10" s="1"/>
  <c r="F36" i="10" a="1"/>
  <c r="F36" i="10" s="1"/>
  <c r="H32" i="10" a="1"/>
  <c r="H32" i="10" s="1"/>
  <c r="C31" i="10" a="1"/>
  <c r="C31" i="10" s="1"/>
  <c r="J28" i="10" a="1"/>
  <c r="J28" i="10" s="1"/>
  <c r="E27" i="10" a="1"/>
  <c r="E27" i="10" s="1"/>
  <c r="L24" i="10" a="1"/>
  <c r="L24" i="10" s="1"/>
  <c r="A24" i="10" a="1"/>
  <c r="A24" i="10" s="1"/>
  <c r="A25" i="10" s="1"/>
  <c r="C20" i="10" a="1"/>
  <c r="C20" i="10" s="1"/>
  <c r="E16" i="10" a="1"/>
  <c r="E16" i="10" s="1"/>
  <c r="G12" i="10" a="1"/>
  <c r="G12" i="10" s="1"/>
  <c r="B11" i="10" a="1"/>
  <c r="B11" i="10" s="1"/>
  <c r="I8" i="10" a="1"/>
  <c r="I8" i="10" s="1"/>
  <c r="D7" i="10" a="1"/>
  <c r="D7" i="10" s="1"/>
  <c r="D58" i="10" a="1"/>
  <c r="D58" i="10" s="1"/>
  <c r="F52" i="10" a="1"/>
  <c r="F52" i="10" s="1"/>
  <c r="D48" i="10" a="1"/>
  <c r="D48" i="10" s="1"/>
  <c r="D41" i="10" a="1"/>
  <c r="D41" i="10" s="1"/>
  <c r="D40" i="10" a="1"/>
  <c r="D40" i="10" s="1"/>
  <c r="J38" i="10" a="1"/>
  <c r="J38" i="10" s="1"/>
  <c r="E37" i="10" a="1"/>
  <c r="E37" i="10" s="1"/>
  <c r="L34" i="10" a="1"/>
  <c r="L34" i="10" s="1"/>
  <c r="A34" i="10" a="1"/>
  <c r="A34" i="10" s="1"/>
  <c r="A35" i="10" s="1"/>
  <c r="C30" i="10" a="1"/>
  <c r="C30" i="10" s="1"/>
  <c r="E26" i="10" a="1"/>
  <c r="E26" i="10" s="1"/>
  <c r="G22" i="10" a="1"/>
  <c r="G22" i="10" s="1"/>
  <c r="B21" i="10" a="1"/>
  <c r="B21" i="10" s="1"/>
  <c r="I18" i="10" a="1"/>
  <c r="I18" i="10" s="1"/>
  <c r="D17" i="10" a="1"/>
  <c r="D17" i="10" s="1"/>
  <c r="K14" i="10" a="1"/>
  <c r="K14" i="10" s="1"/>
  <c r="F13" i="10" a="1"/>
  <c r="F13" i="10" s="1"/>
  <c r="B10" i="10" a="1"/>
  <c r="B10" i="10" s="1"/>
  <c r="D6" i="10" a="1"/>
  <c r="D6" i="10" s="1"/>
  <c r="E64" i="10" a="1"/>
  <c r="E64" i="10" s="1"/>
  <c r="I62" i="10" a="1"/>
  <c r="I62" i="10" s="1"/>
  <c r="B61" i="10" a="1"/>
  <c r="B61" i="10" s="1"/>
  <c r="E59" i="10" a="1"/>
  <c r="E59" i="10" s="1"/>
  <c r="F53" i="10" a="1"/>
  <c r="F53" i="10" s="1"/>
  <c r="J50" i="10" a="1"/>
  <c r="J50" i="10" s="1"/>
  <c r="D49" i="10" a="1"/>
  <c r="D49" i="10" s="1"/>
  <c r="I46" i="10" a="1"/>
  <c r="I46" i="10" s="1"/>
  <c r="C45" i="10" a="1"/>
  <c r="C45" i="10" s="1"/>
  <c r="C44" i="10" a="1"/>
  <c r="C44" i="10" s="1"/>
  <c r="I42" i="10" a="1"/>
  <c r="I42" i="10" s="1"/>
  <c r="E36" i="10" a="1"/>
  <c r="E36" i="10" s="1"/>
  <c r="G32" i="10" a="1"/>
  <c r="G32" i="10" s="1"/>
  <c r="B31" i="10" a="1"/>
  <c r="B31" i="10" s="1"/>
  <c r="I28" i="10" a="1"/>
  <c r="I28" i="10" s="1"/>
  <c r="D27" i="10" a="1"/>
  <c r="D27" i="10" s="1"/>
  <c r="K24" i="10" a="1"/>
  <c r="K24" i="10" s="1"/>
  <c r="F23" i="10" a="1"/>
  <c r="F23" i="10" s="1"/>
  <c r="B20" i="10" a="1"/>
  <c r="B20" i="10" s="1"/>
  <c r="D16" i="10" a="1"/>
  <c r="D16" i="10" s="1"/>
  <c r="F12" i="10" a="1"/>
  <c r="F12" i="10" s="1"/>
  <c r="H8" i="10" a="1"/>
  <c r="H8" i="10" s="1"/>
  <c r="C7" i="10" a="1"/>
  <c r="C7" i="10" s="1"/>
  <c r="F65" i="10" a="1"/>
  <c r="F65" i="10" s="1"/>
  <c r="C58" i="10" a="1"/>
  <c r="C58" i="10" s="1"/>
  <c r="G56" i="10" a="1"/>
  <c r="G56" i="10" s="1"/>
  <c r="L54" i="10" a="1"/>
  <c r="L54" i="10" s="1"/>
  <c r="D52" i="10" a="1"/>
  <c r="D52" i="10" s="1"/>
  <c r="C48" i="10" a="1"/>
  <c r="C48" i="10" s="1"/>
  <c r="C41" i="10" a="1"/>
  <c r="C41" i="10" s="1"/>
  <c r="C40" i="10" a="1"/>
  <c r="C40" i="10" s="1"/>
  <c r="I38" i="10" a="1"/>
  <c r="I38" i="10" s="1"/>
  <c r="D37" i="10" a="1"/>
  <c r="D37" i="10" s="1"/>
  <c r="K34" i="10" a="1"/>
  <c r="K34" i="10" s="1"/>
  <c r="F33" i="10" a="1"/>
  <c r="F33" i="10" s="1"/>
  <c r="B30" i="10" a="1"/>
  <c r="B30" i="10" s="1"/>
  <c r="D26" i="10" a="1"/>
  <c r="D26" i="10" s="1"/>
  <c r="F22" i="10" a="1"/>
  <c r="F22" i="10" s="1"/>
  <c r="H18" i="10" a="1"/>
  <c r="H18" i="10" s="1"/>
  <c r="C17" i="10" a="1"/>
  <c r="C17" i="10" s="1"/>
  <c r="J14" i="10" a="1"/>
  <c r="J14" i="10" s="1"/>
  <c r="E13" i="10" a="1"/>
  <c r="E13" i="10" s="1"/>
  <c r="L10" i="10" a="1"/>
  <c r="L10" i="10" s="1"/>
  <c r="A10" i="10" a="1"/>
  <c r="A10" i="10" s="1"/>
  <c r="A11" i="10" s="1"/>
  <c r="C6" i="10" a="1"/>
  <c r="C6" i="10" s="1"/>
  <c r="H62" i="10" a="1"/>
  <c r="H62" i="10" s="1"/>
  <c r="K60" i="10" a="1"/>
  <c r="K60" i="10" s="1"/>
  <c r="D59" i="10" a="1"/>
  <c r="D59" i="10" s="1"/>
  <c r="D53" i="10" a="1"/>
  <c r="D53" i="10" s="1"/>
  <c r="I50" i="10" a="1"/>
  <c r="I50" i="10" s="1"/>
  <c r="C49" i="10" a="1"/>
  <c r="C49" i="10" s="1"/>
  <c r="H46" i="10" a="1"/>
  <c r="H46" i="10" s="1"/>
  <c r="B45" i="10" a="1"/>
  <c r="B45" i="10" s="1"/>
  <c r="B44" i="10" a="1"/>
  <c r="B44" i="10" s="1"/>
  <c r="H42" i="10" a="1"/>
  <c r="H42" i="10" s="1"/>
  <c r="D36" i="10" a="1"/>
  <c r="D36" i="10" s="1"/>
  <c r="F32" i="10" a="1"/>
  <c r="F32" i="10" s="1"/>
  <c r="H28" i="10" a="1"/>
  <c r="H28" i="10" s="1"/>
  <c r="C27" i="10" a="1"/>
  <c r="C27" i="10" s="1"/>
  <c r="J24" i="10" a="1"/>
  <c r="J24" i="10" s="1"/>
  <c r="E23" i="10" a="1"/>
  <c r="E23" i="10" s="1"/>
  <c r="L20" i="10" a="1"/>
  <c r="L20" i="10" s="1"/>
  <c r="A20" i="10" a="1"/>
  <c r="A20" i="10" s="1"/>
  <c r="A21" i="10" s="1"/>
  <c r="C16" i="10" a="1"/>
  <c r="C16" i="10" s="1"/>
  <c r="E12" i="10" a="1"/>
  <c r="E12" i="10" s="1"/>
  <c r="G8" i="10" a="1"/>
  <c r="G8" i="10" s="1"/>
  <c r="B7" i="10" a="1"/>
  <c r="B7" i="10" s="1"/>
  <c r="E65" i="10" a="1"/>
  <c r="E65" i="10" s="1"/>
  <c r="C64" i="10" a="1"/>
  <c r="C64" i="10" s="1"/>
  <c r="B58" i="10" a="1"/>
  <c r="B58" i="10" s="1"/>
  <c r="F56" i="10" a="1"/>
  <c r="F56" i="10" s="1"/>
  <c r="K54" i="10" a="1"/>
  <c r="K54" i="10" s="1"/>
  <c r="C52" i="10" a="1"/>
  <c r="C52" i="10" s="1"/>
  <c r="B48" i="10" a="1"/>
  <c r="B48" i="10" s="1"/>
  <c r="B41" i="10" a="1"/>
  <c r="B41" i="10" s="1"/>
  <c r="B40" i="10" a="1"/>
  <c r="B40" i="10" s="1"/>
  <c r="H38" i="10" a="1"/>
  <c r="H38" i="10" s="1"/>
  <c r="C37" i="10" a="1"/>
  <c r="C37" i="10" s="1"/>
  <c r="J34" i="10" a="1"/>
  <c r="J34" i="10" s="1"/>
  <c r="E33" i="10" a="1"/>
  <c r="E33" i="10" s="1"/>
  <c r="L30" i="10" a="1"/>
  <c r="L30" i="10" s="1"/>
  <c r="A30" i="10" a="1"/>
  <c r="A30" i="10" s="1"/>
  <c r="A31" i="10" s="1"/>
  <c r="C26" i="10" a="1"/>
  <c r="C26" i="10" s="1"/>
  <c r="E22" i="10" a="1"/>
  <c r="E22" i="10" s="1"/>
  <c r="G18" i="10" a="1"/>
  <c r="G18" i="10" s="1"/>
  <c r="B17" i="10" a="1"/>
  <c r="B17" i="10" s="1"/>
  <c r="I14" i="10" a="1"/>
  <c r="I14" i="10" s="1"/>
  <c r="D13" i="10" a="1"/>
  <c r="D13" i="10" s="1"/>
  <c r="K10" i="10" a="1"/>
  <c r="K10" i="10" s="1"/>
  <c r="F9" i="10" a="1"/>
  <c r="F9" i="10" s="1"/>
  <c r="B6" i="10" a="1"/>
  <c r="B6" i="10" s="1"/>
  <c r="G62" i="10" a="1"/>
  <c r="G62" i="10" s="1"/>
  <c r="J60" i="10" a="1"/>
  <c r="J60" i="10" s="1"/>
  <c r="C59" i="10" a="1"/>
  <c r="C59" i="10" s="1"/>
  <c r="A58" i="10" a="1"/>
  <c r="A58" i="10" s="1"/>
  <c r="A59" i="10" s="1"/>
  <c r="C53" i="10" a="1"/>
  <c r="C53" i="10" s="1"/>
  <c r="H50" i="10" a="1"/>
  <c r="H50" i="10" s="1"/>
  <c r="B49" i="10" a="1"/>
  <c r="B49" i="10" s="1"/>
  <c r="G46" i="10" a="1"/>
  <c r="G46" i="10" s="1"/>
  <c r="A44" i="10" a="1"/>
  <c r="A44" i="10" s="1"/>
  <c r="A45" i="10" s="1"/>
  <c r="G42" i="10" a="1"/>
  <c r="G42" i="10" s="1"/>
  <c r="C36" i="10" a="1"/>
  <c r="C36" i="10" s="1"/>
  <c r="E32" i="10" a="1"/>
  <c r="E32" i="10" s="1"/>
  <c r="G28" i="10" a="1"/>
  <c r="G28" i="10" s="1"/>
  <c r="B27" i="10" a="1"/>
  <c r="B27" i="10" s="1"/>
  <c r="I24" i="10" a="1"/>
  <c r="I24" i="10" s="1"/>
  <c r="D23" i="10" a="1"/>
  <c r="D23" i="10" s="1"/>
  <c r="K20" i="10" a="1"/>
  <c r="K20" i="10" s="1"/>
  <c r="F19" i="10" a="1"/>
  <c r="F19" i="10" s="1"/>
  <c r="B16" i="10" a="1"/>
  <c r="B16" i="10" s="1"/>
  <c r="D12" i="10" a="1"/>
  <c r="D12" i="10" s="1"/>
  <c r="F8" i="10" a="1"/>
  <c r="F8" i="10" s="1"/>
  <c r="D65" i="10" a="1"/>
  <c r="D65" i="10" s="1"/>
  <c r="B64" i="10" a="1"/>
  <c r="B64" i="10" s="1"/>
  <c r="E56" i="10" a="1"/>
  <c r="E56" i="10" s="1"/>
  <c r="B52" i="10" a="1"/>
  <c r="B52" i="10" s="1"/>
  <c r="A48" i="10" a="1"/>
  <c r="A48" i="10" s="1"/>
  <c r="A49" i="10" s="1"/>
  <c r="L44" i="10" a="1"/>
  <c r="L44" i="10" s="1"/>
  <c r="A40" i="10" a="1"/>
  <c r="A40" i="10" s="1"/>
  <c r="A41" i="10" s="1"/>
  <c r="G38" i="10" a="1"/>
  <c r="G38" i="10" s="1"/>
  <c r="B37" i="10" a="1"/>
  <c r="B37" i="10" s="1"/>
  <c r="I34" i="10" a="1"/>
  <c r="I34" i="10" s="1"/>
  <c r="D33" i="10" a="1"/>
  <c r="D33" i="10" s="1"/>
  <c r="K30" i="10" a="1"/>
  <c r="K30" i="10" s="1"/>
  <c r="F29" i="10" a="1"/>
  <c r="F29" i="10" s="1"/>
  <c r="B26" i="10" a="1"/>
  <c r="B26" i="10" s="1"/>
  <c r="D22" i="10" a="1"/>
  <c r="D22" i="10" s="1"/>
  <c r="F18" i="10" a="1"/>
  <c r="F18" i="10" s="1"/>
  <c r="H14" i="10" a="1"/>
  <c r="H14" i="10" s="1"/>
  <c r="C13" i="10" a="1"/>
  <c r="C13" i="10" s="1"/>
  <c r="J10" i="10" a="1"/>
  <c r="J10" i="10" s="1"/>
  <c r="E9" i="10" a="1"/>
  <c r="E9" i="10" s="1"/>
  <c r="L6" i="10" a="1"/>
  <c r="L6" i="10" s="1"/>
  <c r="A6" i="10" a="1"/>
  <c r="A6" i="10" s="1"/>
  <c r="A7" i="10" s="1"/>
  <c r="C65" i="10" a="1"/>
  <c r="C65" i="10" s="1"/>
  <c r="I60" i="10" a="1"/>
  <c r="I60" i="10" s="1"/>
  <c r="B59" i="10" a="1"/>
  <c r="B59" i="10" s="1"/>
  <c r="F57" i="10" a="1"/>
  <c r="F57" i="10" s="1"/>
  <c r="H54" i="10" a="1"/>
  <c r="H54" i="10" s="1"/>
  <c r="B53" i="10" a="1"/>
  <c r="B53" i="10" s="1"/>
  <c r="G50" i="10" a="1"/>
  <c r="G50" i="10" s="1"/>
  <c r="F46" i="10" a="1"/>
  <c r="F46" i="10" s="1"/>
  <c r="F43" i="10" a="1"/>
  <c r="F43" i="10" s="1"/>
  <c r="F42" i="10" a="1"/>
  <c r="F42" i="10" s="1"/>
  <c r="L40" i="10" a="1"/>
  <c r="L40" i="10" s="1"/>
  <c r="B36" i="10" a="1"/>
  <c r="B36" i="10" s="1"/>
  <c r="D32" i="10" a="1"/>
  <c r="D32" i="10" s="1"/>
  <c r="F28" i="10" a="1"/>
  <c r="F28" i="10" s="1"/>
  <c r="H24" i="10" a="1"/>
  <c r="H24" i="10" s="1"/>
  <c r="C23" i="10" a="1"/>
  <c r="C23" i="10" s="1"/>
  <c r="J20" i="10" a="1"/>
  <c r="J20" i="10" s="1"/>
  <c r="E19" i="10" a="1"/>
  <c r="E19" i="10" s="1"/>
  <c r="L16" i="10" a="1"/>
  <c r="L16" i="10" s="1"/>
  <c r="A16" i="10" a="1"/>
  <c r="A16" i="10" s="1"/>
  <c r="A17" i="10" s="1"/>
  <c r="C12" i="10" a="1"/>
  <c r="C12" i="10" s="1"/>
  <c r="E8" i="10" a="1"/>
  <c r="E8" i="10" s="1"/>
  <c r="A64" i="10" a="1"/>
  <c r="A64" i="10" s="1"/>
  <c r="A65" i="10" s="1"/>
  <c r="D62" i="10" a="1"/>
  <c r="D62" i="10" s="1"/>
  <c r="D56" i="10" a="1"/>
  <c r="D56" i="10" s="1"/>
  <c r="A52" i="10" a="1"/>
  <c r="A52" i="10" s="1"/>
  <c r="A53" i="10" s="1"/>
  <c r="L48" i="10" a="1"/>
  <c r="L48" i="10" s="1"/>
  <c r="F47" i="10" a="1"/>
  <c r="F47" i="10" s="1"/>
  <c r="K44" i="10" a="1"/>
  <c r="K44" i="10" s="1"/>
  <c r="F38" i="10" a="1"/>
  <c r="F38" i="10" s="1"/>
  <c r="H34" i="10" a="1"/>
  <c r="H34" i="10" s="1"/>
  <c r="C33" i="10" a="1"/>
  <c r="C33" i="10" s="1"/>
  <c r="J30" i="10" a="1"/>
  <c r="J30" i="10" s="1"/>
  <c r="E29" i="10" a="1"/>
  <c r="E29" i="10" s="1"/>
  <c r="L26" i="10" a="1"/>
  <c r="L26" i="10" s="1"/>
  <c r="A26" i="10" a="1"/>
  <c r="A26" i="10" s="1"/>
  <c r="A27" i="10" s="1"/>
  <c r="C22" i="10" a="1"/>
  <c r="C22" i="10" s="1"/>
  <c r="E18" i="10" a="1"/>
  <c r="E18" i="10" s="1"/>
  <c r="G14" i="10" a="1"/>
  <c r="G14" i="10" s="1"/>
  <c r="B13" i="10" a="1"/>
  <c r="B13" i="10" s="1"/>
  <c r="I10" i="10" a="1"/>
  <c r="I10" i="10" s="1"/>
  <c r="D9" i="10" a="1"/>
  <c r="D9" i="10" s="1"/>
  <c r="K6" i="10" a="1"/>
  <c r="K6" i="10" s="1"/>
  <c r="B65" i="10" a="1"/>
  <c r="B65" i="10" s="1"/>
  <c r="H60" i="10" a="1"/>
  <c r="H60" i="10" s="1"/>
  <c r="L58" i="10" a="1"/>
  <c r="L58" i="10" s="1"/>
  <c r="E57" i="10" a="1"/>
  <c r="E57" i="10" s="1"/>
  <c r="B56" i="10" a="1"/>
  <c r="B56" i="10" s="1"/>
  <c r="G54" i="10" a="1"/>
  <c r="G54" i="10" s="1"/>
  <c r="F50" i="10" a="1"/>
  <c r="F50" i="10" s="1"/>
  <c r="E46" i="10" a="1"/>
  <c r="E46" i="10" s="1"/>
  <c r="E43" i="10" a="1"/>
  <c r="E43" i="10" s="1"/>
  <c r="E42" i="10" a="1"/>
  <c r="E42" i="10" s="1"/>
  <c r="E39" i="10" a="1"/>
  <c r="E39" i="10" s="1"/>
  <c r="L36" i="10" a="1"/>
  <c r="L36" i="10" s="1"/>
  <c r="A36" i="10" a="1"/>
  <c r="A36" i="10" s="1"/>
  <c r="A37" i="10" s="1"/>
  <c r="C32" i="10" a="1"/>
  <c r="C32" i="10" s="1"/>
  <c r="E28" i="10" a="1"/>
  <c r="E28" i="10" s="1"/>
  <c r="G24" i="10" a="1"/>
  <c r="G24" i="10" s="1"/>
  <c r="B23" i="10" a="1"/>
  <c r="B23" i="10" s="1"/>
  <c r="I20" i="10" a="1"/>
  <c r="I20" i="10" s="1"/>
  <c r="D19" i="10" a="1"/>
  <c r="D19" i="10" s="1"/>
  <c r="K16" i="10" a="1"/>
  <c r="K16" i="10" s="1"/>
  <c r="F15" i="10" a="1"/>
  <c r="F15" i="10" s="1"/>
  <c r="B12" i="10" a="1"/>
  <c r="B12" i="10" s="1"/>
  <c r="D8" i="10" a="1"/>
  <c r="D8" i="10" s="1"/>
  <c r="F63" i="10" a="1"/>
  <c r="F63" i="10" s="1"/>
  <c r="C62" i="10" a="1"/>
  <c r="C62" i="10" s="1"/>
  <c r="L52" i="10" a="1"/>
  <c r="L52" i="10" s="1"/>
  <c r="F51" i="10" a="1"/>
  <c r="F51" i="10" s="1"/>
  <c r="K48" i="10" a="1"/>
  <c r="K48" i="10" s="1"/>
  <c r="E47" i="10" a="1"/>
  <c r="E47" i="10" s="1"/>
  <c r="J44" i="10" a="1"/>
  <c r="J44" i="10" s="1"/>
  <c r="D42" i="10" a="1"/>
  <c r="D42" i="10" s="1"/>
  <c r="J40" i="10" a="1"/>
  <c r="J40" i="10" s="1"/>
  <c r="E38" i="10" a="1"/>
  <c r="E38" i="10" s="1"/>
  <c r="G34" i="10" a="1"/>
  <c r="G34" i="10" s="1"/>
  <c r="B33" i="10" a="1"/>
  <c r="B33" i="10" s="1"/>
  <c r="I30" i="10" a="1"/>
  <c r="I30" i="10" s="1"/>
  <c r="D29" i="10" a="1"/>
  <c r="D29" i="10" s="1"/>
  <c r="K26" i="10" a="1"/>
  <c r="K26" i="10" s="1"/>
  <c r="F25" i="10" a="1"/>
  <c r="F25" i="10" s="1"/>
  <c r="B22" i="10" a="1"/>
  <c r="B22" i="10" s="1"/>
  <c r="D18" i="10" a="1"/>
  <c r="D18" i="10" s="1"/>
  <c r="F14" i="10" a="1"/>
  <c r="F14" i="10" s="1"/>
  <c r="H10" i="10" a="1"/>
  <c r="H10" i="10" s="1"/>
  <c r="C9" i="10" a="1"/>
  <c r="C9" i="10" s="1"/>
  <c r="J6" i="10" a="1"/>
  <c r="J6" i="10" s="1"/>
  <c r="D63" i="10" a="1"/>
  <c r="D63" i="10" s="1"/>
  <c r="G60" i="10" a="1"/>
  <c r="G60" i="10" s="1"/>
  <c r="K58" i="10" a="1"/>
  <c r="K58" i="10" s="1"/>
  <c r="D57" i="10" a="1"/>
  <c r="D57" i="10" s="1"/>
  <c r="A56" i="10" a="1"/>
  <c r="A56" i="10" s="1"/>
  <c r="A57" i="10" s="1"/>
  <c r="F54" i="10" a="1"/>
  <c r="F54" i="10" s="1"/>
  <c r="E50" i="10" a="1"/>
  <c r="E50" i="10" s="1"/>
  <c r="D46" i="10" a="1"/>
  <c r="D46" i="10" s="1"/>
  <c r="D39" i="10" a="1"/>
  <c r="D39" i="10" s="1"/>
  <c r="K36" i="10" a="1"/>
  <c r="K36" i="10" s="1"/>
  <c r="F35" i="10" a="1"/>
  <c r="F35" i="10" s="1"/>
  <c r="B32" i="10" a="1"/>
  <c r="B32" i="10" s="1"/>
  <c r="D28" i="10" a="1"/>
  <c r="D28" i="10" s="1"/>
  <c r="F24" i="10" a="1"/>
  <c r="F24" i="10" s="1"/>
  <c r="H20" i="10" a="1"/>
  <c r="H20" i="10" s="1"/>
  <c r="C19" i="10" a="1"/>
  <c r="C19" i="10" s="1"/>
  <c r="J16" i="10" a="1"/>
  <c r="J16" i="10" s="1"/>
  <c r="E15" i="10" a="1"/>
  <c r="E15" i="10" s="1"/>
  <c r="L12" i="10" a="1"/>
  <c r="L12" i="10" s="1"/>
  <c r="A12" i="10" a="1"/>
  <c r="A12" i="10" s="1"/>
  <c r="A13" i="10" s="1"/>
  <c r="C8" i="10" a="1"/>
  <c r="C8" i="10" s="1"/>
  <c r="L64" i="10" a="1"/>
  <c r="L64" i="10" s="1"/>
  <c r="B62" i="10" a="1"/>
  <c r="B62" i="10" s="1"/>
  <c r="K52" i="10" a="1"/>
  <c r="K52" i="10" s="1"/>
  <c r="E51" i="10" a="1"/>
  <c r="E51" i="10" s="1"/>
  <c r="J48" i="10" a="1"/>
  <c r="J48" i="10" s="1"/>
  <c r="D47" i="10" a="1"/>
  <c r="D47" i="10" s="1"/>
  <c r="C43" i="10" a="1"/>
  <c r="C43" i="10" s="1"/>
  <c r="C42" i="10" a="1"/>
  <c r="C42" i="10" s="1"/>
  <c r="I40" i="10" a="1"/>
  <c r="I40" i="10" s="1"/>
  <c r="D38" i="10" a="1"/>
  <c r="D38" i="10" s="1"/>
  <c r="F34" i="10" a="1"/>
  <c r="F34" i="10" s="1"/>
  <c r="H30" i="10" a="1"/>
  <c r="H30" i="10" s="1"/>
  <c r="C29" i="10" a="1"/>
  <c r="C29" i="10" s="1"/>
  <c r="J26" i="10" a="1"/>
  <c r="J26" i="10" s="1"/>
  <c r="E25" i="10" a="1"/>
  <c r="E25" i="10" s="1"/>
  <c r="L22" i="10" a="1"/>
  <c r="L22" i="10" s="1"/>
  <c r="A22" i="10" a="1"/>
  <c r="A22" i="10" s="1"/>
  <c r="A23" i="10" s="1"/>
  <c r="C18" i="10" a="1"/>
  <c r="C18" i="10" s="1"/>
  <c r="E14" i="10" a="1"/>
  <c r="E14" i="10" s="1"/>
  <c r="G10" i="10" a="1"/>
  <c r="G10" i="10" s="1"/>
  <c r="B9" i="10" a="1"/>
  <c r="B9" i="10" s="1"/>
  <c r="I6" i="10" a="1"/>
  <c r="I6" i="10" s="1"/>
  <c r="C63" i="10" a="1"/>
  <c r="C63" i="10" s="1"/>
  <c r="J58" i="10" a="1"/>
  <c r="J58" i="10" s="1"/>
  <c r="F55" i="10" a="1"/>
  <c r="F55" i="10" s="1"/>
  <c r="E54" i="10" a="1"/>
  <c r="E54" i="10" s="1"/>
  <c r="D50" i="10" a="1"/>
  <c r="D50" i="10" s="1"/>
  <c r="B46" i="10" a="1"/>
  <c r="B46" i="10" s="1"/>
  <c r="H44" i="10" a="1"/>
  <c r="H44" i="10" s="1"/>
  <c r="C39" i="10" a="1"/>
  <c r="C39" i="10" s="1"/>
  <c r="J36" i="10" a="1"/>
  <c r="J36" i="10" s="1"/>
  <c r="E35" i="10" a="1"/>
  <c r="E35" i="10" s="1"/>
  <c r="L32" i="10" a="1"/>
  <c r="L32" i="10" s="1"/>
  <c r="A32" i="10" a="1"/>
  <c r="A32" i="10" s="1"/>
  <c r="A33" i="10" s="1"/>
  <c r="C28" i="10" a="1"/>
  <c r="C28" i="10" s="1"/>
  <c r="E24" i="10" a="1"/>
  <c r="E24" i="10" s="1"/>
  <c r="G20" i="10" a="1"/>
  <c r="G20" i="10" s="1"/>
  <c r="B19" i="10" a="1"/>
  <c r="B19" i="10" s="1"/>
  <c r="I16" i="10" a="1"/>
  <c r="I16" i="10" s="1"/>
  <c r="D15" i="10" a="1"/>
  <c r="D15" i="10" s="1"/>
  <c r="K12" i="10" a="1"/>
  <c r="K12" i="10" s="1"/>
  <c r="F11" i="10" a="1"/>
  <c r="F11" i="10" s="1"/>
  <c r="B8" i="10" a="1"/>
  <c r="B8" i="10" s="1"/>
  <c r="F61" i="10" a="1"/>
  <c r="F61" i="10" s="1"/>
  <c r="D60" i="10" a="1"/>
  <c r="D60" i="10" s="1"/>
  <c r="I52" i="10" a="1"/>
  <c r="I52" i="10" s="1"/>
  <c r="C51" i="10" a="1"/>
  <c r="C51" i="10" s="1"/>
  <c r="H48" i="10" a="1"/>
  <c r="H48" i="10" s="1"/>
  <c r="A42" i="10" a="1"/>
  <c r="A42" i="10" s="1"/>
  <c r="A43" i="10" s="1"/>
  <c r="G40" i="10" a="1"/>
  <c r="G40" i="10" s="1"/>
  <c r="B38" i="10" a="1"/>
  <c r="B38" i="10" s="1"/>
  <c r="D34" i="10" a="1"/>
  <c r="D34" i="10" s="1"/>
  <c r="F30" i="10" a="1"/>
  <c r="F30" i="10" s="1"/>
  <c r="H26" i="10" a="1"/>
  <c r="H26" i="10" s="1"/>
  <c r="C25" i="10" a="1"/>
  <c r="C25" i="10" s="1"/>
  <c r="J22" i="10" a="1"/>
  <c r="J22" i="10" s="1"/>
  <c r="E21" i="10" a="1"/>
  <c r="E21" i="10" s="1"/>
  <c r="L18" i="10" a="1"/>
  <c r="L18" i="10" s="1"/>
  <c r="A18" i="10" a="1"/>
  <c r="A18" i="10" s="1"/>
  <c r="A19" i="10" s="1"/>
  <c r="C14" i="10" a="1"/>
  <c r="C14" i="10" s="1"/>
  <c r="E10" i="10" a="1"/>
  <c r="E10" i="10" s="1"/>
  <c r="G6" i="10" a="1"/>
  <c r="G6" i="10" s="1"/>
  <c r="D25" i="10" a="1"/>
  <c r="D25" i="10" s="1"/>
  <c r="C10" i="11" a="1"/>
  <c r="C10" i="11" s="1"/>
  <c r="F51" i="11" a="1"/>
  <c r="F51" i="11" s="1"/>
  <c r="E55" i="10" a="1"/>
  <c r="E55" i="10" s="1"/>
  <c r="D27" i="11" a="1"/>
  <c r="D27" i="11" s="1"/>
  <c r="J53" i="11" a="1"/>
  <c r="J53" i="11" s="1"/>
  <c r="I26" i="10" a="1"/>
  <c r="I26" i="10" s="1"/>
  <c r="H40" i="10" a="1"/>
  <c r="H40" i="10" s="1"/>
  <c r="F11" i="11" a="1"/>
  <c r="F11" i="11" s="1"/>
  <c r="G7" i="11" a="1"/>
  <c r="G7" i="11" s="1"/>
  <c r="B10" i="11" a="1"/>
  <c r="B10" i="11" s="1"/>
  <c r="E11" i="11" a="1"/>
  <c r="E11" i="11" s="1"/>
  <c r="H12" i="11" a="1"/>
  <c r="H12" i="11" s="1"/>
  <c r="J13" i="11" a="1"/>
  <c r="J13" i="11" s="1"/>
  <c r="E16" i="11" a="1"/>
  <c r="E16" i="11" s="1"/>
  <c r="C22" i="11" a="1"/>
  <c r="C22" i="11" s="1"/>
  <c r="I23" i="11" a="1"/>
  <c r="I23" i="11" s="1"/>
  <c r="D25" i="11" a="1"/>
  <c r="D25" i="11" s="1"/>
  <c r="C29" i="11" a="1"/>
  <c r="C29" i="11" s="1"/>
  <c r="B38" i="11" a="1"/>
  <c r="B38" i="11" s="1"/>
  <c r="K40" i="11" a="1"/>
  <c r="K40" i="11" s="1"/>
  <c r="D43" i="11" a="1"/>
  <c r="D43" i="11" s="1"/>
  <c r="B46" i="11" a="1"/>
  <c r="B46" i="11" s="1"/>
  <c r="B51" i="11" a="1"/>
  <c r="B51" i="11" s="1"/>
  <c r="L58" i="11" a="1"/>
  <c r="L58" i="11" s="1"/>
  <c r="B62" i="11" a="1"/>
  <c r="B62" i="11" s="1"/>
  <c r="P3" i="9" a="1"/>
  <c r="G6" i="11" a="1"/>
  <c r="G6" i="11" s="1"/>
  <c r="I7" i="11" a="1"/>
  <c r="I7" i="11" s="1"/>
  <c r="L8" i="11" a="1"/>
  <c r="L8" i="11" s="1"/>
  <c r="C15" i="11" a="1"/>
  <c r="C15" i="11" s="1"/>
  <c r="D19" i="11" a="1"/>
  <c r="D19" i="11" s="1"/>
  <c r="K20" i="11" a="1"/>
  <c r="K20" i="11" s="1"/>
  <c r="E22" i="11" a="1"/>
  <c r="E22" i="11" s="1"/>
  <c r="F25" i="11" a="1"/>
  <c r="F25" i="11" s="1"/>
  <c r="I31" i="11" a="1"/>
  <c r="I31" i="11" s="1"/>
  <c r="J33" i="11" a="1"/>
  <c r="J33" i="11" s="1"/>
  <c r="C36" i="11" a="1"/>
  <c r="C36" i="11" s="1"/>
  <c r="B49" i="11" a="1"/>
  <c r="B49" i="11" s="1"/>
  <c r="B54" i="11" a="1"/>
  <c r="B54" i="11" s="1"/>
  <c r="I56" i="11" a="1"/>
  <c r="I56" i="11" s="1"/>
  <c r="D62" i="11" a="1"/>
  <c r="D62" i="11" s="1"/>
  <c r="G11" i="11" a="1"/>
  <c r="G11" i="11" s="1"/>
  <c r="B14" i="11" a="1"/>
  <c r="B14" i="11" s="1"/>
  <c r="I16" i="11" a="1"/>
  <c r="I16" i="11" s="1"/>
  <c r="B18" i="11" a="1"/>
  <c r="B18" i="11" s="1"/>
  <c r="A24" i="11" a="1"/>
  <c r="A24" i="11" s="1"/>
  <c r="A25" i="11" s="1"/>
  <c r="F29" i="11" a="1"/>
  <c r="F29" i="11" s="1"/>
  <c r="A34" i="11" a="1"/>
  <c r="A34" i="11" s="1"/>
  <c r="A35" i="11" s="1"/>
  <c r="G38" i="11" a="1"/>
  <c r="G38" i="11" s="1"/>
  <c r="H43" i="11" a="1"/>
  <c r="H43" i="11" s="1"/>
  <c r="E46" i="11" a="1"/>
  <c r="E46" i="11" s="1"/>
  <c r="G51" i="11" a="1"/>
  <c r="G51" i="11" s="1"/>
  <c r="E54" i="11" a="1"/>
  <c r="E54" i="11" s="1"/>
  <c r="F62" i="11" a="1"/>
  <c r="F62" i="11" s="1"/>
  <c r="H6" i="11" a="1"/>
  <c r="H6" i="11" s="1"/>
  <c r="J7" i="11" a="1"/>
  <c r="J7" i="11" s="1"/>
  <c r="F10" i="11" a="1"/>
  <c r="F10" i="11" s="1"/>
  <c r="K12" i="11" a="1"/>
  <c r="K12" i="11" s="1"/>
  <c r="D15" i="11" a="1"/>
  <c r="D15" i="11" s="1"/>
  <c r="E19" i="11" a="1"/>
  <c r="E19" i="11" s="1"/>
  <c r="F22" i="11" a="1"/>
  <c r="F22" i="11" s="1"/>
  <c r="J25" i="11" a="1"/>
  <c r="J25" i="11" s="1"/>
  <c r="G27" i="11" a="1"/>
  <c r="G27" i="11" s="1"/>
  <c r="H29" i="11" a="1"/>
  <c r="H29" i="11" s="1"/>
  <c r="J31" i="11" a="1"/>
  <c r="J31" i="11" s="1"/>
  <c r="D41" i="11" a="1"/>
  <c r="D41" i="11" s="1"/>
  <c r="A44" i="11" a="1"/>
  <c r="A44" i="11" s="1"/>
  <c r="A45" i="11" s="1"/>
  <c r="C49" i="11" a="1"/>
  <c r="C49" i="11" s="1"/>
  <c r="H51" i="11" a="1"/>
  <c r="H51" i="11" s="1"/>
  <c r="K56" i="11" a="1"/>
  <c r="K56" i="11" s="1"/>
  <c r="I59" i="11" a="1"/>
  <c r="I59" i="11" s="1"/>
  <c r="H62" i="11" a="1"/>
  <c r="H62" i="11" s="1"/>
  <c r="H65" i="11" a="1"/>
  <c r="H65" i="11" s="1"/>
  <c r="I6" i="11" a="1"/>
  <c r="I6" i="11" s="1"/>
  <c r="B9" i="11" a="1"/>
  <c r="B9" i="11" s="1"/>
  <c r="H11" i="11" a="1"/>
  <c r="H11" i="11" s="1"/>
  <c r="C14" i="11" a="1"/>
  <c r="C14" i="11" s="1"/>
  <c r="J16" i="11" a="1"/>
  <c r="J16" i="11" s="1"/>
  <c r="C18" i="11" a="1"/>
  <c r="C18" i="11" s="1"/>
  <c r="H19" i="11" a="1"/>
  <c r="H19" i="11" s="1"/>
  <c r="C34" i="11" a="1"/>
  <c r="C34" i="11" s="1"/>
  <c r="F36" i="11" a="1"/>
  <c r="F36" i="11" s="1"/>
  <c r="I46" i="11" a="1"/>
  <c r="I46" i="11" s="1"/>
  <c r="J51" i="11" a="1"/>
  <c r="J51" i="11" s="1"/>
  <c r="F54" i="11" a="1"/>
  <c r="F54" i="11" s="1"/>
  <c r="Q3" i="9" a="1"/>
  <c r="A8" i="11" a="1"/>
  <c r="A8" i="11" s="1"/>
  <c r="A9" i="11" s="1"/>
  <c r="G10" i="11" a="1"/>
  <c r="G10" i="11" s="1"/>
  <c r="L12" i="11" a="1"/>
  <c r="L12" i="11" s="1"/>
  <c r="G15" i="11" a="1"/>
  <c r="G15" i="11" s="1"/>
  <c r="B21" i="11" a="1"/>
  <c r="B21" i="11" s="1"/>
  <c r="C24" i="11" a="1"/>
  <c r="C24" i="11" s="1"/>
  <c r="A26" i="11" a="1"/>
  <c r="A26" i="11" s="1"/>
  <c r="A27" i="11" s="1"/>
  <c r="A28" i="11" a="1"/>
  <c r="A28" i="11" s="1"/>
  <c r="A29" i="11" s="1"/>
  <c r="I29" i="11" a="1"/>
  <c r="I29" i="11" s="1"/>
  <c r="L38" i="11" a="1"/>
  <c r="L38" i="11" s="1"/>
  <c r="F41" i="11" a="1"/>
  <c r="F41" i="11" s="1"/>
  <c r="E44" i="11" a="1"/>
  <c r="E44" i="11" s="1"/>
  <c r="A52" i="11" a="1"/>
  <c r="A52" i="11" s="1"/>
  <c r="A53" i="11" s="1"/>
  <c r="E57" i="11" a="1"/>
  <c r="E57" i="11" s="1"/>
  <c r="J59" i="11" a="1"/>
  <c r="J59" i="11" s="1"/>
  <c r="I62" i="11" a="1"/>
  <c r="I62" i="11" s="1"/>
  <c r="I65" i="11" a="1"/>
  <c r="I65" i="11" s="1"/>
  <c r="J6" i="11" a="1"/>
  <c r="J6" i="11" s="1"/>
  <c r="D14" i="11" a="1"/>
  <c r="D14" i="11" s="1"/>
  <c r="D18" i="11" a="1"/>
  <c r="D18" i="11" s="1"/>
  <c r="I19" i="11" a="1"/>
  <c r="I19" i="11" s="1"/>
  <c r="J22" i="11" a="1"/>
  <c r="J22" i="11" s="1"/>
  <c r="B26" i="11" a="1"/>
  <c r="B26" i="11" s="1"/>
  <c r="B32" i="11" a="1"/>
  <c r="B32" i="11" s="1"/>
  <c r="D34" i="11" a="1"/>
  <c r="D34" i="11" s="1"/>
  <c r="G36" i="11" a="1"/>
  <c r="G36" i="11" s="1"/>
  <c r="H54" i="11" a="1"/>
  <c r="H54" i="11" s="1"/>
  <c r="A60" i="11" a="1"/>
  <c r="A60" i="11" s="1"/>
  <c r="A61" i="11" s="1"/>
  <c r="B8" i="11" a="1"/>
  <c r="B8" i="11" s="1"/>
  <c r="E9" i="11" a="1"/>
  <c r="E9" i="11" s="1"/>
  <c r="H10" i="11" a="1"/>
  <c r="H10" i="11" s="1"/>
  <c r="J11" i="11" a="1"/>
  <c r="J11" i="11" s="1"/>
  <c r="H15" i="11" a="1"/>
  <c r="H15" i="11" s="1"/>
  <c r="L16" i="11" a="1"/>
  <c r="L16" i="11" s="1"/>
  <c r="C21" i="11" a="1"/>
  <c r="C21" i="11" s="1"/>
  <c r="D24" i="11" a="1"/>
  <c r="D24" i="11" s="1"/>
  <c r="B28" i="11" a="1"/>
  <c r="B28" i="11" s="1"/>
  <c r="C30" i="11" a="1"/>
  <c r="C30" i="11" s="1"/>
  <c r="E34" i="11" a="1"/>
  <c r="E34" i="11" s="1"/>
  <c r="H36" i="11" a="1"/>
  <c r="H36" i="11" s="1"/>
  <c r="F44" i="11" a="1"/>
  <c r="F44" i="11" s="1"/>
  <c r="G49" i="11" a="1"/>
  <c r="G49" i="11" s="1"/>
  <c r="D52" i="11" a="1"/>
  <c r="D52" i="11" s="1"/>
  <c r="F57" i="11" a="1"/>
  <c r="F57" i="11" s="1"/>
  <c r="R3" i="9" a="1"/>
  <c r="C8" i="11" a="1"/>
  <c r="C8" i="11" s="1"/>
  <c r="F9" i="11" a="1"/>
  <c r="F9" i="11" s="1"/>
  <c r="I10" i="11" a="1"/>
  <c r="I10" i="11" s="1"/>
  <c r="A12" i="11" a="1"/>
  <c r="A12" i="11" s="1"/>
  <c r="A13" i="11" s="1"/>
  <c r="G14" i="11" a="1"/>
  <c r="G14" i="11" s="1"/>
  <c r="I15" i="11" a="1"/>
  <c r="I15" i="11" s="1"/>
  <c r="D30" i="11" a="1"/>
  <c r="D30" i="11" s="1"/>
  <c r="G32" i="11" a="1"/>
  <c r="G32" i="11" s="1"/>
  <c r="F34" i="11" a="1"/>
  <c r="F34" i="11" s="1"/>
  <c r="K36" i="11" a="1"/>
  <c r="K36" i="11" s="1"/>
  <c r="I49" i="11" a="1"/>
  <c r="I49" i="11" s="1"/>
  <c r="H52" i="11" a="1"/>
  <c r="H52" i="11" s="1"/>
  <c r="L6" i="11" a="1"/>
  <c r="L6" i="11" s="1"/>
  <c r="E8" i="11" a="1"/>
  <c r="E8" i="11" s="1"/>
  <c r="J10" i="11" a="1"/>
  <c r="J10" i="11" s="1"/>
  <c r="C13" i="11" a="1"/>
  <c r="C13" i="11" s="1"/>
  <c r="B17" i="11" a="1"/>
  <c r="B17" i="11" s="1"/>
  <c r="E21" i="11" a="1"/>
  <c r="E21" i="11" s="1"/>
  <c r="L22" i="11" a="1"/>
  <c r="L22" i="11" s="1"/>
  <c r="F24" i="11" a="1"/>
  <c r="F24" i="11" s="1"/>
  <c r="E26" i="11" a="1"/>
  <c r="E26" i="11" s="1"/>
  <c r="E28" i="11" a="1"/>
  <c r="E28" i="11" s="1"/>
  <c r="E30" i="11" a="1"/>
  <c r="E30" i="11" s="1"/>
  <c r="K34" i="11" a="1"/>
  <c r="K34" i="11" s="1"/>
  <c r="C37" i="11" a="1"/>
  <c r="C37" i="11" s="1"/>
  <c r="G39" i="11" a="1"/>
  <c r="G39" i="11" s="1"/>
  <c r="C42" i="11" a="1"/>
  <c r="C42" i="11" s="1"/>
  <c r="J44" i="11" a="1"/>
  <c r="J44" i="11" s="1"/>
  <c r="D47" i="11" a="1"/>
  <c r="D47" i="11" s="1"/>
  <c r="C55" i="11" a="1"/>
  <c r="C55" i="11" s="1"/>
  <c r="G60" i="11" a="1"/>
  <c r="G60" i="11" s="1"/>
  <c r="F63" i="11" a="1"/>
  <c r="F63" i="11" s="1"/>
  <c r="G9" i="11" a="1"/>
  <c r="G9" i="11" s="1"/>
  <c r="B12" i="11" a="1"/>
  <c r="B12" i="11" s="1"/>
  <c r="H14" i="11" a="1"/>
  <c r="H14" i="11" s="1"/>
  <c r="I18" i="11" a="1"/>
  <c r="I18" i="11" s="1"/>
  <c r="B20" i="11" a="1"/>
  <c r="B20" i="11" s="1"/>
  <c r="F26" i="11" a="1"/>
  <c r="F26" i="11" s="1"/>
  <c r="G30" i="11" a="1"/>
  <c r="G30" i="11" s="1"/>
  <c r="I32" i="11" a="1"/>
  <c r="I32" i="11" s="1"/>
  <c r="H39" i="11" a="1"/>
  <c r="H39" i="11" s="1"/>
  <c r="D42" i="11" a="1"/>
  <c r="D42" i="11" s="1"/>
  <c r="I52" i="11" a="1"/>
  <c r="I52" i="11" s="1"/>
  <c r="D55" i="11" a="1"/>
  <c r="D55" i="11" s="1"/>
  <c r="J57" i="11" a="1"/>
  <c r="J57" i="11" s="1"/>
  <c r="K60" i="11" a="1"/>
  <c r="K60" i="11" s="1"/>
  <c r="G63" i="11" a="1"/>
  <c r="G63" i="11" s="1"/>
  <c r="F8" i="11" a="1"/>
  <c r="F8" i="11" s="1"/>
  <c r="K10" i="11" a="1"/>
  <c r="K10" i="11" s="1"/>
  <c r="A16" i="11" a="1"/>
  <c r="A16" i="11" s="1"/>
  <c r="A17" i="11" s="1"/>
  <c r="C17" i="11" a="1"/>
  <c r="C17" i="11" s="1"/>
  <c r="B23" i="11" a="1"/>
  <c r="B23" i="11" s="1"/>
  <c r="J24" i="11" a="1"/>
  <c r="J24" i="11" s="1"/>
  <c r="F28" i="11" a="1"/>
  <c r="F28" i="11" s="1"/>
  <c r="J32" i="11" a="1"/>
  <c r="J32" i="11" s="1"/>
  <c r="L34" i="11" a="1"/>
  <c r="L34" i="11" s="1"/>
  <c r="D37" i="11" a="1"/>
  <c r="D37" i="11" s="1"/>
  <c r="F42" i="11" a="1"/>
  <c r="F42" i="11" s="1"/>
  <c r="L44" i="11" a="1"/>
  <c r="L44" i="11" s="1"/>
  <c r="F47" i="11" a="1"/>
  <c r="F47" i="11" s="1"/>
  <c r="E50" i="11" a="1"/>
  <c r="E50" i="11" s="1"/>
  <c r="F55" i="11" a="1"/>
  <c r="F55" i="11" s="1"/>
  <c r="E65" i="11" a="1"/>
  <c r="E65" i="11" s="1"/>
  <c r="E62" i="11" a="1"/>
  <c r="E62" i="11" s="1"/>
  <c r="D61" i="11" a="1"/>
  <c r="D61" i="11" s="1"/>
  <c r="D58" i="11" a="1"/>
  <c r="D58" i="11" s="1"/>
  <c r="C57" i="11" a="1"/>
  <c r="C57" i="11" s="1"/>
  <c r="C54" i="11" a="1"/>
  <c r="C54" i="11" s="1"/>
  <c r="B53" i="11" a="1"/>
  <c r="B53" i="11" s="1"/>
  <c r="B50" i="11" a="1"/>
  <c r="B50" i="11" s="1"/>
  <c r="L46" i="11" a="1"/>
  <c r="L46" i="11" s="1"/>
  <c r="A46" i="11" a="1"/>
  <c r="A46" i="11" s="1"/>
  <c r="A47" i="11" s="1"/>
  <c r="K42" i="11" a="1"/>
  <c r="K42" i="11" s="1"/>
  <c r="J41" i="11" a="1"/>
  <c r="J41" i="11" s="1"/>
  <c r="J38" i="11" a="1"/>
  <c r="J38" i="11" s="1"/>
  <c r="I37" i="11" a="1"/>
  <c r="I37" i="11" s="1"/>
  <c r="I34" i="11" a="1"/>
  <c r="I34" i="11" s="1"/>
  <c r="H33" i="11" a="1"/>
  <c r="H33" i="11" s="1"/>
  <c r="H30" i="11" a="1"/>
  <c r="H30" i="11" s="1"/>
  <c r="G29" i="11" a="1"/>
  <c r="G29" i="11" s="1"/>
  <c r="E64" i="11" a="1"/>
  <c r="E64" i="11" s="1"/>
  <c r="D63" i="11" a="1"/>
  <c r="D63" i="11" s="1"/>
  <c r="D60" i="11" a="1"/>
  <c r="D60" i="11" s="1"/>
  <c r="C59" i="11" a="1"/>
  <c r="C59" i="11" s="1"/>
  <c r="C56" i="11" a="1"/>
  <c r="C56" i="11" s="1"/>
  <c r="B55" i="11" a="1"/>
  <c r="B55" i="11" s="1"/>
  <c r="B52" i="11" a="1"/>
  <c r="B52" i="11" s="1"/>
  <c r="L48" i="11" a="1"/>
  <c r="L48" i="11" s="1"/>
  <c r="A48" i="11" a="1"/>
  <c r="A48" i="11" s="1"/>
  <c r="A49" i="11" s="1"/>
  <c r="K44" i="11" a="1"/>
  <c r="K44" i="11" s="1"/>
  <c r="J43" i="11" a="1"/>
  <c r="J43" i="11" s="1"/>
  <c r="J40" i="11" a="1"/>
  <c r="J40" i="11" s="1"/>
  <c r="I39" i="11" a="1"/>
  <c r="I39" i="11" s="1"/>
  <c r="I36" i="11" a="1"/>
  <c r="I36" i="11" s="1"/>
  <c r="H35" i="11" a="1"/>
  <c r="H35" i="11" s="1"/>
  <c r="H32" i="11" a="1"/>
  <c r="H32" i="11" s="1"/>
  <c r="G31" i="11" a="1"/>
  <c r="G31" i="11" s="1"/>
  <c r="G28" i="11" a="1"/>
  <c r="G28" i="11" s="1"/>
  <c r="F27" i="11" a="1"/>
  <c r="F27" i="11" s="1"/>
  <c r="C65" i="11" a="1"/>
  <c r="C65" i="11" s="1"/>
  <c r="C62" i="11" a="1"/>
  <c r="C62" i="11" s="1"/>
  <c r="B61" i="11" a="1"/>
  <c r="B61" i="11" s="1"/>
  <c r="B58" i="11" a="1"/>
  <c r="B58" i="11" s="1"/>
  <c r="L54" i="11" a="1"/>
  <c r="L54" i="11" s="1"/>
  <c r="A54" i="11" a="1"/>
  <c r="A54" i="11" s="1"/>
  <c r="A55" i="11" s="1"/>
  <c r="K50" i="11" a="1"/>
  <c r="K50" i="11" s="1"/>
  <c r="J49" i="11" a="1"/>
  <c r="J49" i="11" s="1"/>
  <c r="J46" i="11" a="1"/>
  <c r="J46" i="11" s="1"/>
  <c r="I45" i="11" a="1"/>
  <c r="I45" i="11" s="1"/>
  <c r="I42" i="11" a="1"/>
  <c r="I42" i="11" s="1"/>
  <c r="H41" i="11" a="1"/>
  <c r="H41" i="11" s="1"/>
  <c r="H38" i="11" a="1"/>
  <c r="H38" i="11" s="1"/>
  <c r="G37" i="11" a="1"/>
  <c r="G37" i="11" s="1"/>
  <c r="G34" i="11" a="1"/>
  <c r="G34" i="11" s="1"/>
  <c r="F33" i="11" a="1"/>
  <c r="F33" i="11" s="1"/>
  <c r="F30" i="11" a="1"/>
  <c r="F30" i="11" s="1"/>
  <c r="C63" i="11" a="1"/>
  <c r="C63" i="11" s="1"/>
  <c r="H59" i="11" a="1"/>
  <c r="H59" i="11" s="1"/>
  <c r="G58" i="11" a="1"/>
  <c r="G58" i="11" s="1"/>
  <c r="K54" i="11" a="1"/>
  <c r="K54" i="11" s="1"/>
  <c r="E51" i="11" a="1"/>
  <c r="E51" i="11" s="1"/>
  <c r="D50" i="11" a="1"/>
  <c r="D50" i="11" s="1"/>
  <c r="I47" i="11" a="1"/>
  <c r="I47" i="11" s="1"/>
  <c r="H46" i="11" a="1"/>
  <c r="H46" i="11" s="1"/>
  <c r="B43" i="11" a="1"/>
  <c r="B43" i="11" s="1"/>
  <c r="A42" i="11" a="1"/>
  <c r="A42" i="11" s="1"/>
  <c r="A43" i="11" s="1"/>
  <c r="I40" i="11" a="1"/>
  <c r="I40" i="11" s="1"/>
  <c r="F39" i="11" a="1"/>
  <c r="F39" i="11" s="1"/>
  <c r="E38" i="11" a="1"/>
  <c r="E38" i="11" s="1"/>
  <c r="G33" i="11" a="1"/>
  <c r="G33" i="11" s="1"/>
  <c r="C31" i="11" a="1"/>
  <c r="C31" i="11" s="1"/>
  <c r="B30" i="11" a="1"/>
  <c r="B30" i="11" s="1"/>
  <c r="J27" i="11" a="1"/>
  <c r="J27" i="11" s="1"/>
  <c r="J26" i="11" a="1"/>
  <c r="J26" i="11" s="1"/>
  <c r="I25" i="11" a="1"/>
  <c r="I25" i="11" s="1"/>
  <c r="I22" i="11" a="1"/>
  <c r="I22" i="11" s="1"/>
  <c r="H21" i="11" a="1"/>
  <c r="H21" i="11" s="1"/>
  <c r="H18" i="11" a="1"/>
  <c r="H18" i="11" s="1"/>
  <c r="G17" i="11" a="1"/>
  <c r="G17" i="11" s="1"/>
  <c r="G65" i="11" a="1"/>
  <c r="G65" i="11" s="1"/>
  <c r="F64" i="11" a="1"/>
  <c r="F64" i="11" s="1"/>
  <c r="B63" i="11" a="1"/>
  <c r="B63" i="11" s="1"/>
  <c r="A62" i="11" a="1"/>
  <c r="A62" i="11" s="1"/>
  <c r="A63" i="11" s="1"/>
  <c r="J60" i="11" a="1"/>
  <c r="J60" i="11" s="1"/>
  <c r="D57" i="11" a="1"/>
  <c r="D57" i="11" s="1"/>
  <c r="B56" i="11" a="1"/>
  <c r="B56" i="11" s="1"/>
  <c r="H53" i="11" a="1"/>
  <c r="H53" i="11" s="1"/>
  <c r="G52" i="11" a="1"/>
  <c r="G52" i="11" s="1"/>
  <c r="E45" i="11" a="1"/>
  <c r="E45" i="11" s="1"/>
  <c r="D44" i="11" a="1"/>
  <c r="D44" i="11" s="1"/>
  <c r="H40" i="11" a="1"/>
  <c r="H40" i="11" s="1"/>
  <c r="B37" i="11" a="1"/>
  <c r="B37" i="11" s="1"/>
  <c r="A36" i="11" a="1"/>
  <c r="A36" i="11" s="1"/>
  <c r="A37" i="11" s="1"/>
  <c r="J34" i="11" a="1"/>
  <c r="J34" i="11" s="1"/>
  <c r="E32" i="11" a="1"/>
  <c r="E32" i="11" s="1"/>
  <c r="K28" i="11" a="1"/>
  <c r="K28" i="11" s="1"/>
  <c r="I24" i="11" a="1"/>
  <c r="I24" i="11" s="1"/>
  <c r="H23" i="11" a="1"/>
  <c r="H23" i="11" s="1"/>
  <c r="H20" i="11" a="1"/>
  <c r="H20" i="11" s="1"/>
  <c r="G19" i="11" a="1"/>
  <c r="G19" i="11" s="1"/>
  <c r="G16" i="11" a="1"/>
  <c r="G16" i="11" s="1"/>
  <c r="F15" i="11" a="1"/>
  <c r="F15" i="11" s="1"/>
  <c r="G59" i="11" a="1"/>
  <c r="G59" i="11" s="1"/>
  <c r="F58" i="11" a="1"/>
  <c r="F58" i="11" s="1"/>
  <c r="A56" i="11" a="1"/>
  <c r="A56" i="11" s="1"/>
  <c r="A57" i="11" s="1"/>
  <c r="J54" i="11" a="1"/>
  <c r="J54" i="11" s="1"/>
  <c r="D51" i="11" a="1"/>
  <c r="D51" i="11" s="1"/>
  <c r="C50" i="11" a="1"/>
  <c r="C50" i="11" s="1"/>
  <c r="K48" i="11" a="1"/>
  <c r="K48" i="11" s="1"/>
  <c r="H47" i="11" a="1"/>
  <c r="H47" i="11" s="1"/>
  <c r="G46" i="11" a="1"/>
  <c r="G46" i="11" s="1"/>
  <c r="I41" i="11" a="1"/>
  <c r="I41" i="11" s="1"/>
  <c r="E39" i="11" a="1"/>
  <c r="E39" i="11" s="1"/>
  <c r="D38" i="11" a="1"/>
  <c r="D38" i="11" s="1"/>
  <c r="B31" i="11" a="1"/>
  <c r="B31" i="11" s="1"/>
  <c r="A30" i="11" a="1"/>
  <c r="A30" i="11" s="1"/>
  <c r="A31" i="11" s="1"/>
  <c r="I27" i="11" a="1"/>
  <c r="I27" i="11" s="1"/>
  <c r="I26" i="11" a="1"/>
  <c r="I26" i="11" s="1"/>
  <c r="H25" i="11" a="1"/>
  <c r="H25" i="11" s="1"/>
  <c r="H22" i="11" a="1"/>
  <c r="H22" i="11" s="1"/>
  <c r="G21" i="11" a="1"/>
  <c r="G21" i="11" s="1"/>
  <c r="G18" i="11" a="1"/>
  <c r="G18" i="11" s="1"/>
  <c r="F17" i="11" a="1"/>
  <c r="F17" i="11" s="1"/>
  <c r="F14" i="11" a="1"/>
  <c r="F14" i="11" s="1"/>
  <c r="E13" i="11" a="1"/>
  <c r="E13" i="11" s="1"/>
  <c r="E10" i="11" a="1"/>
  <c r="E10" i="11" s="1"/>
  <c r="D9" i="11" a="1"/>
  <c r="D9" i="11" s="1"/>
  <c r="D6" i="11" a="1"/>
  <c r="D6" i="11" s="1"/>
  <c r="F65" i="11" a="1"/>
  <c r="F65" i="11" s="1"/>
  <c r="D64" i="11" a="1"/>
  <c r="D64" i="11" s="1"/>
  <c r="J61" i="11" a="1"/>
  <c r="J61" i="11" s="1"/>
  <c r="I60" i="11" a="1"/>
  <c r="I60" i="11" s="1"/>
  <c r="B57" i="11" a="1"/>
  <c r="B57" i="11" s="1"/>
  <c r="G53" i="11" a="1"/>
  <c r="G53" i="11" s="1"/>
  <c r="F52" i="11" a="1"/>
  <c r="F52" i="11" s="1"/>
  <c r="J48" i="11" a="1"/>
  <c r="J48" i="11" s="1"/>
  <c r="D45" i="11" a="1"/>
  <c r="D45" i="11" s="1"/>
  <c r="C44" i="11" a="1"/>
  <c r="C44" i="11" s="1"/>
  <c r="L42" i="11" a="1"/>
  <c r="L42" i="11" s="1"/>
  <c r="G40" i="11" a="1"/>
  <c r="G40" i="11" s="1"/>
  <c r="J35" i="11" a="1"/>
  <c r="J35" i="11" s="1"/>
  <c r="H34" i="11" a="1"/>
  <c r="H34" i="11" s="1"/>
  <c r="E33" i="11" a="1"/>
  <c r="E33" i="11" s="1"/>
  <c r="D32" i="11" a="1"/>
  <c r="D32" i="11" s="1"/>
  <c r="J28" i="11" a="1"/>
  <c r="J28" i="11" s="1"/>
  <c r="H24" i="11" a="1"/>
  <c r="H24" i="11" s="1"/>
  <c r="G23" i="11" a="1"/>
  <c r="G23" i="11" s="1"/>
  <c r="G20" i="11" a="1"/>
  <c r="G20" i="11" s="1"/>
  <c r="F19" i="11" a="1"/>
  <c r="F19" i="11" s="1"/>
  <c r="F16" i="11" a="1"/>
  <c r="F16" i="11" s="1"/>
  <c r="E15" i="11" a="1"/>
  <c r="E15" i="11" s="1"/>
  <c r="E12" i="11" a="1"/>
  <c r="E12" i="11" s="1"/>
  <c r="D11" i="11" a="1"/>
  <c r="D11" i="11" s="1"/>
  <c r="D8" i="11" a="1"/>
  <c r="D8" i="11" s="1"/>
  <c r="C7" i="11" a="1"/>
  <c r="C7" i="11" s="1"/>
  <c r="C64" i="11" a="1"/>
  <c r="C64" i="11" s="1"/>
  <c r="L62" i="11" a="1"/>
  <c r="L62" i="11" s="1"/>
  <c r="F59" i="11" a="1"/>
  <c r="F59" i="11" s="1"/>
  <c r="E58" i="11" a="1"/>
  <c r="E58" i="11" s="1"/>
  <c r="J55" i="11" a="1"/>
  <c r="J55" i="11" s="1"/>
  <c r="I54" i="11" a="1"/>
  <c r="I54" i="11" s="1"/>
  <c r="C51" i="11" a="1"/>
  <c r="C51" i="11" s="1"/>
  <c r="A50" i="11" a="1"/>
  <c r="A50" i="11" s="1"/>
  <c r="A51" i="11" s="1"/>
  <c r="G47" i="11" a="1"/>
  <c r="G47" i="11" s="1"/>
  <c r="F46" i="11" a="1"/>
  <c r="F46" i="11" s="1"/>
  <c r="D39" i="11" a="1"/>
  <c r="D39" i="11" s="1"/>
  <c r="C38" i="11" a="1"/>
  <c r="C38" i="11" s="1"/>
  <c r="L36" i="11" a="1"/>
  <c r="L36" i="11" s="1"/>
  <c r="J29" i="11" a="1"/>
  <c r="J29" i="11" s="1"/>
  <c r="H27" i="11" a="1"/>
  <c r="H27" i="11" s="1"/>
  <c r="H26" i="11" a="1"/>
  <c r="H26" i="11" s="1"/>
  <c r="G25" i="11" a="1"/>
  <c r="G25" i="11" s="1"/>
  <c r="G22" i="11" a="1"/>
  <c r="G22" i="11" s="1"/>
  <c r="F21" i="11" a="1"/>
  <c r="F21" i="11" s="1"/>
  <c r="F18" i="11" a="1"/>
  <c r="F18" i="11" s="1"/>
  <c r="E17" i="11" a="1"/>
  <c r="E17" i="11" s="1"/>
  <c r="E14" i="11" a="1"/>
  <c r="E14" i="11" s="1"/>
  <c r="D13" i="11" a="1"/>
  <c r="D13" i="11" s="1"/>
  <c r="D10" i="11" a="1"/>
  <c r="D10" i="11" s="1"/>
  <c r="C9" i="11" a="1"/>
  <c r="C9" i="11" s="1"/>
  <c r="C6" i="11" a="1"/>
  <c r="C6" i="11" s="1"/>
  <c r="D65" i="11" a="1"/>
  <c r="D65" i="11" s="1"/>
  <c r="I61" i="11" a="1"/>
  <c r="I61" i="11" s="1"/>
  <c r="H60" i="11" a="1"/>
  <c r="H60" i="11" s="1"/>
  <c r="L56" i="11" a="1"/>
  <c r="L56" i="11" s="1"/>
  <c r="F53" i="11" a="1"/>
  <c r="F53" i="11" s="1"/>
  <c r="E52" i="11" a="1"/>
  <c r="E52" i="11" s="1"/>
  <c r="I48" i="11" a="1"/>
  <c r="I48" i="11" s="1"/>
  <c r="C45" i="11" a="1"/>
  <c r="C45" i="11" s="1"/>
  <c r="B44" i="11" a="1"/>
  <c r="B44" i="11" s="1"/>
  <c r="J42" i="11" a="1"/>
  <c r="J42" i="11" s="1"/>
  <c r="G41" i="11" a="1"/>
  <c r="G41" i="11" s="1"/>
  <c r="F40" i="11" a="1"/>
  <c r="F40" i="11" s="1"/>
  <c r="I35" i="11" a="1"/>
  <c r="I35" i="11" s="1"/>
  <c r="D33" i="11" a="1"/>
  <c r="D33" i="11" s="1"/>
  <c r="C32" i="11" a="1"/>
  <c r="C32" i="11" s="1"/>
  <c r="L30" i="11" a="1"/>
  <c r="L30" i="11" s="1"/>
  <c r="I28" i="11" a="1"/>
  <c r="I28" i="11" s="1"/>
  <c r="G24" i="11" a="1"/>
  <c r="G24" i="11" s="1"/>
  <c r="B64" i="11" a="1"/>
  <c r="B64" i="11" s="1"/>
  <c r="K62" i="11" a="1"/>
  <c r="K62" i="11" s="1"/>
  <c r="E59" i="11" a="1"/>
  <c r="E59" i="11" s="1"/>
  <c r="B65" i="11" a="1"/>
  <c r="B65" i="11" s="1"/>
  <c r="A64" i="11" a="1"/>
  <c r="A64" i="11" s="1"/>
  <c r="A65" i="11" s="1"/>
  <c r="J62" i="11" a="1"/>
  <c r="J62" i="11" s="1"/>
  <c r="D59" i="11" a="1"/>
  <c r="D59" i="11" s="1"/>
  <c r="H55" i="11" a="1"/>
  <c r="H55" i="11" s="1"/>
  <c r="G54" i="11" a="1"/>
  <c r="G54" i="11" s="1"/>
  <c r="E47" i="11" a="1"/>
  <c r="E47" i="11" s="1"/>
  <c r="D46" i="11" a="1"/>
  <c r="D46" i="11" s="1"/>
  <c r="H42" i="11" a="1"/>
  <c r="H42" i="11" s="1"/>
  <c r="B39" i="11" a="1"/>
  <c r="B39" i="11" s="1"/>
  <c r="A38" i="11" a="1"/>
  <c r="A38" i="11" s="1"/>
  <c r="A39" i="11" s="1"/>
  <c r="J36" i="11" a="1"/>
  <c r="J36" i="11" s="1"/>
  <c r="F35" i="11" a="1"/>
  <c r="F35" i="11" s="1"/>
  <c r="G61" i="11" a="1"/>
  <c r="G61" i="11" s="1"/>
  <c r="F60" i="11" a="1"/>
  <c r="F60" i="11" s="1"/>
  <c r="A58" i="11" a="1"/>
  <c r="A58" i="11" s="1"/>
  <c r="A59" i="11" s="1"/>
  <c r="J56" i="11" a="1"/>
  <c r="J56" i="11" s="1"/>
  <c r="D53" i="11" a="1"/>
  <c r="D53" i="11" s="1"/>
  <c r="C52" i="11" a="1"/>
  <c r="C52" i="11" s="1"/>
  <c r="H49" i="11" a="1"/>
  <c r="H49" i="11" s="1"/>
  <c r="G48" i="11" a="1"/>
  <c r="G48" i="11" s="1"/>
  <c r="I43" i="11" a="1"/>
  <c r="I43" i="11" s="1"/>
  <c r="E41" i="11" a="1"/>
  <c r="E41" i="11" s="1"/>
  <c r="D40" i="11" a="1"/>
  <c r="D40" i="11" s="1"/>
  <c r="B33" i="11" a="1"/>
  <c r="B33" i="11" s="1"/>
  <c r="A32" i="11" a="1"/>
  <c r="A32" i="11" s="1"/>
  <c r="A33" i="11" s="1"/>
  <c r="J30" i="11" a="1"/>
  <c r="J30" i="11" s="1"/>
  <c r="E27" i="11" a="1"/>
  <c r="E27" i="11" s="1"/>
  <c r="E24" i="11" a="1"/>
  <c r="E24" i="11" s="1"/>
  <c r="D23" i="11" a="1"/>
  <c r="D23" i="11" s="1"/>
  <c r="D20" i="11" a="1"/>
  <c r="D20" i="11" s="1"/>
  <c r="K64" i="11" a="1"/>
  <c r="K64" i="11" s="1"/>
  <c r="E61" i="11" a="1"/>
  <c r="E61" i="11" s="1"/>
  <c r="C60" i="11" a="1"/>
  <c r="C60" i="11" s="1"/>
  <c r="I57" i="11" a="1"/>
  <c r="I57" i="11" s="1"/>
  <c r="H56" i="11" a="1"/>
  <c r="H56" i="11" s="1"/>
  <c r="F49" i="11" a="1"/>
  <c r="F49" i="11" s="1"/>
  <c r="E48" i="11" a="1"/>
  <c r="E48" i="11" s="1"/>
  <c r="I44" i="11" a="1"/>
  <c r="I44" i="11" s="1"/>
  <c r="C41" i="11" a="1"/>
  <c r="C41" i="11" s="1"/>
  <c r="B40" i="11" a="1"/>
  <c r="B40" i="11" s="1"/>
  <c r="K38" i="11" a="1"/>
  <c r="K38" i="11" s="1"/>
  <c r="H63" i="11" a="1"/>
  <c r="H63" i="11" s="1"/>
  <c r="G62" i="11" a="1"/>
  <c r="G62" i="11" s="1"/>
  <c r="B60" i="11" a="1"/>
  <c r="B60" i="11" s="1"/>
  <c r="K58" i="11" a="1"/>
  <c r="K58" i="11" s="1"/>
  <c r="E55" i="11" a="1"/>
  <c r="E55" i="11" s="1"/>
  <c r="D54" i="11" a="1"/>
  <c r="D54" i="11" s="1"/>
  <c r="L52" i="11" a="1"/>
  <c r="L52" i="11" s="1"/>
  <c r="I51" i="11" a="1"/>
  <c r="I51" i="11" s="1"/>
  <c r="H50" i="11" a="1"/>
  <c r="H50" i="11" s="1"/>
  <c r="B47" i="11" a="1"/>
  <c r="B47" i="11" s="1"/>
  <c r="J45" i="11" a="1"/>
  <c r="J45" i="11" s="1"/>
  <c r="F43" i="11" a="1"/>
  <c r="F43" i="11" s="1"/>
  <c r="E42" i="11" a="1"/>
  <c r="E42" i="11" s="1"/>
  <c r="C35" i="11" a="1"/>
  <c r="C35" i="11" s="1"/>
  <c r="B34" i="11" a="1"/>
  <c r="B34" i="11" s="1"/>
  <c r="K32" i="11" a="1"/>
  <c r="K32" i="11" s="1"/>
  <c r="D29" i="11" a="1"/>
  <c r="D29" i="11" s="1"/>
  <c r="D28" i="11" a="1"/>
  <c r="D28" i="11" s="1"/>
  <c r="C26" i="11" a="1"/>
  <c r="C26" i="11" s="1"/>
  <c r="B25" i="11" a="1"/>
  <c r="B25" i="11" s="1"/>
  <c r="J64" i="11" a="1"/>
  <c r="J64" i="11" s="1"/>
  <c r="C61" i="11" a="1"/>
  <c r="C61" i="11" s="1"/>
  <c r="H57" i="11" a="1"/>
  <c r="H57" i="11" s="1"/>
  <c r="G56" i="11" a="1"/>
  <c r="G56" i="11" s="1"/>
  <c r="K52" i="11" a="1"/>
  <c r="K52" i="11" s="1"/>
  <c r="E49" i="11" a="1"/>
  <c r="E49" i="11" s="1"/>
  <c r="D48" i="11" a="1"/>
  <c r="D48" i="11" s="1"/>
  <c r="H44" i="11" a="1"/>
  <c r="H44" i="11" s="1"/>
  <c r="B41" i="11" a="1"/>
  <c r="B41" i="11" s="1"/>
  <c r="A40" i="11" a="1"/>
  <c r="A40" i="11" s="1"/>
  <c r="A41" i="11" s="1"/>
  <c r="I38" i="11" a="1"/>
  <c r="I38" i="11" s="1"/>
  <c r="F37" i="11" a="1"/>
  <c r="F37" i="11" s="1"/>
  <c r="E36" i="11" a="1"/>
  <c r="E36" i="11" s="1"/>
  <c r="H31" i="11" a="1"/>
  <c r="H31" i="11" s="1"/>
  <c r="B27" i="11" a="1"/>
  <c r="B27" i="11" s="1"/>
  <c r="B24" i="11" a="1"/>
  <c r="B24" i="11" s="1"/>
  <c r="L20" i="11" a="1"/>
  <c r="L20" i="11" s="1"/>
  <c r="A20" i="11" a="1"/>
  <c r="A20" i="11" s="1"/>
  <c r="A21" i="11" s="1"/>
  <c r="K16" i="11" a="1"/>
  <c r="K16" i="11" s="1"/>
  <c r="J15" i="11" a="1"/>
  <c r="J15" i="11" s="1"/>
  <c r="J12" i="11" a="1"/>
  <c r="J12" i="11" s="1"/>
  <c r="I11" i="11" a="1"/>
  <c r="I11" i="11" s="1"/>
  <c r="I8" i="11" a="1"/>
  <c r="I8" i="11" s="1"/>
  <c r="H7" i="11" a="1"/>
  <c r="H7" i="11" s="1"/>
  <c r="J65" i="11" a="1"/>
  <c r="J65" i="11" s="1"/>
  <c r="I64" i="11" a="1"/>
  <c r="I64" i="11" s="1"/>
  <c r="G57" i="11" a="1"/>
  <c r="G57" i="11" s="1"/>
  <c r="F56" i="11" a="1"/>
  <c r="F56" i="11" s="1"/>
  <c r="J52" i="11" a="1"/>
  <c r="J52" i="11" s="1"/>
  <c r="D49" i="11" a="1"/>
  <c r="D49" i="11" s="1"/>
  <c r="C48" i="11" a="1"/>
  <c r="C48" i="11" s="1"/>
  <c r="K46" i="11" a="1"/>
  <c r="K46" i="11" s="1"/>
  <c r="H45" i="11" a="1"/>
  <c r="H45" i="11" s="1"/>
  <c r="G44" i="11" a="1"/>
  <c r="G44" i="11" s="1"/>
  <c r="J39" i="11" a="1"/>
  <c r="J39" i="11" s="1"/>
  <c r="E37" i="11" a="1"/>
  <c r="E37" i="11" s="1"/>
  <c r="D36" i="11" a="1"/>
  <c r="D36" i="11" s="1"/>
  <c r="F31" i="11" a="1"/>
  <c r="F31" i="11" s="1"/>
  <c r="L24" i="11" a="1"/>
  <c r="L24" i="11" s="1"/>
  <c r="B7" i="11" a="1"/>
  <c r="B7" i="11" s="1"/>
  <c r="H9" i="11" a="1"/>
  <c r="H9" i="11" s="1"/>
  <c r="C12" i="11" a="1"/>
  <c r="C12" i="11" s="1"/>
  <c r="F13" i="11" a="1"/>
  <c r="F13" i="11" s="1"/>
  <c r="I14" i="11" a="1"/>
  <c r="I14" i="11" s="1"/>
  <c r="J18" i="11" a="1"/>
  <c r="J18" i="11" s="1"/>
  <c r="C20" i="11" a="1"/>
  <c r="C20" i="11" s="1"/>
  <c r="I21" i="11" a="1"/>
  <c r="I21" i="11" s="1"/>
  <c r="G26" i="11" a="1"/>
  <c r="G26" i="11" s="1"/>
  <c r="I30" i="11" a="1"/>
  <c r="I30" i="11" s="1"/>
  <c r="B45" i="11" a="1"/>
  <c r="B45" i="11" s="1"/>
  <c r="J47" i="11" a="1"/>
  <c r="J47" i="11" s="1"/>
  <c r="L60" i="11" a="1"/>
  <c r="L60" i="11" s="1"/>
  <c r="A6" i="11" a="1"/>
  <c r="A6" i="11" s="1"/>
  <c r="A7" i="11" s="1"/>
  <c r="D7" i="11" a="1"/>
  <c r="D7" i="11" s="1"/>
  <c r="G8" i="11" a="1"/>
  <c r="G8" i="11" s="1"/>
  <c r="I9" i="11" a="1"/>
  <c r="I9" i="11" s="1"/>
  <c r="L10" i="11" a="1"/>
  <c r="L10" i="11" s="1"/>
  <c r="B16" i="11" a="1"/>
  <c r="B16" i="11" s="1"/>
  <c r="D17" i="11" a="1"/>
  <c r="D17" i="11" s="1"/>
  <c r="C23" i="11" a="1"/>
  <c r="C23" i="11" s="1"/>
  <c r="K24" i="11" a="1"/>
  <c r="K24" i="11" s="1"/>
  <c r="H28" i="11" a="1"/>
  <c r="H28" i="11" s="1"/>
  <c r="L32" i="11" a="1"/>
  <c r="L32" i="11" s="1"/>
  <c r="B35" i="11" a="1"/>
  <c r="B35" i="11" s="1"/>
  <c r="G42" i="11" a="1"/>
  <c r="G42" i="11" s="1"/>
  <c r="F50" i="11" a="1"/>
  <c r="F50" i="11" s="1"/>
  <c r="G55" i="11" a="1"/>
  <c r="G55" i="11" s="1"/>
  <c r="C58" i="11" a="1"/>
  <c r="C58" i="11" s="1"/>
  <c r="J63" i="11" a="1"/>
  <c r="J63" i="11" s="1"/>
  <c r="D12" i="11" a="1"/>
  <c r="D12" i="11" s="1"/>
  <c r="G13" i="11" a="1"/>
  <c r="G13" i="11" s="1"/>
  <c r="J14" i="11" a="1"/>
  <c r="J14" i="11" s="1"/>
  <c r="K18" i="11" a="1"/>
  <c r="K18" i="11" s="1"/>
  <c r="J21" i="11" a="1"/>
  <c r="J21" i="11" s="1"/>
  <c r="K26" i="11" a="1"/>
  <c r="K26" i="11" s="1"/>
  <c r="C40" i="11" a="1"/>
  <c r="C40" i="11" s="1"/>
  <c r="F45" i="11" a="1"/>
  <c r="F45" i="11" s="1"/>
  <c r="B48" i="11" a="1"/>
  <c r="B48" i="11" s="1"/>
  <c r="G50" i="11" a="1"/>
  <c r="G50" i="11" s="1"/>
  <c r="C53" i="11" a="1"/>
  <c r="C53" i="11" s="1"/>
  <c r="B6" i="11" a="1"/>
  <c r="B6" i="11" s="1"/>
  <c r="E7" i="11" a="1"/>
  <c r="E7" i="11" s="1"/>
  <c r="H8" i="11" a="1"/>
  <c r="H8" i="11" s="1"/>
  <c r="J9" i="11" a="1"/>
  <c r="J9" i="11" s="1"/>
  <c r="F12" i="11" a="1"/>
  <c r="F12" i="11" s="1"/>
  <c r="K14" i="11" a="1"/>
  <c r="K14" i="11" s="1"/>
  <c r="C16" i="11" a="1"/>
  <c r="C16" i="11" s="1"/>
  <c r="L18" i="11" a="1"/>
  <c r="L18" i="11" s="1"/>
  <c r="E20" i="11" a="1"/>
  <c r="E20" i="11" s="1"/>
  <c r="L28" i="11" a="1"/>
  <c r="L28" i="11" s="1"/>
  <c r="K30" i="11" a="1"/>
  <c r="K30" i="11" s="1"/>
  <c r="D35" i="11" a="1"/>
  <c r="D35" i="11" s="1"/>
  <c r="H37" i="11" a="1"/>
  <c r="H37" i="11" s="1"/>
  <c r="I50" i="11" a="1"/>
  <c r="I50" i="11" s="1"/>
  <c r="I55" i="11" a="1"/>
  <c r="I55" i="11" s="1"/>
  <c r="H58" i="11" a="1"/>
  <c r="H58" i="11" s="1"/>
  <c r="G64" i="11" a="1"/>
  <c r="G64" i="11" s="1"/>
  <c r="B11" i="11" a="1"/>
  <c r="B11" i="11" s="1"/>
  <c r="H13" i="11" a="1"/>
  <c r="H13" i="11" s="1"/>
  <c r="H17" i="11" a="1"/>
  <c r="H17" i="11" s="1"/>
  <c r="A22" i="11" a="1"/>
  <c r="A22" i="11" s="1"/>
  <c r="A23" i="11" s="1"/>
  <c r="E23" i="11" a="1"/>
  <c r="E23" i="11" s="1"/>
  <c r="L26" i="11" a="1"/>
  <c r="L26" i="11" s="1"/>
  <c r="E40" i="11" a="1"/>
  <c r="E40" i="11" s="1"/>
  <c r="G45" i="11" a="1"/>
  <c r="G45" i="11" s="1"/>
  <c r="E53" i="11" a="1"/>
  <c r="E53" i="11" s="1"/>
  <c r="D56" i="11" a="1"/>
  <c r="D56" i="11" s="1"/>
  <c r="F61" i="11" a="1"/>
  <c r="F61" i="11" s="1"/>
  <c r="F7" i="11" a="1"/>
  <c r="F7" i="11" s="1"/>
  <c r="A10" i="11" a="1"/>
  <c r="A10" i="11" s="1"/>
  <c r="A11" i="11" s="1"/>
  <c r="G12" i="11" a="1"/>
  <c r="G12" i="11" s="1"/>
  <c r="L14" i="11" a="1"/>
  <c r="L14" i="11" s="1"/>
  <c r="D16" i="11" a="1"/>
  <c r="D16" i="11" s="1"/>
  <c r="F20" i="11" a="1"/>
  <c r="F20" i="11" s="1"/>
  <c r="B22" i="11" a="1"/>
  <c r="B22" i="11" s="1"/>
  <c r="C25" i="11" a="1"/>
  <c r="C25" i="11" s="1"/>
  <c r="C33" i="11" a="1"/>
  <c r="C33" i="11" s="1"/>
  <c r="E35" i="11" a="1"/>
  <c r="E35" i="11" s="1"/>
  <c r="J37" i="11" a="1"/>
  <c r="J37" i="11" s="1"/>
  <c r="C43" i="11" a="1"/>
  <c r="C43" i="11" s="1"/>
  <c r="J50" i="11" a="1"/>
  <c r="J50" i="11" s="1"/>
  <c r="I58" i="11" a="1"/>
  <c r="I58" i="11" s="1"/>
  <c r="H64" i="11" a="1"/>
  <c r="H64" i="11" s="1"/>
  <c r="E6" i="11" a="1"/>
  <c r="E6" i="11" s="1"/>
  <c r="J8" i="11" a="1"/>
  <c r="J8" i="11" s="1"/>
  <c r="C11" i="11" a="1"/>
  <c r="C11" i="11" s="1"/>
  <c r="I13" i="11" a="1"/>
  <c r="I13" i="11" s="1"/>
  <c r="I17" i="11" a="1"/>
  <c r="I17" i="11" s="1"/>
  <c r="B19" i="11" a="1"/>
  <c r="B19" i="11" s="1"/>
  <c r="I20" i="11" a="1"/>
  <c r="I20" i="11" s="1"/>
  <c r="F23" i="11" a="1"/>
  <c r="F23" i="11" s="1"/>
  <c r="C27" i="11" a="1"/>
  <c r="C27" i="11" s="1"/>
  <c r="B29" i="11" a="1"/>
  <c r="B29" i="11" s="1"/>
  <c r="D31" i="11" a="1"/>
  <c r="D31" i="11" s="1"/>
  <c r="G35" i="11" a="1"/>
  <c r="G35" i="11" s="1"/>
  <c r="F48" i="11" a="1"/>
  <c r="F48" i="11" s="1"/>
  <c r="L50" i="11" a="1"/>
  <c r="L50" i="11" s="1"/>
  <c r="I53" i="11" a="1"/>
  <c r="I53" i="11" s="1"/>
  <c r="E56" i="11" a="1"/>
  <c r="E56" i="11" s="1"/>
  <c r="J58" i="11" a="1"/>
  <c r="J58" i="11" s="1"/>
  <c r="H61" i="11" a="1"/>
  <c r="H61" i="11" s="1"/>
  <c r="AN6" i="14"/>
  <c r="AN5" i="14"/>
  <c r="AN8" i="15"/>
  <c r="AN7" i="14"/>
  <c r="AN5" i="15"/>
  <c r="AN6" i="15"/>
  <c r="C13" i="2" l="1"/>
  <c r="F14" i="2"/>
  <c r="F13" i="2"/>
  <c r="D16" i="2"/>
  <c r="H13" i="2"/>
  <c r="A13" i="2"/>
  <c r="J16" i="2"/>
  <c r="E12" i="2"/>
  <c r="I12" i="2"/>
  <c r="B14" i="2"/>
  <c r="B16" i="2"/>
  <c r="C15" i="2"/>
  <c r="A16" i="2"/>
  <c r="B15" i="2"/>
  <c r="J12" i="2"/>
  <c r="I13" i="2"/>
  <c r="I16" i="2"/>
  <c r="A12" i="2"/>
  <c r="E15" i="2"/>
  <c r="E13" i="2"/>
  <c r="G12" i="2"/>
  <c r="E16" i="2"/>
  <c r="D12" i="2"/>
  <c r="H14" i="2"/>
  <c r="F12" i="2"/>
  <c r="A14" i="2"/>
  <c r="I15" i="2"/>
  <c r="C12" i="2"/>
  <c r="J13" i="2"/>
  <c r="H12" i="2"/>
  <c r="C14" i="2"/>
  <c r="D14" i="2"/>
  <c r="F16" i="2"/>
  <c r="B13" i="2"/>
  <c r="J15" i="2"/>
  <c r="J14" i="2"/>
  <c r="G14" i="2"/>
  <c r="H15" i="2"/>
  <c r="G16" i="2"/>
  <c r="G15" i="2"/>
  <c r="E14" i="2"/>
  <c r="C16" i="2"/>
  <c r="G13" i="2"/>
  <c r="A15" i="2"/>
  <c r="B12" i="2"/>
  <c r="F15" i="2"/>
  <c r="D13" i="2"/>
  <c r="H16" i="2"/>
  <c r="I14" i="2"/>
  <c r="G7" i="4"/>
  <c r="E7" i="2"/>
  <c r="C7" i="2"/>
  <c r="U3" i="9"/>
  <c r="P5" i="9"/>
  <c r="P4" i="9"/>
  <c r="P3" i="9"/>
  <c r="R5" i="9"/>
  <c r="R4" i="9"/>
  <c r="R3" i="9"/>
  <c r="Q5" i="9"/>
  <c r="Q4" i="9"/>
  <c r="Q3" i="9"/>
  <c r="A7" i="4"/>
  <c r="A7" i="2"/>
  <c r="I13" i="19" l="1"/>
  <c r="S13" i="19" s="1"/>
  <c r="J13" i="19"/>
  <c r="L13" i="19"/>
  <c r="I14" i="19"/>
  <c r="S14" i="19" s="1"/>
  <c r="J14" i="19"/>
  <c r="L14" i="19"/>
  <c r="B3" i="19"/>
  <c r="C3" i="19"/>
  <c r="D3" i="19"/>
  <c r="I15" i="19"/>
  <c r="S15" i="19" s="1"/>
  <c r="J15" i="19"/>
  <c r="L15" i="19"/>
  <c r="I16" i="19"/>
  <c r="S16" i="19" s="1"/>
  <c r="J16" i="19"/>
  <c r="L16" i="19"/>
  <c r="I17" i="19"/>
  <c r="S17" i="19" s="1"/>
  <c r="J17" i="19"/>
  <c r="L17" i="19"/>
  <c r="I18" i="19"/>
  <c r="S18" i="19" s="1"/>
  <c r="J18" i="19"/>
  <c r="L18" i="19"/>
  <c r="I19" i="19"/>
  <c r="S19" i="19" s="1"/>
  <c r="J19" i="19"/>
  <c r="L19" i="19"/>
  <c r="I26" i="19"/>
  <c r="S26" i="19" s="1"/>
  <c r="J26" i="19"/>
  <c r="L26" i="19"/>
  <c r="I27" i="19"/>
  <c r="J27" i="19"/>
  <c r="L27" i="19"/>
  <c r="S27" i="19"/>
  <c r="I29" i="19"/>
  <c r="S29" i="19" s="1"/>
  <c r="J29" i="19"/>
  <c r="L29" i="19"/>
  <c r="I30" i="19"/>
  <c r="S30" i="19" s="1"/>
  <c r="J30" i="19"/>
  <c r="L30" i="19"/>
  <c r="I20" i="19"/>
  <c r="S20" i="19" s="1"/>
  <c r="J20" i="19"/>
  <c r="L20" i="19"/>
  <c r="I21" i="19"/>
  <c r="S21" i="19" s="1"/>
  <c r="J21" i="19"/>
  <c r="L21" i="19"/>
  <c r="I22" i="19"/>
  <c r="S22" i="19" s="1"/>
  <c r="J22" i="19"/>
  <c r="L22" i="19"/>
  <c r="I23" i="19"/>
  <c r="J23" i="19"/>
  <c r="L23" i="19"/>
  <c r="S23" i="19"/>
  <c r="I24" i="19"/>
  <c r="J24" i="19"/>
  <c r="L24" i="19"/>
  <c r="S24" i="19"/>
  <c r="I25" i="19"/>
  <c r="S25" i="19" s="1"/>
  <c r="J25" i="19"/>
  <c r="L25" i="19"/>
  <c r="I28" i="19"/>
  <c r="J28" i="19"/>
  <c r="L28" i="19"/>
  <c r="S28" i="19"/>
  <c r="I31" i="19"/>
  <c r="S31" i="19" s="1"/>
  <c r="J31" i="19"/>
  <c r="L31" i="19"/>
  <c r="G18" i="19" l="1"/>
  <c r="T24" i="19"/>
  <c r="T30" i="19"/>
  <c r="G16" i="19"/>
  <c r="G19" i="19"/>
  <c r="G26" i="19"/>
  <c r="T16" i="19"/>
  <c r="T25" i="19"/>
  <c r="G20" i="19"/>
  <c r="T13" i="19"/>
  <c r="T19" i="19"/>
  <c r="G22" i="19"/>
  <c r="U25" i="19"/>
  <c r="G28" i="19"/>
  <c r="G27" i="19"/>
  <c r="T22" i="19"/>
  <c r="G15" i="19"/>
  <c r="U19" i="19"/>
  <c r="U13" i="19"/>
  <c r="G14" i="19"/>
  <c r="U16" i="19"/>
  <c r="T14" i="19"/>
  <c r="T26" i="19"/>
  <c r="U26" i="19"/>
  <c r="T21" i="19"/>
  <c r="T23" i="19"/>
  <c r="U21" i="19"/>
  <c r="G25" i="19"/>
  <c r="T31" i="19"/>
  <c r="T17" i="19"/>
  <c r="U24" i="19"/>
  <c r="T28" i="19"/>
  <c r="G24" i="19"/>
  <c r="G29" i="19"/>
  <c r="T20" i="19"/>
  <c r="U17" i="19"/>
  <c r="A3" i="19"/>
  <c r="G21" i="19"/>
  <c r="G23" i="19"/>
  <c r="U22" i="19"/>
  <c r="U30" i="19"/>
  <c r="G17" i="19"/>
  <c r="G13" i="19"/>
  <c r="U20" i="19"/>
  <c r="T27" i="19"/>
  <c r="U14" i="19"/>
  <c r="G30" i="19"/>
  <c r="G31" i="19"/>
  <c r="T18" i="19"/>
  <c r="T29" i="19"/>
  <c r="T15" i="19"/>
  <c r="U27" i="19"/>
  <c r="U23" i="19"/>
  <c r="U31" i="19"/>
  <c r="U28" i="19"/>
  <c r="U18" i="19"/>
  <c r="U15" i="19"/>
  <c r="U29"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Copilot</author>
  </authors>
  <commentList>
    <comment ref="A2" authorId="0" shapeId="0" xr:uid="{00000000-0006-0000-0C00-000001000000}">
      <text>
        <r>
          <rPr>
            <sz val="11"/>
            <color theme="1"/>
            <rFont val="Calibri"/>
            <family val="2"/>
            <scheme val="minor"/>
          </rPr>
          <t>Updated from the SLT Action Tracker - Proposed Version email and attached SLT_Action Tracker_Master.xlsx opened in Outlook. Added CFO governance recommendations discussed in the conversation.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<sst xmlns="http://schemas.openxmlformats.org/spreadsheetml/2006/main" count="3926" uniqueCount="2665">
  <si>
    <t>SLT Tracker — 5-Minute Executive Summary</t>
  </si>
  <si>
    <t>Purpose: a fast read of the workbook’s main topics, risk highlights, and executive action items as of Jul 22, 2026.</t>
  </si>
  <si>
    <t>Summary date</t>
  </si>
  <si>
    <t>Story in Brief</t>
  </si>
  <si>
    <t>This workbook is a board-ready SLT action and decision tracker. The immediate management focus is six active action records, especially overdue compensation/HR items, critical ASP Go-Live readiness, CFO governance controls, and items requiring CEO/CFO escalation. The dashboards and board summaries show the same executive metrics, while the Action Register and Decision Queue hold the working detail. The Decision Register is structured for permanent records but does not yet contain logged decision details.</t>
  </si>
  <si>
    <t>Open Actions</t>
  </si>
  <si>
    <t>Overdue</t>
  </si>
  <si>
    <t>Critical Priority</t>
  </si>
  <si>
    <t>High Risk</t>
  </si>
  <si>
    <t>Active, non-completed records</t>
  </si>
  <si>
    <t>Due before summary date</t>
  </si>
  <si>
    <t>Priority = Critical</t>
  </si>
  <si>
    <t>Risk Impact = High</t>
  </si>
  <si>
    <t>Escalations</t>
  </si>
  <si>
    <t>ASP Go-Live Items</t>
  </si>
  <si>
    <t>Active Decisions</t>
  </si>
  <si>
    <t>Logged Decisions</t>
  </si>
  <si>
    <t>Escalation Required = Yes</t>
  </si>
  <si>
    <t>Strategic Objective = ASP Go-Live</t>
  </si>
  <si>
    <t>Decision Queue items with detail</t>
  </si>
  <si>
    <t>Decision summaries recorded</t>
  </si>
  <si>
    <t>Main Topics Covered</t>
  </si>
  <si>
    <t>Topic</t>
  </si>
  <si>
    <t>What it means</t>
  </si>
  <si>
    <t>Where to read</t>
  </si>
  <si>
    <t>#</t>
  </si>
  <si>
    <t>Highlight</t>
  </si>
  <si>
    <t>SLT action tracking</t>
  </si>
  <si>
    <t>The central register tracks owners, due dates, next actions, status, priority, risk, escalation, financial impact, and strategic alignment.</t>
  </si>
  <si>
    <t>Action Register</t>
  </si>
  <si>
    <t>The active action set is small but executive-heavy: six open actions, five escalation flags, three high-risk items, and two critical-priority items.</t>
  </si>
  <si>
    <t>Board / SLT summary</t>
  </si>
  <si>
    <t>Board-ready snapshot of open, overdue, critical, high-risk, escalation, and ASP Go-Live items.</t>
  </si>
  <si>
    <t>Board Summary (2)</t>
  </si>
  <si>
    <t>Gene owns two open actions and both overdue items; the compensation/wage item is already past due and needs status confirmation.</t>
  </si>
  <si>
    <t>Executive dashboard</t>
  </si>
  <si>
    <t>Owner and strategic-objective views that show where attention is concentrated.</t>
  </si>
  <si>
    <t>Executive Dashboard (2)</t>
  </si>
  <si>
    <t>ASP Go-Live is the clearest strategic risk: it is critical, high-risk, escalated, financially material (&gt;$250K), and requires cross-functional inputs.</t>
  </si>
  <si>
    <t>ASP Go-Live readiness</t>
  </si>
  <si>
    <t>A dedicated executive workstream for licensing, construction, operations readiness, HR, training, ERP, capital spend, customer transition, and risk register inputs.</t>
  </si>
  <si>
    <t>Action Register / Decision Queue</t>
  </si>
  <si>
    <t>CFO Governance &amp; Controls is also critical/high-risk/escalated and is intended to become a live control register.</t>
  </si>
  <si>
    <t>Governance &amp; controls</t>
  </si>
  <si>
    <t>CFO-led visibility for DOA, contracts, AI governance, incident management, audit findings, grants, legal review, and controls.</t>
  </si>
  <si>
    <t>Action Register / Enhancement Log</t>
  </si>
  <si>
    <t>The Decision Queue has two active CEO/CFO attention items: tracker governance structure due Jul 22 and separate ASP Go-Live executive section due Jul 24.</t>
  </si>
  <si>
    <t>Decision queue and register</t>
  </si>
  <si>
    <t>Pending decisions are queued for CEO/CFO/SLT alignment; the permanent decision log is prepared but not yet populated with real decision details.</t>
  </si>
  <si>
    <t>Decision Queue / Decision Register</t>
  </si>
  <si>
    <t>There are duplicate Board Summary and Executive Dashboard sheets; the “(2)” versions appear cleaner and more board-readable than the older versions.</t>
  </si>
  <si>
    <t>Controls and dropdowns</t>
  </si>
  <si>
    <t>Standard lists define status, priority, risk, financial impact, decision type, workstream, and ASP readiness streams.</t>
  </si>
  <si>
    <t>Lists &amp; Controls</t>
  </si>
  <si>
    <t>Action Items for You / Executive Reviewer</t>
  </si>
  <si>
    <t>Priority</t>
  </si>
  <si>
    <t>Action item</t>
  </si>
  <si>
    <t>Owner / source</t>
  </si>
  <si>
    <t>Timing</t>
  </si>
  <si>
    <t>Minute</t>
  </si>
  <si>
    <t>Read this</t>
  </si>
  <si>
    <t>Why</t>
  </si>
  <si>
    <t>Confirm whether to adopt the enhanced tracker governance model, required fields, and dashboard structure.</t>
  </si>
  <si>
    <t>Decision Queue: DEC-0001 / Sandy</t>
  </si>
  <si>
    <t>KPI tiles on this sheet</t>
  </si>
  <si>
    <t>Know the scale and urgency immediately.</t>
  </si>
  <si>
    <t>Resolve overdue Gene-owned items, especially wage increase review and payroll advance policy follow-through.</t>
  </si>
  <si>
    <t>Action Register: SLT-0001, SLT-0002 / Gene</t>
  </si>
  <si>
    <t>Immediate</t>
  </si>
  <si>
    <t>Top Highlights</t>
  </si>
  <si>
    <t>Understand the executive storyline.</t>
  </si>
  <si>
    <t>Treat ASP Go-Live as a separate executive workstream and confirm owner, cadence, and readiness sub-stream reporting.</t>
  </si>
  <si>
    <t>Decision Queue: DEC-0002 / Maurizio</t>
  </si>
  <si>
    <t>Action Items</t>
  </si>
  <si>
    <t>Decide what you need to approve, escalate, or ask for.</t>
  </si>
  <si>
    <t>Review critical/high-risk escalations first: ASP Go-Live readiness, CFO Governance &amp; Controls, and financial impact classification.</t>
  </si>
  <si>
    <t>Action Register: SLT-0003, SLT-0004, SLT-0005</t>
  </si>
  <si>
    <t>Next SLT review</t>
  </si>
  <si>
    <t>Review board-facing items requiring attention.</t>
  </si>
  <si>
    <t>Require missing financial materiality details where marked Unknown / TBD before board discussion.</t>
  </si>
  <si>
    <t>Before board review</t>
  </si>
  <si>
    <t>Decision Queue</t>
  </si>
  <si>
    <t>Confirm what needs CEO/CFO/SLT direction.</t>
  </si>
  <si>
    <t>After decisions are made, move outcomes into the permanent Decision Register with decision maker, rationale, follow-up owner, and due date.</t>
  </si>
  <si>
    <t>Decision Register</t>
  </si>
  <si>
    <t>After each decision</t>
  </si>
  <si>
    <t>Consolidate duplicate dashboard/summary versions so the workbook has one authoritative board view.</t>
  </si>
  <si>
    <t>Board Summary / Executive Dashboard</t>
  </si>
  <si>
    <t>Before circulation</t>
  </si>
  <si>
    <t>Important workbook notes</t>
  </si>
  <si>
    <t>SLT Action Tracker - Board Summary</t>
  </si>
  <si>
    <t>Prepared for executive review. Focus areas: overdue decisions, critical/high-risk items, escalation points, ASP Go-Live readiness, and governance controls.</t>
  </si>
  <si>
    <t>Prepared for</t>
  </si>
  <si>
    <t>SLT / Board Review</t>
  </si>
  <si>
    <t>Prepared by</t>
  </si>
  <si>
    <t>Version</t>
  </si>
  <si>
    <t>Date</t>
  </si>
  <si>
    <t>Items Requiring Executive Attention</t>
  </si>
  <si>
    <t>ID</t>
  </si>
  <si>
    <t>Item</t>
  </si>
  <si>
    <t>Owner</t>
  </si>
  <si>
    <t>Due Date</t>
  </si>
  <si>
    <t>Status</t>
  </si>
  <si>
    <t>Risk</t>
  </si>
  <si>
    <t>Escalation</t>
  </si>
  <si>
    <t>Strategic Objective</t>
  </si>
  <si>
    <t>Board Note</t>
  </si>
  <si>
    <t>Recommended Review Sequence</t>
  </si>
  <si>
    <t>Board-Ready Controls Added</t>
  </si>
  <si>
    <t>1. Review overdue, critical, high-risk and escalation items first.</t>
  </si>
  <si>
    <t>• Priority and risk rating</t>
  </si>
  <si>
    <t>2. Review ASP Go-Live as a stand-alone executive workstream.</t>
  </si>
  <si>
    <t>• Strategic objective alignment</t>
  </si>
  <si>
    <t>3. Review Governance &amp; Controls as a CFO-led control register.</t>
  </si>
  <si>
    <t>• Financial impact classification</t>
  </si>
  <si>
    <t>4. Confirm decision queue items needing CEO/CFO/SLT direction.</t>
  </si>
  <si>
    <t>• CEO/CFO escalation flag</t>
  </si>
  <si>
    <t>5. Confirm owners, due dates, blockers and follow-up evidence.</t>
  </si>
  <si>
    <t>• ASP readiness stream</t>
  </si>
  <si>
    <t>• Decision queue and permanent register</t>
  </si>
  <si>
    <t>Executive Dashboard</t>
  </si>
  <si>
    <t>Board-ready view of open actions, overdue items, risk, escalation, ASP Go-Live, and owner accountability.</t>
  </si>
  <si>
    <t>Open</t>
  </si>
  <si>
    <t>At Risk / Stuck</t>
  </si>
  <si>
    <t>Open Items</t>
  </si>
  <si>
    <t>Gene</t>
  </si>
  <si>
    <t>ASP Go-Live</t>
  </si>
  <si>
    <t>Dave</t>
  </si>
  <si>
    <t>Governance</t>
  </si>
  <si>
    <t>Maurizio</t>
  </si>
  <si>
    <t>Cost Reduction</t>
  </si>
  <si>
    <t>Tom</t>
  </si>
  <si>
    <t>People &amp; Culture</t>
  </si>
  <si>
    <t>Tony</t>
  </si>
  <si>
    <t>Sierra Growth</t>
  </si>
  <si>
    <t>Sherry</t>
  </si>
  <si>
    <t>Federal Licence</t>
  </si>
  <si>
    <t>Sandy</t>
  </si>
  <si>
    <t>Food Safety</t>
  </si>
  <si>
    <t>Other</t>
  </si>
  <si>
    <t>Commercial Growth</t>
  </si>
  <si>
    <t>Executive Summary Charts</t>
  </si>
  <si>
    <t>Recommended Weekly SLT Review Sequence</t>
  </si>
  <si>
    <t>1. Review Critical / High Risk / Escalation items first.</t>
  </si>
  <si>
    <t>2. Review ASP Go-Live and Governance &amp; Controls as separate executive categories.</t>
  </si>
  <si>
    <t>3. Confirm overdue decisions and items requiring CEO/CFO attention.</t>
  </si>
  <si>
    <t>4. Review owner accountability dashboard for bottlenecks.</t>
  </si>
  <si>
    <t>5. Move decisions from Decision Queue to Decision Log once made, with follow-up owner and due date.</t>
  </si>
  <si>
    <t>High Priority</t>
  </si>
  <si>
    <t>Over Due</t>
  </si>
  <si>
    <t>Critical  priority</t>
  </si>
  <si>
    <t>high priority</t>
  </si>
  <si>
    <t>Updated</t>
  </si>
  <si>
    <t>SLT Action Register</t>
  </si>
  <si>
    <t>Board-ready action log with priority, risk, strategic alignment, financial impact, escalation, and ASP Go-Live visibility.</t>
  </si>
  <si>
    <t>SLT Item ID</t>
  </si>
  <si>
    <t>Category</t>
  </si>
  <si>
    <t>Next Action</t>
  </si>
  <si>
    <t>Flag</t>
  </si>
  <si>
    <t>Risk Impact</t>
  </si>
  <si>
    <t>Escalation Required</t>
  </si>
  <si>
    <t>Financial Impact</t>
  </si>
  <si>
    <t>ASP Readiness Stream</t>
  </si>
  <si>
    <t>Blocker / Waiting On</t>
  </si>
  <si>
    <t>Notes</t>
  </si>
  <si>
    <t>Date Added</t>
  </si>
  <si>
    <t>Last Updated</t>
  </si>
  <si>
    <t>SLT Immutable Key</t>
  </si>
  <si>
    <t>Active Record</t>
  </si>
  <si>
    <t>Employee Payroll Advances</t>
  </si>
  <si>
    <t>Human Resources</t>
  </si>
  <si>
    <t>Review and refine the draft Payroll Advance Policy and return via Decision Brief for approval by July 20.</t>
  </si>
  <si>
    <t>In Progress</t>
  </si>
  <si>
    <t>Medium</t>
  </si>
  <si>
    <t>No</t>
  </si>
  <si>
    <t>Unknown / TBD</t>
  </si>
  <si>
    <t>N/A</t>
  </si>
  <si>
    <t>Governance fields added for SLT visibility.</t>
  </si>
  <si>
    <t>SLT-K-0001</t>
  </si>
  <si>
    <t>Annual Wage Increase Review and Implementation Plan</t>
  </si>
  <si>
    <t>Compensation</t>
  </si>
  <si>
    <t>Implement approved August increases.
Manager communication materials prepared.
Review December salary and pay-band alignment strategy in Q4. Item to remain open until approval is finalized and changes are communicated.</t>
  </si>
  <si>
    <t>Completed</t>
  </si>
  <si>
    <t>High</t>
  </si>
  <si>
    <t>Yes</t>
  </si>
  <si>
    <t>Completed September 4, 2026.
Letters have been distributed to managers for communication with employees, including 3 salaries eimployees. Sharon Jemima - letter to be provided to Sherry for delivery. Rick Wark and Carol Maia - letters to be provided to Tony to communicate.</t>
  </si>
  <si>
    <t>SLT-K-0002</t>
  </si>
  <si>
    <t>ASP Go-Live Executive Readiness Tracker</t>
  </si>
  <si>
    <t>Create consolidated readiness view covering licensing, construction, operations readiness, HR, training, ERP, capital spend, customer transition and risk register.</t>
  </si>
  <si>
    <t>Cancelled</t>
  </si>
  <si>
    <t>Low</t>
  </si>
  <si>
    <t>&gt;$250K</t>
  </si>
  <si>
    <t>Operations Readiness</t>
  </si>
  <si>
    <t>Requires cross-functional inputs</t>
  </si>
  <si>
    <t>Executive workstream control for ASP Go-Live readiness.</t>
  </si>
  <si>
    <t>SLT-K-0003</t>
  </si>
  <si>
    <t>CFO Governance &amp; Controls Register</t>
  </si>
  <si>
    <t>Governance &amp; Controls</t>
  </si>
  <si>
    <t>Maintain live register of DOA, contract policy, AI governance, incident management, internal audit findings, grant compliance and legal review items.</t>
  </si>
  <si>
    <t>CFO governance visibility for policies, internal audit, grants, legal review, and controls.</t>
  </si>
  <si>
    <t>SLT-K-0004</t>
  </si>
  <si>
    <t>Financial Impact Classification for Open SLT Items</t>
  </si>
  <si>
    <t>Finance</t>
  </si>
  <si>
    <t>Classify open SLT items by estimated financial impact and identify items requiring CFO/CEO review.</t>
  </si>
  <si>
    <t>$50K-$250K</t>
  </si>
  <si>
    <t>Financial materiality classification for open SLT items.</t>
  </si>
  <si>
    <t>SLT-K-0005</t>
  </si>
  <si>
    <t>Owner Accountability Dashboard Review</t>
  </si>
  <si>
    <t>Add owner-level summary of open, overdue and at-risk actions to improve weekly SLT accountability reporting.</t>
  </si>
  <si>
    <t>Dashboard control for weekly owner accountability.</t>
  </si>
  <si>
    <t>SLT-K-0006</t>
  </si>
  <si>
    <t>ASP Gap Analysis - Ron Judge</t>
  </si>
  <si>
    <t>Engaged Ron Judge to formalize scope of work and deliverables to perform the formal readiness and gap assessment.
Continue with Practical Approach for:
Equipment and maintenance support, maintenance system setup, and remains available to provide targeted support once specific gaps have been identified.</t>
  </si>
  <si>
    <t>Options Considered: Ron Judge, Practical Approach, MNP.
Ron Judge presented to SLT on August 17. Action and and ownership teams were assigned and transitioned to the weekly ASP Go-Live meetings for tracking and execution.</t>
  </si>
  <si>
    <t>SLT-K-0007</t>
  </si>
  <si>
    <t xml:space="preserve">Develop a Performance Plan for Tatiana </t>
  </si>
  <si>
    <t>Adam</t>
  </si>
  <si>
    <t>Performance plan complete and deliver written operational improvement plan including KPIs, milestones (30/60/90 days), and review checkpoints. Meet with Tatiana by the end of the week, October 9.</t>
  </si>
  <si>
    <t>SLT-K-0008</t>
  </si>
  <si>
    <t xml:space="preserve">Editable Organization Charts </t>
  </si>
  <si>
    <t>Provide editable organization charts with open roles identified, replacing the current Canva versions to support ongoing updates and review</t>
  </si>
  <si>
    <t>SLT-K-0009</t>
  </si>
  <si>
    <t>Company Performance Update in lieu of Town Hall</t>
  </si>
  <si>
    <t>1. Issue company-wide communication with Q2 performance update.
2. Department Leads to communicate results with respective teams. Tom to discuss with HR and Sales teams.</t>
  </si>
  <si>
    <t>Internal Communication</t>
  </si>
  <si>
    <t>Communication went to company on September 11, 2026</t>
  </si>
  <si>
    <t>SLT-K-0010</t>
  </si>
  <si>
    <t>Standardizing Halal Certification Body Across AGC</t>
  </si>
  <si>
    <t>Risk &amp; Compliance</t>
  </si>
  <si>
    <r>
      <rPr>
        <b/>
        <i/>
        <sz val="10"/>
        <color rgb="FF000000"/>
        <rFont val="Aptos"/>
        <family val="2"/>
      </rPr>
      <t>Refer to Dec003 - on Decision Queue -</t>
    </r>
    <r>
      <rPr>
        <sz val="10"/>
        <color rgb="FF000000"/>
        <rFont val="Aptos"/>
        <family val="2"/>
      </rPr>
      <t xml:space="preserve"> Quotes obtained from CHFCA and MANA for certification of AGC facilities. Maintain the certification consistent and centralized. Recommendation is CHFCA. Tony and Sherry to hold a separate, private conversation with Dr. Imam Slimi on the certification.</t>
    </r>
  </si>
  <si>
    <t>Gathering Info</t>
  </si>
  <si>
    <t>Tony and Sherry to hold a separate, private conversation with Dr. Imam Slimi on the certification.</t>
  </si>
  <si>
    <t>SLT-K-0011</t>
  </si>
  <si>
    <t>PO Policy Rollout</t>
  </si>
  <si>
    <t>Rollout training. Full company-wide rollout of automated PO process in BC, including workflow routing and authorization controls.  Practical Approach selected as vendor based on $15K quote. Rollout trainging week of October 21.</t>
  </si>
  <si>
    <t>Brought from deferred decision on May 11, 2026. Evaluated 2 vendor proposals.  Sherry Crawford and Practical Approach.</t>
  </si>
  <si>
    <t>SLT-K-0012</t>
  </si>
  <si>
    <t>Bill S-211 Compliance</t>
  </si>
  <si>
    <t>AGC to complete the required minimal compliance reporting internally rather than engage MNP, avoiding the quoted $12.5K external cost, while remaining compliant with reporting requirements.</t>
  </si>
  <si>
    <t>SLT-K-0013</t>
  </si>
  <si>
    <t>2027 Civic Holiday - 2027 Planning Process</t>
  </si>
  <si>
    <t>Gene and David to evaluate the cost and implications of introducing the Civic Holiday as a paid company holiday effective 2027 and return with a recommendation for an SLT decision.</t>
  </si>
  <si>
    <t>Assigned</t>
  </si>
  <si>
    <t>SLT-K-0014</t>
  </si>
  <si>
    <t>YVF Yield Report</t>
  </si>
  <si>
    <t>Commercial</t>
  </si>
  <si>
    <r>
      <t xml:space="preserve">
Next step – Share the 60/40 split with YVF and provide visibility into the calculation methodology for a representative item.
The YVF ask – Keep penny profits whole versus percentage. To be discussed at the weekly call.
Exploring a long-term pricing approach aligned with the lease agreement, including annual pricing adjustments.
</t>
    </r>
    <r>
      <rPr>
        <b/>
        <sz val="10"/>
        <color rgb="FF000000"/>
        <rFont val="Aptos"/>
        <family val="2"/>
      </rPr>
      <t>First draft sent to YVF (50 cent change on boneless).</t>
    </r>
  </si>
  <si>
    <t>Original request - 1.	Confirm yield reports are being distributed to YVF stakeholders (Ryan and James).
2.	Add the dollar impact of yields to YVF reports.
Will support 2027 transfer price piece</t>
  </si>
  <si>
    <t>SLT-K-0015</t>
  </si>
  <si>
    <t>Workorder Closure &amp; Gross Profit Reporting</t>
  </si>
  <si>
    <r>
      <rPr>
        <b/>
        <sz val="10"/>
        <color rgb="FF000000"/>
        <rFont val="Aptos"/>
        <family val="2"/>
      </rPr>
      <t>(1)</t>
    </r>
    <r>
      <rPr>
        <sz val="10"/>
        <color rgb="FF000000"/>
        <rFont val="Aptos"/>
        <family val="2"/>
      </rPr>
      <t xml:space="preserve"> Effective Aug. 17, review work order closure status during daily DOR meetings to improve accountability and timely closure. </t>
    </r>
    <r>
      <rPr>
        <b/>
        <sz val="10"/>
        <color rgb="FF000000"/>
        <rFont val="Aptos"/>
        <family val="2"/>
      </rPr>
      <t>(2)</t>
    </r>
    <r>
      <rPr>
        <sz val="10"/>
        <color rgb="FF000000"/>
        <rFont val="Aptos"/>
        <family val="2"/>
      </rPr>
      <t xml:space="preserve"> Effective Sept. 1, incorporate gross profit metrics into KPI reporting to enhance operational and financial performance visibility. </t>
    </r>
    <r>
      <rPr>
        <b/>
        <sz val="10"/>
        <color rgb="FF000000"/>
        <rFont val="Aptos"/>
        <family val="2"/>
      </rPr>
      <t>(3)</t>
    </r>
    <r>
      <rPr>
        <sz val="10"/>
        <color rgb="FF000000"/>
        <rFont val="Aptos"/>
        <family val="2"/>
      </rPr>
      <t xml:space="preserve"> Ensure timely closure of work orders to support accurate gross profit reporting and KPI metrics.</t>
    </r>
  </si>
  <si>
    <t>SLT-K-0016</t>
  </si>
  <si>
    <t>Deloitte's Best Managed Companies</t>
  </si>
  <si>
    <r>
      <rPr>
        <sz val="10"/>
        <color theme="2" tint="-0.249977111117893"/>
        <rFont val="Aptos"/>
        <family val="2"/>
      </rPr>
      <t>Deloitte’s Best Managed Companies —
Key Milestones:
🔴 August 17 | SLT Approval of Employee Survey
🟠 August 18 | Stakeholder Sections Due
       Tom: Strategy 
       Adam: Capabilities and Innovation
       Dave: Section delivered excluding Sherry’s input on questions.
🟡 August 20 | Extension Granted
       Gene: Culture and Commitment 
🟢 August 24 | Launch Employee Survey
🔵 September 8 | Deloitte Lab Session (2:00pm-4:00pm)</t>
    </r>
    <r>
      <rPr>
        <sz val="10"/>
        <color rgb="FF000000"/>
        <rFont val="Aptos"/>
        <family val="2"/>
      </rPr>
      <t xml:space="preserve">
🟢 September 23 | Submit Draft to Deloitte coaches
🔵 October 16 | Final Online Submission</t>
    </r>
  </si>
  <si>
    <t>SLT-K-0017</t>
  </si>
  <si>
    <t>Finalize Sierra QA/FSQA Role</t>
  </si>
  <si>
    <t>Job description outstanding. Maurizio to forward a draft of current role to Enid.</t>
  </si>
  <si>
    <t>SLT-K-0018</t>
  </si>
  <si>
    <t>Hiring Strategy - ASP</t>
  </si>
  <si>
    <t>Maurizio to perform additional market research on rural location premiums and potential compensation adjustments for positions based in rural areas and provide findings and recommendations at future SLT meeting. Action closed, no longer needed, replaced with Review People Plan Budget for ASP.</t>
  </si>
  <si>
    <t>SLT-K-0019</t>
  </si>
  <si>
    <t>Grant Opportunities</t>
  </si>
  <si>
    <t>Sherry to present the partner evaluation framework, selection criteria, historical success rates, and review of grant applications from the last 12-24 months at the next SLT meeting</t>
  </si>
  <si>
    <t>Grant Opportunities – Sherry presented grant program performance, highlighting a 67% approval rate and $11.4M in funding secured. The grants application process, grant tracking methodology, and consultant selection criteria have been documented and standa</t>
  </si>
  <si>
    <t>SLT-K-0020</t>
  </si>
  <si>
    <t xml:space="preserve">Governance Policy Alignment (DOA, Incident Governance, PO Approval) </t>
  </si>
  <si>
    <t>Presented the first draft of the AGC Enterprise Governance Framework, including delegation of authority, approval thresholds, and incident escalation requirements. Hard copy of DOA handed out at the meeting. 
-Distribute the updated DOA, including Tom’s tier.
-Pending feedback from Dave S.</t>
  </si>
  <si>
    <t xml:space="preserve">
</t>
  </si>
  <si>
    <t>SLT-K-0021</t>
  </si>
  <si>
    <t>Division 9 Steel - Change Order</t>
  </si>
  <si>
    <t>Colin</t>
  </si>
  <si>
    <t>Approximately $600K of spend has been incurred or defined, with remaining scope continuing to be assessed as CFIA requirements continue to be identified. Total costs are trending above the $800K allowance due to unidentified snow shed and additional CFIA requirements.</t>
  </si>
  <si>
    <t>Capital Spend</t>
  </si>
  <si>
    <t>Per Colin's Decision Brief submission $410,559.82 remains available for interior alterations according to CBB.  What happened to the $800K?
Recall this monthly to SLT meetings until it is resolved.</t>
  </si>
  <si>
    <t>SLT-K-0022</t>
  </si>
  <si>
    <t>Construction Site Trailer Rental</t>
  </si>
  <si>
    <t>Operations</t>
  </si>
  <si>
    <t xml:space="preserve">Proceed with trailer rental arrangements. Colin to confirm trailer layout, occupancy requirements, furniture needs, and final placement location.
</t>
  </si>
  <si>
    <t>$10K-$50K</t>
  </si>
  <si>
    <t>Construction</t>
  </si>
  <si>
    <t>SLT-K-0023</t>
  </si>
  <si>
    <t>UWB Generator Pad Change Order</t>
  </si>
  <si>
    <r>
      <t>Obtain and share</t>
    </r>
    <r>
      <rPr>
        <b/>
        <sz val="10"/>
        <color rgb="FF000000"/>
        <rFont val="Aptos"/>
        <family val="2"/>
      </rPr>
      <t xml:space="preserve"> total credit amount once transformer is sold.</t>
    </r>
    <r>
      <rPr>
        <sz val="10"/>
        <color rgb="FF000000"/>
        <rFont val="Aptos"/>
        <family val="2"/>
      </rPr>
      <t xml:space="preserve">
Project remains substantially on budget against the $950K allowance, with an estimated variance of approximately $12K. Approximately 85% of the change order has been signed off, with the remaining approval expected this week, completing the contract process.</t>
    </r>
  </si>
  <si>
    <t>Recall this monthly to SLT meetings. Obtain and share total credit amount once transformer is sold.</t>
  </si>
  <si>
    <t>SLT-K-0024</t>
  </si>
  <si>
    <t>Chilled Water System Change Order 
(OCO-008)</t>
  </si>
  <si>
    <t>Final approval remains contingent on Coldbox meeting the agreed occupancy date (Dec 12); Coldbox confirmed verbally, but  not yet formally confirmed in wirting. Negotiated change order value has been reduced from approximately $406K to $200K.</t>
  </si>
  <si>
    <t>Leadership also maintained that responsibility for the omission rests with Coldbox and should not be transferred to its subcontractor.</t>
  </si>
  <si>
    <t>SLT-K-0025</t>
  </si>
  <si>
    <t>Team Visit to Baader Facility</t>
  </si>
  <si>
    <t>Engage Baader and identify suitable North American facility tour options.
Confirm recommended attendees (Adam, Tuhin, Maintenance Manager, Alexander).
Evaluate U.S. and Newfoundland sites and return with a proposed visit plan.</t>
  </si>
  <si>
    <t>SLT-K-0026</t>
  </si>
  <si>
    <t xml:space="preserve">Coaching on Interviewing Conduct </t>
  </si>
  <si>
    <r>
      <t xml:space="preserve">Coach Martin on structured interviewing and candidate evaluation process due to concerns raised regarding interview conduct.
Arrange for a meeting with Martin </t>
    </r>
    <r>
      <rPr>
        <b/>
        <sz val="10"/>
        <color rgb="FF000000"/>
        <rFont val="Aptos"/>
        <family val="2"/>
      </rPr>
      <t>and document conversation (Pending).</t>
    </r>
  </si>
  <si>
    <t>SLT-K-0027</t>
  </si>
  <si>
    <t>Add Peter Post as Plant Manager to Interview Process</t>
  </si>
  <si>
    <t>Include Peter Post in maintenance interviews to provide an additional perspective.</t>
  </si>
  <si>
    <t>SLT-K-0028</t>
  </si>
  <si>
    <t xml:space="preserve">Workorder Closure - Sierra
</t>
  </si>
  <si>
    <t>Sierra work order closures to be transitioned to finance.</t>
  </si>
  <si>
    <t>SLT-K-0029</t>
  </si>
  <si>
    <t xml:space="preserve">Prepare and Share the ASP Freezer Inventory Report
</t>
  </si>
  <si>
    <t>Sales</t>
  </si>
  <si>
    <t>Generate and share a current ASP freezer inventory report to assess inventory levels, customer demand opportunities, and potential impacts of holding versus discounting excess large-bird inventory.
Softer summer market resulted in additional volumes of extra-large and other size birds being placed into the freezer at ASP</t>
  </si>
  <si>
    <t>David includes this on the weekly KPI report</t>
  </si>
  <si>
    <t>SLT-K-0030</t>
  </si>
  <si>
    <t>Hiring Strategy – Timelines for Org Chart Positions</t>
  </si>
  <si>
    <t>SLT agreed that future staffing updates should include both the organizational structure and recruitment timelines to better assess hiring delays, associated risks, and potential financial impacts.</t>
  </si>
  <si>
    <t>HR Readiness</t>
  </si>
  <si>
    <t>Incorporated by August 17</t>
  </si>
  <si>
    <t>SLT-K-0031</t>
  </si>
  <si>
    <t>Add Peter Post as Plant Manager to Interview Process (at Sierra)</t>
  </si>
  <si>
    <t>Maurizio spoke to Peter and has been including him. This was open as a result of Martin - coaching action.</t>
  </si>
  <si>
    <t>SLT-K-0032</t>
  </si>
  <si>
    <t>Employee Launch Survey</t>
  </si>
  <si>
    <t>Launch the employee survey across the company</t>
  </si>
  <si>
    <t>Employee Survey Launched Sept 23 - email sent out</t>
  </si>
  <si>
    <t>SLT-K-0033</t>
  </si>
  <si>
    <t>Bonus Year-To-Date Communication</t>
  </si>
  <si>
    <t>1.	Dave, Tom and Gene to meet and confirm bonus calculator, including a floor and ceiling payout, for bonus program communication.
2.	Finalize manager specific bonus guidance to be sent out separate from Q2 company-wide update.
Next step: Review at the Finance meeting on Thursday, September 3. Allocate time in the September strategy sessions to discuss compensation framework and bonus structure discussion.</t>
  </si>
  <si>
    <t>August 27 - Dave communicated the file and names to SLT.</t>
  </si>
  <si>
    <t>SLT-K-0034</t>
  </si>
  <si>
    <t>Review December salary and pay-band alignment strategy in Q4</t>
  </si>
  <si>
    <t>Review December salary and pay-band alignment strategy in Q4 Develop and finalize 2027 salary review and pay band process. Meet to align performance review timing, salary recommendations, budget assumptions, and January 1 implementation approach for 2027. Gene to simplify performance review template.
Gene and Dave to meet and return to SLT. 
Item to remain open until approval is finalized and changes are communicated.</t>
  </si>
  <si>
    <t>SLT-K-0035</t>
  </si>
  <si>
    <t>RTRI Funding Application - Reapplication</t>
  </si>
  <si>
    <t>Prepare and submit the application for up to $2 million in non-repayable funding and support the reassessment of the AQM application. Team to include Dave, Adam, Colin, Tom.
Target completion date - 2 weeks
Update: Application process formally initiated. Colin and team met with Grant Synergy to begin preparing the funding application, with a target to complete within two weeks. Dave performing assessment.</t>
  </si>
  <si>
    <t>SLT-K-0036</t>
  </si>
  <si>
    <t>TRQ Application &amp; Workback Schedule</t>
  </si>
  <si>
    <t>Develop and document a formal SOP for the TRQ application process (Harsha to complete and present SOP).
Create a workback schedule to include the SLT review 2 weeks prior to submission.</t>
  </si>
  <si>
    <t>Per Dave, Harsha working on SOP and Dave to bring up at the Finance meeting the week of Sept 28.</t>
  </si>
  <si>
    <t>SLT-K-0037</t>
  </si>
  <si>
    <t>TRQ Dates - Add to SLT Calendar</t>
  </si>
  <si>
    <t>Update the SLT calendar with TRQ application deadlines.</t>
  </si>
  <si>
    <t>SLT-K-0038</t>
  </si>
  <si>
    <t>Lamex - Complete &amp; Submit Product Marketing Materials</t>
  </si>
  <si>
    <r>
      <t>Complete and submit product marketing materials (videos, photos, measurements, and specifications) to Lamex to facilitate product review and support future export market opportunities.</t>
    </r>
    <r>
      <rPr>
        <b/>
        <sz val="10"/>
        <color rgb="FF000000"/>
        <rFont val="Aptos"/>
        <family val="2"/>
      </rPr>
      <t xml:space="preserve"> Andrew Lash managing client.</t>
    </r>
  </si>
  <si>
    <t>SLT-K-0039</t>
  </si>
  <si>
    <t>Sysco Volume Decline</t>
  </si>
  <si>
    <t>Review Sysco volume decline and identify root cause of reduced sales performance.
Mark as completed - refer to item SLT-0041 (Quarterly Sysco Volume Accountability)</t>
  </si>
  <si>
    <t>SLT-K-0040</t>
  </si>
  <si>
    <t>Quarterly Sysco Volume Accountability</t>
  </si>
  <si>
    <r>
      <t xml:space="preserve">To reinstate the Quarterly volume tracking for Sysco/Popeyes and hold client accountable.
</t>
    </r>
    <r>
      <rPr>
        <i/>
        <sz val="10"/>
        <color rgb="FF000000"/>
        <rFont val="Aptos"/>
        <family val="2"/>
      </rPr>
      <t>Update:</t>
    </r>
    <r>
      <rPr>
        <sz val="10"/>
        <color rgb="FF000000"/>
        <rFont val="Aptos"/>
        <family val="2"/>
      </rPr>
      <t xml:space="preserve"> Tom is participating in ongoing meetings with Jason to review volume forecasts and actual performance. Action item can be closed; volume performance will be shared with the team monthly at the Thursday Finance meeting.
Note: David and Enid track it and update it weekly on an Excel file.
Move item to Finance meeting, once per month. Add to the Agenda.</t>
    </r>
  </si>
  <si>
    <t>SLT-K-0041</t>
  </si>
  <si>
    <t>$700K Risk - Maple Leaf Insurance Claim Risk</t>
  </si>
  <si>
    <r>
      <t xml:space="preserve">Maple Leaf Claim – Request Meeting
If no substantive response received week of October 5, request a face-to-face meeting, scheduled about two weeks out.
Insurance claim remains under review and has not yet been approved. </t>
    </r>
    <r>
      <rPr>
        <b/>
        <sz val="10"/>
        <color rgb="FF000000"/>
        <rFont val="Aptos"/>
        <family val="2"/>
      </rPr>
      <t xml:space="preserve"> Status/Risk: </t>
    </r>
    <r>
      <rPr>
        <sz val="10"/>
        <color rgb="FF000000"/>
        <rFont val="Aptos"/>
        <family val="2"/>
      </rPr>
      <t>The amount remains recorded in the balance sheet. If unresolved by year-end, it will need to be brought to EBITDA.</t>
    </r>
  </si>
  <si>
    <t>SLT-K-0042</t>
  </si>
  <si>
    <t>$200K - Inventory issue from 2025 year-end</t>
  </si>
  <si>
    <t xml:space="preserve">Remaining ~$90K of $200K has been identified and is planned for write-off in September, along with related month-end adjustments and invoice matching.
</t>
  </si>
  <si>
    <t>Resolve and record the $200K inventory variance from FY2025 year-end</t>
  </si>
  <si>
    <t>SLT-K-0043</t>
  </si>
  <si>
    <t>DSI Machine (Camera) Root Cause Analysis ($80K value equipment)</t>
  </si>
  <si>
    <t>Tatiana to complete Root Cause Analysis / Corrective Actions</t>
  </si>
  <si>
    <t>SLT-K-0044</t>
  </si>
  <si>
    <t>ASP Generator</t>
  </si>
  <si>
    <t>Address Issues</t>
  </si>
  <si>
    <t>SLT-K-0045</t>
  </si>
  <si>
    <t>Inventory Levels / Inventory Carrying Costs</t>
  </si>
  <si>
    <t>To address elevated inventory levels and associated carrying costs, a temporary $0.35/kg surcharge was implemented on Maple Leaf tempering orders and will be reviewed as inventory levels improve. Cost has been added.</t>
  </si>
  <si>
    <t>SLT-K-0046</t>
  </si>
  <si>
    <t>Customer Invoice Pricing Discrepancies - Assess Scope and Impact</t>
  </si>
  <si>
    <t>Update: Steve provided an analysis. 
Mansi has been retrained on order of operations, and a manual check from Finance has been built into process. Issue occurs when volume changes from initial PO to final, specific steps and sequence is to be taken. The order was changed creating issue. This issue is specific to YVF. *****
Sept 28  - Conduct a review of customer invoice pricing discrepancies to determine scope, root cause, timing, and financial impact, and implement enhanced invoice verification controls to prevent recurrence.
Continue manual verification process in the meantime.</t>
  </si>
  <si>
    <t>Note:  Initial discrepancies identified in YVF and London Foods accounts; review underway to assess broader exposure.</t>
  </si>
  <si>
    <t>SLT-K-0047</t>
  </si>
  <si>
    <t xml:space="preserve">Sierra Reserved Parking Policy </t>
  </si>
  <si>
    <t>Sierra</t>
  </si>
  <si>
    <t>Develop and implement a reserved parking policy and procedures for the reserved parking spaces at Sierra.</t>
  </si>
  <si>
    <t>SLT-K-0048</t>
  </si>
  <si>
    <t>Talent Acquisition Resourcing Strategy</t>
  </si>
  <si>
    <t xml:space="preserve">
Complete a comparative assessment of internal talent acquisition capability versus external agency support, including hiring requirements, costs, timing, and ROI, and return with a recommendation for decision.</t>
  </si>
  <si>
    <t>Waiting on Information</t>
  </si>
  <si>
    <t>Waiting on Maurizio to provide information, cost analysis, option A &amp; B</t>
  </si>
  <si>
    <t>SLT-K-0049</t>
  </si>
  <si>
    <t>Plant Manager Weekly Operational Meetings</t>
  </si>
  <si>
    <t xml:space="preserve">
Define the metrics, data sources, and reporting expectations for Plant Manager participation in weekly operational meetings (to include FSQA, Operations and SLT). Target implementation: end of October.</t>
  </si>
  <si>
    <t>SLT-K-0050</t>
  </si>
  <si>
    <t>Customer Invoice Pricing Discrepancies - London Drugs</t>
  </si>
  <si>
    <t xml:space="preserve">
Confirm the pricing issue with London was human error. Follow up required.</t>
  </si>
  <si>
    <t>SLT-K-0051</t>
  </si>
  <si>
    <t xml:space="preserve">TRQ Application &amp; Workback Schedule
</t>
  </si>
  <si>
    <t>Develop and document a formal SOP for the TRQ application process.
Create a workback schedule (Harsha) to include the SLT review 2 weeks prior to submission. Due Oct 1 - Finance Meeting</t>
  </si>
  <si>
    <t>SLT-K-0052</t>
  </si>
  <si>
    <t>Analysis of Quota for 2027 – Impact of Redirecting Quota from Popeyes to Alternative Channels</t>
  </si>
  <si>
    <t>Perform analysis to evaluate the financial impact of reallocating quota from Popeyes to alternative channels (e.g. Loblaws feature programs or other customers).
Assess contribution margin, capacity utilization, white meat optimization, and overall profitability to determine the highest-value use of quota for 2027 planning.
Ongoing</t>
  </si>
  <si>
    <t>Visibility Only</t>
  </si>
  <si>
    <t>SLT-K-0053</t>
  </si>
  <si>
    <t>Vacation and Blackout Period Planning</t>
  </si>
  <si>
    <t>Circulate employee vacation balances and identify employees with significant unused vacation that may impact year-end operations</t>
  </si>
  <si>
    <t>SLT-K-0054</t>
  </si>
  <si>
    <t>Farmer Intake Process &amp; Ownership</t>
  </si>
  <si>
    <t>Ali to become the central coordinator for the farmer intake process.</t>
  </si>
  <si>
    <t>SLT-K-0055</t>
  </si>
  <si>
    <t>SLT-K-0056</t>
  </si>
  <si>
    <t>SLT-K-0057</t>
  </si>
  <si>
    <t>SLT-K-0058</t>
  </si>
  <si>
    <t>SLT-K-0059</t>
  </si>
  <si>
    <t>SLT-K-0060</t>
  </si>
  <si>
    <t>SLT-K-0061</t>
  </si>
  <si>
    <t>SLT-K-0062</t>
  </si>
  <si>
    <t>SLT-K-0063</t>
  </si>
  <si>
    <t>SLT-K-0064</t>
  </si>
  <si>
    <t>SLT-K-0065</t>
  </si>
  <si>
    <t>SLT-K-0066</t>
  </si>
  <si>
    <t>SLT-K-0067</t>
  </si>
  <si>
    <t>SLT-K-0068</t>
  </si>
  <si>
    <t>SLT-K-0069</t>
  </si>
  <si>
    <t>SLT-K-0070</t>
  </si>
  <si>
    <t>SLT-K-0071</t>
  </si>
  <si>
    <t>SLT-K-0072</t>
  </si>
  <si>
    <t>SLT-K-0073</t>
  </si>
  <si>
    <t>SLT-K-0074</t>
  </si>
  <si>
    <t>SLT-K-0075</t>
  </si>
  <si>
    <t>SLT-K-0076</t>
  </si>
  <si>
    <t>SLT-K-0077</t>
  </si>
  <si>
    <t>SLT-K-0078</t>
  </si>
  <si>
    <t>SLT-K-0079</t>
  </si>
  <si>
    <t>SLT-K-0080</t>
  </si>
  <si>
    <t>SLT-K-0081</t>
  </si>
  <si>
    <t>SLT-K-0082</t>
  </si>
  <si>
    <t>SLT-K-0083</t>
  </si>
  <si>
    <t>SLT-K-0084</t>
  </si>
  <si>
    <t>SLT-K-0085</t>
  </si>
  <si>
    <t>SLT-K-0086</t>
  </si>
  <si>
    <t>SLT-K-0087</t>
  </si>
  <si>
    <t>SLT-K-0088</t>
  </si>
  <si>
    <t>SLT-K-0089</t>
  </si>
  <si>
    <t>SLT-K-0090</t>
  </si>
  <si>
    <t>SLT-K-0091</t>
  </si>
  <si>
    <t>SLT-K-0092</t>
  </si>
  <si>
    <t>SLT-K-0093</t>
  </si>
  <si>
    <t>SLT-K-0094</t>
  </si>
  <si>
    <t>SLT-K-0095</t>
  </si>
  <si>
    <t>SLT-K-0096</t>
  </si>
  <si>
    <t>SLT-K-0097</t>
  </si>
  <si>
    <t>SLT-K-0098</t>
  </si>
  <si>
    <t>SLT-K-0099</t>
  </si>
  <si>
    <t>SLT-K-0100</t>
  </si>
  <si>
    <t>Pending decisions awaiting recommendation, approval, alignment, or executive direction.</t>
  </si>
  <si>
    <t>NEW ITEM: copy the fixed value shown as Next Queue ID on Lists &amp; Controls into Decision ID. ARCHIVE: copy columns A:AN for the completed decision and paste them into the next blank Decision Register row, then clear the Queue record.</t>
  </si>
  <si>
    <t>Decision ID</t>
  </si>
  <si>
    <t>Decision Required</t>
  </si>
  <si>
    <t>Workstream</t>
  </si>
  <si>
    <t>Assigned To</t>
  </si>
  <si>
    <t>Decision Deadline</t>
  </si>
  <si>
    <t>Recommendation</t>
  </si>
  <si>
    <t>Decision Type</t>
  </si>
  <si>
    <t>CEO/CFO Attention</t>
  </si>
  <si>
    <t>Decision Date</t>
  </si>
  <si>
    <t>Further Action Required</t>
  </si>
  <si>
    <t>Context / Input Required</t>
  </si>
  <si>
    <t>Owned By</t>
  </si>
  <si>
    <t>Requested By</t>
  </si>
  <si>
    <t>Date Raised</t>
  </si>
  <si>
    <t>Delay Impact / Risk</t>
  </si>
  <si>
    <t>Queue Immutable Key</t>
  </si>
  <si>
    <t>Decision Log ID</t>
  </si>
  <si>
    <t>Source Decision ID</t>
  </si>
  <si>
    <t>Decision Summary</t>
  </si>
  <si>
    <t>Decision Maker</t>
  </si>
  <si>
    <t>Original Issue</t>
  </si>
  <si>
    <t>Rationale</t>
  </si>
  <si>
    <t>Follow-up Status</t>
  </si>
  <si>
    <t>Requester</t>
  </si>
  <si>
    <t>Logged Date</t>
  </si>
  <si>
    <t>Decision Log Immutable Key</t>
  </si>
  <si>
    <t>Queue Source Key</t>
  </si>
  <si>
    <t>Parent Decision ID</t>
  </si>
  <si>
    <t>Consistency Check</t>
  </si>
  <si>
    <t>ID Origin</t>
  </si>
  <si>
    <t>ID Check</t>
  </si>
  <si>
    <t>DEC-0001</t>
  </si>
  <si>
    <t>Confirm SLT tracker governance fields and dashboard structure</t>
  </si>
  <si>
    <t>Adopt enhanced tracker with priority, risk, strategic alignment, financial impact and escalation fields.</t>
  </si>
  <si>
    <t>Governance Decision</t>
  </si>
  <si>
    <t>CEO &amp; CFO</t>
  </si>
  <si>
    <t>Agree which fields are mandatory for weekly SLT review.</t>
  </si>
  <si>
    <t>Without a standard data model, tracker may remain administrative rather than decision-focused.</t>
  </si>
  <si>
    <t>Proposed enhancement from CFO review.</t>
  </si>
  <si>
    <t>DECQ-K-0001</t>
  </si>
  <si>
    <t>Queue-issued</t>
  </si>
  <si>
    <t>DEC-0002</t>
  </si>
  <si>
    <t>Confirm separate ASP Go-Live executive section</t>
  </si>
  <si>
    <t>Track ASP as a separate executive workstream with readiness sub-streams rather than a generic Projects category.</t>
  </si>
  <si>
    <t>Deferred</t>
  </si>
  <si>
    <t>Strategic Decision</t>
  </si>
  <si>
    <t>Confirm owner and weekly reporting cadence.</t>
  </si>
  <si>
    <t>ASP risk may be diluted if tracked only as a generic project.</t>
  </si>
  <si>
    <t>Recommended due to ASP scale and governance visibility needs.</t>
  </si>
  <si>
    <t>DECQ-K-0002</t>
  </si>
  <si>
    <t>DEC-0003</t>
  </si>
  <si>
    <t>Standardize Halal Certification Body Across AGC</t>
  </si>
  <si>
    <r>
      <rPr>
        <b/>
        <i/>
        <sz val="10"/>
        <color rgb="FF404040"/>
        <rFont val="Aptos"/>
        <family val="2"/>
      </rPr>
      <t>Note: Tony &amp; Sherry to hold a separate, private conversaion with Dr. Imam Slimi on certification.</t>
    </r>
    <r>
      <rPr>
        <i/>
        <sz val="10"/>
        <color rgb="FF404040"/>
        <rFont val="Aptos"/>
        <family val="2"/>
      </rPr>
      <t xml:space="preserve"> Establish CHFCA as the primary corporate Halal certification body for future Halal certification activities across AQM, ASP and SCF. Existing customer or commercial requirements requiring alternative certification bodies would continue where necessary.</t>
    </r>
  </si>
  <si>
    <t>Approval Required</t>
  </si>
  <si>
    <t>SLT</t>
  </si>
  <si>
    <t>Gather pricing and information first. Follow up with Troy Warren regarding export-market certification requirements and recognized bodies.</t>
  </si>
  <si>
    <t>Multiple certification bodies increase administrative effort, create different audit and documentation requirements, and limit standardization.</t>
  </si>
  <si>
    <t>DECQ-K-0003</t>
  </si>
  <si>
    <t>DEC-0004</t>
  </si>
  <si>
    <t>2027 Civic Holiday - 2027 Planning  - Decision Brief</t>
  </si>
  <si>
    <t>Consider recognizing the Civic Holiday as a paid company holiday beginning in 2027. The cost of one additional paid day off is expected to be modest, while supporting employee recognition, engagement, and retention, and acknowledging employees’ contributions to AGC’s operations, growth priorities, customer commitments, and key initiatives.</t>
  </si>
  <si>
    <t>No immediate impact, as a decision is not being requested currently. The proposal is intended to be included in AGC’s 2027 planning discussions to allow sufficient time to evaluate the operational, financial, and cultural benefits and determine whether it aligns with our employee engagement strategy.</t>
  </si>
  <si>
    <t>No immediate impact.</t>
  </si>
  <si>
    <t>After 2027 Planning Sessions</t>
  </si>
  <si>
    <t>DEC-0005</t>
  </si>
  <si>
    <t>Approval to Hire a Talent Acquisition Manager / Specialist 12-month Contract</t>
  </si>
  <si>
    <t>Approve Option A: The TA role is not a one-person position.  For this role / department to be successful and sustainable, this needs to be a two-person team.  A two-person team will:
1.	Allows for faster search results which in turn will result in faster hiring
2.	Cost control: at $95K salary, we will eliminate the need for the next 12 months, to use external agencies and keep all work in house
3.	Develop an internal database of candidates for finance, trades and plant roles.</t>
  </si>
  <si>
    <t>Three options considered:
A.	Hire a 12-month contract Talent Acquisition Manager.
B.	Maintain agency support for capacity and critical hiring needs.
C.	Shift junior/hourly recruitment to HR Business Partners.</t>
  </si>
  <si>
    <t>Delaying approval will continue to put pressure on a limited resource, which will slow down results and activity.</t>
  </si>
  <si>
    <t>Decision deferred to October 26 pending further evaluation of hiring requirements, costs, timing, and ROI. Maurizio returns October 26 with cost of each option A &amp; B, forecast 2027 hiring volume by level, and YTD agency spend. Decision taken October 26.</t>
  </si>
  <si>
    <t>DEC-0006</t>
  </si>
  <si>
    <t>Permanent archive of decisions made, including historical decisions entered manually.</t>
  </si>
  <si>
    <t>QUEUE ITEM: paste columns A:AN from Decision Queue into the next blank row; its DEC ID is retained. HISTORICAL ITEM: enter the decision fields directly and a HIST-2026-### ID appears automatically. Column AO contains the protected immutable key.</t>
  </si>
  <si>
    <t>HIST-2026-001</t>
  </si>
  <si>
    <t>Work order closure
Plan to hit the 20th deadline</t>
  </si>
  <si>
    <t>→ Decided — work order closure delayed given current Sierra resource constraints.
Impact on month-end reporting accepted by SLT.
Matt to identify all open work orders — deadline June 17th.
Adam and David to force-close all open work orders by June 17th</t>
  </si>
  <si>
    <t>DEC-0001-L1</t>
  </si>
  <si>
    <t>YVF Price Increase</t>
  </si>
  <si>
    <t>Implement price increase</t>
  </si>
  <si>
    <t>Need to take price increases to offset labour/OH rates. Then standardize yield review and cost process next.</t>
  </si>
  <si>
    <t>2.5% Labour and OH Increase</t>
  </si>
  <si>
    <t>DECL-K-0001</t>
  </si>
  <si>
    <t>Missing queue key</t>
  </si>
  <si>
    <t>Historical/manual</t>
  </si>
  <si>
    <t>HISTK-2026-001</t>
  </si>
  <si>
    <t>HIST-2026-002</t>
  </si>
  <si>
    <t>→ Decided — Move forward with 2.5% Labour and OH increase = $180k annually effective July 1st.</t>
  </si>
  <si>
    <t>Monitor smooth transition from a financial perspective (PO's and invoices reflect correct updated pricing)</t>
  </si>
  <si>
    <t>DEC-0002-L1</t>
  </si>
  <si>
    <t>Popeyes Price Increase</t>
  </si>
  <si>
    <t>Boneless items - increase of $1.00. 2-piece - increase effective mid to end of August.</t>
  </si>
  <si>
    <t>DECL-K-0002</t>
  </si>
  <si>
    <t>HISTK-2026-002</t>
  </si>
  <si>
    <t>→ Decided — Boneless items - increase of $1.00.</t>
  </si>
  <si>
    <t>Monitor smooth transition. Coontinue to Monitor that POs, overrides, and deductions remain compliant.</t>
  </si>
  <si>
    <t>HISTK-2026-003</t>
  </si>
  <si>
    <t>Restaurant business
Continue / change / exit</t>
  </si>
  <si>
    <t xml:space="preserve">→ Decided — price increase 15% margin. Effective June 15th. </t>
  </si>
  <si>
    <t>HISTK-2026-004</t>
  </si>
  <si>
    <t>Internship Request (Martin Thangaraj)</t>
  </si>
  <si>
    <t>→ Decided — Unpaid internship arrangement denied.
Request to bring in a foreign student for a short-term (150-hour) unpaid internship. US citizen would not have WSIB coverage. Uninsured workplace risk.</t>
  </si>
  <si>
    <t>HISTK-2026-005</t>
  </si>
  <si>
    <t>ASP Strategy Items</t>
  </si>
  <si>
    <t>→ Decided — to discuss items at next ASP Strategy Meeting on June 17
ASP pricing strategy, cost increases, small-bird program requirements, processing capacity, and regulatory obligations will be reviewed as a dedicated agenda item at the next ASP Strategy Meeting.</t>
  </si>
  <si>
    <t>Transferred to ASP Go-Live meetings and other internal meetings.</t>
  </si>
  <si>
    <t>HISTK-2026-006</t>
  </si>
  <si>
    <t>Jay – LMIA Request (Reconsideration)
Original Recommendation brought forward to SLT on June 1, 2026.</t>
  </si>
  <si>
    <t>→ Decided - Declined  — No LMIA sponsorship commitment was made to Jay. Gene to communicate the SLT decision. Existing LMIA support continues for Carol Maia (WP expires 2029). LMIA can be offered as intended (possibly for ASP).</t>
  </si>
  <si>
    <t>LMIA can be offered as intended (possibly for ASP). Carol Maia Work Permit expiring in 2029.</t>
  </si>
  <si>
    <t>HISTK-2026-007</t>
  </si>
  <si>
    <t>Trade Show (SIAL)</t>
  </si>
  <si>
    <t>→ Deferred — To smaller group meeting. Assessed budget. Approximate cost per traveller is $8K (includes all costs).</t>
  </si>
  <si>
    <t>Recommendation Required</t>
  </si>
  <si>
    <t>Next Steps:
- Determine which members should attend
- Deliverables
- Dave to investigate Growth Programs available to Amir fund it</t>
  </si>
  <si>
    <t>HISTK-2026-008</t>
  </si>
  <si>
    <t>ASP Inventory Analysis</t>
  </si>
  <si>
    <t>→ Decided — Assigned
Sales Team to go direct to 30+ independent Asian supermarkets on June 24, selling-in utility birds.
Reduce inventory, get a better price.
ASP Inventory report added to regular KPI report (Dave).
Update to be provided after Blitz at Thursday meeting.</t>
  </si>
  <si>
    <t>HISTK-2026-009</t>
  </si>
  <si>
    <t>Cargo insurance</t>
  </si>
  <si>
    <t>→ Decided — Pending further review
Estimated premium: ~$150K for $300M coverage.
Cost-benefit ratio appears unfavourable.
Too expensive.
Decided and closed on June 22.</t>
  </si>
  <si>
    <t>HISTK-2026-010</t>
  </si>
  <si>
    <t>Approval of LinkedIn Recruiter Contract Renewal</t>
  </si>
  <si>
    <t>→ Decided — Spend/ROI – Gene to Request Summary from Philip.
Initiate tracking Operation and Non-Operational Lane.
Currently no other options beyond LI recruiter. 
LI recruiter viewed is a necessary tool for talent acquisition.
The annual cost of this contract is $23K USD. Requires a two-year commitment.</t>
  </si>
  <si>
    <t>Information Only</t>
  </si>
  <si>
    <t>Gene to Request Summary from Philip.
Initiate tracking Operation and Non-Operational Lane.
Currently no other options beyond LI recruiter.</t>
  </si>
  <si>
    <t>HISTK-2026-011</t>
  </si>
  <si>
    <t xml:space="preserve">Potential Office Relocation  </t>
  </si>
  <si>
    <t>Closed at the June 29 SLT; relocation not being pursued.
Sherry followed up with State and relocation not being pursued.</t>
  </si>
  <si>
    <t>HISTK-2026-012</t>
  </si>
  <si>
    <t xml:space="preserve">Memberships (CPEP) </t>
  </si>
  <si>
    <t>Assess budget, determine return on participation. Evaluate networking opportunities. Technical council available to provide guidance and insights on MPIP. Regular meetings are held to address industry questions and concerns.
Pending response from CPEP. Returns after cost is available.</t>
  </si>
  <si>
    <t>Meeting held with CPEP. Membership cost is modest. FPAC membership not required. CPEP technical council will advise on MPIP. Documentation was submitted to CPEP on July 10, 2026.</t>
  </si>
  <si>
    <t>HISTK-2026-013</t>
  </si>
  <si>
    <t>Grant Application (SRF Food Security Funding Opportunity)</t>
  </si>
  <si>
    <t>→ Decided — AGC will apply for the SRF grant for the ASP wastewater project. Sherry owns submission (Aug 4); David on financials; Tony to pressure-test before it goes in.</t>
  </si>
  <si>
    <t>Tony to pressure-test before tapplication is submitted.</t>
  </si>
  <si>
    <t>HISTK-2026-014</t>
  </si>
  <si>
    <t xml:space="preserve">General 3% wage increase for plant and operations employees, excluding head office staff and anyone employed for less than six months. This approach delivers the greatest benefit at the least financial impact.
Total estimated cost: approximately $66,000 over five months — $29,000 for salaried employees, with the balance for hourly employees.  Head office salary increases deferred to December pending financial performance review.
Seven individuals to be reviewed offline by Dave and Gene and confirmed.
Employees receiving increases: 56 hourly employees and approximately 116 salaried staff (counts to be verified).
Implementation timeline: the 3% increase takes effect in August; equity adjustments require a separate decision. Funding source: anticipated favourability of approximately $1 million in advertising budget lines.
</t>
  </si>
  <si>
    <t>Capital Approval</t>
  </si>
  <si>
    <t xml:space="preserve">Gene and Dave to align on the seven individuals; Gene to circulate the summary for final approval. </t>
  </si>
  <si>
    <t>Remains on Action Register until fully implemented.</t>
  </si>
  <si>
    <t>HISTK-2026-015</t>
  </si>
  <si>
    <t>Signing of Contracts</t>
  </si>
  <si>
    <t xml:space="preserve">→ Decided — all contracts go to Legal for review before execution. </t>
  </si>
  <si>
    <t>CFO</t>
  </si>
  <si>
    <t>Sherry to circulate the draft to David for feedback, then finalize and implement. Does not return to SLT.</t>
  </si>
  <si>
    <t>HISTK-2026-016</t>
  </si>
  <si>
    <t>AI Policy</t>
  </si>
  <si>
    <t>→ Decided — policy approval pending
Gene and Sherry aligned on policy. 
Does not return to SLT.</t>
  </si>
  <si>
    <t>Next steps: IT is responsible for determining and communicating which AI platforms are officially approved for use. Policy to be released once IT confirms approved AI platform(s) and governance requirements.
Ownership transitioning to IT</t>
  </si>
  <si>
    <t>HISTK-2026-017</t>
  </si>
  <si>
    <t>Consultant Strategy</t>
  </si>
  <si>
    <t>→ Decided — Engage Ron Judge to formalize scope of work and deliverables to perform the formal readiness and gap assessment.
Continue with Practical Approach for:
Equipment and maintenance support, maintenance system setup, and remains available to provide targeted support once specific gaps have been identified.</t>
  </si>
  <si>
    <t>Engage Ron Judge to formalize scope of work and deliverables to perform the formal readiness and gap assessment.
Ron Judge to present the ASP Gap Analysis Findings and Recommendations on August 17, 2026 (after the SLT meeting)</t>
  </si>
  <si>
    <t xml:space="preserve">Options considered: 
Ron Judge (MPIP expert only) – consultant with FSQA experience; to provide end-to-end MPIP pricing by end of day.
Practical Approach (team of four) – small project on the equipment side with Colin; an opportunity to assess fit and pace of work. 
Deloitte – expected to be expensive.
MNP – scope evaluation started. </t>
  </si>
  <si>
    <t>HISTK-2026-018</t>
  </si>
  <si>
    <t>Continue Development of a Solution for ASP Vision-Based Quality Control System</t>
  </si>
  <si>
    <t>→ Decided — Continue development and evaluation. 
Capital investment: approximately $750,000
Annual software subscription: approximately $70,000
Cost to continue evaluation and development work: minimal (approximately $600 per week in resources)</t>
  </si>
  <si>
    <t>&lt;$10K</t>
  </si>
  <si>
    <t xml:space="preserve">Assess costs associated with additional defect categories. Develop a grower quality/downgrade program framework. Build the business case and ROI/payback analysis. Develop a funding and budget strategy for potential implementation.
</t>
  </si>
  <si>
    <t>HISTK-2026-019</t>
  </si>
  <si>
    <t>Bill S-211 Compliance (Reconsideration)</t>
  </si>
  <si>
    <t xml:space="preserve">→ Decided — Internalizing the reporting.
AGC will complete the required minimal compliance reporting internally rather than engage MNP, avoiding the quoted $12,500 external cost while remaining compliant with reporting requirements.
</t>
  </si>
  <si>
    <t>HISTK-2026-020</t>
  </si>
  <si>
    <t>ASP Wastewater Treatment Plant (WWTP) Pre-Engineering Contracts</t>
  </si>
  <si>
    <t xml:space="preserve">→ Decided  — Proceed with FRC (Process Engineering) and Mallard Creek (Building Engineering).
Estimated cost of $723,000.00. Colin to continue monitoring MECP pre-consultation status.
</t>
  </si>
  <si>
    <t>HISTK-2026-021</t>
  </si>
  <si>
    <t>ASP Equipment Installation Bid Selection (Rigging, mechanical, electrical services and install overhead rail systems for all process equipment)</t>
  </si>
  <si>
    <t xml:space="preserve">Recommendation: Rigging, Mechanical and Overhead Rail Contractor(Dynamic - $3.3MM) / Electrical contractor (Sheridan - $1.1MM)
→ Decided  — Split Rigging, Mechanical, and Overhead Rail contract between MWS and Dynamic
- Rigging and Overhead Rail – Dynamic ($1.7MM)
- Mechanical – MWS ($1.4MM)
Rigging, Mechanical, and Overhead Rail Contractors:
Obtain additional references for Dynamic and MWS. 
Decision deferred pending additional reference checks. $600K cost differential between Dynamic and MWS requires further validation. Validate concerns related to change orders, scope management, and delivery performance.
Electrical Scope - Proceed with Sheridan.
</t>
  </si>
  <si>
    <t>Decision deferred pending additional reference checks. $600K cost differential between Dynamic and MWS requires further validation. Validate concerns related to change orders, scope management, and delivery performance.</t>
  </si>
  <si>
    <t>Does not return to SLT.</t>
  </si>
  <si>
    <t>HISTK-2026-022</t>
  </si>
  <si>
    <t>A-206 (December 13 to February 6) Harvest Schedule for ASP</t>
  </si>
  <si>
    <t>→ Decided — Option A.  Communicate to CK Poultry the SLT decision. Maintain roasters through December to meet harvest requirements, then transition to all broilers in January. The resulting 6,000 birds/week excess capacity will support wet testing, commencing in January (not sooner).</t>
  </si>
  <si>
    <t>HISTK-2026-023</t>
  </si>
  <si>
    <r>
      <t xml:space="preserve">→ Deferred — Reintroduced at meeting on August 10,  Reassessing due to internal resource constraints. Decision to be made August 17, on whether AGC will internalize or engage MNP.
</t>
    </r>
    <r>
      <rPr>
        <b/>
        <i/>
        <sz val="10"/>
        <color rgb="FF404040"/>
        <rFont val="Aptos"/>
        <family val="2"/>
      </rPr>
      <t>Note - Refer to Action Register for open action item and Decision register #HIST 2026-20</t>
    </r>
    <r>
      <rPr>
        <i/>
        <sz val="10"/>
        <color rgb="FF404040"/>
        <rFont val="Aptos"/>
        <family val="2"/>
      </rPr>
      <t xml:space="preserve">
→ Aug 24 - Decided — Decision was made to move forward with MNP services.
Confirmed that MNP to perform the work at a cost of $12,500. The recommendation has shifted due to internal resource constraints and project complexity.</t>
    </r>
  </si>
  <si>
    <t>HISTK-2026-024</t>
  </si>
  <si>
    <t>Division 9 Steel – CO Approval</t>
  </si>
  <si>
    <t>→ Decided — $125K Change Order was approved. Clarification requested on budget allocation and the $800K for Interior Alterations allowance. Clarify the CBB spend against the $800K and the $410K remaining allowance indicated by CBB.</t>
  </si>
  <si>
    <t>Colin to reconcile actual costs against the approved $800K budget allowance and confirm cost categorization and remaining allowance balance with Coldbox.</t>
  </si>
  <si>
    <t>HISTK-2026-025</t>
  </si>
  <si>
    <t>→ Decided — Decision was made to proceed with trailer rental arrangements.
Approved the rental of a temporary construction office trailer to accommodate employees during office renovations and support additional staffing requirements through occupancy. Approximate cost $15,209 + HST  (12' × 60' mobile office).
Colin to confirm trailer layout, occupancy requirements, furniture needs, and final placement location.</t>
  </si>
  <si>
    <t>Colin to confirm trailer layout, occupancy requirements, furniture needs, and final placement location.</t>
  </si>
  <si>
    <t>HISTK-2026-026</t>
  </si>
  <si>
    <t>→ Decided — Agreed to proceed with Change Order.
Reviewed $1.1M change order relating to generator pad infrastructure. Agreed to proceed with critical-path scope while continuing to evaluate electrical costs and transformer credit recovery opportunities.</t>
  </si>
  <si>
    <t>Proceed with critical-path work to avoid schedule delays.
Further assess electrical scope and pursue transformer credit recovery.</t>
  </si>
  <si>
    <t>HISTK-2026-027</t>
  </si>
  <si>
    <t>→ Decided — Pursue a negotiated settlement tied to project completion milestones. Schedule risk outweighs cost dispute risk.
$406K refrigeration change order required to support offal and chilled water processing capacity. 
Colin to negotiate a reduced settlement with Coldbox, targeting approximately 50% of the claim value and making any payment contingent upon achieving the December 12 project milestone.</t>
  </si>
  <si>
    <t>Colin to negotiate a reduced settlement with Coldbox, targeting approximately 50% of the claim value and making any payment contingent upon achieving the December 12 project milestone</t>
  </si>
  <si>
    <t>HISTK-2026-028</t>
  </si>
  <si>
    <t xml:space="preserve">→ Decided — Send skeleton functional leads to a North American facility (U.S. or Newfoundland). 
Baader presented an opportunity for key associates to tour existing plants to gain operational insights relevant to ASP startup and equipment implementation.
Recommended team to visit site - Adam, Maintenance Manager, Alexander. Evaluate U.S. and Newfoundland sites. </t>
  </si>
  <si>
    <t>Engage Baader and identify suitable North American facility tour options.
Confirm recommended attendees (Adam, Tuhin, Maintenance Manager, Alexander).
Evaluate U.S. and Newfoundland sites and return with a proposed visit plan and</t>
  </si>
  <si>
    <t>HISTK-2026-029</t>
  </si>
  <si>
    <t>Reserved Parking Policy and Eligibility Criteria (Sierra)</t>
  </si>
  <si>
    <t>→ Decided — The recommendation is that Managers and Supervisors have designated reserved parking spaces, while all other employees use the remaining spaces on a first-come, first-served basis. 
I would also recommend establishing clear rules around the use of reserved spaces.
Develop a similar structure to AQM adapted to Sierra operation. Gene to develop the policy/procedures. Gene to present it once done.</t>
  </si>
  <si>
    <t>Develop a similar structure to AQM adapted to Sierra operation. Gene to develop the policy/procedures. Gene to present it once done.
Note - → Deferred to Next SLT Meeting. (Septembet 15)
Develop and present recommendations regarding reserved parking allocation and parking governance across facilities.</t>
  </si>
  <si>
    <t>HISTK-2026-030</t>
  </si>
  <si>
    <t>2026 Gala Sponsorship Structure / Levels</t>
  </si>
  <si>
    <t xml:space="preserve">→ Decided —  Approved the revised 2026 Gala sponsorship levels.
Move forward with approved tiered sponsorship levels, targeted sponsorship opportunities, and honorable mentions. Approved sponsorship tiered levels: Platinum $9,000 | Gold $7,000 | Silver $5,000 | 
Bronze $3,000
</t>
  </si>
  <si>
    <t>HISTK-2026-031</t>
  </si>
  <si>
    <t>Invite Colin to attend SLT meetings for the balance of 2026.</t>
  </si>
  <si>
    <t>→ Decided — Invite Colin to attend SLT meetings for the balance of 2026, in preparation for ASP Go-Live.</t>
  </si>
  <si>
    <t>HISTK-2026-032</t>
  </si>
  <si>
    <t>ASP New Farmer / Grower Application – Review, Farmer Circulation &amp; Project Ownership</t>
  </si>
  <si>
    <t>→ DECIDED — Use of a standardized farmer intake form for evaluating new farmer opportunities. The team agreed that Ali will serve as the central coordinator for collecting information, managing inquiries, and advancing opportunities through the review process.
Accountable Owner: Tom
Coordinator: Ali
Returns to SLT: October 26, 2026</t>
  </si>
  <si>
    <t>The team agreed that Ali will serve as the central coordinator for collecting information, managing inquiries, and advancing opportunities through the review process.
Accountable Owner: Tom
Coordinator: Ali</t>
  </si>
  <si>
    <t>HISTK-2026-033</t>
  </si>
  <si>
    <t>HISTK-2026-034</t>
  </si>
  <si>
    <t>HISTK-2026-035</t>
  </si>
  <si>
    <t>HISTK-2026-036</t>
  </si>
  <si>
    <t>HISTK-2026-037</t>
  </si>
  <si>
    <t>HISTK-2026-038</t>
  </si>
  <si>
    <t>HISTK-2026-039</t>
  </si>
  <si>
    <t>HISTK-2026-040</t>
  </si>
  <si>
    <t>HISTK-2026-041</t>
  </si>
  <si>
    <t>HISTK-2026-042</t>
  </si>
  <si>
    <t>HISTK-2026-043</t>
  </si>
  <si>
    <t>HISTK-2026-044</t>
  </si>
  <si>
    <t>HISTK-2026-045</t>
  </si>
  <si>
    <t>HISTK-2026-046</t>
  </si>
  <si>
    <t>HISTK-2026-047</t>
  </si>
  <si>
    <t>HISTK-2026-048</t>
  </si>
  <si>
    <t>HISTK-2026-049</t>
  </si>
  <si>
    <t>HISTK-2026-050</t>
  </si>
  <si>
    <t>HISTK-2026-051</t>
  </si>
  <si>
    <t>HISTK-2026-052</t>
  </si>
  <si>
    <t>HISTK-2026-053</t>
  </si>
  <si>
    <t>HISTK-2026-054</t>
  </si>
  <si>
    <t>HISTK-2026-055</t>
  </si>
  <si>
    <t>HISTK-2026-056</t>
  </si>
  <si>
    <t>HISTK-2026-057</t>
  </si>
  <si>
    <t>HISTK-2026-058</t>
  </si>
  <si>
    <t>HISTK-2026-059</t>
  </si>
  <si>
    <t>HISTK-2026-060</t>
  </si>
  <si>
    <t>HISTK-2026-061</t>
  </si>
  <si>
    <t>HISTK-2026-062</t>
  </si>
  <si>
    <t>HISTK-2026-063</t>
  </si>
  <si>
    <t>HISTK-2026-064</t>
  </si>
  <si>
    <t>HISTK-2026-065</t>
  </si>
  <si>
    <t>HISTK-2026-066</t>
  </si>
  <si>
    <t>HISTK-2026-067</t>
  </si>
  <si>
    <t>HISTK-2026-068</t>
  </si>
  <si>
    <t>HISTK-2026-069</t>
  </si>
  <si>
    <t>HISTK-2026-070</t>
  </si>
  <si>
    <t>HISTK-2026-071</t>
  </si>
  <si>
    <t>HISTK-2026-072</t>
  </si>
  <si>
    <t>HISTK-2026-073</t>
  </si>
  <si>
    <t>HISTK-2026-074</t>
  </si>
  <si>
    <t>HISTK-2026-075</t>
  </si>
  <si>
    <t>HISTK-2026-076</t>
  </si>
  <si>
    <t>HISTK-2026-077</t>
  </si>
  <si>
    <t>HISTK-2026-078</t>
  </si>
  <si>
    <t>HISTK-2026-079</t>
  </si>
  <si>
    <t>HISTK-2026-080</t>
  </si>
  <si>
    <t>HISTK-2026-081</t>
  </si>
  <si>
    <t>HISTK-2026-082</t>
  </si>
  <si>
    <t>HISTK-2026-083</t>
  </si>
  <si>
    <t>HISTK-2026-084</t>
  </si>
  <si>
    <t>HISTK-2026-085</t>
  </si>
  <si>
    <t>HISTK-2026-086</t>
  </si>
  <si>
    <t>HISTK-2026-087</t>
  </si>
  <si>
    <t>HISTK-2026-088</t>
  </si>
  <si>
    <t>HISTK-2026-089</t>
  </si>
  <si>
    <t>HISTK-2026-090</t>
  </si>
  <si>
    <t>HISTK-2026-091</t>
  </si>
  <si>
    <t>HISTK-2026-092</t>
  </si>
  <si>
    <t>HISTK-2026-093</t>
  </si>
  <si>
    <t>HISTK-2026-094</t>
  </si>
  <si>
    <t>HISTK-2026-095</t>
  </si>
  <si>
    <t>HISTK-2026-096</t>
  </si>
  <si>
    <t>HISTK-2026-097</t>
  </si>
  <si>
    <t>HISTK-2026-098</t>
  </si>
  <si>
    <t>HISTK-2026-099</t>
  </si>
  <si>
    <t>HISTK-2026-100</t>
  </si>
  <si>
    <t>HISTK-2026-101</t>
  </si>
  <si>
    <t>HISTK-2026-102</t>
  </si>
  <si>
    <t>HISTK-2026-103</t>
  </si>
  <si>
    <t>HISTK-2026-104</t>
  </si>
  <si>
    <t>HISTK-2026-105</t>
  </si>
  <si>
    <t>HISTK-2026-106</t>
  </si>
  <si>
    <t>HISTK-2026-107</t>
  </si>
  <si>
    <t>HISTK-2026-108</t>
  </si>
  <si>
    <t>HISTK-2026-109</t>
  </si>
  <si>
    <t>HISTK-2026-110</t>
  </si>
  <si>
    <t>HISTK-2026-111</t>
  </si>
  <si>
    <t>HISTK-2026-112</t>
  </si>
  <si>
    <t>HISTK-2026-113</t>
  </si>
  <si>
    <t>HISTK-2026-114</t>
  </si>
  <si>
    <t>HISTK-2026-115</t>
  </si>
  <si>
    <t>HISTK-2026-116</t>
  </si>
  <si>
    <t>HISTK-2026-117</t>
  </si>
  <si>
    <t>HISTK-2026-118</t>
  </si>
  <si>
    <t>HISTK-2026-119</t>
  </si>
  <si>
    <t>HISTK-2026-120</t>
  </si>
  <si>
    <t>HISTK-2026-121</t>
  </si>
  <si>
    <t>HISTK-2026-122</t>
  </si>
  <si>
    <t>HISTK-2026-123</t>
  </si>
  <si>
    <t>HISTK-2026-124</t>
  </si>
  <si>
    <t>HISTK-2026-125</t>
  </si>
  <si>
    <t>HISTK-2026-126</t>
  </si>
  <si>
    <t>HISTK-2026-127</t>
  </si>
  <si>
    <t>HISTK-2026-128</t>
  </si>
  <si>
    <t>HISTK-2026-129</t>
  </si>
  <si>
    <t>HISTK-2026-130</t>
  </si>
  <si>
    <t>HISTK-2026-131</t>
  </si>
  <si>
    <t>HISTK-2026-132</t>
  </si>
  <si>
    <t>HISTK-2026-133</t>
  </si>
  <si>
    <t>HISTK-2026-134</t>
  </si>
  <si>
    <t>HISTK-2026-135</t>
  </si>
  <si>
    <t>HISTK-2026-136</t>
  </si>
  <si>
    <t>HISTK-2026-137</t>
  </si>
  <si>
    <t>HISTK-2026-138</t>
  </si>
  <si>
    <t>HISTK-2026-139</t>
  </si>
  <si>
    <t>HISTK-2026-140</t>
  </si>
  <si>
    <t>HISTK-2026-141</t>
  </si>
  <si>
    <t>HISTK-2026-142</t>
  </si>
  <si>
    <t>HISTK-2026-143</t>
  </si>
  <si>
    <t>HISTK-2026-144</t>
  </si>
  <si>
    <t>HISTK-2026-145</t>
  </si>
  <si>
    <t>HISTK-2026-146</t>
  </si>
  <si>
    <t>HISTK-2026-147</t>
  </si>
  <si>
    <t>HISTK-2026-148</t>
  </si>
  <si>
    <t>HISTK-2026-149</t>
  </si>
  <si>
    <t>HISTK-2026-150</t>
  </si>
  <si>
    <t>HISTK-2026-151</t>
  </si>
  <si>
    <t>HISTK-2026-152</t>
  </si>
  <si>
    <t>HISTK-2026-153</t>
  </si>
  <si>
    <t>HISTK-2026-154</t>
  </si>
  <si>
    <t>HISTK-2026-155</t>
  </si>
  <si>
    <t>HISTK-2026-156</t>
  </si>
  <si>
    <t>HISTK-2026-157</t>
  </si>
  <si>
    <t>HISTK-2026-158</t>
  </si>
  <si>
    <t>HISTK-2026-159</t>
  </si>
  <si>
    <t>HISTK-2026-160</t>
  </si>
  <si>
    <t>HISTK-2026-161</t>
  </si>
  <si>
    <t>HISTK-2026-162</t>
  </si>
  <si>
    <t>HISTK-2026-163</t>
  </si>
  <si>
    <t>HISTK-2026-164</t>
  </si>
  <si>
    <t>HISTK-2026-165</t>
  </si>
  <si>
    <t>HISTK-2026-166</t>
  </si>
  <si>
    <t>HISTK-2026-167</t>
  </si>
  <si>
    <t>HISTK-2026-168</t>
  </si>
  <si>
    <t>HISTK-2026-169</t>
  </si>
  <si>
    <t>HISTK-2026-170</t>
  </si>
  <si>
    <t>HISTK-2026-171</t>
  </si>
  <si>
    <t>HISTK-2026-172</t>
  </si>
  <si>
    <t>HISTK-2026-173</t>
  </si>
  <si>
    <t>HISTK-2026-174</t>
  </si>
  <si>
    <t>HISTK-2026-175</t>
  </si>
  <si>
    <t>HISTK-2026-176</t>
  </si>
  <si>
    <t>HISTK-2026-177</t>
  </si>
  <si>
    <t>HISTK-2026-178</t>
  </si>
  <si>
    <t>HISTK-2026-179</t>
  </si>
  <si>
    <t>HISTK-2026-180</t>
  </si>
  <si>
    <t>HISTK-2026-181</t>
  </si>
  <si>
    <t>HISTK-2026-182</t>
  </si>
  <si>
    <t>HISTK-2026-183</t>
  </si>
  <si>
    <t>HISTK-2026-184</t>
  </si>
  <si>
    <t>HISTK-2026-185</t>
  </si>
  <si>
    <t>HISTK-2026-186</t>
  </si>
  <si>
    <t>HISTK-2026-187</t>
  </si>
  <si>
    <t>HISTK-2026-188</t>
  </si>
  <si>
    <t>HISTK-2026-189</t>
  </si>
  <si>
    <t>HISTK-2026-190</t>
  </si>
  <si>
    <t>HISTK-2026-191</t>
  </si>
  <si>
    <t>HISTK-2026-192</t>
  </si>
  <si>
    <t>HISTK-2026-193</t>
  </si>
  <si>
    <t>HISTK-2026-194</t>
  </si>
  <si>
    <t>HISTK-2026-195</t>
  </si>
  <si>
    <t>HISTK-2026-196</t>
  </si>
  <si>
    <t>HISTK-2026-197</t>
  </si>
  <si>
    <t>HISTK-2026-198</t>
  </si>
  <si>
    <t>HISTK-2026-199</t>
  </si>
  <si>
    <t>HISTK-2026-200</t>
  </si>
  <si>
    <t>HISTK-2026-201</t>
  </si>
  <si>
    <t>HISTK-2026-202</t>
  </si>
  <si>
    <t>HISTK-2026-203</t>
  </si>
  <si>
    <t>HISTK-2026-204</t>
  </si>
  <si>
    <t>HISTK-2026-205</t>
  </si>
  <si>
    <t>HISTK-2026-206</t>
  </si>
  <si>
    <t>HISTK-2026-207</t>
  </si>
  <si>
    <t>HISTK-2026-208</t>
  </si>
  <si>
    <t>HISTK-2026-209</t>
  </si>
  <si>
    <t>HISTK-2026-210</t>
  </si>
  <si>
    <t>HISTK-2026-211</t>
  </si>
  <si>
    <t>HISTK-2026-212</t>
  </si>
  <si>
    <t>HISTK-2026-213</t>
  </si>
  <si>
    <t>HISTK-2026-214</t>
  </si>
  <si>
    <t>HISTK-2026-215</t>
  </si>
  <si>
    <t>HISTK-2026-216</t>
  </si>
  <si>
    <t>HISTK-2026-217</t>
  </si>
  <si>
    <t>HISTK-2026-218</t>
  </si>
  <si>
    <t>HISTK-2026-219</t>
  </si>
  <si>
    <t>HISTK-2026-220</t>
  </si>
  <si>
    <t>HISTK-2026-221</t>
  </si>
  <si>
    <t>HISTK-2026-222</t>
  </si>
  <si>
    <t>HISTK-2026-223</t>
  </si>
  <si>
    <t>HISTK-2026-224</t>
  </si>
  <si>
    <t>HISTK-2026-225</t>
  </si>
  <si>
    <t>HISTK-2026-226</t>
  </si>
  <si>
    <t>HISTK-2026-227</t>
  </si>
  <si>
    <t>HISTK-2026-228</t>
  </si>
  <si>
    <t>HISTK-2026-229</t>
  </si>
  <si>
    <t>HISTK-2026-230</t>
  </si>
  <si>
    <t>HISTK-2026-231</t>
  </si>
  <si>
    <t>HISTK-2026-232</t>
  </si>
  <si>
    <t>HISTK-2026-233</t>
  </si>
  <si>
    <t>HISTK-2026-234</t>
  </si>
  <si>
    <t>HISTK-2026-235</t>
  </si>
  <si>
    <t>HISTK-2026-236</t>
  </si>
  <si>
    <t>HISTK-2026-237</t>
  </si>
  <si>
    <t>HISTK-2026-238</t>
  </si>
  <si>
    <t>HISTK-2026-239</t>
  </si>
  <si>
    <t>HISTK-2026-240</t>
  </si>
  <si>
    <t>HISTK-2026-241</t>
  </si>
  <si>
    <t>HISTK-2026-242</t>
  </si>
  <si>
    <t>HISTK-2026-243</t>
  </si>
  <si>
    <t>HISTK-2026-244</t>
  </si>
  <si>
    <t>HISTK-2026-245</t>
  </si>
  <si>
    <t>HISTK-2026-246</t>
  </si>
  <si>
    <t>HISTK-2026-247</t>
  </si>
  <si>
    <t>HISTK-2026-248</t>
  </si>
  <si>
    <t>HISTK-2026-249</t>
  </si>
  <si>
    <t>HISTK-2026-250</t>
  </si>
  <si>
    <t>HISTK-2026-251</t>
  </si>
  <si>
    <t>HISTK-2026-252</t>
  </si>
  <si>
    <t>HISTK-2026-253</t>
  </si>
  <si>
    <t>HISTK-2026-254</t>
  </si>
  <si>
    <t>HISTK-2026-255</t>
  </si>
  <si>
    <t>HISTK-2026-256</t>
  </si>
  <si>
    <t>HISTK-2026-257</t>
  </si>
  <si>
    <t>HISTK-2026-258</t>
  </si>
  <si>
    <t>HISTK-2026-259</t>
  </si>
  <si>
    <t>HISTK-2026-260</t>
  </si>
  <si>
    <t>HISTK-2026-261</t>
  </si>
  <si>
    <t>HISTK-2026-262</t>
  </si>
  <si>
    <t>HISTK-2026-263</t>
  </si>
  <si>
    <t>HISTK-2026-264</t>
  </si>
  <si>
    <t>HISTK-2026-265</t>
  </si>
  <si>
    <t>HISTK-2026-266</t>
  </si>
  <si>
    <t>HISTK-2026-267</t>
  </si>
  <si>
    <t>HISTK-2026-268</t>
  </si>
  <si>
    <t>HISTK-2026-269</t>
  </si>
  <si>
    <t>HISTK-2026-270</t>
  </si>
  <si>
    <t>HISTK-2026-271</t>
  </si>
  <si>
    <t>HISTK-2026-272</t>
  </si>
  <si>
    <t>HISTK-2026-273</t>
  </si>
  <si>
    <t>HISTK-2026-274</t>
  </si>
  <si>
    <t>HISTK-2026-275</t>
  </si>
  <si>
    <t>HISTK-2026-276</t>
  </si>
  <si>
    <t>HISTK-2026-277</t>
  </si>
  <si>
    <t>HISTK-2026-278</t>
  </si>
  <si>
    <t>HISTK-2026-279</t>
  </si>
  <si>
    <t>HISTK-2026-280</t>
  </si>
  <si>
    <t>HISTK-2026-281</t>
  </si>
  <si>
    <t>HISTK-2026-282</t>
  </si>
  <si>
    <t>HISTK-2026-283</t>
  </si>
  <si>
    <t>HISTK-2026-284</t>
  </si>
  <si>
    <t>HISTK-2026-285</t>
  </si>
  <si>
    <t>HISTK-2026-286</t>
  </si>
  <si>
    <t>HISTK-2026-287</t>
  </si>
  <si>
    <t>HISTK-2026-288</t>
  </si>
  <si>
    <t>HISTK-2026-289</t>
  </si>
  <si>
    <t>HISTK-2026-290</t>
  </si>
  <si>
    <t>HISTK-2026-291</t>
  </si>
  <si>
    <t>HISTK-2026-292</t>
  </si>
  <si>
    <t>HISTK-2026-293</t>
  </si>
  <si>
    <t>HISTK-2026-294</t>
  </si>
  <si>
    <t>HISTK-2026-295</t>
  </si>
  <si>
    <t>HISTK-2026-296</t>
  </si>
  <si>
    <t>HISTK-2026-297</t>
  </si>
  <si>
    <t>HISTK-2026-298</t>
  </si>
  <si>
    <t>HISTK-2026-299</t>
  </si>
  <si>
    <t>HISTK-2026-300</t>
  </si>
  <si>
    <t>90 DAY COMMITMENTS - 2026</t>
  </si>
  <si>
    <t>On Track</t>
  </si>
  <si>
    <t>At Risk</t>
  </si>
  <si>
    <t>Commitment / deliverable</t>
  </si>
  <si>
    <t>Success Measure</t>
  </si>
  <si>
    <t>RAG Status</t>
  </si>
  <si>
    <t>Status1</t>
  </si>
  <si>
    <t>Date record entered</t>
  </si>
  <si>
    <t>Date Assigned if different from entry date</t>
  </si>
  <si>
    <t>Original due</t>
  </si>
  <si>
    <t>30 Day Check-In Update due</t>
  </si>
  <si>
    <t>30 Day Check-In Notes</t>
  </si>
  <si>
    <t>60 Day Check-In Update due</t>
  </si>
  <si>
    <t>60 Day Check-In Notes</t>
  </si>
  <si>
    <t>90 Day Check-In Update Dates</t>
  </si>
  <si>
    <t>Extension Approved By</t>
  </si>
  <si>
    <t>Ext. Approval Date</t>
  </si>
  <si>
    <t>Revised due</t>
  </si>
  <si>
    <t>Delivered on</t>
  </si>
  <si>
    <t>Current due</t>
  </si>
  <si>
    <t>Status2</t>
  </si>
  <si>
    <t>Report cue</t>
  </si>
  <si>
    <t>Change / risk / next step</t>
  </si>
  <si>
    <t>Immutable Key</t>
  </si>
  <si>
    <t>Define KPIs and associated processes to support the 2027 budget rollout. All SLT members will identify and report on no more than 10 KPIs to ensure a focused and consistent approach to performance measurement.</t>
  </si>
  <si>
    <t>A standardized KPI framework, including defined metrics, ownership, targets, and reporting cadence, is established and adopted by the SLT to support performance management and accountability.</t>
  </si>
  <si>
    <t>🟢 Met/On Track</t>
  </si>
  <si>
    <t>New Assigned - 
Sept 15, 2026</t>
  </si>
  <si>
    <t>C90-K-WXFPP2VF</t>
  </si>
  <si>
    <t>Develop a company-wide scorecard with key financial, operational, and commercial KPIs aligned to strategic priorities.</t>
  </si>
  <si>
    <t>Leadership scorecard implemented and reviewed regularly, incorporating:
•	Sales Report
•	Weekly Operations Metrics
•	Turnover
•	FSQA Claims (Inbound/Outbound)
•	Fill Rates
•	Volume Outputs
•	Safety
•	FCC Covenants
•	AR/AP
•	Inventory by Line Item
•	Headcount (Full-Time vs. Agency)</t>
  </si>
  <si>
    <t>C90-K-RXFDMSTS</t>
  </si>
  <si>
    <t>Develop a customer scorecard and evaluation framework to support customer segmentation, performance monitoring, and account management strategies.</t>
  </si>
  <si>
    <t>Customer scorecard reporting available for leadership review, with top accounts categorized as Strategic (Grow), Core (Protect), Manage (Fix/Reprice), or Review (Exit if Unfixable).</t>
  </si>
  <si>
    <t>C90-K-BG5BKYCB</t>
  </si>
  <si>
    <t>Develop an integrated AGC Business Forecast Model (to include 2027 Budget &amp; Details)
Key Improvement Levers Identified During the Session
•	ASP operational efficiencies
•	Wax vs. non-wax packaging opportunities
•	Sanitation standardization across facilities
•	Waste management savings
•	Catching and labour optimization opportunities
•	Work-from-home and office space savings
•	CO₂ efficiency opportunities
•	Equipment and asset optimization (i.e. sell Xray machine to ML)
•	Strategic growth opportunities (Fowl, Custom Kill, cooking/value-added opportunities)
•	Capital planning and funding optimization initiatives</t>
  </si>
  <si>
    <t>Forecast model completed and reviewed by SLT, providing visibility into key business drivers, financial performance, and budget scenarios.</t>
  </si>
  <si>
    <t>C90-K-XYCCR2JW</t>
  </si>
  <si>
    <t>Assess, scope, and prioritize automation opportunities with Inecta to reduce manual effort associated with work order closure reporting. Initiate the process the week of September 21.</t>
  </si>
  <si>
    <t>Proposal received from Inecta, automation opportunities assessed, and implementation roadmap completed.</t>
  </si>
  <si>
    <t xml:space="preserve">Adam
Champion:
Harsha </t>
  </si>
  <si>
    <t>C90-K-DLQWV2SZ</t>
  </si>
  <si>
    <t>Complete leadership hiring plan and onboarding strategy. Hiring of tranche 2.</t>
  </si>
  <si>
    <t>Critical positions staffed and transition plan in place.</t>
  </si>
  <si>
    <t>C90-K-2T29AZH3</t>
  </si>
  <si>
    <t>Weekly Operations Review Meeting. Implement a formal weekly operations review process with Plant Managers.</t>
  </si>
  <si>
    <t>Weekly review process established and operating consistently.
•	Weekly yield $ summary and detailed performance reporting reviewed through the process.
•	Incident reports reviewed and actioned through the process.
•	FSQA meeting integration approach finalized.</t>
  </si>
  <si>
    <t>C90-K-KJ25SV73</t>
  </si>
  <si>
    <t>Strengthen the control environment by implementing enhanced financial and operational controls, including:
•	PO process
•	approval workflows
•	authority matrix requirements
•	reducing the monthly work order closure cycle to less than one week.
•	Yield Pricing Analysis</t>
  </si>
  <si>
    <t>•	Two phased rollouts of the PO process and authority matrix completed. 
•	Monthly work orders closed within one week of month end. 
•	Expected-cost reporting approach established, with ownership, automation opportunities and implementation plan defined. 
•	Yield pricing analysis incorporated into regular business reviews.</t>
  </si>
  <si>
    <t>🟡 In Progress/Carried Forward</t>
  </si>
  <si>
    <t>In Progress 
(Carried Forward)
May 21, 2026</t>
  </si>
  <si>
    <t>C90-K-M67QTYNY</t>
  </si>
  <si>
    <t>Supply risk management remains in progress. The team discussed the challenges associated with inconsistent volumes and the need for greater operational flexibility, including the ability to pivot resources and production capacity to meet changing business demands.</t>
  </si>
  <si>
    <t>In Progress 
(Carried Forward)
May 21, 206</t>
  </si>
  <si>
    <t>C90-K-FUXR9SRL</t>
  </si>
  <si>
    <t>Customer profitability. Approximately 50-60% complete. Additional analysis and reporting are required to support customer scorecards, profitability visibility, and commercial decision-making.</t>
  </si>
  <si>
    <t>C90-K-N3R94QSP</t>
  </si>
  <si>
    <t>Yield pricing analysis. Approximately 50% complete. AQM has helped advance discussions and improve visibility into yield performance. Further work is required to finalize standards and reporting requirements.</t>
  </si>
  <si>
    <t>C90-K-RGAZP8KR</t>
  </si>
  <si>
    <t>Build and secure commitments of 13 new barns, placement schedules with 2027 demand plan.</t>
  </si>
  <si>
    <t>13 barn commitments confirmed and placement schedules aligned to support 2027 demand.</t>
  </si>
  <si>
    <t xml:space="preserve">In Progress </t>
  </si>
  <si>
    <t>C90-K-4TMMB8FU</t>
  </si>
  <si>
    <t>Yield Variance Reporting. Template completed, in progress. Time constraints. Could become the SLT Dashboard.</t>
  </si>
  <si>
    <t>Yield variance reporting framework finalized and available for SLT review.</t>
  </si>
  <si>
    <t>C90-K-9GV99WKS</t>
  </si>
  <si>
    <t>Fowl &amp; Custom Kill Organic (ASP), as part of incremental modeling.</t>
  </si>
  <si>
    <t>Growth opportunities assessed and incorporated into incremental volume planning, with recommendations and implementation priorities established.</t>
  </si>
  <si>
    <t>Tony / Tom</t>
  </si>
  <si>
    <t>C90-K-H8Z8WF2P</t>
  </si>
  <si>
    <t>Improve Specialty Bird profitability through: 
- Price increases / base
- Inventory optimization</t>
  </si>
  <si>
    <t>Pricing strategy and inventory optimization recommendations completed, with identified margin improvement opportunities and implementation plan established.</t>
  </si>
  <si>
    <t>C90-K-BU2JXK55</t>
  </si>
  <si>
    <t>Freefield (confirmed) Packaging Options.
Explore SIAL exhibitor packaging options.</t>
  </si>
  <si>
    <t>Packaging options assessed and recommendation completed.</t>
  </si>
  <si>
    <t>C90-K-9EWEQ5M3</t>
  </si>
  <si>
    <t>New Business Development/Project SOP - Develop a standardized stage-gate SOP for new business opportunities and projects.</t>
  </si>
  <si>
    <t>Three-gate evaluation framework and decision template completed, with approval criteria established for progression between stages.</t>
  </si>
  <si>
    <t>C90-K-E2WWFWB3</t>
  </si>
  <si>
    <t>Identify leaders requiring training and leadership support, to address their development needs. 
Q2 Matrix identified:
37% A players
50% B Players
13% C Players
What is the AGC target? Remained open.</t>
  </si>
  <si>
    <t>Individuals requiring training and leadership support are identified, assessed, and prioritized, with development plans established to support their growth and effectiveness.</t>
  </si>
  <si>
    <t>C90-K-977HDW2G</t>
  </si>
  <si>
    <t>Formalize and document the annual performance review process, including review workflows, salary band alignment, and leadership visibility.</t>
  </si>
  <si>
    <t>Annual review SOP documented and communicated, with defined review workflows, salary band alignment, and leadership visibility and automated review notifications established.</t>
  </si>
  <si>
    <t>C90-K-XW97BLKA</t>
  </si>
  <si>
    <t>C90-K-726WBDFF</t>
  </si>
  <si>
    <t>C90-K-KG7A2K6K</t>
  </si>
  <si>
    <t>C90-K-MY4ERCYG</t>
  </si>
  <si>
    <t>C90-K-DXKPQDEY</t>
  </si>
  <si>
    <t>C90-K-K7GJ7S8C</t>
  </si>
  <si>
    <t>C90-K-GV3LVN89</t>
  </si>
  <si>
    <t>C90-K-5NN29C5P</t>
  </si>
  <si>
    <t>C90-K-SBQWKELZ</t>
  </si>
  <si>
    <t>C90-K-GD6YA824</t>
  </si>
  <si>
    <t>C90-K-VMY4L9BD</t>
  </si>
  <si>
    <t>C90-K-NJ2N6JW6</t>
  </si>
  <si>
    <t>C90-K-NNH33XBL</t>
  </si>
  <si>
    <t>C90-K-9LVNVWLV</t>
  </si>
  <si>
    <t>C90-K-ZJPGXC7G</t>
  </si>
  <si>
    <t>C90-K-VMMJEU72</t>
  </si>
  <si>
    <t>C90-K-7QGZFHNZ</t>
  </si>
  <si>
    <t>C90-K-DR7T8JRZ</t>
  </si>
  <si>
    <t>C90-K-9CBEE2AV</t>
  </si>
  <si>
    <t>C90-K-DR2247CV</t>
  </si>
  <si>
    <t>C90-K-8YS7322S</t>
  </si>
  <si>
    <t>C90-K-NBFPZWS5</t>
  </si>
  <si>
    <t>C90-K-DWLSY7TA</t>
  </si>
  <si>
    <t>C90-K-VSTZ4DP8</t>
  </si>
  <si>
    <t>C90-K-B8C2BUGW</t>
  </si>
  <si>
    <t>C90-K-RLMHZSGJ</t>
  </si>
  <si>
    <t>C90-K-R6VW4NQ8</t>
  </si>
  <si>
    <t>C90-K-WD46AELU</t>
  </si>
  <si>
    <t>C90-K-UEYWDL66</t>
  </si>
  <si>
    <t>C90-K-87BMZ5S2</t>
  </si>
  <si>
    <t>C90-K-MD4UWHQ9</t>
  </si>
  <si>
    <t>C90-K-XRRXEAT5</t>
  </si>
  <si>
    <t>C90-K-RSND2EX7</t>
  </si>
  <si>
    <t>C90-K-NZGA7U5C</t>
  </si>
  <si>
    <t>C90-K-RBTJYJXZ</t>
  </si>
  <si>
    <t>C90-K-XTVHPDBS</t>
  </si>
  <si>
    <t>C90-K-DCYGDYN6</t>
  </si>
  <si>
    <t>C90-K-EUWL6CQV</t>
  </si>
  <si>
    <t>C90-K-SLY9Z75W</t>
  </si>
  <si>
    <t>C90-K-2WMWYCKB</t>
  </si>
  <si>
    <t>C90-K-F2FQASNK</t>
  </si>
  <si>
    <t>C90-K-WRP7VQ6L</t>
  </si>
  <si>
    <t>C90-K-RY9GHML4</t>
  </si>
  <si>
    <t>C90-K-D83N7MA7</t>
  </si>
  <si>
    <t>C90-K-RCM49G8M</t>
  </si>
  <si>
    <t>C90-K-L49RSS2Z</t>
  </si>
  <si>
    <t>C90-K-LMNEZL82</t>
  </si>
  <si>
    <t>C90-K-EAB4XJMY</t>
  </si>
  <si>
    <t>C90-K-W7EPYBYC</t>
  </si>
  <si>
    <t>C90-K-4L328ZKY</t>
  </si>
  <si>
    <t>C90-K-H9QQWVHA</t>
  </si>
  <si>
    <t>C90-K-9UE63UFL</t>
  </si>
  <si>
    <t>C90-K-D72RWLX9</t>
  </si>
  <si>
    <t>C90-K-KZCKX5PK</t>
  </si>
  <si>
    <t>C90-K-EW93YRXJ</t>
  </si>
  <si>
    <t>C90-K-5TYM5DAG</t>
  </si>
  <si>
    <t>C90-K-GRE5B8W5</t>
  </si>
  <si>
    <t>C90-K-TP2P9DW4</t>
  </si>
  <si>
    <t>C90-K-9TVXK4K3</t>
  </si>
  <si>
    <t>C90-K-CJKQ8XS3</t>
  </si>
  <si>
    <t>C90-K-KJFCJQSY</t>
  </si>
  <si>
    <t>C90-K-AV5VCG4B</t>
  </si>
  <si>
    <t>C90-K-QBFWJWC7</t>
  </si>
  <si>
    <t>C90-K-D5TNAFDF</t>
  </si>
  <si>
    <t>C90-K-YATJHMJW</t>
  </si>
  <si>
    <t>C90-K-EW885HM6</t>
  </si>
  <si>
    <t>C90-K-2XAGKGTX</t>
  </si>
  <si>
    <t>C90-K-GN4UQ8GA</t>
  </si>
  <si>
    <t>C90-K-ZTFRUCMD</t>
  </si>
  <si>
    <t>C90-K-USYWJADP</t>
  </si>
  <si>
    <t>C90-K-YWBUAVSF</t>
  </si>
  <si>
    <t>C90-K-4RLQJ6VH</t>
  </si>
  <si>
    <t>C90-K-P6HGHW89</t>
  </si>
  <si>
    <t>C90-K-X6H9M4EW</t>
  </si>
  <si>
    <t>C90-K-HDASN5VL</t>
  </si>
  <si>
    <t>C90-K-QQT4YJRU</t>
  </si>
  <si>
    <t>C90-K-XXXGUDV9</t>
  </si>
  <si>
    <t>C90-K-RBUX6NV9</t>
  </si>
  <si>
    <t>C90-K-LGEWJCPA</t>
  </si>
  <si>
    <t>C90-K-WD5KN229</t>
  </si>
  <si>
    <t>C90-K-YTCPTCQF</t>
  </si>
  <si>
    <t>C90-K-H2KEJR99</t>
  </si>
  <si>
    <t>C90-K-ZVL97SAY</t>
  </si>
  <si>
    <t>C90-K-48DP5QR6</t>
  </si>
  <si>
    <t>C90-K-4U5P8MDG</t>
  </si>
  <si>
    <t>C90-K-WQC9SY2H</t>
  </si>
  <si>
    <t>C90-K-888ZK6YY</t>
  </si>
  <si>
    <t>C90-K-MHEUKZ6M</t>
  </si>
  <si>
    <t>C90-K-564KBWQC</t>
  </si>
  <si>
    <t>C90-K-5DYBYQD6</t>
  </si>
  <si>
    <t>C90-K-8PGNLHAX</t>
  </si>
  <si>
    <t>C90-K-SD6Y5YH2</t>
  </si>
  <si>
    <t>C90-K-2TR4E4TR</t>
  </si>
  <si>
    <t>C90-K-UYTWTXQP</t>
  </si>
  <si>
    <t>C90-K-VRQTXAEN</t>
  </si>
  <si>
    <t>C90-K-TGB2Y77S</t>
  </si>
  <si>
    <t>C90-K-KW8QM4G7</t>
  </si>
  <si>
    <t>C90-K-6BYY6P4L</t>
  </si>
  <si>
    <t>C90-K-T4RD8VE3</t>
  </si>
  <si>
    <t>C90-K-RLPQWLJD</t>
  </si>
  <si>
    <t>C90-K-F8WHHGBV</t>
  </si>
  <si>
    <t>C90-K-MCXYNZB5</t>
  </si>
  <si>
    <t>C90-K-7TP74YG4</t>
  </si>
  <si>
    <t>C90-K-HMJE8CKK</t>
  </si>
  <si>
    <t>C90-K-CTFVJ7L7</t>
  </si>
  <si>
    <t>C90-K-LZTL932V</t>
  </si>
  <si>
    <t>C90-K-8RDRLQ7B</t>
  </si>
  <si>
    <t>C90-K-TTPQWMJV</t>
  </si>
  <si>
    <t>C90-K-ZH2DFEM7</t>
  </si>
  <si>
    <t>C90-K-J2WJV6KE</t>
  </si>
  <si>
    <t>C90-K-MRJG2JZH</t>
  </si>
  <si>
    <t>C90-K-6EKXLP2U</t>
  </si>
  <si>
    <t>C90-K-UZ5YJZRG</t>
  </si>
  <si>
    <t>C90-K-8G9QCE4M</t>
  </si>
  <si>
    <t>C90-K-9JVKX9BL</t>
  </si>
  <si>
    <t>C90-K-SGG5VJCJ</t>
  </si>
  <si>
    <t>C90-K-ZK9QWDFG</t>
  </si>
  <si>
    <t>C90-K-N7W72QNY</t>
  </si>
  <si>
    <t>C90-K-3TMPXBZ9</t>
  </si>
  <si>
    <t>C90-K-FHSLC5YA</t>
  </si>
  <si>
    <t>C90-K-WJHHJ2NS</t>
  </si>
  <si>
    <t>C90-K-N92NRE9B</t>
  </si>
  <si>
    <t>C90-K-U8Z6RJEN</t>
  </si>
  <si>
    <t>C90-K-ZY4AGU5K</t>
  </si>
  <si>
    <t>C90-K-24YN84PM</t>
  </si>
  <si>
    <t>C90-K-45DX2YG3</t>
  </si>
  <si>
    <t>C90-K-XPUGKHPG</t>
  </si>
  <si>
    <t>C90-K-P85ZZW2K</t>
  </si>
  <si>
    <t>C90-K-TGRWPNQD</t>
  </si>
  <si>
    <t>C90-K-5Y3Y9U3A</t>
  </si>
  <si>
    <t>C90-K-3H6J8Y62</t>
  </si>
  <si>
    <t>C90-K-2SPCSWLU</t>
  </si>
  <si>
    <t>C90-K-VV8KLJMK</t>
  </si>
  <si>
    <t>C90-K-WDAU3BMK</t>
  </si>
  <si>
    <t>C90-K-G2KDABZB</t>
  </si>
  <si>
    <t>C90-K-W4WG2LNG</t>
  </si>
  <si>
    <t>C90-K-E5AZP9EC</t>
  </si>
  <si>
    <t>C90-K-XK2FPVKV</t>
  </si>
  <si>
    <t>C90-K-4S7G3WKS</t>
  </si>
  <si>
    <t>C90-K-XZF4ZMN3</t>
  </si>
  <si>
    <t>C90-K-PCSZZARX</t>
  </si>
  <si>
    <t>C90-K-FBGANE2L</t>
  </si>
  <si>
    <t>C90-K-3U4YMW5P</t>
  </si>
  <si>
    <t>C90-K-4NFLAQXH</t>
  </si>
  <si>
    <t>C90-K-J94W85MM</t>
  </si>
  <si>
    <t>C90-K-X4TGX9N8</t>
  </si>
  <si>
    <t>C90-K-GM9BPFWS</t>
  </si>
  <si>
    <t>C90-K-Y86BT4N7</t>
  </si>
  <si>
    <t>C90-K-NUH759LK</t>
  </si>
  <si>
    <t>C90-K-Y76VCVVV</t>
  </si>
  <si>
    <t>C90-K-AC9K7RM4</t>
  </si>
  <si>
    <t>C90-K-5XU3USN9</t>
  </si>
  <si>
    <t>C90-K-88Y87VFE</t>
  </si>
  <si>
    <t>C90-K-YRTSRXYT</t>
  </si>
  <si>
    <t>C90-K-QMFQELQL</t>
  </si>
  <si>
    <t>C90-K-ABVYD32J</t>
  </si>
  <si>
    <t>C90-K-96766JS3</t>
  </si>
  <si>
    <t>C90-K-B2V75J8E</t>
  </si>
  <si>
    <t>C90-K-QWNQDNVJ</t>
  </si>
  <si>
    <t>C90-K-W6L9GKGL</t>
  </si>
  <si>
    <t>C90-K-593E7AR8</t>
  </si>
  <si>
    <t>C90-K-FYTNZYSC</t>
  </si>
  <si>
    <t>C90-K-J7VW8WTL</t>
  </si>
  <si>
    <t>C90-K-NTWSQR7B</t>
  </si>
  <si>
    <t>C90-K-T3EEQGZW</t>
  </si>
  <si>
    <t>C90-K-4SNMM3KH</t>
  </si>
  <si>
    <t>C90-K-BE765BJ5</t>
  </si>
  <si>
    <t>C90-K-8DDH2C2H</t>
  </si>
  <si>
    <t>C90-K-LLXN2863</t>
  </si>
  <si>
    <t>C90-K-TNGAGVMF</t>
  </si>
  <si>
    <t>C90-K-CTWVPTB5</t>
  </si>
  <si>
    <t>C90-K-GAGKZPBP</t>
  </si>
  <si>
    <t>C90-K-CKZHRQ3C</t>
  </si>
  <si>
    <t>C90-K-QHQK2W3V</t>
  </si>
  <si>
    <t>C90-K-BDVPHX8V</t>
  </si>
  <si>
    <t>C90-K-CA2AKK9H</t>
  </si>
  <si>
    <t>C90-K-CZ5XJWXW</t>
  </si>
  <si>
    <t>C90-K-DYD6KZR4</t>
  </si>
  <si>
    <t>C90-K-XNBX43XB</t>
  </si>
  <si>
    <t>C90-K-FN8GV932</t>
  </si>
  <si>
    <t>C90-K-UVYNZNG9</t>
  </si>
  <si>
    <t>C90-K-LX4KFRXF</t>
  </si>
  <si>
    <t>C90-K-LJ7HKR7T</t>
  </si>
  <si>
    <t>C90-K-RNH85GWF</t>
  </si>
  <si>
    <t>C90-K-CDTLNNME</t>
  </si>
  <si>
    <t>C90-K-LT7DC5MD</t>
  </si>
  <si>
    <t>C90-K-CSPND2ZZ</t>
  </si>
  <si>
    <t>C90-K-B8Z3WM6N</t>
  </si>
  <si>
    <t>C90-K-VWSFWVGZ</t>
  </si>
  <si>
    <t>C90-K-BRHBFRG2</t>
  </si>
  <si>
    <t>C90-K-ZYAHEMBN</t>
  </si>
  <si>
    <t>C90-K-DUU2755U</t>
  </si>
  <si>
    <t>C90-K-NZJPCCE8</t>
  </si>
  <si>
    <t>C90-K-VA3NNL67</t>
  </si>
  <si>
    <t>C90-K-HMG2ACEN</t>
  </si>
  <si>
    <t>C90-K-5NCYZLDR</t>
  </si>
  <si>
    <t>C90-K-63MH2WC4</t>
  </si>
  <si>
    <t>C90-K-6VED65WZ</t>
  </si>
  <si>
    <t>C90-K-37XNRWVE</t>
  </si>
  <si>
    <t>C90-K-BZFU68JS</t>
  </si>
  <si>
    <t>C90-K-TB7ZKLSQ</t>
  </si>
  <si>
    <t>C90-K-L5VKUJDQ</t>
  </si>
  <si>
    <t>C90-K-AH6QRGBZ</t>
  </si>
  <si>
    <t>C90-K-WLTZ6MW6</t>
  </si>
  <si>
    <t>C90-K-B6Z98GYZ</t>
  </si>
  <si>
    <t>C90-K-AJRF62Q9</t>
  </si>
  <si>
    <t>C90-K-W8BCCX2Y</t>
  </si>
  <si>
    <t>C90-K-N2T4NHTY</t>
  </si>
  <si>
    <t>C90-K-7CSFMRKU</t>
  </si>
  <si>
    <t>C90-K-LHVM9AE4</t>
  </si>
  <si>
    <t>C90-K-ZEUE7STD</t>
  </si>
  <si>
    <t>C90-K-SM89KK54</t>
  </si>
  <si>
    <t>C90-K-YKER3DN4</t>
  </si>
  <si>
    <t>C90-K-FNEHCTPH</t>
  </si>
  <si>
    <t>C90-K-25F5FK86</t>
  </si>
  <si>
    <t>C90-K-S7M5M5JV</t>
  </si>
  <si>
    <t>C90-K-FUTTD355</t>
  </si>
  <si>
    <t>C90-K-P7YZ6W92</t>
  </si>
  <si>
    <t>C90-K-QZBCZ3KH</t>
  </si>
  <si>
    <t>C90-K-77S5QLKW</t>
  </si>
  <si>
    <t>C90-K-657GYVR9</t>
  </si>
  <si>
    <t>C90-K-34LPSVDZ</t>
  </si>
  <si>
    <t>C90-K-JJ5HKC9U</t>
  </si>
  <si>
    <t>C90-K-LFJH8SJF</t>
  </si>
  <si>
    <t>C90-K-RFQGZGHR</t>
  </si>
  <si>
    <t>C90-K-PR4UMXRB</t>
  </si>
  <si>
    <t>C90-K-H8ZUJQWG</t>
  </si>
  <si>
    <t>C90-K-RA4NFTA5</t>
  </si>
  <si>
    <t>C90-K-LZ7SWE96</t>
  </si>
  <si>
    <t>C90-K-4Z5PHGV2</t>
  </si>
  <si>
    <t>C90-K-CLWW89AT</t>
  </si>
  <si>
    <t>C90-K-3ADD4DVM</t>
  </si>
  <si>
    <t>C90-K-5YCJ4XZM</t>
  </si>
  <si>
    <t>C90-K-8PYGHPSZ</t>
  </si>
  <si>
    <t>C90-K-M94NKX2D</t>
  </si>
  <si>
    <t>C90-K-RA2HWH2E</t>
  </si>
  <si>
    <t>C90-K-DMHJKPTX</t>
  </si>
  <si>
    <t>C90-K-XDTGBM23</t>
  </si>
  <si>
    <t>C90-K-648QV3GQ</t>
  </si>
  <si>
    <t>C90-K-W3KCW38U</t>
  </si>
  <si>
    <t>C90-K-P7YMNFLB</t>
  </si>
  <si>
    <t>C90-K-MBFDZKE8</t>
  </si>
  <si>
    <t>C90-K-JGQ8SWXZ</t>
  </si>
  <si>
    <t>C90-K-DZWFQN78</t>
  </si>
  <si>
    <t>C90-K-NTXUW6S7</t>
  </si>
  <si>
    <t>C90-K-X58DHU6P</t>
  </si>
  <si>
    <t>C90-K-6JSPZEXB</t>
  </si>
  <si>
    <t>C90-K-FFPG935P</t>
  </si>
  <si>
    <t>C90-K-4ZNUWX36</t>
  </si>
  <si>
    <t>C90-K-RGJEURAB</t>
  </si>
  <si>
    <t>C90-K-QC8KWKCA</t>
  </si>
  <si>
    <t>C90-K-F7TGVVE7</t>
  </si>
  <si>
    <t>C90-K-DNZK6NZN</t>
  </si>
  <si>
    <t>C90-K-CRL7J89N</t>
  </si>
  <si>
    <t>C90-K-TFVYUGVL</t>
  </si>
  <si>
    <t>C90-K-EYULM6AU</t>
  </si>
  <si>
    <t>C90-K-C5REDGY6</t>
  </si>
  <si>
    <t>C90-K-PAQ7M8NY</t>
  </si>
  <si>
    <t>C90-K-WVMS8S9Z</t>
  </si>
  <si>
    <t>C90-K-FJ7LX39U</t>
  </si>
  <si>
    <t>C90-K-AHYN4YW2</t>
  </si>
  <si>
    <t>C90-K-PK9LJYJB</t>
  </si>
  <si>
    <t>C90-K-LD5GSSFM</t>
  </si>
  <si>
    <t>C90-K-W4D4FATA</t>
  </si>
  <si>
    <t>C90-K-CDVPQBPH</t>
  </si>
  <si>
    <t>C90-K-BLUVAJ4B</t>
  </si>
  <si>
    <t>C90-K-LHWRFLHK</t>
  </si>
  <si>
    <t>C90-K-7FWW74XW</t>
  </si>
  <si>
    <t>C90-K-PFEXV599</t>
  </si>
  <si>
    <t>C90-K-ZZFETZJX</t>
  </si>
  <si>
    <t>C90-K-Y8429B46</t>
  </si>
  <si>
    <t>C90-K-44WCRL8U</t>
  </si>
  <si>
    <t>C90-K-ZFFXGWFD</t>
  </si>
  <si>
    <t>C90-K-NZ8G4JNG</t>
  </si>
  <si>
    <t>C90-K-26PMLU9D</t>
  </si>
  <si>
    <t>C90-K-E5CTQGVE</t>
  </si>
  <si>
    <t>C90-K-922BTGCN</t>
  </si>
  <si>
    <t>C90-K-ZNYHH3V2</t>
  </si>
  <si>
    <t>C90-K-NKREQHK8</t>
  </si>
  <si>
    <t>C90-K-7ZX43WAH</t>
  </si>
  <si>
    <t>C90-K-GVDVCTLJ</t>
  </si>
  <si>
    <t>C90-K-YWFQQ5UH</t>
  </si>
  <si>
    <t>C90-K-L5V4HE5N</t>
  </si>
  <si>
    <t>C90-K-77RDS8ND</t>
  </si>
  <si>
    <t>C90-K-K56ZY7G7</t>
  </si>
  <si>
    <t>C90-K-5FFTBDDR</t>
  </si>
  <si>
    <t>C90-K-YFSZ3H65</t>
  </si>
  <si>
    <t>C90-K-SEZQEAUM</t>
  </si>
  <si>
    <t>C90-K-4GB84MWB</t>
  </si>
  <si>
    <t>C90-K-DF62R3ZC</t>
  </si>
  <si>
    <t>C90-K-U8DUQM69</t>
  </si>
  <si>
    <t>C90-K-52GWKN5N</t>
  </si>
  <si>
    <t>C90-K-438USHJU</t>
  </si>
  <si>
    <t>C90-K-9ZD3SZMV</t>
  </si>
  <si>
    <t>C90-K-6TG9WVGT</t>
  </si>
  <si>
    <t>C90-K-UPE87HXV</t>
  </si>
  <si>
    <t>C90-K-ZK6BMRW2</t>
  </si>
  <si>
    <t>C90-K-33N3R9NP</t>
  </si>
  <si>
    <t>C90-K-K5TJD5LQ</t>
  </si>
  <si>
    <t>C90-K-4GJ3BZTF</t>
  </si>
  <si>
    <t>C90-K-EKXHE2M6</t>
  </si>
  <si>
    <t>C90-K-6DA6FNGB</t>
  </si>
  <si>
    <t>C90-K-W5TUALE7</t>
  </si>
  <si>
    <t>C90-K-R35C7CMV</t>
  </si>
  <si>
    <t>C90-K-FBFPBSHS</t>
  </si>
  <si>
    <t>C90-K-TDN3SADZ</t>
  </si>
  <si>
    <t>C90-K-SMQB7GZ7</t>
  </si>
  <si>
    <t>C90-K-5P8SJRQ6</t>
  </si>
  <si>
    <t>C90-K-T9JEJUBQ</t>
  </si>
  <si>
    <t>C90-K-EFF4UL8W</t>
  </si>
  <si>
    <t>C90-K-8B4Y5SM7</t>
  </si>
  <si>
    <t>C90-K-ESB22YCB</t>
  </si>
  <si>
    <t>C90-K-C9PLGEC8</t>
  </si>
  <si>
    <t>C90-K-CTGD5QUP</t>
  </si>
  <si>
    <t>C90-K-38PHA6WC</t>
  </si>
  <si>
    <t>C90-K-MJE5EG66</t>
  </si>
  <si>
    <t>C90-K-PQNJJZT9</t>
  </si>
  <si>
    <t>C90-K-2YYKAT2G</t>
  </si>
  <si>
    <t>C90-K-XQ7LWF2L</t>
  </si>
  <si>
    <t>C90-K-H65E938K</t>
  </si>
  <si>
    <t>C90-K-VZAGQ427</t>
  </si>
  <si>
    <t>C90-K-ZPWYME2S</t>
  </si>
  <si>
    <t>C90-K-MJQLXU2N</t>
  </si>
  <si>
    <t>C90-K-M7JBHBPX</t>
  </si>
  <si>
    <t>C90-K-WWL5L3JK</t>
  </si>
  <si>
    <t>C90-K-N4JYUE9V</t>
  </si>
  <si>
    <t>C90-K-SL8R29SG</t>
  </si>
  <si>
    <t>C90-K-U8MJE3XS</t>
  </si>
  <si>
    <t>C90-K-72N9QA5U</t>
  </si>
  <si>
    <t>C90-K-BVXHQQN9</t>
  </si>
  <si>
    <t>C90-K-46UWTBAU</t>
  </si>
  <si>
    <t>C90-K-KDUFNSHV</t>
  </si>
  <si>
    <t>C90-K-H4LG6SRY</t>
  </si>
  <si>
    <t>C90-K-9TKDCBNE</t>
  </si>
  <si>
    <t>C90-K-XVM2VQ8Q</t>
  </si>
  <si>
    <t>C90-K-DGUDYRFZ</t>
  </si>
  <si>
    <t>C90-K-7NNBG2H3</t>
  </si>
  <si>
    <t>C90-K-P5GZSFQ6</t>
  </si>
  <si>
    <t>C90-K-JXXQ2YAU</t>
  </si>
  <si>
    <t>C90-K-AFGLELPP</t>
  </si>
  <si>
    <t>C90-K-YLET4T8L</t>
  </si>
  <si>
    <t>C90-K-CCT52UCC</t>
  </si>
  <si>
    <t>C90-K-XWAHECHW</t>
  </si>
  <si>
    <t>C90-K-7FRJ4BZT</t>
  </si>
  <si>
    <t>C90-K-L7N6YJDS</t>
  </si>
  <si>
    <t>C90-K-78VYFNTF</t>
  </si>
  <si>
    <t>C90-K-9LPLNUVC</t>
  </si>
  <si>
    <t>C90-K-GVZHYG92</t>
  </si>
  <si>
    <t>C90-K-EAHSY8ZU</t>
  </si>
  <si>
    <t>C90-K-DNPF92R4</t>
  </si>
  <si>
    <t>C90-K-G6EG6MUS</t>
  </si>
  <si>
    <t>C90-K-QHZJXSSX</t>
  </si>
  <si>
    <t>C90-K-PTNBUQH7</t>
  </si>
  <si>
    <t>C90-K-B29URUFM</t>
  </si>
  <si>
    <t>C90-K-BF7YCR2D</t>
  </si>
  <si>
    <t>C90-K-XB2XBFJ9</t>
  </si>
  <si>
    <t>C90-K-KYSPM47K</t>
  </si>
  <si>
    <t>C90-K-WATKXDTH</t>
  </si>
  <si>
    <t>C90-K-NC4N963B</t>
  </si>
  <si>
    <t>C90-K-5GXF5AKA</t>
  </si>
  <si>
    <t>C90-K-KT45TAZE</t>
  </si>
  <si>
    <t>C90-K-9WJQ5CWP</t>
  </si>
  <si>
    <t>C90-K-SYDBGCZV</t>
  </si>
  <si>
    <t>C90-K-D8GMDLBE</t>
  </si>
  <si>
    <t>C90-K-XCXCCCGJ</t>
  </si>
  <si>
    <t>C90-K-AT5MNDXZ</t>
  </si>
  <si>
    <t>C90-K-RL2BR9W6</t>
  </si>
  <si>
    <t>C90-K-GYGR5ZQL</t>
  </si>
  <si>
    <t>C90-K-EZNKRRHG</t>
  </si>
  <si>
    <t>C90-K-FNDJ3X83</t>
  </si>
  <si>
    <t>C90-K-N7V2HJK5</t>
  </si>
  <si>
    <t>C90-K-V2HH5ZSR</t>
  </si>
  <si>
    <t>C90-K-MV7SYDYM</t>
  </si>
  <si>
    <t>C90-K-L4BSE9BN</t>
  </si>
  <si>
    <t>C90-K-QGBNTU5G</t>
  </si>
  <si>
    <t>C90-K-2758UPW5</t>
  </si>
  <si>
    <t>C90-K-MRSD244E</t>
  </si>
  <si>
    <t>C90-K-GH2C9WCQ</t>
  </si>
  <si>
    <t>C90-K-HST3QUMU</t>
  </si>
  <si>
    <t>C90-K-PQ97N7LL</t>
  </si>
  <si>
    <t>C90-K-Y5ENMMCR</t>
  </si>
  <si>
    <t>C90-K-MKFTVDQD</t>
  </si>
  <si>
    <t>C90-K-YMG4CTVD</t>
  </si>
  <si>
    <t>C90-K-EUDWRQY3</t>
  </si>
  <si>
    <t>C90-K-XHKHMRK7</t>
  </si>
  <si>
    <t>C90-K-5YUQ8QBS</t>
  </si>
  <si>
    <t>C90-K-G65LA8MS</t>
  </si>
  <si>
    <t>C90-K-JJMQJDXY</t>
  </si>
  <si>
    <t>C90-K-QNGLU2AK</t>
  </si>
  <si>
    <t>C90-K-BFCZE5NN</t>
  </si>
  <si>
    <t>C90-K-KYNX95TA</t>
  </si>
  <si>
    <t>C90-K-DGKJAZP6</t>
  </si>
  <si>
    <t>C90-K-USAXDJGC</t>
  </si>
  <si>
    <t>C90-K-JP224ASD</t>
  </si>
  <si>
    <t>C90-K-VFFSS8H8</t>
  </si>
  <si>
    <t>C90-K-DCGF3SWX</t>
  </si>
  <si>
    <t>C90-K-J43FHMPJ</t>
  </si>
  <si>
    <t>C90-K-PN5MT3EQ</t>
  </si>
  <si>
    <t>C90-K-AZ2U3FDE</t>
  </si>
  <si>
    <t>C90-K-TLMVLUJB</t>
  </si>
  <si>
    <t>C90-K-QV9HKS3S</t>
  </si>
  <si>
    <t>C90-K-GUVFC7LM</t>
  </si>
  <si>
    <t>C90-K-U9BBGV4F</t>
  </si>
  <si>
    <t>C90-K-MUF4ZFE9</t>
  </si>
  <si>
    <t>C90-K-RBGTZHJY</t>
  </si>
  <si>
    <t>C90-K-TVZ2PDD2</t>
  </si>
  <si>
    <t>C90-K-8XEN9KL8</t>
  </si>
  <si>
    <t>C90-K-8EYWHA2R</t>
  </si>
  <si>
    <t>C90-K-MN9ADNLD</t>
  </si>
  <si>
    <t>C90-K-W8AT64B4</t>
  </si>
  <si>
    <t>C90-K-XN6QS8EX</t>
  </si>
  <si>
    <t>C90-K-RP2SNVFB</t>
  </si>
  <si>
    <t>C90-K-WBG2KYA4</t>
  </si>
  <si>
    <t>C90-K-8SPD9UV7</t>
  </si>
  <si>
    <t>C90-K-TBK6QHQQ</t>
  </si>
  <si>
    <t>C90-K-35FZQRC2</t>
  </si>
  <si>
    <t>C90-K-NJADA2H2</t>
  </si>
  <si>
    <t>C90-K-C8EU684U</t>
  </si>
  <si>
    <t>C90-K-3A2K2LFC</t>
  </si>
  <si>
    <t>C90-K-YMHUHKLY</t>
  </si>
  <si>
    <t>C90-K-J98GAEFH</t>
  </si>
  <si>
    <t>C90-K-F3LECTCP</t>
  </si>
  <si>
    <t>C90-K-3SC4HFKS</t>
  </si>
  <si>
    <t>C90-K-M2RGB6LW</t>
  </si>
  <si>
    <t>C90-K-BE5LTLC9</t>
  </si>
  <si>
    <t>C90-K-XJ4ZQXGW</t>
  </si>
  <si>
    <t>C90-K-D4G98DRA</t>
  </si>
  <si>
    <t>C90-K-JFBM6KE5</t>
  </si>
  <si>
    <t>C90-K-NZ9DTZ5H</t>
  </si>
  <si>
    <t>C90-K-J4R2BP3H</t>
  </si>
  <si>
    <t>C90-K-5L37QCVN</t>
  </si>
  <si>
    <t>C90-K-KYZQNSE8</t>
  </si>
  <si>
    <t>C90-K-24H4XFM5</t>
  </si>
  <si>
    <t>C90-K-BNBL4FWT</t>
  </si>
  <si>
    <t>C90-K-M2UD6WEL</t>
  </si>
  <si>
    <t>C90-K-ND42WPG8</t>
  </si>
  <si>
    <t>C90-K-LUCACHV5</t>
  </si>
  <si>
    <t>C90-K-36SNDKZ9</t>
  </si>
  <si>
    <t>C90-K-98QYNZTU</t>
  </si>
  <si>
    <t>C90-K-4XVLCGCE</t>
  </si>
  <si>
    <t>C90-K-RV6BKDU8</t>
  </si>
  <si>
    <t>C90-K-6UX2BGKF</t>
  </si>
  <si>
    <t>C90-K-9V4G5SQN</t>
  </si>
  <si>
    <t>C90-K-4M7XTPF3</t>
  </si>
  <si>
    <t>C90-K-2RHLVNVM</t>
  </si>
  <si>
    <t>C90-K-WM96FFMU</t>
  </si>
  <si>
    <t>C90-K-7FNKKGDT</t>
  </si>
  <si>
    <t>C90-K-GJ2CPJ8K</t>
  </si>
  <si>
    <t>C90-K-266UGTTK</t>
  </si>
  <si>
    <t>C90-K-95NBZA9T</t>
  </si>
  <si>
    <t>C90-K-HQAPL9HV</t>
  </si>
  <si>
    <t>C90-K-CALT6GZH</t>
  </si>
  <si>
    <t>C90-K-CUDC5UF4</t>
  </si>
  <si>
    <t>C90-K-6C3VZKBC</t>
  </si>
  <si>
    <t>C90-K-3T28MLLT</t>
  </si>
  <si>
    <t>C90-K-YX8NX9E5</t>
  </si>
  <si>
    <t>C90-K-XLVYG4L2</t>
  </si>
  <si>
    <t>C90-K-H2R77YR7</t>
  </si>
  <si>
    <t>C90-K-QVLV3Q3A</t>
  </si>
  <si>
    <t>C90-K-U8KWTF36</t>
  </si>
  <si>
    <t>C90-K-4AE4UVB9</t>
  </si>
  <si>
    <t>C90-K-8CFKDS37</t>
  </si>
  <si>
    <t>C90-K-WAK8BM8K</t>
  </si>
  <si>
    <t>C90-K-ZTSVTH67</t>
  </si>
  <si>
    <t>C90-K-WK74BDFH</t>
  </si>
  <si>
    <t>C90-K-G2YFSGKD</t>
  </si>
  <si>
    <t>C90-K-MXLXKZNG</t>
  </si>
  <si>
    <t>C90-K-LQTHTR6X</t>
  </si>
  <si>
    <t>C90-K-Q6BWGUGK</t>
  </si>
  <si>
    <t>C90-K-XR9G7WLL</t>
  </si>
  <si>
    <t>C90-K-V5HKXXAP</t>
  </si>
  <si>
    <t>C90-K-Z8642HDV</t>
  </si>
  <si>
    <t>C90-K-V447KGZM</t>
  </si>
  <si>
    <t>C90-K-3PN56R5K</t>
  </si>
  <si>
    <t>C90-K-HK2FTFK2</t>
  </si>
  <si>
    <t>C90-K-PYEQLP9T</t>
  </si>
  <si>
    <t>C90-K-DSJZUSXH</t>
  </si>
  <si>
    <t>C90-K-4B7XUQXK</t>
  </si>
  <si>
    <t>C90-K-V4CZXMSU</t>
  </si>
  <si>
    <t>C90-K-J2B7VNAC</t>
  </si>
  <si>
    <t>C90-K-JACBAK8N</t>
  </si>
  <si>
    <t>C90-K-XCWSCF6K</t>
  </si>
  <si>
    <t>C90-K-00566</t>
  </si>
  <si>
    <t>C90-K-00567</t>
  </si>
  <si>
    <t>C90-K-00568</t>
  </si>
  <si>
    <t>C90-K-00569</t>
  </si>
  <si>
    <t>C90-K-00570</t>
  </si>
  <si>
    <t>C90-K-00571</t>
  </si>
  <si>
    <t>C90-K-00572</t>
  </si>
  <si>
    <t>C90-K-00573</t>
  </si>
  <si>
    <t>C90-K-00574</t>
  </si>
  <si>
    <t>C90-K-00575</t>
  </si>
  <si>
    <t>C90-K-00576</t>
  </si>
  <si>
    <t>C90-K-00577</t>
  </si>
  <si>
    <t>C90-K-00578</t>
  </si>
  <si>
    <t>C90-K-00579</t>
  </si>
  <si>
    <t>C90-K-00580</t>
  </si>
  <si>
    <t>C90-K-00581</t>
  </si>
  <si>
    <t>C90-K-00582</t>
  </si>
  <si>
    <t>C90-K-00583</t>
  </si>
  <si>
    <t>C90-K-00584</t>
  </si>
  <si>
    <t>C90-K-00585</t>
  </si>
  <si>
    <t>C90-K-00586</t>
  </si>
  <si>
    <t>C90-K-00587</t>
  </si>
  <si>
    <t>C90-K-00588</t>
  </si>
  <si>
    <t>C90-K-00589</t>
  </si>
  <si>
    <t>C90-K-00590</t>
  </si>
  <si>
    <t>C90-K-00591</t>
  </si>
  <si>
    <t>C90-K-00592</t>
  </si>
  <si>
    <t>C90-K-00593</t>
  </si>
  <si>
    <t>C90-K-00594</t>
  </si>
  <si>
    <t>C90-K-00595</t>
  </si>
  <si>
    <t>C90-K-00596</t>
  </si>
  <si>
    <t>C90-K-00597</t>
  </si>
  <si>
    <t>C90-K-00598</t>
  </si>
  <si>
    <t>C90-K-00599</t>
  </si>
  <si>
    <t>C90-K-00600</t>
  </si>
  <si>
    <t>C90-K-00601</t>
  </si>
  <si>
    <t>C90-K-00602</t>
  </si>
  <si>
    <t>C90-K-00603</t>
  </si>
  <si>
    <t>C90-K-00604</t>
  </si>
  <si>
    <t>C90-K-00605</t>
  </si>
  <si>
    <t>C90-K-00606</t>
  </si>
  <si>
    <t>C90-K-00607</t>
  </si>
  <si>
    <t>C90-K-00608</t>
  </si>
  <si>
    <t>C90-K-00609</t>
  </si>
  <si>
    <t>C90-K-00610</t>
  </si>
  <si>
    <t>C90-K-00611</t>
  </si>
  <si>
    <t>C90-K-00612</t>
  </si>
  <si>
    <t>C90-K-00613</t>
  </si>
  <si>
    <t>C90-K-00614</t>
  </si>
  <si>
    <t>C90-K-00615</t>
  </si>
  <si>
    <t>C90-K-00616</t>
  </si>
  <si>
    <t>C90-K-00617</t>
  </si>
  <si>
    <t>C90-K-00618</t>
  </si>
  <si>
    <t>C90-K-00619</t>
  </si>
  <si>
    <t>C90-K-00620</t>
  </si>
  <si>
    <t>C90-K-00621</t>
  </si>
  <si>
    <t>C90-K-00622</t>
  </si>
  <si>
    <t>C90-K-00623</t>
  </si>
  <si>
    <t>C90-K-00624</t>
  </si>
  <si>
    <t>C90-K-00625</t>
  </si>
  <si>
    <t>C90-K-00626</t>
  </si>
  <si>
    <t>C90-K-00627</t>
  </si>
  <si>
    <t>C90-K-00628</t>
  </si>
  <si>
    <t>C90-K-00629</t>
  </si>
  <si>
    <t>C90-K-00630</t>
  </si>
  <si>
    <t>C90-K-00631</t>
  </si>
  <si>
    <t>C90-K-00632</t>
  </si>
  <si>
    <t>C90-K-00633</t>
  </si>
  <si>
    <t>C90-K-00634</t>
  </si>
  <si>
    <t>C90-K-00635</t>
  </si>
  <si>
    <t>C90-K-00636</t>
  </si>
  <si>
    <t>C90-K-00637</t>
  </si>
  <si>
    <t>C90-K-00638</t>
  </si>
  <si>
    <t>C90-K-00639</t>
  </si>
  <si>
    <t>C90-K-00640</t>
  </si>
  <si>
    <t>C90-K-00641</t>
  </si>
  <si>
    <t>C90-K-00642</t>
  </si>
  <si>
    <t>C90-K-00643</t>
  </si>
  <si>
    <t>C90-K-00644</t>
  </si>
  <si>
    <t>C90-K-00645</t>
  </si>
  <si>
    <t>C90-K-00646</t>
  </si>
  <si>
    <t>C90-K-00647</t>
  </si>
  <si>
    <t>C90-K-00648</t>
  </si>
  <si>
    <t>C90-K-00649</t>
  </si>
  <si>
    <t>C90-K-00650</t>
  </si>
  <si>
    <t>C90-K-00651</t>
  </si>
  <si>
    <t>C90-K-00652</t>
  </si>
  <si>
    <t>C90-K-00653</t>
  </si>
  <si>
    <t>C90-K-00654</t>
  </si>
  <si>
    <t>C90-K-00655</t>
  </si>
  <si>
    <t>C90-K-00656</t>
  </si>
  <si>
    <t>C90-K-00657</t>
  </si>
  <si>
    <t>C90-K-00658</t>
  </si>
  <si>
    <t>C90-K-00659</t>
  </si>
  <si>
    <t>C90-K-00660</t>
  </si>
  <si>
    <t>C90-K-00661</t>
  </si>
  <si>
    <t>C90-K-00662</t>
  </si>
  <si>
    <t>C90-K-00663</t>
  </si>
  <si>
    <t>C90-K-00664</t>
  </si>
  <si>
    <t>C90-K-00665</t>
  </si>
  <si>
    <t>C90-K-00666</t>
  </si>
  <si>
    <t>C90-K-00667</t>
  </si>
  <si>
    <t>C90-K-00668</t>
  </si>
  <si>
    <t>C90-K-00669</t>
  </si>
  <si>
    <t>C90-K-00670</t>
  </si>
  <si>
    <t>C90-K-00671</t>
  </si>
  <si>
    <t>C90-K-00672</t>
  </si>
  <si>
    <t>C90-K-00673</t>
  </si>
  <si>
    <t>C90-K-00674</t>
  </si>
  <si>
    <t>C90-K-00675</t>
  </si>
  <si>
    <t>C90-K-00676</t>
  </si>
  <si>
    <t>C90-K-00677</t>
  </si>
  <si>
    <t>C90-K-00678</t>
  </si>
  <si>
    <t>C90-K-00679</t>
  </si>
  <si>
    <t>C90-K-00680</t>
  </si>
  <si>
    <t>C90-K-00681</t>
  </si>
  <si>
    <t>C90-K-00682</t>
  </si>
  <si>
    <t>C90-K-00683</t>
  </si>
  <si>
    <t>C90-K-00684</t>
  </si>
  <si>
    <t>C90-K-00685</t>
  </si>
  <si>
    <t>C90-K-00686</t>
  </si>
  <si>
    <t>C90-K-00687</t>
  </si>
  <si>
    <t>C90-K-00688</t>
  </si>
  <si>
    <t>C90-K-00689</t>
  </si>
  <si>
    <t>C90-K-00690</t>
  </si>
  <si>
    <t>C90-K-00691</t>
  </si>
  <si>
    <t>C90-K-00692</t>
  </si>
  <si>
    <t>C90-K-00693</t>
  </si>
  <si>
    <t>C90-K-00694</t>
  </si>
  <si>
    <t>C90-K-00695</t>
  </si>
  <si>
    <t>C90-K-00696</t>
  </si>
  <si>
    <t>C90-K-00697</t>
  </si>
  <si>
    <t>C90-K-00698</t>
  </si>
  <si>
    <t>C90-K-00699</t>
  </si>
  <si>
    <t>C90-K-00700</t>
  </si>
  <si>
    <t>C90-K-00701</t>
  </si>
  <si>
    <t>C90-K-00702</t>
  </si>
  <si>
    <t>C90-K-00703</t>
  </si>
  <si>
    <t>C90-K-00704</t>
  </si>
  <si>
    <t>C90-K-00705</t>
  </si>
  <si>
    <t>C90-K-00706</t>
  </si>
  <si>
    <t>C90-K-00707</t>
  </si>
  <si>
    <t>C90-K-00708</t>
  </si>
  <si>
    <t>C90-K-00709</t>
  </si>
  <si>
    <t>C90-K-00710</t>
  </si>
  <si>
    <t>C90-K-00711</t>
  </si>
  <si>
    <t>C90-K-00712</t>
  </si>
  <si>
    <t>C90-K-00713</t>
  </si>
  <si>
    <t>C90-K-00714</t>
  </si>
  <si>
    <t>C90-K-00715</t>
  </si>
  <si>
    <t>C90-K-00716</t>
  </si>
  <si>
    <t>C90-K-00717</t>
  </si>
  <si>
    <t>C90-K-00718</t>
  </si>
  <si>
    <t>C90-K-00719</t>
  </si>
  <si>
    <t>C90-K-00720</t>
  </si>
  <si>
    <t>C90-K-00721</t>
  </si>
  <si>
    <t>C90-K-00722</t>
  </si>
  <si>
    <t>C90-K-00723</t>
  </si>
  <si>
    <t>C90-K-00724</t>
  </si>
  <si>
    <t>C90-K-00725</t>
  </si>
  <si>
    <t>C90-K-00726</t>
  </si>
  <si>
    <t>C90-K-00727</t>
  </si>
  <si>
    <t>C90-K-00728</t>
  </si>
  <si>
    <t>C90-K-00729</t>
  </si>
  <si>
    <t>C90-K-00730</t>
  </si>
  <si>
    <t>C90-K-00731</t>
  </si>
  <si>
    <t>C90-K-00732</t>
  </si>
  <si>
    <t>C90-K-00733</t>
  </si>
  <si>
    <t>C90-K-00734</t>
  </si>
  <si>
    <t>C90-K-00735</t>
  </si>
  <si>
    <t>C90-K-00736</t>
  </si>
  <si>
    <t>C90-K-00737</t>
  </si>
  <si>
    <t>C90-K-00738</t>
  </si>
  <si>
    <t>C90-K-00739</t>
  </si>
  <si>
    <t>C90-K-00740</t>
  </si>
  <si>
    <t>C90-K-00741</t>
  </si>
  <si>
    <t>C90-K-00742</t>
  </si>
  <si>
    <t>C90-K-00743</t>
  </si>
  <si>
    <t>C90-K-00744</t>
  </si>
  <si>
    <t>C90-K-00745</t>
  </si>
  <si>
    <t>C90-K-00746</t>
  </si>
  <si>
    <t>C90-K-00747</t>
  </si>
  <si>
    <t>C90-K-00748</t>
  </si>
  <si>
    <t>C90-K-00749</t>
  </si>
  <si>
    <t>C90-K-00750</t>
  </si>
  <si>
    <t>C90-K-00751</t>
  </si>
  <si>
    <t>C90-K-00752</t>
  </si>
  <si>
    <t>C90-K-00753</t>
  </si>
  <si>
    <t>C90-K-00754</t>
  </si>
  <si>
    <t>C90-K-00755</t>
  </si>
  <si>
    <t>C90-K-00756</t>
  </si>
  <si>
    <t>C90-K-00757</t>
  </si>
  <si>
    <t>C90-K-00758</t>
  </si>
  <si>
    <t>C90-K-00759</t>
  </si>
  <si>
    <t>C90-K-00760</t>
  </si>
  <si>
    <t>C90-K-00761</t>
  </si>
  <si>
    <t>C90-K-00762</t>
  </si>
  <si>
    <t>C90-K-00763</t>
  </si>
  <si>
    <t>C90-K-00764</t>
  </si>
  <si>
    <t>C90-K-00765</t>
  </si>
  <si>
    <t>C90-K-00766</t>
  </si>
  <si>
    <t>C90-K-00767</t>
  </si>
  <si>
    <t>C90-K-00768</t>
  </si>
  <si>
    <t>C90-K-00769</t>
  </si>
  <si>
    <t>C90-K-00770</t>
  </si>
  <si>
    <t>C90-K-00771</t>
  </si>
  <si>
    <t>C90-K-00772</t>
  </si>
  <si>
    <t>C90-K-00773</t>
  </si>
  <si>
    <t>C90-K-00774</t>
  </si>
  <si>
    <t>C90-K-00775</t>
  </si>
  <si>
    <t>C90-K-00776</t>
  </si>
  <si>
    <t>C90-K-00777</t>
  </si>
  <si>
    <t>C90-K-00778</t>
  </si>
  <si>
    <t>C90-K-00779</t>
  </si>
  <si>
    <t>C90-K-00780</t>
  </si>
  <si>
    <t>C90-K-00781</t>
  </si>
  <si>
    <t>C90-K-00782</t>
  </si>
  <si>
    <t>C90-K-00783</t>
  </si>
  <si>
    <t>C90-K-00784</t>
  </si>
  <si>
    <t>C90-K-00785</t>
  </si>
  <si>
    <t>C90-K-00786</t>
  </si>
  <si>
    <t>C90-K-00787</t>
  </si>
  <si>
    <t>C90-K-00788</t>
  </si>
  <si>
    <t>C90-K-00789</t>
  </si>
  <si>
    <t>C90-K-00790</t>
  </si>
  <si>
    <t>C90-K-00791</t>
  </si>
  <si>
    <t>C90-K-00792</t>
  </si>
  <si>
    <t>C90-K-00793</t>
  </si>
  <si>
    <t>C90-K-00794</t>
  </si>
  <si>
    <t>C90-K-00795</t>
  </si>
  <si>
    <t>C90-K-00796</t>
  </si>
  <si>
    <t>C90-K-00797</t>
  </si>
  <si>
    <t>C90-K-00798</t>
  </si>
  <si>
    <t>C90-K-00799</t>
  </si>
  <si>
    <t>C90-K-00800</t>
  </si>
  <si>
    <t>C90-K-00801</t>
  </si>
  <si>
    <t>C90-K-00802</t>
  </si>
  <si>
    <t>C90-K-00803</t>
  </si>
  <si>
    <t>C90-K-00804</t>
  </si>
  <si>
    <t>C90-K-00805</t>
  </si>
  <si>
    <t>C90-K-00806</t>
  </si>
  <si>
    <t>C90-K-00807</t>
  </si>
  <si>
    <t>C90-K-00808</t>
  </si>
  <si>
    <t>C90-K-00809</t>
  </si>
  <si>
    <t>C90-K-00810</t>
  </si>
  <si>
    <t>C90-K-00811</t>
  </si>
  <si>
    <t>C90-K-00812</t>
  </si>
  <si>
    <t>C90-K-00813</t>
  </si>
  <si>
    <t>C90-K-00814</t>
  </si>
  <si>
    <t>C90-K-00815</t>
  </si>
  <si>
    <t>C90-K-00816</t>
  </si>
  <si>
    <t>C90-K-00817</t>
  </si>
  <si>
    <t>C90-K-00818</t>
  </si>
  <si>
    <t>C90-K-00819</t>
  </si>
  <si>
    <t>C90-K-00820</t>
  </si>
  <si>
    <t>C90-K-00821</t>
  </si>
  <si>
    <t>C90-K-00822</t>
  </si>
  <si>
    <t>C90-K-00823</t>
  </si>
  <si>
    <t>C90-K-00824</t>
  </si>
  <si>
    <t>C90-K-00825</t>
  </si>
  <si>
    <t>C90-K-00826</t>
  </si>
  <si>
    <t>C90-K-00827</t>
  </si>
  <si>
    <t>C90-K-00828</t>
  </si>
  <si>
    <t>C90-K-00829</t>
  </si>
  <si>
    <t>C90-K-00830</t>
  </si>
  <si>
    <t>C90-K-00831</t>
  </si>
  <si>
    <t>C90-K-00832</t>
  </si>
  <si>
    <t>C90-K-00833</t>
  </si>
  <si>
    <t>C90-K-00834</t>
  </si>
  <si>
    <t>C90-K-00835</t>
  </si>
  <si>
    <t>C90-K-00836</t>
  </si>
  <si>
    <t>C90-K-00837</t>
  </si>
  <si>
    <t>C90-K-00838</t>
  </si>
  <si>
    <t>C90-K-00839</t>
  </si>
  <si>
    <t>C90-K-00840</t>
  </si>
  <si>
    <t>C90-K-00841</t>
  </si>
  <si>
    <t>C90-K-00842</t>
  </si>
  <si>
    <t>C90-K-00843</t>
  </si>
  <si>
    <t>C90-K-00844</t>
  </si>
  <si>
    <t>C90-K-00845</t>
  </si>
  <si>
    <t>C90-K-00846</t>
  </si>
  <si>
    <t>C90-K-00847</t>
  </si>
  <si>
    <t>C90-K-00848</t>
  </si>
  <si>
    <t>C90-K-00849</t>
  </si>
  <si>
    <t>C90-K-00850</t>
  </si>
  <si>
    <t>C90-K-00851</t>
  </si>
  <si>
    <t>C90-K-00852</t>
  </si>
  <si>
    <t>C90-K-00853</t>
  </si>
  <si>
    <t>C90-K-00854</t>
  </si>
  <si>
    <t>C90-K-00855</t>
  </si>
  <si>
    <t>C90-K-00856</t>
  </si>
  <si>
    <t>C90-K-00857</t>
  </si>
  <si>
    <t>C90-K-00858</t>
  </si>
  <si>
    <t>C90-K-00859</t>
  </si>
  <si>
    <t>C90-K-00860</t>
  </si>
  <si>
    <t>C90-K-00861</t>
  </si>
  <si>
    <t>C90-K-00862</t>
  </si>
  <si>
    <t>C90-K-00863</t>
  </si>
  <si>
    <t>C90-K-00864</t>
  </si>
  <si>
    <t>C90-K-00865</t>
  </si>
  <si>
    <t>C90-K-00866</t>
  </si>
  <si>
    <t>C90-K-00867</t>
  </si>
  <si>
    <t>C90-K-00868</t>
  </si>
  <si>
    <t>C90-K-00869</t>
  </si>
  <si>
    <t>C90-K-00870</t>
  </si>
  <si>
    <t>C90-K-00871</t>
  </si>
  <si>
    <t>C90-K-00872</t>
  </si>
  <si>
    <t>C90-K-00873</t>
  </si>
  <si>
    <t>C90-K-00874</t>
  </si>
  <si>
    <t>C90-K-00875</t>
  </si>
  <si>
    <t>C90-K-00876</t>
  </si>
  <si>
    <t>C90-K-00877</t>
  </si>
  <si>
    <t>C90-K-00878</t>
  </si>
  <si>
    <t>C90-K-00879</t>
  </si>
  <si>
    <t>C90-K-00880</t>
  </si>
  <si>
    <t>C90-K-00881</t>
  </si>
  <si>
    <t>C90-K-00882</t>
  </si>
  <si>
    <t>C90-K-00883</t>
  </si>
  <si>
    <t>C90-K-00884</t>
  </si>
  <si>
    <t>C90-K-00885</t>
  </si>
  <si>
    <t>C90-K-00886</t>
  </si>
  <si>
    <t>C90-K-00887</t>
  </si>
  <si>
    <t>C90-K-00888</t>
  </si>
  <si>
    <t>C90-K-00889</t>
  </si>
  <si>
    <t>C90-K-00890</t>
  </si>
  <si>
    <t>C90-K-00891</t>
  </si>
  <si>
    <t>C90-K-00892</t>
  </si>
  <si>
    <t>C90-K-00893</t>
  </si>
  <si>
    <t>C90-K-00894</t>
  </si>
  <si>
    <t>C90-K-00895</t>
  </si>
  <si>
    <t>C90-K-00896</t>
  </si>
  <si>
    <t>C90-K-00897</t>
  </si>
  <si>
    <t>C90-K-00898</t>
  </si>
  <si>
    <t>C90-K-00899</t>
  </si>
  <si>
    <t>C90-K-00900</t>
  </si>
  <si>
    <t>C90-K-00901</t>
  </si>
  <si>
    <t>C90-K-00902</t>
  </si>
  <si>
    <t>C90-K-00903</t>
  </si>
  <si>
    <t>C90-K-00904</t>
  </si>
  <si>
    <t>C90-K-00905</t>
  </si>
  <si>
    <t>C90-K-00906</t>
  </si>
  <si>
    <t>C90-K-00907</t>
  </si>
  <si>
    <t>C90-K-00908</t>
  </si>
  <si>
    <t>C90-K-00909</t>
  </si>
  <si>
    <t>C90-K-00910</t>
  </si>
  <si>
    <t>C90-K-00911</t>
  </si>
  <si>
    <t>C90-K-00912</t>
  </si>
  <si>
    <t>C90-K-00913</t>
  </si>
  <si>
    <t>C90-K-00914</t>
  </si>
  <si>
    <t>C90-K-00915</t>
  </si>
  <si>
    <t>C90-K-00916</t>
  </si>
  <si>
    <t>C90-K-00917</t>
  </si>
  <si>
    <t>C90-K-00918</t>
  </si>
  <si>
    <t>C90-K-00919</t>
  </si>
  <si>
    <t>C90-K-00920</t>
  </si>
  <si>
    <t>C90-K-00921</t>
  </si>
  <si>
    <t>C90-K-00922</t>
  </si>
  <si>
    <t>C90-K-00923</t>
  </si>
  <si>
    <t>C90-K-00924</t>
  </si>
  <si>
    <t>C90-K-00925</t>
  </si>
  <si>
    <t>C90-K-00926</t>
  </si>
  <si>
    <t>C90-K-00927</t>
  </si>
  <si>
    <t>C90-K-00928</t>
  </si>
  <si>
    <t>C90-K-00929</t>
  </si>
  <si>
    <t>C90-K-00930</t>
  </si>
  <si>
    <t>C90-K-00931</t>
  </si>
  <si>
    <t>C90-K-00932</t>
  </si>
  <si>
    <t>C90-K-00933</t>
  </si>
  <si>
    <t>C90-K-00934</t>
  </si>
  <si>
    <t>C90-K-00935</t>
  </si>
  <si>
    <t>C90-K-00936</t>
  </si>
  <si>
    <t>C90-K-00937</t>
  </si>
  <si>
    <t>C90-K-00938</t>
  </si>
  <si>
    <t>C90-K-00939</t>
  </si>
  <si>
    <t>C90-K-00940</t>
  </si>
  <si>
    <t>C90-K-00941</t>
  </si>
  <si>
    <t>C90-K-00942</t>
  </si>
  <si>
    <t>C90-K-00943</t>
  </si>
  <si>
    <t>C90-K-00944</t>
  </si>
  <si>
    <t>C90-K-00945</t>
  </si>
  <si>
    <t>C90-K-00946</t>
  </si>
  <si>
    <t>C90-K-00947</t>
  </si>
  <si>
    <t>C90-K-00948</t>
  </si>
  <si>
    <t>C90-K-00949</t>
  </si>
  <si>
    <t>C90-K-00950</t>
  </si>
  <si>
    <t>C90-K-00951</t>
  </si>
  <si>
    <t>C90-K-00952</t>
  </si>
  <si>
    <t>C90-K-00953</t>
  </si>
  <si>
    <t>C90-K-00954</t>
  </si>
  <si>
    <t>C90-K-00955</t>
  </si>
  <si>
    <t>C90-K-00956</t>
  </si>
  <si>
    <t>C90-K-00957</t>
  </si>
  <si>
    <t>C90-K-00958</t>
  </si>
  <si>
    <t>C90-K-00959</t>
  </si>
  <si>
    <t>C90-K-00960</t>
  </si>
  <si>
    <t>C90-K-00961</t>
  </si>
  <si>
    <t>C90-K-00962</t>
  </si>
  <si>
    <t>C90-K-00963</t>
  </si>
  <si>
    <t>C90-K-00964</t>
  </si>
  <si>
    <t>C90-K-00965</t>
  </si>
  <si>
    <t>C90-K-00966</t>
  </si>
  <si>
    <t>C90-K-00967</t>
  </si>
  <si>
    <t>C90-K-00968</t>
  </si>
  <si>
    <t>C90-K-00969</t>
  </si>
  <si>
    <t>C90-K-00970</t>
  </si>
  <si>
    <t>C90-K-00971</t>
  </si>
  <si>
    <t>C90-K-00972</t>
  </si>
  <si>
    <t>C90-K-00973</t>
  </si>
  <si>
    <t>C90-K-00974</t>
  </si>
  <si>
    <t>C90-K-00975</t>
  </si>
  <si>
    <t>C90-K-00976</t>
  </si>
  <si>
    <t>C90-K-00977</t>
  </si>
  <si>
    <t>C90-K-00978</t>
  </si>
  <si>
    <t>C90-K-00979</t>
  </si>
  <si>
    <t>C90-K-00980</t>
  </si>
  <si>
    <t>C90-K-00981</t>
  </si>
  <si>
    <t>C90-K-00982</t>
  </si>
  <si>
    <t>C90-K-00983</t>
  </si>
  <si>
    <t>C90-K-00984</t>
  </si>
  <si>
    <t>C90-K-00985</t>
  </si>
  <si>
    <t>C90-K-00986</t>
  </si>
  <si>
    <t>C90-K-00987</t>
  </si>
  <si>
    <t>C90-K-00988</t>
  </si>
  <si>
    <t>C90-K-00989</t>
  </si>
  <si>
    <t>C90-K-00990</t>
  </si>
  <si>
    <t>C90-K-00991</t>
  </si>
  <si>
    <t>C90-K-00992</t>
  </si>
  <si>
    <t>C90-K-00993</t>
  </si>
  <si>
    <t>C90-K-00994</t>
  </si>
  <si>
    <t>C90-K-00995</t>
  </si>
  <si>
    <t>C90-K-00996</t>
  </si>
  <si>
    <t>C90-K-00997</t>
  </si>
  <si>
    <t>C90-K-00998</t>
  </si>
  <si>
    <t>C90-K-00999</t>
  </si>
  <si>
    <t>C90-K-01000</t>
  </si>
  <si>
    <t>C90-K-01001</t>
  </si>
  <si>
    <t>C90-K-01002</t>
  </si>
  <si>
    <t>C90-K-01003</t>
  </si>
  <si>
    <t>C90-K-01004</t>
  </si>
  <si>
    <t>C90-K-01005</t>
  </si>
  <si>
    <t>C90-K-01006</t>
  </si>
  <si>
    <t>C90-K-01007</t>
  </si>
  <si>
    <t>C90-K-01008</t>
  </si>
  <si>
    <t>C90-K-01009</t>
  </si>
  <si>
    <t>C90-K-01010</t>
  </si>
  <si>
    <t>C90-K-01011</t>
  </si>
  <si>
    <t>C90-K-01012</t>
  </si>
  <si>
    <t>C90-K-01013</t>
  </si>
  <si>
    <t>C90-K-01014</t>
  </si>
  <si>
    <t>C90-K-01015</t>
  </si>
  <si>
    <t>C90-K-01016</t>
  </si>
  <si>
    <t>C90-K-01017</t>
  </si>
  <si>
    <t>C90-K-01018</t>
  </si>
  <si>
    <t>C90-K-01019</t>
  </si>
  <si>
    <t>C90-K-01020</t>
  </si>
  <si>
    <t>C90-K-01021</t>
  </si>
  <si>
    <t>C90-K-01022</t>
  </si>
  <si>
    <t>C90-K-01023</t>
  </si>
  <si>
    <t>C90-K-01024</t>
  </si>
  <si>
    <t>C90-K-01025</t>
  </si>
  <si>
    <t>C90-K-01026</t>
  </si>
  <si>
    <t>C90-K-01027</t>
  </si>
  <si>
    <t>C90-K-01028</t>
  </si>
  <si>
    <t>C90-K-01029</t>
  </si>
  <si>
    <t>C90-K-01030</t>
  </si>
  <si>
    <t>C90-K-01031</t>
  </si>
  <si>
    <t>C90-K-01032</t>
  </si>
  <si>
    <t>C90-K-01033</t>
  </si>
  <si>
    <t>C90-K-01034</t>
  </si>
  <si>
    <t>C90-K-01035</t>
  </si>
  <si>
    <t>C90-K-01036</t>
  </si>
  <si>
    <t>C90-K-01037</t>
  </si>
  <si>
    <t>C90-K-01038</t>
  </si>
  <si>
    <t>C90-K-01039</t>
  </si>
  <si>
    <t>C90-K-01040</t>
  </si>
  <si>
    <t>C90-K-01041</t>
  </si>
  <si>
    <t>C90-K-01042</t>
  </si>
  <si>
    <t>C90-K-01043</t>
  </si>
  <si>
    <t>C90-K-01044</t>
  </si>
  <si>
    <t>C90-K-01045</t>
  </si>
  <si>
    <t>C90-K-01046</t>
  </si>
  <si>
    <t>C90-K-01047</t>
  </si>
  <si>
    <t>C90-K-01048</t>
  </si>
  <si>
    <t>C90-K-01049</t>
  </si>
  <si>
    <t>C90-K-01050</t>
  </si>
  <si>
    <t>C90-K-01051</t>
  </si>
  <si>
    <t>C90-K-01052</t>
  </si>
  <si>
    <t>C90-K-01053</t>
  </si>
  <si>
    <t>C90-K-01054</t>
  </si>
  <si>
    <t>C90-K-01055</t>
  </si>
  <si>
    <t>C90-K-01056</t>
  </si>
  <si>
    <t>C90-K-01057</t>
  </si>
  <si>
    <t>C90-K-01058</t>
  </si>
  <si>
    <t>C90-K-01059</t>
  </si>
  <si>
    <t>C90-K-01060</t>
  </si>
  <si>
    <t>C90-K-01061</t>
  </si>
  <si>
    <t>C90-K-01062</t>
  </si>
  <si>
    <t>C90-K-01063</t>
  </si>
  <si>
    <t>C90-K-01064</t>
  </si>
  <si>
    <t>C90-K-01065</t>
  </si>
  <si>
    <t>C90-K-01066</t>
  </si>
  <si>
    <t>C90-K-01067</t>
  </si>
  <si>
    <t>C90-K-01068</t>
  </si>
  <si>
    <t>C90-K-01069</t>
  </si>
  <si>
    <t>C90-K-01070</t>
  </si>
  <si>
    <t>C90-K-01071</t>
  </si>
  <si>
    <t>C90-K-01072</t>
  </si>
  <si>
    <t>C90-K-01073</t>
  </si>
  <si>
    <t>C90-K-01074</t>
  </si>
  <si>
    <t>C90-K-01075</t>
  </si>
  <si>
    <t>C90-K-01076</t>
  </si>
  <si>
    <t>C90-K-01077</t>
  </si>
  <si>
    <t>C90-K-01078</t>
  </si>
  <si>
    <t>C90-K-01079</t>
  </si>
  <si>
    <t>C90-K-01080</t>
  </si>
  <si>
    <t>C90-K-01081</t>
  </si>
  <si>
    <t>C90-K-01082</t>
  </si>
  <si>
    <t>C90-K-01083</t>
  </si>
  <si>
    <t>C90-K-01084</t>
  </si>
  <si>
    <t>C90-K-01085</t>
  </si>
  <si>
    <t>C90-K-01086</t>
  </si>
  <si>
    <t>C90-K-01087</t>
  </si>
  <si>
    <t>C90-K-01088</t>
  </si>
  <si>
    <t>C90-K-01089</t>
  </si>
  <si>
    <t>C90-K-01090</t>
  </si>
  <si>
    <t>C90-K-01091</t>
  </si>
  <si>
    <t>C90-K-01092</t>
  </si>
  <si>
    <t>C90-K-01093</t>
  </si>
  <si>
    <t>C90-K-01094</t>
  </si>
  <si>
    <t>C90-K-01095</t>
  </si>
  <si>
    <t>C90-K-01096</t>
  </si>
  <si>
    <t>C90-K-01097</t>
  </si>
  <si>
    <t>C90-K-01098</t>
  </si>
  <si>
    <t>C90-K-01099</t>
  </si>
  <si>
    <t>C90-K-01100</t>
  </si>
  <si>
    <t>C90-K-01101</t>
  </si>
  <si>
    <t>C90-K-01102</t>
  </si>
  <si>
    <t>C90-K-01103</t>
  </si>
  <si>
    <t>C90-K-01104</t>
  </si>
  <si>
    <t>C90-K-01105</t>
  </si>
  <si>
    <t>C90-K-01106</t>
  </si>
  <si>
    <t>C90-K-01107</t>
  </si>
  <si>
    <t>C90-K-01108</t>
  </si>
  <si>
    <t>C90-K-01109</t>
  </si>
  <si>
    <t>C90-K-01110</t>
  </si>
  <si>
    <t>C90-K-01111</t>
  </si>
  <si>
    <t>C90-K-01112</t>
  </si>
  <si>
    <t>C90-K-01113</t>
  </si>
  <si>
    <t>C90-K-01114</t>
  </si>
  <si>
    <t>C90-K-01115</t>
  </si>
  <si>
    <t>C90-K-01116</t>
  </si>
  <si>
    <t>C90-K-01117</t>
  </si>
  <si>
    <t>C90-K-01118</t>
  </si>
  <si>
    <t>C90-K-01119</t>
  </si>
  <si>
    <t>C90-K-01120</t>
  </si>
  <si>
    <t>C90-K-01121</t>
  </si>
  <si>
    <t>C90-K-01122</t>
  </si>
  <si>
    <t>C90-K-01123</t>
  </si>
  <si>
    <t>C90-K-01124</t>
  </si>
  <si>
    <t>C90-K-01125</t>
  </si>
  <si>
    <t>C90-K-01126</t>
  </si>
  <si>
    <t>C90-K-01127</t>
  </si>
  <si>
    <t>C90-K-01128</t>
  </si>
  <si>
    <t>C90-K-01129</t>
  </si>
  <si>
    <t>C90-K-01130</t>
  </si>
  <si>
    <t>C90-K-01131</t>
  </si>
  <si>
    <t>C90-K-01132</t>
  </si>
  <si>
    <t>C90-K-01133</t>
  </si>
  <si>
    <t>C90-K-01134</t>
  </si>
  <si>
    <t>C90-K-01135</t>
  </si>
  <si>
    <t>C90-K-01136</t>
  </si>
  <si>
    <t>C90-K-01137</t>
  </si>
  <si>
    <t>C90-K-01138</t>
  </si>
  <si>
    <t>C90-K-01139</t>
  </si>
  <si>
    <t>C90-K-01140</t>
  </si>
  <si>
    <t>C90-K-01141</t>
  </si>
  <si>
    <t>C90-K-01142</t>
  </si>
  <si>
    <t>C90-K-01143</t>
  </si>
  <si>
    <t>C90-K-01144</t>
  </si>
  <si>
    <t>C90-K-01145</t>
  </si>
  <si>
    <t>C90-K-01146</t>
  </si>
  <si>
    <t>C90-K-01147</t>
  </si>
  <si>
    <t>C90-K-01148</t>
  </si>
  <si>
    <t>C90-K-01149</t>
  </si>
  <si>
    <t>C90-K-01150</t>
  </si>
  <si>
    <t>C90-K-01151</t>
  </si>
  <si>
    <t>C90-K-01152</t>
  </si>
  <si>
    <t>C90-K-01153</t>
  </si>
  <si>
    <t>C90-K-01154</t>
  </si>
  <si>
    <t>C90-K-01155</t>
  </si>
  <si>
    <t>C90-K-01156</t>
  </si>
  <si>
    <t>C90-K-01157</t>
  </si>
  <si>
    <t>C90-K-01158</t>
  </si>
  <si>
    <t>C90-K-01159</t>
  </si>
  <si>
    <t>C90-K-01160</t>
  </si>
  <si>
    <t>C90-K-01161</t>
  </si>
  <si>
    <t>C90-K-01162</t>
  </si>
  <si>
    <t>C90-K-01163</t>
  </si>
  <si>
    <t>C90-K-01164</t>
  </si>
  <si>
    <t>C90-K-01165</t>
  </si>
  <si>
    <t>C90-K-01166</t>
  </si>
  <si>
    <t>C90-K-01167</t>
  </si>
  <si>
    <t>C90-K-01168</t>
  </si>
  <si>
    <t>C90-K-01169</t>
  </si>
  <si>
    <t>C90-K-01170</t>
  </si>
  <si>
    <t>C90-K-01171</t>
  </si>
  <si>
    <t>C90-K-01172</t>
  </si>
  <si>
    <t>C90-K-01173</t>
  </si>
  <si>
    <t>C90-K-01174</t>
  </si>
  <si>
    <t>C90-K-01175</t>
  </si>
  <si>
    <t>C90-K-01176</t>
  </si>
  <si>
    <t>C90-K-01177</t>
  </si>
  <si>
    <t>C90-K-01178</t>
  </si>
  <si>
    <t>C90-K-01179</t>
  </si>
  <si>
    <t>C90-K-01180</t>
  </si>
  <si>
    <t>C90-K-01181</t>
  </si>
  <si>
    <t>C90-K-01182</t>
  </si>
  <si>
    <t>C90-K-01183</t>
  </si>
  <si>
    <t>C90-K-01184</t>
  </si>
  <si>
    <t>C90-K-01185</t>
  </si>
  <si>
    <t>C90-K-01186</t>
  </si>
  <si>
    <t>C90-K-01187</t>
  </si>
  <si>
    <t>C90-K-01188</t>
  </si>
  <si>
    <t>C90-K-01189</t>
  </si>
  <si>
    <t>C90-K-01190</t>
  </si>
  <si>
    <t>C90-K-01191</t>
  </si>
  <si>
    <t>C90-K-01192</t>
  </si>
  <si>
    <t>C90-K-01193</t>
  </si>
  <si>
    <t>C90-K-01194</t>
  </si>
  <si>
    <t>C90-K-01195</t>
  </si>
  <si>
    <t>C90-K-01196</t>
  </si>
  <si>
    <t>C90-K-01197</t>
  </si>
  <si>
    <t>C90-K-01198</t>
  </si>
  <si>
    <t>C90-K-01199</t>
  </si>
  <si>
    <t>C90-K-01200</t>
  </si>
  <si>
    <t>C90-K-01201</t>
  </si>
  <si>
    <t>C90-K-01202</t>
  </si>
  <si>
    <t>C90-K-01203</t>
  </si>
  <si>
    <t>C90-K-01204</t>
  </si>
  <si>
    <t>C90-K-01205</t>
  </si>
  <si>
    <t>C90-K-01206</t>
  </si>
  <si>
    <t>C90-K-01207</t>
  </si>
  <si>
    <t>C90-K-01208</t>
  </si>
  <si>
    <t>C90-K-01209</t>
  </si>
  <si>
    <t>C90-K-01210</t>
  </si>
  <si>
    <t>C90-K-01211</t>
  </si>
  <si>
    <t>C90-K-01212</t>
  </si>
  <si>
    <t>C90-K-01213</t>
  </si>
  <si>
    <t>C90-K-01214</t>
  </si>
  <si>
    <t>C90-K-01215</t>
  </si>
  <si>
    <t>C90-K-01216</t>
  </si>
  <si>
    <t>C90-K-01217</t>
  </si>
  <si>
    <t>C90-K-01218</t>
  </si>
  <si>
    <t>C90-K-01219</t>
  </si>
  <si>
    <t>C90-K-01220</t>
  </si>
  <si>
    <t>C90-K-01221</t>
  </si>
  <si>
    <t>C90-K-01222</t>
  </si>
  <si>
    <t>C90-K-01223</t>
  </si>
  <si>
    <t>C90-K-01224</t>
  </si>
  <si>
    <t>C90-K-01225</t>
  </si>
  <si>
    <t>C90-K-01226</t>
  </si>
  <si>
    <t>C90-K-01227</t>
  </si>
  <si>
    <t>C90-K-01228</t>
  </si>
  <si>
    <t>C90-K-01229</t>
  </si>
  <si>
    <t>C90-K-01230</t>
  </si>
  <si>
    <t>C90-K-01231</t>
  </si>
  <si>
    <t>C90-K-01232</t>
  </si>
  <si>
    <t>C90-K-01233</t>
  </si>
  <si>
    <t>C90-K-01234</t>
  </si>
  <si>
    <t>C90-K-01235</t>
  </si>
  <si>
    <t>C90-K-01236</t>
  </si>
  <si>
    <t>C90-K-01237</t>
  </si>
  <si>
    <t>C90-K-01238</t>
  </si>
  <si>
    <t>C90-K-01239</t>
  </si>
  <si>
    <t>C90-K-01240</t>
  </si>
  <si>
    <t>C90-K-01241</t>
  </si>
  <si>
    <t>C90-K-01242</t>
  </si>
  <si>
    <t>C90-K-01243</t>
  </si>
  <si>
    <t>C90-K-01244</t>
  </si>
  <si>
    <t>C90-K-01245</t>
  </si>
  <si>
    <t>C90-K-01246</t>
  </si>
  <si>
    <t>C90-K-01247</t>
  </si>
  <si>
    <t>C90-K-01248</t>
  </si>
  <si>
    <t>C90-K-01249</t>
  </si>
  <si>
    <t>C90-K-01250</t>
  </si>
  <si>
    <t>C90-K-01251</t>
  </si>
  <si>
    <t>C90-K-01252</t>
  </si>
  <si>
    <t>C90-K-01253</t>
  </si>
  <si>
    <t>C90-K-01254</t>
  </si>
  <si>
    <t>C90-K-01255</t>
  </si>
  <si>
    <t>C90-K-01256</t>
  </si>
  <si>
    <t>C90-K-01257</t>
  </si>
  <si>
    <t>C90-K-01258</t>
  </si>
  <si>
    <t>C90-K-01259</t>
  </si>
  <si>
    <t>C90-K-01260</t>
  </si>
  <si>
    <t>C90-K-01261</t>
  </si>
  <si>
    <t>C90-K-01262</t>
  </si>
  <si>
    <t>C90-K-01263</t>
  </si>
  <si>
    <t>C90-K-01264</t>
  </si>
  <si>
    <t>C90-K-01265</t>
  </si>
  <si>
    <t>C90-K-01266</t>
  </si>
  <si>
    <t>C90-K-01267</t>
  </si>
  <si>
    <t>C90-K-01268</t>
  </si>
  <si>
    <t>C90-K-01269</t>
  </si>
  <si>
    <t>C90-K-01270</t>
  </si>
  <si>
    <t>C90-K-01271</t>
  </si>
  <si>
    <t>C90-K-01272</t>
  </si>
  <si>
    <t>C90-K-01273</t>
  </si>
  <si>
    <t>C90-K-01274</t>
  </si>
  <si>
    <t>C90-K-01275</t>
  </si>
  <si>
    <t>C90-K-01276</t>
  </si>
  <si>
    <t>C90-K-01277</t>
  </si>
  <si>
    <t>C90-K-01278</t>
  </si>
  <si>
    <t>C90-K-01279</t>
  </si>
  <si>
    <t>C90-K-01280</t>
  </si>
  <si>
    <t>C90-K-01281</t>
  </si>
  <si>
    <t>C90-K-01282</t>
  </si>
  <si>
    <t>C90-K-01283</t>
  </si>
  <si>
    <t>C90-K-01284</t>
  </si>
  <si>
    <t>C90-K-01285</t>
  </si>
  <si>
    <t>C90-K-01286</t>
  </si>
  <si>
    <t>C90-K-01287</t>
  </si>
  <si>
    <t>C90-K-01288</t>
  </si>
  <si>
    <t>C90-K-01289</t>
  </si>
  <si>
    <t>C90-K-01290</t>
  </si>
  <si>
    <t>C90-K-01291</t>
  </si>
  <si>
    <t>C90-K-01292</t>
  </si>
  <si>
    <t>C90-K-01293</t>
  </si>
  <si>
    <t>C90-K-01294</t>
  </si>
  <si>
    <t>C90-K-01295</t>
  </si>
  <si>
    <t>C90-K-01296</t>
  </si>
  <si>
    <t>C90-K-01297</t>
  </si>
  <si>
    <t>C90-K-01298</t>
  </si>
  <si>
    <t>C90-K-01299</t>
  </si>
  <si>
    <t>C90-K-01300</t>
  </si>
  <si>
    <t>C90-K-01301</t>
  </si>
  <si>
    <t>C90-K-01302</t>
  </si>
  <si>
    <t>C90-K-01303</t>
  </si>
  <si>
    <t>C90-K-01304</t>
  </si>
  <si>
    <t>C90-K-01305</t>
  </si>
  <si>
    <t>C90-K-01306</t>
  </si>
  <si>
    <t>C90-K-01307</t>
  </si>
  <si>
    <t>C90-K-01308</t>
  </si>
  <si>
    <t>C90-K-01309</t>
  </si>
  <si>
    <t>C90-K-01310</t>
  </si>
  <si>
    <t>C90-K-01311</t>
  </si>
  <si>
    <t>C90-K-01312</t>
  </si>
  <si>
    <t>C90-K-01313</t>
  </si>
  <si>
    <t>C90-K-01314</t>
  </si>
  <si>
    <t>C90-K-01315</t>
  </si>
  <si>
    <t>C90-K-01316</t>
  </si>
  <si>
    <t>C90-K-01317</t>
  </si>
  <si>
    <t>C90-K-01318</t>
  </si>
  <si>
    <t>C90-K-01319</t>
  </si>
  <si>
    <t>C90-K-01320</t>
  </si>
  <si>
    <t>C90-K-01321</t>
  </si>
  <si>
    <t>C90-K-01322</t>
  </si>
  <si>
    <t>C90-K-01323</t>
  </si>
  <si>
    <t>C90-K-01324</t>
  </si>
  <si>
    <t>C90-K-01325</t>
  </si>
  <si>
    <t>C90-K-01326</t>
  </si>
  <si>
    <t>C90-K-01327</t>
  </si>
  <si>
    <t>C90-K-01328</t>
  </si>
  <si>
    <t>C90-K-01329</t>
  </si>
  <si>
    <t>C90-K-01330</t>
  </si>
  <si>
    <t>C90-K-01331</t>
  </si>
  <si>
    <t>C90-K-01332</t>
  </si>
  <si>
    <t>C90-K-01333</t>
  </si>
  <si>
    <t>C90-K-01334</t>
  </si>
  <si>
    <t>C90-K-01335</t>
  </si>
  <si>
    <t>C90-K-01336</t>
  </si>
  <si>
    <t>C90-K-01337</t>
  </si>
  <si>
    <t>C90-K-01338</t>
  </si>
  <si>
    <t>C90-K-01339</t>
  </si>
  <si>
    <t>C90-K-01340</t>
  </si>
  <si>
    <t>C90-K-01341</t>
  </si>
  <si>
    <t>C90-K-01342</t>
  </si>
  <si>
    <t>C90-K-01343</t>
  </si>
  <si>
    <t>C90-K-01344</t>
  </si>
  <si>
    <t>C90-K-01345</t>
  </si>
  <si>
    <t>C90-K-01346</t>
  </si>
  <si>
    <t>C90-K-01347</t>
  </si>
  <si>
    <t>C90-K-01348</t>
  </si>
  <si>
    <t>C90-K-01349</t>
  </si>
  <si>
    <t>C90-K-01350</t>
  </si>
  <si>
    <t>C90-K-01351</t>
  </si>
  <si>
    <t>C90-K-01352</t>
  </si>
  <si>
    <t>C90-K-01353</t>
  </si>
  <si>
    <t>C90-K-01354</t>
  </si>
  <si>
    <t>C90-K-01355</t>
  </si>
  <si>
    <t>C90-K-01356</t>
  </si>
  <si>
    <t>C90-K-01357</t>
  </si>
  <si>
    <t>C90-K-01358</t>
  </si>
  <si>
    <t>C90-K-01359</t>
  </si>
  <si>
    <t>C90-K-01360</t>
  </si>
  <si>
    <t>C90-K-01361</t>
  </si>
  <si>
    <t>C90-K-01362</t>
  </si>
  <si>
    <t>C90-K-01363</t>
  </si>
  <si>
    <t>C90-K-01364</t>
  </si>
  <si>
    <t>C90-K-01365</t>
  </si>
  <si>
    <t>C90-K-01366</t>
  </si>
  <si>
    <t>C90-K-01367</t>
  </si>
  <si>
    <t>C90-K-01368</t>
  </si>
  <si>
    <t>C90-K-01369</t>
  </si>
  <si>
    <t>C90-K-01370</t>
  </si>
  <si>
    <t>C90-K-01371</t>
  </si>
  <si>
    <t>C90-K-01372</t>
  </si>
  <si>
    <t>C90-K-01373</t>
  </si>
  <si>
    <t>C90-K-01374</t>
  </si>
  <si>
    <t>C90-K-01375</t>
  </si>
  <si>
    <t>C90-K-01376</t>
  </si>
  <si>
    <t>C90-K-01377</t>
  </si>
  <si>
    <t>C90-K-01378</t>
  </si>
  <si>
    <t>C90-K-01379</t>
  </si>
  <si>
    <t>C90-K-01380</t>
  </si>
  <si>
    <t>C90-K-01381</t>
  </si>
  <si>
    <t>C90-K-01382</t>
  </si>
  <si>
    <t>C90-K-01383</t>
  </si>
  <si>
    <t>C90-K-01384</t>
  </si>
  <si>
    <t>C90-K-01385</t>
  </si>
  <si>
    <t>C90-K-01386</t>
  </si>
  <si>
    <t>C90-K-01387</t>
  </si>
  <si>
    <t>C90-K-01388</t>
  </si>
  <si>
    <t>C90-K-01389</t>
  </si>
  <si>
    <t>C90-K-01390</t>
  </si>
  <si>
    <t>C90-K-01391</t>
  </si>
  <si>
    <t>C90-K-01392</t>
  </si>
  <si>
    <t>C90-K-01393</t>
  </si>
  <si>
    <t>C90-K-01394</t>
  </si>
  <si>
    <t>C90-K-01395</t>
  </si>
  <si>
    <t>C90-K-01396</t>
  </si>
  <si>
    <t>C90-K-01397</t>
  </si>
  <si>
    <t>C90-K-01398</t>
  </si>
  <si>
    <t>C90-K-01399</t>
  </si>
  <si>
    <t>C90-K-01400</t>
  </si>
  <si>
    <t>C90-K-01401</t>
  </si>
  <si>
    <t>C90-K-01402</t>
  </si>
  <si>
    <t>C90-K-01403</t>
  </si>
  <si>
    <t>C90-K-01404</t>
  </si>
  <si>
    <t>C90-K-01405</t>
  </si>
  <si>
    <t>C90-K-01406</t>
  </si>
  <si>
    <t>Use one row per request. Keep Original due unchanged; enter a new date only in Revised due. Status and follow-up are entered by the EA; Report cue updates from the dates.</t>
  </si>
  <si>
    <t>Decision items awaiting alignment, recommendation, approval, or executive direction.</t>
  </si>
  <si>
    <t>Ready for Decision</t>
  </si>
  <si>
    <t>Track ASP as separate executive workstream with readiness sub-streams rather than generic Projects category.</t>
  </si>
  <si>
    <t>Gathering Input</t>
  </si>
  <si>
    <t>Establish CHFCA as the primary corporate Halal certification body for future Halal certification activities across AQM, ASP and SCF. Existing customer or commercial requirements requiring alternative certification bodies (e.g., HMA for specific Maple Leaf programs) would continue to be supported where necessary. Existing facility certifications would transition to the corporate standard as renewals and business requirements permit.</t>
  </si>
  <si>
    <t>Gather pricing and information first. Follow up with Troy Warren regarding export market certification requirements and recognized bodies.</t>
  </si>
  <si>
    <t>Continuing with multiple Halal certification bodies will increase administrative effort, maintain different audit methodologies and documentation requirements, limit opportunities to standardize procedures and training, and reduce the ability to present a consistent corporate Halal program across Amir Group.</t>
  </si>
  <si>
    <t>DECQ-K-0004</t>
  </si>
  <si>
    <t>DECQ-K-0005</t>
  </si>
  <si>
    <t>DECQ-K-0006</t>
  </si>
  <si>
    <t>DECQ-K-0007</t>
  </si>
  <si>
    <t>DECQ-K-0008</t>
  </si>
  <si>
    <t>DECQ-K-0009</t>
  </si>
  <si>
    <t>DECQ-K-0010</t>
  </si>
  <si>
    <t>DECQ-K-0011</t>
  </si>
  <si>
    <t>DECQ-K-0012</t>
  </si>
  <si>
    <t>DECQ-K-0013</t>
  </si>
  <si>
    <t>DECQ-K-0014</t>
  </si>
  <si>
    <t>DECQ-K-0015</t>
  </si>
  <si>
    <t>DECQ-K-0016</t>
  </si>
  <si>
    <t>DECQ-K-0017</t>
  </si>
  <si>
    <t>DECQ-K-0018</t>
  </si>
  <si>
    <t>DECQ-K-0019</t>
  </si>
  <si>
    <t>DECQ-K-0020</t>
  </si>
  <si>
    <t>DECQ-K-0021</t>
  </si>
  <si>
    <t>DECQ-K-0022</t>
  </si>
  <si>
    <t>DECQ-K-0023</t>
  </si>
  <si>
    <t>DECQ-K-0024</t>
  </si>
  <si>
    <t>DECQ-K-0025</t>
  </si>
  <si>
    <t>DECQ-K-0026</t>
  </si>
  <si>
    <t>DECQ-K-0027</t>
  </si>
  <si>
    <t>DECQ-K-0028</t>
  </si>
  <si>
    <t>DECQ-K-0029</t>
  </si>
  <si>
    <t>DECQ-K-0030</t>
  </si>
  <si>
    <t>DECQ-K-0031</t>
  </si>
  <si>
    <t>DECQ-K-0032</t>
  </si>
  <si>
    <t>DECQ-K-0033</t>
  </si>
  <si>
    <t>DECQ-K-0034</t>
  </si>
  <si>
    <t>DECQ-K-0035</t>
  </si>
  <si>
    <t>DECQ-K-0036</t>
  </si>
  <si>
    <t>DECQ-K-0037</t>
  </si>
  <si>
    <t>DECQ-K-0038</t>
  </si>
  <si>
    <t>DECQ-K-0039</t>
  </si>
  <si>
    <t>DECQ-K-0040</t>
  </si>
  <si>
    <t>DECQ-K-0041</t>
  </si>
  <si>
    <t>DECQ-K-0042</t>
  </si>
  <si>
    <t>DECQ-K-0043</t>
  </si>
  <si>
    <t>DECQ-K-0044</t>
  </si>
  <si>
    <t>DECQ-K-0045</t>
  </si>
  <si>
    <t>DECQ-K-0046</t>
  </si>
  <si>
    <t>DECQ-K-0047</t>
  </si>
  <si>
    <t>DECQ-K-0048</t>
  </si>
  <si>
    <t>DECQ-K-0049</t>
  </si>
  <si>
    <t>DECQ-K-0050</t>
  </si>
  <si>
    <t>DECQ-K-0051</t>
  </si>
  <si>
    <t>DECQ-K-0052</t>
  </si>
  <si>
    <t>DECQ-K-0053</t>
  </si>
  <si>
    <t>DECQ-K-0054</t>
  </si>
  <si>
    <t>DECQ-K-0055</t>
  </si>
  <si>
    <t>DECQ-K-0056</t>
  </si>
  <si>
    <t>DECQ-K-0057</t>
  </si>
  <si>
    <t>DECQ-K-0058</t>
  </si>
  <si>
    <t>DECQ-K-0059</t>
  </si>
  <si>
    <t>DECQ-K-0060</t>
  </si>
  <si>
    <t>DECQ-K-0061</t>
  </si>
  <si>
    <t>DECQ-K-0062</t>
  </si>
  <si>
    <t>DECQ-K-0063</t>
  </si>
  <si>
    <t>DECQ-K-0064</t>
  </si>
  <si>
    <t>DECQ-K-0065</t>
  </si>
  <si>
    <t>DECQ-K-0066</t>
  </si>
  <si>
    <t>DECQ-K-0067</t>
  </si>
  <si>
    <t>DECQ-K-0068</t>
  </si>
  <si>
    <t>DECQ-K-0069</t>
  </si>
  <si>
    <t>DECQ-K-0070</t>
  </si>
  <si>
    <t>DECQ-K-0071</t>
  </si>
  <si>
    <t>DECQ-K-0072</t>
  </si>
  <si>
    <t>DECQ-K-0073</t>
  </si>
  <si>
    <t>DECQ-K-0074</t>
  </si>
  <si>
    <t>DECQ-K-0075</t>
  </si>
  <si>
    <t>DECQ-K-0076</t>
  </si>
  <si>
    <t>DECQ-K-0077</t>
  </si>
  <si>
    <t>DECQ-K-0078</t>
  </si>
  <si>
    <t>DECQ-K-0079</t>
  </si>
  <si>
    <t>DECQ-K-0080</t>
  </si>
  <si>
    <t>DECQ-K-0081</t>
  </si>
  <si>
    <t>DECQ-K-0082</t>
  </si>
  <si>
    <t>DECQ-K-0083</t>
  </si>
  <si>
    <t>DECQ-K-0084</t>
  </si>
  <si>
    <t>DECQ-K-0085</t>
  </si>
  <si>
    <t>DECQ-K-0086</t>
  </si>
  <si>
    <t>DECQ-K-0087</t>
  </si>
  <si>
    <t>DECQ-K-0088</t>
  </si>
  <si>
    <t>DECQ-K-0089</t>
  </si>
  <si>
    <t>DECQ-K-0090</t>
  </si>
  <si>
    <t>DECQ-K-0091</t>
  </si>
  <si>
    <t>DECQ-K-0092</t>
  </si>
  <si>
    <t>DECQ-K-0093</t>
  </si>
  <si>
    <t>DECQ-K-0094</t>
  </si>
  <si>
    <t>DECQ-K-0095</t>
  </si>
  <si>
    <t>DECQ-K-0096</t>
  </si>
  <si>
    <t>DECQ-K-0097</t>
  </si>
  <si>
    <t>DECQ-K-0098</t>
  </si>
  <si>
    <t>DECQ-K-0099</t>
  </si>
  <si>
    <t>DECQ-K-0100</t>
  </si>
  <si>
    <t>DECQ-K-0101</t>
  </si>
  <si>
    <t>DECQ-K-0102</t>
  </si>
  <si>
    <t>DECQ-K-0103</t>
  </si>
  <si>
    <t>DECQ-K-0104</t>
  </si>
  <si>
    <t>Permanent record of decisions, rationale, follow-through owner, due date, and risk/financial impact.</t>
  </si>
  <si>
    <t>Relationship: Decision Queue is the parent; Decision Register is the child/follow-up log. Select Source Decision ID from the dropdown, and Queue Source Key fills automatically for audit linkage. Multiple register rows may link to the same queue decision.</t>
  </si>
  <si>
    <t>Need to take price increases to offset labour/OH rates. 
Then standardize yield review and cost process next.</t>
  </si>
  <si>
    <t xml:space="preserve">2.5% Labour and OH Increase </t>
  </si>
  <si>
    <t>Boneless items - increase of $1.00.
2-piece - increase effective mid to end of August.</t>
  </si>
  <si>
    <t>DECL-K-0003</t>
  </si>
  <si>
    <t>DECL-K-0004</t>
  </si>
  <si>
    <t>DECL-K-0005</t>
  </si>
  <si>
    <t>DECL-K-0006</t>
  </si>
  <si>
    <t>DECL-K-0007</t>
  </si>
  <si>
    <t>DECL-K-0008</t>
  </si>
  <si>
    <t>DECL-K-0009</t>
  </si>
  <si>
    <t>DECL-K-0010</t>
  </si>
  <si>
    <t>DECL-K-0011</t>
  </si>
  <si>
    <t>DECL-K-0012</t>
  </si>
  <si>
    <t>DECL-K-0013</t>
  </si>
  <si>
    <t>DECL-K-0014</t>
  </si>
  <si>
    <t>DECL-K-0015</t>
  </si>
  <si>
    <t>DECL-K-0016</t>
  </si>
  <si>
    <t>DECL-K-0017</t>
  </si>
  <si>
    <t>DECL-K-0018</t>
  </si>
  <si>
    <t>DECL-K-0019</t>
  </si>
  <si>
    <t>DECL-K-0020</t>
  </si>
  <si>
    <t>DECL-K-0021</t>
  </si>
  <si>
    <t>DECL-K-0022</t>
  </si>
  <si>
    <t>DECL-K-0023</t>
  </si>
  <si>
    <t>DECL-K-0024</t>
  </si>
  <si>
    <t>DECL-K-0025</t>
  </si>
  <si>
    <t>DECL-K-0026</t>
  </si>
  <si>
    <t>DECL-K-0027</t>
  </si>
  <si>
    <t>DECL-K-0028</t>
  </si>
  <si>
    <t>DECL-K-0029</t>
  </si>
  <si>
    <t>DECL-K-0030</t>
  </si>
  <si>
    <t>DECL-K-0031</t>
  </si>
  <si>
    <t>DECL-K-0032</t>
  </si>
  <si>
    <t>DECL-K-0033</t>
  </si>
  <si>
    <t>DECL-K-0034</t>
  </si>
  <si>
    <t>DECL-K-0035</t>
  </si>
  <si>
    <t>DECL-K-0036</t>
  </si>
  <si>
    <t>DECL-K-0037</t>
  </si>
  <si>
    <t>DECL-K-0038</t>
  </si>
  <si>
    <t>DECL-K-0039</t>
  </si>
  <si>
    <t>DECL-K-0040</t>
  </si>
  <si>
    <t>DECL-K-0041</t>
  </si>
  <si>
    <t>DECL-K-0042</t>
  </si>
  <si>
    <t>DECL-K-0043</t>
  </si>
  <si>
    <t>DECL-K-0044</t>
  </si>
  <si>
    <t>DECL-K-0045</t>
  </si>
  <si>
    <t>DECL-K-0046</t>
  </si>
  <si>
    <t>DECL-K-0047</t>
  </si>
  <si>
    <t>DECL-K-0048</t>
  </si>
  <si>
    <t>DECL-K-0049</t>
  </si>
  <si>
    <t>DECL-K-0050</t>
  </si>
  <si>
    <t>DECL-K-0051</t>
  </si>
  <si>
    <t>DECL-K-0052</t>
  </si>
  <si>
    <t>DECL-K-0053</t>
  </si>
  <si>
    <t>DECL-K-0054</t>
  </si>
  <si>
    <t>DECL-K-0055</t>
  </si>
  <si>
    <t>DECL-K-0056</t>
  </si>
  <si>
    <t>DECL-K-0057</t>
  </si>
  <si>
    <t>DECL-K-0058</t>
  </si>
  <si>
    <t>DECL-K-0059</t>
  </si>
  <si>
    <t>DECL-K-0060</t>
  </si>
  <si>
    <t>DECL-K-0061</t>
  </si>
  <si>
    <t>DECL-K-0062</t>
  </si>
  <si>
    <t>DECL-K-0063</t>
  </si>
  <si>
    <t>DECL-K-0064</t>
  </si>
  <si>
    <t>DECL-K-0065</t>
  </si>
  <si>
    <t>DECL-K-0066</t>
  </si>
  <si>
    <t>DECL-K-0067</t>
  </si>
  <si>
    <t>DECL-K-0068</t>
  </si>
  <si>
    <t>DECL-K-0069</t>
  </si>
  <si>
    <t>DECL-K-0070</t>
  </si>
  <si>
    <t>DECL-K-0071</t>
  </si>
  <si>
    <t>DECL-K-0072</t>
  </si>
  <si>
    <t>DECL-K-0073</t>
  </si>
  <si>
    <t>DECL-K-0074</t>
  </si>
  <si>
    <t>DECL-K-0075</t>
  </si>
  <si>
    <t>DECL-K-0076</t>
  </si>
  <si>
    <t>DECL-K-0077</t>
  </si>
  <si>
    <t>DECL-K-0078</t>
  </si>
  <si>
    <t>DECL-K-0079</t>
  </si>
  <si>
    <t>DECL-K-0080</t>
  </si>
  <si>
    <t>DECL-K-0081</t>
  </si>
  <si>
    <t>DECL-K-0082</t>
  </si>
  <si>
    <t>DECL-K-0083</t>
  </si>
  <si>
    <t>DECL-K-0084</t>
  </si>
  <si>
    <t>DECL-K-0085</t>
  </si>
  <si>
    <t>DECL-K-0086</t>
  </si>
  <si>
    <t>DECL-K-0087</t>
  </si>
  <si>
    <t>DECL-K-0088</t>
  </si>
  <si>
    <t>DECL-K-0089</t>
  </si>
  <si>
    <t>DECL-K-0090</t>
  </si>
  <si>
    <t>DECL-K-0091</t>
  </si>
  <si>
    <t>DECL-K-0092</t>
  </si>
  <si>
    <t>DECL-K-0093</t>
  </si>
  <si>
    <t>DECL-K-0094</t>
  </si>
  <si>
    <t>DECL-K-0095</t>
  </si>
  <si>
    <t>DECL-K-0096</t>
  </si>
  <si>
    <t>DECL-K-0097</t>
  </si>
  <si>
    <t>DECL-K-0098</t>
  </si>
  <si>
    <t>DECL-K-0099</t>
  </si>
  <si>
    <t>DECL-K-0100</t>
  </si>
  <si>
    <t>SLT Tracker Lists &amp; Controls</t>
  </si>
  <si>
    <t>Active Decision Queue IDs</t>
  </si>
  <si>
    <t>Decision ID Controls</t>
  </si>
  <si>
    <t>RAG</t>
  </si>
  <si>
    <t>Dropdown values used across the workbook.</t>
  </si>
  <si>
    <t>🔴  Not Started/ At Risk</t>
  </si>
  <si>
    <t>Next Queue ID</t>
  </si>
  <si>
    <t>Queue ID helper</t>
  </si>
  <si>
    <t>Register ID helper</t>
  </si>
  <si>
    <t>At risk</t>
  </si>
  <si>
    <t>Deadline Rule</t>
  </si>
  <si>
    <t>Conditional Format Date</t>
  </si>
  <si>
    <t>People</t>
  </si>
  <si>
    <t>Approvers</t>
  </si>
  <si>
    <t>Slipped</t>
  </si>
  <si>
    <t>Not Started</t>
  </si>
  <si>
    <t>Critical</t>
  </si>
  <si>
    <t>Due today / overdue</t>
  </si>
  <si>
    <t>CEO</t>
  </si>
  <si>
    <t>Licensing</t>
  </si>
  <si>
    <t>Closed</t>
  </si>
  <si>
    <t>Due in 1–2 business days</t>
  </si>
  <si>
    <t>Due in 3–5 business days</t>
  </si>
  <si>
    <t>Waiting on Assignee</t>
  </si>
  <si>
    <t>6+ business days</t>
  </si>
  <si>
    <t>Archive method</t>
  </si>
  <si>
    <t>Copy A:AN from Decision Queue to Decision Register, then clear the Queue record.</t>
  </si>
  <si>
    <t>Policy Approval</t>
  </si>
  <si>
    <t>Projects</t>
  </si>
  <si>
    <t>Training</t>
  </si>
  <si>
    <t>Customer</t>
  </si>
  <si>
    <t>Culture</t>
  </si>
  <si>
    <t>President</t>
  </si>
  <si>
    <t>ERP</t>
  </si>
  <si>
    <t>Stuck</t>
  </si>
  <si>
    <t>VP OPS</t>
  </si>
  <si>
    <t>Customer Transition</t>
  </si>
  <si>
    <t>Risk Register</t>
  </si>
  <si>
    <t>Year-End Gala</t>
  </si>
  <si>
    <t>Carol</t>
  </si>
  <si>
    <t>Waiting on Decision</t>
  </si>
  <si>
    <t>IT</t>
  </si>
  <si>
    <t>AQM</t>
  </si>
  <si>
    <t>Due/Deadline</t>
  </si>
  <si>
    <t>today/Overdue</t>
  </si>
  <si>
    <t>#FF7585</t>
  </si>
  <si>
    <t>1-2 Bus-day</t>
  </si>
  <si>
    <t>#FFC7CE</t>
  </si>
  <si>
    <t>3-5 Bus-day</t>
  </si>
  <si>
    <t>#FFDE81</t>
  </si>
  <si>
    <t>6+</t>
  </si>
  <si>
    <t>#DCE6F1</t>
  </si>
  <si>
    <t>Action Record Viewer</t>
  </si>
  <si>
    <t>Stacked two-row view of active Action Register records. Each source record appears across two rows to reduce side-scrolling while preserving the source register as the system of record.</t>
  </si>
  <si>
    <t>SLT ID</t>
  </si>
  <si>
    <t>ASP Stream</t>
  </si>
  <si>
    <t>Continuation</t>
  </si>
  <si>
    <t>Note: Protected read-friendly viewer. Each field appears once per record. Edit the Action Register for permanent changes.</t>
  </si>
  <si>
    <t>Decision Queue Viewer</t>
  </si>
  <si>
    <t>Stacked two-row view of active Decision Queue records. Each field appears once per decision, with the source queue kept as the system of record.</t>
  </si>
  <si>
    <t>Deadline</t>
  </si>
  <si>
    <t>CEO/CFO</t>
  </si>
  <si>
    <t>Further Action?</t>
  </si>
  <si>
    <t>Context / Input</t>
  </si>
  <si>
    <t>Decision Record Viewer</t>
  </si>
  <si>
    <t>Stacked two-row view of Decision Register follow-up records. Each field appears once per logged decision/follow-up.</t>
  </si>
  <si>
    <t>Log ID</t>
  </si>
  <si>
    <t>Source Decision</t>
  </si>
  <si>
    <t>Enhancement Log</t>
  </si>
  <si>
    <t>Summary of board-ready changes made to the SLT tracker.</t>
  </si>
  <si>
    <t>Area</t>
  </si>
  <si>
    <t>Recommendation Added</t>
  </si>
  <si>
    <t>Why It Matters</t>
  </si>
  <si>
    <t>Where Implemented</t>
  </si>
  <si>
    <t>Action Tracker</t>
  </si>
  <si>
    <t>Added Priority field</t>
  </si>
  <si>
    <t>Separates critical SLT/ASP/governance items from routine administrative actions.</t>
  </si>
  <si>
    <t>SLT Action Tracker column H</t>
  </si>
  <si>
    <t>Added Risk Impact field</t>
  </si>
  <si>
    <t>Creates risk-based SLT discussion sequencing and visibility.</t>
  </si>
  <si>
    <t>SLT Action Tracker column I</t>
  </si>
  <si>
    <t>Added Strategic Objective field</t>
  </si>
  <si>
    <t>Links actions to ASP Go-Live, Governance, Sierra, Federal Licence, Food Safety and other pillars.</t>
  </si>
  <si>
    <t>SLT Action Tracker column J</t>
  </si>
  <si>
    <t>Added Escalation Required field</t>
  </si>
  <si>
    <t>Allows weekly CEO/CFO escalation filtering instead of discussing every item.</t>
  </si>
  <si>
    <t>SLT Action Tracker column K</t>
  </si>
  <si>
    <t>Added Financial Impact field</t>
  </si>
  <si>
    <t>Distinguishes minor tasks from financially material decisions and risks.</t>
  </si>
  <si>
    <t>SLT Action Tracker column L</t>
  </si>
  <si>
    <t>Added ASP Readiness Stream field</t>
  </si>
  <si>
    <t>Keeps ASP Go-Live visible as a dedicated executive workstream.</t>
  </si>
  <si>
    <t>SLT Action Tracker column M</t>
  </si>
  <si>
    <t>Added Decision Type, Financial Impact, Risk Impact and CEO/CFO Attention</t>
  </si>
  <si>
    <t>Clarifies whether SLT is being asked for information, recommendation, approval, capital approval, policy approval or strategy.</t>
  </si>
  <si>
    <t>Decision Queue columns H to L</t>
  </si>
  <si>
    <t>Dashboard</t>
  </si>
  <si>
    <t>Added Executive Dashboard</t>
  </si>
  <si>
    <t>Turns the workbook from an action log into a management and governance tool.</t>
  </si>
  <si>
    <t>Executive Dashboard sheet</t>
  </si>
  <si>
    <t>Added CFO Governance &amp; Controls seed items</t>
  </si>
  <si>
    <t>Creates visibility for DOA, contracts, AI governance, incident management, internal audit, grants and legal review.</t>
  </si>
  <si>
    <t>Action Tracker and Decision Queue seed rows</t>
  </si>
  <si>
    <t>Made Decision ID depend on the hidden immutable key</t>
  </si>
  <si>
    <t>Keeps the visible number tied to a stable audit key, so sorting/filtering does not break the relationship.</t>
  </si>
  <si>
    <t>Decision Queue columns A, V and W</t>
  </si>
  <si>
    <t>Added Source Decision ID and Queue Source Key linkage</t>
  </si>
  <si>
    <t>Allows one Decision Queue item to have multiple decision/follow-up records, without losing the parent-child relationship.</t>
  </si>
  <si>
    <t>Decision Register columns B, U and V</t>
  </si>
  <si>
    <t>Added active Decision Queue dropdown source</t>
  </si>
  <si>
    <t>Note that only active, non-cancelled decisions with real detail should appear in the register dropdown.</t>
  </si>
  <si>
    <t>Lists &amp; Controls columns P to R</t>
  </si>
  <si>
    <t>Protection</t>
  </si>
  <si>
    <t>Protected generated fields and read-only outputs with no password</t>
  </si>
  <si>
    <t>Locks the formulas/keys/views that should not be manually edited, while leaving user-entry fields available.</t>
  </si>
  <si>
    <t>Action Register, Decision Queue, Decision Register, Board Summary and Dashboard sheets</t>
  </si>
  <si>
    <t>Action Viewer</t>
  </si>
  <si>
    <t>Added stacked Action Record Viewer</t>
  </si>
  <si>
    <t>Shows multiple action records without the full side-scroll, while keeping Action Register as the source of truth.</t>
  </si>
  <si>
    <t>Action Record Viewer sheet</t>
  </si>
  <si>
    <t>Decision Viewer</t>
  </si>
  <si>
    <t>Added stacked Decision Record Viewer</t>
  </si>
  <si>
    <t>Gives the same no-side-scroll style for decision follow-ups once register records are entered.</t>
  </si>
  <si>
    <t>Decision Record Viewer sheet</t>
  </si>
  <si>
    <t>Viewer Formatting</t>
  </si>
  <si>
    <t>Added conditional highlighting for urgency fields</t>
  </si>
  <si>
    <t>Critical/high risk and past-due/today-tomorrow dates now stand out visually; blank/0/N/A noise is suppressed where practical.</t>
  </si>
  <si>
    <t>Action Record Viewer conditional formatting</t>
  </si>
  <si>
    <t>Summary</t>
  </si>
  <si>
    <t>Added five-minute executive summary</t>
  </si>
  <si>
    <t>Provides a quick read of the workbook: main topics, highlights, and action items.</t>
  </si>
  <si>
    <t>5-Minute Summary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</si>
</sst>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d\,\ yyyy"/>
    <numFmt numFmtId="165" formatCode="[$-F800]dddd\,\ mmmm\ dd\,\ yyyy"/>
    <numFmt numFmtId="166" formatCode="yyyy\-mm\-dd"/>
    <numFmt numFmtId="167" formatCode="dd/mmm/yy;;"/>
  </numFmts>
  <fonts count="75">
    <font>
      <sz val="11"/>
      <color theme="1"/>
      <name val="Calibri"/>
      <family val="2"/>
      <scheme val="minor"/>
    </font>
    <font>
      <b/>
      <sz val="10"/>
      <color rgb="FF000000"/>
      <name val="Aptos"/>
      <family val="2"/>
    </font>
    <font>
      <sz val="10"/>
      <color rgb="FF000000"/>
      <name val="Aptos"/>
      <family val="2"/>
    </font>
    <font>
      <i/>
      <sz val="10"/>
      <color rgb="FF000000"/>
      <name val="Aptos"/>
      <family val="2"/>
    </font>
    <font>
      <b/>
      <sz val="18"/>
      <color rgb="FFFFFFFF"/>
      <name val="Aptos Display"/>
      <family val="2"/>
    </font>
    <font>
      <i/>
      <sz val="10"/>
      <color rgb="FF404040"/>
      <name val="Aptos"/>
      <family val="2"/>
    </font>
    <font>
      <b/>
      <sz val="10"/>
      <color rgb="FFFFFFFF"/>
      <name val="Aptos"/>
      <family val="2"/>
    </font>
    <font>
      <b/>
      <sz val="11"/>
      <color rgb="FFFFFFFF"/>
      <name val="Calibri"/>
      <family val="2"/>
    </font>
    <font>
      <i/>
      <sz val="10"/>
      <color rgb="FF595959"/>
      <name val="Aptos"/>
      <family val="2"/>
    </font>
    <font>
      <i/>
      <sz val="10"/>
      <color rgb="FF595959"/>
      <name val="Calibri"/>
      <family val="2"/>
      <scheme val="minor"/>
    </font>
    <font>
      <b/>
      <sz val="10"/>
      <color rgb="FFFFFFFF"/>
      <name val="Calibri"/>
      <family val="2"/>
    </font>
    <font>
      <b/>
      <sz val="10"/>
      <color rgb="FFFFFFFF"/>
      <name val="Calibri"/>
      <family val="2"/>
      <scheme val="minor"/>
    </font>
    <font>
      <b/>
      <sz val="24"/>
      <color rgb="FF17365D"/>
      <name val="Aptos Display"/>
      <family val="2"/>
    </font>
    <font>
      <b/>
      <sz val="12"/>
      <color rgb="FF17365D"/>
      <name val="Aptos"/>
      <family val="2"/>
    </font>
    <font>
      <b/>
      <sz val="12"/>
      <color rgb="FFFFFFFF"/>
      <name val="Aptos"/>
      <family val="2"/>
    </font>
    <font>
      <sz val="10"/>
      <color rgb="FF333333"/>
      <name val="Aptos"/>
      <family val="2"/>
    </font>
    <font>
      <sz val="11"/>
      <color theme="0"/>
      <name val="Calibri"/>
      <family val="2"/>
      <scheme val="minor"/>
    </font>
    <font>
      <b/>
      <sz val="10"/>
      <color theme="0"/>
      <name val="Aptos"/>
      <family val="2"/>
    </font>
    <font>
      <sz val="10"/>
      <color theme="0"/>
      <name val="Aptos"/>
      <family val="2"/>
    </font>
    <font>
      <sz val="11"/>
      <color rgb="FF9C0006"/>
      <name val="Calibri"/>
      <family val="2"/>
      <scheme val="minor"/>
    </font>
    <font>
      <sz val="11"/>
      <name val="Carlito"/>
    </font>
    <font>
      <b/>
      <sz val="10"/>
      <color theme="9" tint="-0.499984740745262"/>
      <name val="Carlito"/>
    </font>
    <font>
      <sz val="10"/>
      <name val="Carlito"/>
    </font>
    <font>
      <b/>
      <sz val="10"/>
      <color rgb="FF1F1F1F"/>
      <name val="Carlito"/>
    </font>
    <font>
      <sz val="10"/>
      <color rgb="FF1F1F1F"/>
      <name val="Carlito"/>
    </font>
    <font>
      <sz val="10"/>
      <color theme="7" tint="-0.249977111117893"/>
      <name val="Carlito"/>
    </font>
    <font>
      <b/>
      <sz val="11"/>
      <color theme="5" tint="-0.499984740745262"/>
      <name val="Calibri"/>
      <family val="2"/>
      <scheme val="minor"/>
    </font>
    <font>
      <sz val="10"/>
      <color theme="1"/>
      <name val="Aptos"/>
      <family val="2"/>
    </font>
    <font>
      <i/>
      <sz val="11"/>
      <color theme="1"/>
      <name val="Calibri"/>
      <family val="2"/>
      <scheme val="minor"/>
    </font>
    <font>
      <b/>
      <sz val="11"/>
      <color rgb="FFFFFFFF"/>
      <name val="Calibri"/>
      <family val="2"/>
      <scheme val="minor"/>
    </font>
    <font>
      <b/>
      <sz val="18"/>
      <color rgb="FFFFFFFF"/>
      <name val="Aptos"/>
      <family val="2"/>
    </font>
    <font>
      <sz val="11"/>
      <color theme="1"/>
      <name val="Aptos"/>
      <family val="2"/>
    </font>
    <font>
      <i/>
      <sz val="10"/>
      <color rgb="FF666666"/>
      <name val="Aptos"/>
      <family val="2"/>
    </font>
    <font>
      <b/>
      <sz val="11"/>
      <color rgb="FFFFFFFF"/>
      <name val="Aptos"/>
      <family val="2"/>
    </font>
    <font>
      <b/>
      <sz val="11"/>
      <color theme="1"/>
      <name val="Aptos"/>
      <family val="2"/>
    </font>
    <font>
      <b/>
      <sz val="22"/>
      <color theme="1"/>
      <name val="Aptos"/>
      <family val="2"/>
    </font>
    <font>
      <sz val="9"/>
      <color theme="1"/>
      <name val="Aptos"/>
      <family val="2"/>
    </font>
    <font>
      <b/>
      <sz val="10"/>
      <color theme="1"/>
      <name val="Aptos"/>
      <family val="2"/>
    </font>
    <font>
      <sz val="9"/>
      <color rgb="FF666666"/>
      <name val="Aptos"/>
      <family val="2"/>
    </font>
    <font>
      <b/>
      <sz val="9"/>
      <color rgb="FF666666"/>
      <name val="Aptos"/>
      <family val="2"/>
    </font>
    <font>
      <b/>
      <sz val="11"/>
      <color theme="1"/>
      <name val="Calibri"/>
      <family val="2"/>
      <scheme val="minor"/>
    </font>
    <font>
      <sz val="10"/>
      <color theme="1"/>
      <name val="Aptos"/>
      <family val="2"/>
    </font>
    <font>
      <sz val="10"/>
      <color rgb="FFFFFFFF"/>
      <name val="Aptos"/>
      <family val="2"/>
    </font>
    <font>
      <i/>
      <sz val="10"/>
      <color rgb="FF808080"/>
      <name val="Aptos"/>
      <family val="2"/>
    </font>
    <font>
      <b/>
      <sz val="12"/>
      <color rgb="FF000000"/>
      <name val="Aptos"/>
      <family val="2"/>
    </font>
    <font>
      <b/>
      <sz val="12"/>
      <color theme="1"/>
      <name val="Calibri"/>
      <family val="2"/>
      <scheme val="minor"/>
    </font>
    <font>
      <b/>
      <sz val="24"/>
      <color rgb="FF17365D"/>
      <name val="Aptos"/>
      <family val="2"/>
    </font>
    <font>
      <b/>
      <sz val="10"/>
      <color rgb="FFFFFFFF"/>
      <name val="Aptos Display"/>
      <family val="2"/>
    </font>
    <font>
      <sz val="10"/>
      <color theme="1"/>
      <name val="Calibri"/>
      <family val="2"/>
      <scheme val="minor"/>
    </font>
    <font>
      <b/>
      <sz val="12"/>
      <color rgb="FFFFFFFF"/>
      <name val="Aptos Display"/>
      <family val="2"/>
    </font>
    <font>
      <sz val="12"/>
      <color theme="1"/>
      <name val="Calibri"/>
      <family val="2"/>
      <scheme val="minor"/>
    </font>
    <font>
      <i/>
      <sz val="10"/>
      <color theme="1"/>
      <name val="Aptos"/>
      <family val="2"/>
    </font>
    <font>
      <sz val="8"/>
      <name val="Calibri"/>
      <family val="2"/>
      <scheme val="minor"/>
    </font>
    <font>
      <i/>
      <sz val="10"/>
      <color theme="1" tint="0.249977111117893"/>
      <name val="Aptos"/>
      <family val="2"/>
    </font>
    <font>
      <b/>
      <i/>
      <sz val="10"/>
      <color rgb="FF404040"/>
      <name val="Aptos"/>
      <family val="2"/>
    </font>
    <font>
      <b/>
      <sz val="18"/>
      <color theme="0"/>
      <name val="Aptos"/>
      <family val="2"/>
    </font>
    <font>
      <sz val="18"/>
      <color theme="0"/>
      <name val="Calibri"/>
      <family val="2"/>
      <scheme val="minor"/>
    </font>
    <font>
      <b/>
      <sz val="18"/>
      <color rgb="FF000000"/>
      <name val="Aptos"/>
      <family val="2"/>
    </font>
    <font>
      <sz val="18"/>
      <color theme="1"/>
      <name val="Calibri"/>
      <family val="2"/>
      <scheme val="minor"/>
    </font>
    <font>
      <sz val="11"/>
      <color rgb="FFFF0000"/>
      <name val="Calibri"/>
      <family val="2"/>
      <scheme val="minor"/>
    </font>
    <font>
      <b/>
      <sz val="11"/>
      <color rgb="FFFF0000"/>
      <name val="Calibri"/>
      <family val="2"/>
      <scheme val="minor"/>
    </font>
    <font>
      <b/>
      <i/>
      <sz val="10"/>
      <color rgb="FF000000"/>
      <name val="Aptos"/>
      <family val="2"/>
    </font>
    <font>
      <sz val="10"/>
      <color theme="2" tint="-0.249977111117893"/>
      <name val="Aptos"/>
      <family val="2"/>
    </font>
    <font>
      <sz val="11"/>
      <color rgb="FF006100"/>
      <name val="Calibri"/>
      <family val="2"/>
      <scheme val="minor"/>
    </font>
    <font>
      <sz val="11"/>
      <color rgb="FF9C5700"/>
      <name val="Calibri"/>
      <family val="2"/>
      <scheme val="minor"/>
    </font>
    <font>
      <b/>
      <sz val="24"/>
      <color theme="0"/>
      <name val="Aptos"/>
      <family val="2"/>
    </font>
    <font>
      <b/>
      <sz val="24"/>
      <color theme="0"/>
      <name val="Carlito"/>
    </font>
    <font>
      <b/>
      <sz val="11"/>
      <color rgb="FF17324D"/>
      <name val="Aptos"/>
      <family val="2"/>
    </font>
    <font>
      <sz val="11"/>
      <color rgb="FF263445"/>
      <name val="Aptos"/>
      <family val="2"/>
    </font>
    <font>
      <b/>
      <sz val="16"/>
      <color rgb="FF17324D"/>
      <name val="Aptos"/>
      <family val="2"/>
    </font>
    <font>
      <sz val="12"/>
      <color rgb="FF0D0D0D"/>
      <name val="Segoe UI"/>
      <family val="2"/>
    </font>
    <font>
      <sz val="11"/>
      <color rgb="FF36516B"/>
      <name val="Aptos"/>
      <family val="2"/>
    </font>
    <font>
      <sz val="11"/>
      <name val="Aptos"/>
      <family val="2"/>
    </font>
    <font>
      <sz val="10"/>
      <name val="Arial Unicode MS"/>
    </font>
    <font>
      <sz val="10"/>
      <name val="Aptos"/>
      <family val="2"/>
    </font>
  </fonts>
  <fills count="48">
    <fill>
      <patternFill patternType="none"/>
    </fill>
    <fill>
      <patternFill patternType="gray125"/>
    </fill>
    <fill>
      <patternFill patternType="solid">
        <fgColor rgb="FFFFFFFF"/>
        <bgColor indexed="64"/>
      </patternFill>
    </fill>
    <fill>
      <patternFill patternType="solid">
        <fgColor rgb="FF17365D"/>
      </patternFill>
    </fill>
    <fill>
      <patternFill patternType="solid">
        <fgColor rgb="FFD9EAF7"/>
      </patternFill>
    </fill>
    <fill>
      <patternFill patternType="solid">
        <fgColor rgb="FF0F6B78"/>
      </patternFill>
    </fill>
    <fill>
      <patternFill patternType="solid">
        <fgColor rgb="FFF8F9FA"/>
      </patternFill>
    </fill>
    <fill>
      <patternFill patternType="solid">
        <fgColor rgb="FFFFF2CC"/>
      </patternFill>
    </fill>
    <fill>
      <patternFill patternType="solid">
        <fgColor rgb="FFF4CCCC"/>
      </patternFill>
    </fill>
    <fill>
      <patternFill patternType="solid">
        <fgColor rgb="FF1F4E78"/>
      </patternFill>
    </fill>
    <fill>
      <patternFill patternType="solid">
        <fgColor rgb="FF4472C4"/>
        <bgColor indexed="64"/>
      </patternFill>
    </fill>
    <fill>
      <patternFill patternType="solid">
        <fgColor rgb="FFD6DCE5"/>
        <bgColor indexed="64"/>
      </patternFill>
    </fill>
    <fill>
      <patternFill patternType="solid">
        <fgColor rgb="FF17365D"/>
        <bgColor indexed="64"/>
      </patternFill>
    </fill>
    <fill>
      <patternFill patternType="solid">
        <fgColor rgb="FFF2F2F2"/>
        <bgColor indexed="64"/>
      </patternFill>
    </fill>
    <fill>
      <patternFill patternType="solid">
        <fgColor rgb="FFFAFAFA"/>
        <bgColor indexed="64"/>
      </patternFill>
    </fill>
    <fill>
      <patternFill patternType="solid">
        <fgColor rgb="FFFFC7CE"/>
      </patternFill>
    </fill>
    <fill>
      <patternFill patternType="solid">
        <fgColor rgb="FFFFDE81"/>
        <bgColor indexed="64"/>
      </patternFill>
    </fill>
    <fill>
      <patternFill patternType="solid">
        <fgColor rgb="FFFFFF99"/>
        <bgColor indexed="64"/>
      </patternFill>
    </fill>
    <fill>
      <patternFill patternType="solid">
        <fgColor theme="4" tint="0.79998168889431442"/>
        <bgColor indexed="64"/>
      </patternFill>
    </fill>
    <fill>
      <patternFill patternType="solid">
        <fgColor rgb="FFFFFFFF"/>
      </patternFill>
    </fill>
    <fill>
      <patternFill patternType="solid">
        <fgColor rgb="FFFF7585"/>
        <bgColor indexed="64"/>
      </patternFill>
    </fill>
    <fill>
      <patternFill patternType="solid">
        <fgColor rgb="FFDCE6F1"/>
        <bgColor indexed="64"/>
      </patternFill>
    </fill>
    <fill>
      <patternFill patternType="solid">
        <fgColor rgb="FF9DC3E6"/>
      </patternFill>
    </fill>
    <fill>
      <patternFill patternType="solid">
        <fgColor rgb="FF9AD9D5"/>
      </patternFill>
    </fill>
    <fill>
      <patternFill patternType="solid">
        <fgColor rgb="FFD6B4E8"/>
      </patternFill>
    </fill>
    <fill>
      <patternFill patternType="solid">
        <fgColor rgb="FFB7C9A8"/>
      </patternFill>
    </fill>
    <fill>
      <patternFill patternType="solid">
        <fgColor rgb="FFF4D6A0"/>
      </patternFill>
    </fill>
    <fill>
      <patternFill patternType="solid">
        <fgColor rgb="FFF6C7A5"/>
      </patternFill>
    </fill>
    <fill>
      <patternFill patternType="solid">
        <fgColor rgb="FFD9D9D9"/>
      </patternFill>
    </fill>
    <fill>
      <patternFill patternType="solid">
        <fgColor rgb="FFE6D690"/>
      </patternFill>
    </fill>
    <fill>
      <patternFill patternType="solid">
        <fgColor rgb="FFE7E6E6"/>
      </patternFill>
    </fill>
    <fill>
      <patternFill patternType="solid">
        <fgColor rgb="FF1F4E78"/>
        <bgColor indexed="64"/>
      </patternFill>
    </fill>
    <fill>
      <patternFill patternType="solid">
        <fgColor rgb="FFD9EAF7"/>
        <bgColor indexed="64"/>
      </patternFill>
    </fill>
    <fill>
      <patternFill patternType="solid">
        <fgColor rgb="FF5B9BD5"/>
        <bgColor indexed="64"/>
      </patternFill>
    </fill>
    <fill>
      <patternFill patternType="solid">
        <fgColor rgb="FFF2F6FA"/>
        <bgColor indexed="64"/>
      </patternFill>
    </fill>
    <fill>
      <patternFill patternType="solid">
        <fgColor rgb="FFF7F7F7"/>
        <bgColor indexed="64"/>
      </patternFill>
    </fill>
    <fill>
      <patternFill patternType="solid">
        <fgColor rgb="FFFFF2CC"/>
        <bgColor indexed="64"/>
      </patternFill>
    </fill>
    <fill>
      <patternFill patternType="solid">
        <fgColor rgb="FFEAF3F8"/>
        <bgColor indexed="64"/>
      </patternFill>
    </fill>
    <fill>
      <patternFill patternType="solid">
        <fgColor rgb="FFF8FBFD"/>
        <bgColor indexed="64"/>
      </patternFill>
    </fill>
    <fill>
      <patternFill patternType="solid">
        <fgColor rgb="FFEDF2F7"/>
        <bgColor indexed="64"/>
      </patternFill>
    </fill>
    <fill>
      <patternFill patternType="solid">
        <fgColor rgb="FF0F6B78"/>
        <bgColor indexed="64"/>
      </patternFill>
    </fill>
    <fill>
      <patternFill patternType="solid">
        <fgColor rgb="FFC6EFCE"/>
      </patternFill>
    </fill>
    <fill>
      <patternFill patternType="solid">
        <fgColor rgb="FFFFEB9C"/>
      </patternFill>
    </fill>
    <fill>
      <patternFill patternType="solid">
        <fgColor theme="3" tint="-0.249977111117893"/>
        <bgColor indexed="64"/>
      </patternFill>
    </fill>
    <fill>
      <patternFill patternType="solid">
        <fgColor rgb="FFDCE8F2"/>
      </patternFill>
    </fill>
    <fill>
      <patternFill patternType="solid">
        <fgColor rgb="FF245474"/>
      </patternFill>
    </fill>
    <fill>
      <patternFill patternType="solid">
        <fgColor rgb="FFF2F6FA"/>
      </patternFill>
    </fill>
    <fill>
      <patternFill patternType="solid">
        <fgColor rgb="FFEAF1F6"/>
      </patternFill>
    </fill>
  </fills>
  <borders count="65">
    <border>
      <left/>
      <right/>
      <top/>
      <bottom/>
      <diagonal/>
    </border>
    <border>
      <left/>
      <right/>
      <top style="medium">
        <color rgb="FF1F4E78"/>
      </top>
      <bottom style="medium">
        <color rgb="FF1F4E78"/>
      </bottom>
      <diagonal/>
    </border>
    <border>
      <left/>
      <right/>
      <top/>
      <bottom style="thin">
        <color rgb="FFD9E2F3"/>
      </bottom>
      <diagonal/>
    </border>
    <border>
      <left/>
      <right/>
      <top style="thin">
        <color rgb="FFD9E2F3"/>
      </top>
      <bottom style="thin">
        <color rgb="FFD9E2F3"/>
      </bottom>
      <diagonal/>
    </border>
    <border>
      <left/>
      <right/>
      <top/>
      <bottom style="thin">
        <color rgb="FFD9E1F2"/>
      </bottom>
      <diagonal/>
    </border>
    <border>
      <left/>
      <right/>
      <top/>
      <bottom style="medium">
        <color rgb="FF17365D"/>
      </bottom>
      <diagonal/>
    </border>
    <border>
      <left style="thin">
        <color rgb="FFD9D9D9"/>
      </left>
      <right style="thin">
        <color rgb="FFD9D9D9"/>
      </right>
      <top style="thin">
        <color rgb="FFD9D9D9"/>
      </top>
      <bottom style="thin">
        <color rgb="FFD9D9D9"/>
      </bottom>
      <diagonal/>
    </border>
    <border>
      <left style="thin">
        <color rgb="FF4472C4"/>
      </left>
      <right/>
      <top/>
      <bottom style="thin">
        <color rgb="FFD9E2F3"/>
      </bottom>
      <diagonal/>
    </border>
    <border>
      <left style="medium">
        <color rgb="FF4472C4"/>
      </left>
      <right/>
      <top/>
      <bottom style="thin">
        <color rgb="FFD9E2F3"/>
      </bottom>
      <diagonal/>
    </border>
    <border>
      <left/>
      <right style="thin">
        <color rgb="FF4472C4"/>
      </right>
      <top/>
      <bottom/>
      <diagonal/>
    </border>
    <border>
      <left style="medium">
        <color rgb="FF4472C4"/>
      </left>
      <right style="thin">
        <color rgb="FFD9D9D9"/>
      </right>
      <top style="thin">
        <color rgb="FF4472C4"/>
      </top>
      <bottom style="thin">
        <color rgb="FFD9D9D9"/>
      </bottom>
      <diagonal/>
    </border>
    <border>
      <left/>
      <right style="thin">
        <color rgb="FF4472C4"/>
      </right>
      <top style="thin">
        <color rgb="FF4472C4"/>
      </top>
      <bottom/>
      <diagonal/>
    </border>
    <border>
      <left/>
      <right style="thin">
        <color rgb="FF4472C4"/>
      </right>
      <top/>
      <bottom style="thin">
        <color rgb="FF4472C4"/>
      </bottom>
      <diagonal/>
    </border>
    <border>
      <left/>
      <right/>
      <top style="thin">
        <color rgb="FF4472C4"/>
      </top>
      <bottom/>
      <diagonal/>
    </border>
    <border>
      <left/>
      <right/>
      <top/>
      <bottom style="thin">
        <color rgb="FF4472C4"/>
      </bottom>
      <diagonal/>
    </border>
    <border>
      <left style="thin">
        <color rgb="FF4472C4"/>
      </left>
      <right style="thin">
        <color rgb="FFD9D9D9"/>
      </right>
      <top style="thin">
        <color rgb="FF4472C4"/>
      </top>
      <bottom style="thin">
        <color rgb="FFD9D9D9"/>
      </bottom>
      <diagonal/>
    </border>
    <border>
      <left style="thin">
        <color rgb="FF4472C4"/>
      </left>
      <right/>
      <top/>
      <bottom style="thin">
        <color rgb="FF4472C4"/>
      </bottom>
      <diagonal/>
    </border>
    <border>
      <left style="thin">
        <color rgb="FF4472C4"/>
      </left>
      <right style="thin">
        <color rgb="FFD9E2F3"/>
      </right>
      <top/>
      <bottom style="thin">
        <color rgb="FFD9E2F3"/>
      </bottom>
      <diagonal/>
    </border>
    <border>
      <left/>
      <right/>
      <top/>
      <bottom style="thin">
        <color rgb="FF17365D"/>
      </bottom>
      <diagonal/>
    </border>
    <border>
      <left/>
      <right/>
      <top style="thin">
        <color rgb="FF17365D"/>
      </top>
      <bottom/>
      <diagonal/>
    </border>
    <border>
      <left/>
      <right/>
      <top style="medium">
        <color rgb="FF17365D"/>
      </top>
      <bottom/>
      <diagonal/>
    </border>
    <border>
      <left/>
      <right style="thin">
        <color rgb="FF17365D"/>
      </right>
      <top style="medium">
        <color rgb="FF17365D"/>
      </top>
      <bottom/>
      <diagonal/>
    </border>
    <border>
      <left/>
      <right style="thin">
        <color rgb="FF17365D"/>
      </right>
      <top/>
      <bottom style="thin">
        <color rgb="FFD9E2F3"/>
      </bottom>
      <diagonal/>
    </border>
    <border>
      <left/>
      <right style="thin">
        <color rgb="FF17365D"/>
      </right>
      <top style="thin">
        <color rgb="FFD9E2F3"/>
      </top>
      <bottom style="thin">
        <color rgb="FFD9E2F3"/>
      </bottom>
      <diagonal/>
    </border>
    <border>
      <left/>
      <right/>
      <top style="thin">
        <color rgb="FFD9E2F3"/>
      </top>
      <bottom style="thin">
        <color rgb="FF17365D"/>
      </bottom>
      <diagonal/>
    </border>
    <border>
      <left/>
      <right style="thin">
        <color rgb="FF17365D"/>
      </right>
      <top style="thin">
        <color rgb="FFD9E2F3"/>
      </top>
      <bottom style="thin">
        <color rgb="FF17365D"/>
      </bottom>
      <diagonal/>
    </border>
    <border>
      <left style="thin">
        <color rgb="FF17365D"/>
      </left>
      <right/>
      <top style="thin">
        <color rgb="FF17365D"/>
      </top>
      <bottom/>
      <diagonal/>
    </border>
    <border>
      <left/>
      <right style="thin">
        <color rgb="FF17365D"/>
      </right>
      <top style="thin">
        <color rgb="FF17365D"/>
      </top>
      <bottom/>
      <diagonal/>
    </border>
    <border>
      <left style="thin">
        <color rgb="FF17365D"/>
      </left>
      <right style="thin">
        <color rgb="FFE0E0E0"/>
      </right>
      <top style="medium">
        <color rgb="FF17365D"/>
      </top>
      <bottom style="thin">
        <color rgb="FFE0E0E0"/>
      </bottom>
      <diagonal/>
    </border>
    <border>
      <left style="thin">
        <color rgb="FFE0E0E0"/>
      </left>
      <right style="thin">
        <color rgb="FFE0E0E0"/>
      </right>
      <top style="medium">
        <color rgb="FF17365D"/>
      </top>
      <bottom style="thin">
        <color rgb="FFE0E0E0"/>
      </bottom>
      <diagonal/>
    </border>
    <border>
      <left style="thin">
        <color rgb="FFE0E0E0"/>
      </left>
      <right style="thin">
        <color rgb="FF17365D"/>
      </right>
      <top style="medium">
        <color rgb="FF17365D"/>
      </top>
      <bottom style="thin">
        <color rgb="FFE0E0E0"/>
      </bottom>
      <diagonal/>
    </border>
    <border>
      <left style="thin">
        <color rgb="FF17365D"/>
      </left>
      <right style="thin">
        <color rgb="FFE0E0E0"/>
      </right>
      <top style="thin">
        <color rgb="FFE0E0E0"/>
      </top>
      <bottom style="thin">
        <color rgb="FFE0E0E0"/>
      </bottom>
      <diagonal/>
    </border>
    <border>
      <left style="thin">
        <color rgb="FFE0E0E0"/>
      </left>
      <right style="thin">
        <color rgb="FFE0E0E0"/>
      </right>
      <top style="thin">
        <color rgb="FFE0E0E0"/>
      </top>
      <bottom style="thin">
        <color rgb="FFE0E0E0"/>
      </bottom>
      <diagonal/>
    </border>
    <border>
      <left style="thin">
        <color rgb="FFE0E0E0"/>
      </left>
      <right style="thin">
        <color rgb="FF17365D"/>
      </right>
      <top style="thin">
        <color rgb="FFE0E0E0"/>
      </top>
      <bottom style="thin">
        <color rgb="FFE0E0E0"/>
      </bottom>
      <diagonal/>
    </border>
    <border>
      <left style="thin">
        <color rgb="FF17365D"/>
      </left>
      <right style="thin">
        <color rgb="FFE0E0E0"/>
      </right>
      <top style="thin">
        <color rgb="FFE0E0E0"/>
      </top>
      <bottom style="medium">
        <color rgb="FF17365D"/>
      </bottom>
      <diagonal/>
    </border>
    <border>
      <left style="thin">
        <color rgb="FFE0E0E0"/>
      </left>
      <right style="thin">
        <color rgb="FFE0E0E0"/>
      </right>
      <top style="thin">
        <color rgb="FFE0E0E0"/>
      </top>
      <bottom style="medium">
        <color rgb="FF17365D"/>
      </bottom>
      <diagonal/>
    </border>
    <border>
      <left style="thin">
        <color rgb="FFE0E0E0"/>
      </left>
      <right style="thin">
        <color rgb="FF17365D"/>
      </right>
      <top style="thin">
        <color rgb="FFE0E0E0"/>
      </top>
      <bottom style="medium">
        <color rgb="FF17365D"/>
      </bottom>
      <diagonal/>
    </border>
    <border>
      <left style="thin">
        <color rgb="FFD9D9D9"/>
      </left>
      <right style="thin">
        <color rgb="FFD9D9D9"/>
      </right>
      <top style="thin">
        <color rgb="FFD9D9D9"/>
      </top>
      <bottom/>
      <diagonal/>
    </border>
    <border>
      <left/>
      <right style="thin">
        <color rgb="FFFF0000"/>
      </right>
      <top/>
      <bottom/>
      <diagonal/>
    </border>
    <border>
      <left style="medium">
        <color rgb="FFFF0000"/>
      </left>
      <right style="medium">
        <color rgb="FFFF0000"/>
      </right>
      <top style="medium">
        <color rgb="FFFF0000"/>
      </top>
      <bottom style="medium">
        <color rgb="FFFF0000"/>
      </bottom>
      <diagonal/>
    </border>
    <border>
      <left/>
      <right/>
      <top style="thin">
        <color auto="1"/>
      </top>
      <bottom/>
      <diagonal/>
    </border>
    <border>
      <left/>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right/>
      <top/>
      <bottom style="thin">
        <color rgb="FFD9D9D9"/>
      </bottom>
      <diagonal/>
    </border>
    <border>
      <left style="thin">
        <color rgb="FFD9EAF7"/>
      </left>
      <right style="thin">
        <color rgb="FFD9EAF7"/>
      </right>
      <top style="thin">
        <color rgb="FFD9EAF7"/>
      </top>
      <bottom style="thin">
        <color rgb="FFD9EAF7"/>
      </bottom>
      <diagonal/>
    </border>
    <border>
      <left/>
      <right style="thin">
        <color rgb="FFD9EAF7"/>
      </right>
      <top/>
      <bottom/>
      <diagonal/>
    </border>
    <border>
      <left style="thin">
        <color rgb="FF4472C4"/>
      </left>
      <right/>
      <top style="thin">
        <color rgb="FF4472C4"/>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rgb="FFD9E2F3"/>
      </right>
      <top/>
      <bottom/>
      <diagonal/>
    </border>
    <border>
      <left/>
      <right style="thin">
        <color rgb="FFD9E2F3"/>
      </right>
      <top/>
      <bottom style="thin">
        <color rgb="FFD9E2F3"/>
      </bottom>
      <diagonal/>
    </border>
    <border>
      <left/>
      <right style="thin">
        <color rgb="FFD9D9D9"/>
      </right>
      <top style="thin">
        <color rgb="FF4472C4"/>
      </top>
      <bottom style="thin">
        <color rgb="FFD9D9D9"/>
      </bottom>
      <diagonal/>
    </border>
    <border>
      <left style="thin">
        <color rgb="FF17365D"/>
      </left>
      <right style="thin">
        <color rgb="FF17365D"/>
      </right>
      <top style="thin">
        <color rgb="FFD9E2F3"/>
      </top>
      <bottom style="thin">
        <color rgb="FF17365D"/>
      </bottom>
      <diagonal/>
    </border>
    <border>
      <left style="thin">
        <color rgb="FF17365D"/>
      </left>
      <right style="thin">
        <color rgb="FF17365D"/>
      </right>
      <top style="medium">
        <color rgb="FF17365D"/>
      </top>
      <bottom/>
      <diagonal/>
    </border>
    <border>
      <left style="thin">
        <color rgb="FF17365D"/>
      </left>
      <right style="thin">
        <color rgb="FF17365D"/>
      </right>
      <top/>
      <bottom style="thin">
        <color rgb="FFD9E2F3"/>
      </bottom>
      <diagonal/>
    </border>
    <border>
      <left style="thin">
        <color rgb="FF17365D"/>
      </left>
      <right style="thin">
        <color rgb="FF17365D"/>
      </right>
      <top style="thin">
        <color rgb="FFD9E2F3"/>
      </top>
      <bottom style="thin">
        <color rgb="FFD9E2F3"/>
      </bottom>
      <diagonal/>
    </border>
    <border>
      <left style="thin">
        <color rgb="FF4472C4"/>
      </left>
      <right style="thin">
        <color rgb="FF4472C4"/>
      </right>
      <top/>
      <bottom style="thin">
        <color rgb="FF4472C4"/>
      </bottom>
      <diagonal/>
    </border>
  </borders>
  <cellStyleXfs count="5">
    <xf numFmtId="0" fontId="0" fillId="0" borderId="0"/>
    <xf numFmtId="0" fontId="19" fillId="15" borderId="0"/>
    <xf numFmtId="0" fontId="20" fillId="0" borderId="0"/>
    <xf numFmtId="0" fontId="63" fillId="41" borderId="0" applyNumberFormat="0" applyBorder="0" applyAlignment="0" applyProtection="0"/>
    <xf numFmtId="0" fontId="64" fillId="42" borderId="0" applyNumberFormat="0" applyBorder="0" applyAlignment="0" applyProtection="0"/>
  </cellStyleXfs>
  <cellXfs count="375">
    <xf numFmtId="0" fontId="0" fillId="0" borderId="0" xfId="0"/>
    <xf numFmtId="0" fontId="0" fillId="0" borderId="0" xfId="0" applyAlignment="1">
      <alignment wrapText="1"/>
    </xf>
    <xf numFmtId="0" fontId="2" fillId="0" borderId="0" xfId="0" applyFont="1" applyAlignment="1">
      <alignment vertical="top"/>
    </xf>
    <xf numFmtId="0" fontId="2" fillId="0" borderId="4" xfId="0" applyFont="1" applyBorder="1" applyAlignment="1">
      <alignment vertical="top" wrapText="1"/>
    </xf>
    <xf numFmtId="0" fontId="0" fillId="0" borderId="4" xfId="0" applyBorder="1" applyAlignment="1">
      <alignment vertical="top" wrapText="1"/>
    </xf>
    <xf numFmtId="0" fontId="7" fillId="9" borderId="6" xfId="0" applyFont="1" applyFill="1" applyBorder="1" applyAlignment="1">
      <alignment horizontal="center" vertical="center" wrapText="1"/>
    </xf>
    <xf numFmtId="0" fontId="16" fillId="0" borderId="0" xfId="0" applyFont="1"/>
    <xf numFmtId="0" fontId="0" fillId="0" borderId="0" xfId="0" applyAlignment="1">
      <alignment horizontal="center" vertical="center"/>
    </xf>
    <xf numFmtId="0" fontId="6" fillId="31" borderId="45" xfId="0" applyFont="1" applyFill="1" applyBorder="1" applyAlignment="1">
      <alignment horizontal="left" vertical="top" wrapText="1"/>
    </xf>
    <xf numFmtId="0" fontId="6" fillId="31" borderId="42" xfId="0" applyFont="1" applyFill="1" applyBorder="1" applyAlignment="1">
      <alignment horizontal="left" vertical="top" wrapText="1"/>
    </xf>
    <xf numFmtId="0" fontId="6" fillId="31" borderId="48" xfId="0" applyFont="1" applyFill="1" applyBorder="1" applyAlignment="1">
      <alignment horizontal="left" vertical="top" wrapText="1"/>
    </xf>
    <xf numFmtId="0" fontId="37" fillId="0" borderId="43" xfId="0" applyFont="1" applyBorder="1" applyAlignment="1">
      <alignment horizontal="left" vertical="top" wrapText="1"/>
    </xf>
    <xf numFmtId="0" fontId="27" fillId="0" borderId="41" xfId="0" applyFont="1" applyBorder="1" applyAlignment="1">
      <alignment horizontal="left" vertical="top" wrapText="1"/>
    </xf>
    <xf numFmtId="0" fontId="27" fillId="0" borderId="49" xfId="0" applyFont="1" applyBorder="1" applyAlignment="1">
      <alignment horizontal="left" vertical="top" wrapText="1"/>
    </xf>
    <xf numFmtId="0" fontId="27" fillId="0" borderId="43" xfId="0" applyFont="1" applyBorder="1" applyAlignment="1">
      <alignment horizontal="left" vertical="top" wrapText="1"/>
    </xf>
    <xf numFmtId="15" fontId="27" fillId="0" borderId="41" xfId="0" applyNumberFormat="1" applyFont="1" applyBorder="1" applyAlignment="1">
      <alignment horizontal="left" vertical="top" wrapText="1"/>
    </xf>
    <xf numFmtId="0" fontId="31" fillId="0" borderId="0" xfId="0" applyFont="1"/>
    <xf numFmtId="0" fontId="31" fillId="0" borderId="0" xfId="0" applyFont="1" applyAlignment="1">
      <alignment horizontal="center" vertical="center"/>
    </xf>
    <xf numFmtId="0" fontId="27" fillId="0" borderId="0" xfId="0" applyFont="1" applyAlignment="1">
      <alignment horizontal="left" vertical="top"/>
    </xf>
    <xf numFmtId="0" fontId="31" fillId="0" borderId="44" xfId="0" applyFont="1" applyBorder="1"/>
    <xf numFmtId="0" fontId="31" fillId="0" borderId="44" xfId="0" applyFont="1" applyBorder="1" applyAlignment="1">
      <alignment horizontal="center" vertical="center"/>
    </xf>
    <xf numFmtId="0" fontId="37" fillId="0" borderId="44" xfId="0" applyFont="1" applyBorder="1" applyAlignment="1">
      <alignment horizontal="left" vertical="top"/>
    </xf>
    <xf numFmtId="0" fontId="31" fillId="0" borderId="47" xfId="0" applyFont="1" applyBorder="1"/>
    <xf numFmtId="0" fontId="31" fillId="0" borderId="47" xfId="0" applyFont="1" applyBorder="1" applyAlignment="1">
      <alignment horizontal="center" vertical="center"/>
    </xf>
    <xf numFmtId="0" fontId="27" fillId="0" borderId="47" xfId="0" applyFont="1" applyBorder="1" applyAlignment="1">
      <alignment horizontal="left" vertical="top"/>
    </xf>
    <xf numFmtId="164" fontId="38" fillId="0" borderId="0" xfId="0" applyNumberFormat="1" applyFont="1"/>
    <xf numFmtId="0" fontId="39" fillId="0" borderId="44" xfId="0" applyFont="1" applyBorder="1"/>
    <xf numFmtId="0" fontId="26" fillId="20" borderId="39" xfId="1" applyFont="1" applyFill="1" applyBorder="1" applyAlignment="1">
      <alignment horizontal="center" vertical="center"/>
    </xf>
    <xf numFmtId="0" fontId="2" fillId="0" borderId="4" xfId="0" applyFont="1" applyBorder="1" applyAlignment="1" applyProtection="1">
      <alignment vertical="top" wrapText="1"/>
      <protection locked="0"/>
    </xf>
    <xf numFmtId="164" fontId="2" fillId="0" borderId="4" xfId="0" applyNumberFormat="1" applyFont="1" applyBorder="1" applyAlignment="1" applyProtection="1">
      <alignment vertical="top" wrapText="1"/>
      <protection locked="0"/>
    </xf>
    <xf numFmtId="0" fontId="7" fillId="31" borderId="6" xfId="0" applyFont="1" applyFill="1" applyBorder="1" applyAlignment="1">
      <alignment horizontal="center" vertical="center" wrapText="1"/>
    </xf>
    <xf numFmtId="0" fontId="29" fillId="33" borderId="0" xfId="0" applyFont="1" applyFill="1" applyAlignment="1">
      <alignment wrapText="1"/>
    </xf>
    <xf numFmtId="0" fontId="7" fillId="9" borderId="37" xfId="0" applyFont="1" applyFill="1" applyBorder="1" applyAlignment="1">
      <alignment horizontal="center" vertical="center" wrapText="1"/>
    </xf>
    <xf numFmtId="0" fontId="21" fillId="16" borderId="0" xfId="2" applyFont="1" applyFill="1" applyAlignment="1">
      <alignment horizontal="center" vertical="center"/>
    </xf>
    <xf numFmtId="165" fontId="21" fillId="16" borderId="0" xfId="2" applyNumberFormat="1" applyFont="1" applyFill="1" applyAlignment="1">
      <alignment horizontal="center" vertical="center"/>
    </xf>
    <xf numFmtId="0" fontId="23" fillId="22" borderId="0" xfId="2" applyFont="1" applyFill="1" applyAlignment="1">
      <alignment horizontal="center" vertical="center" wrapText="1"/>
    </xf>
    <xf numFmtId="0" fontId="22" fillId="17" borderId="0" xfId="2" applyFont="1" applyFill="1" applyAlignment="1">
      <alignment horizontal="center" vertical="center"/>
    </xf>
    <xf numFmtId="165" fontId="22" fillId="17" borderId="0" xfId="2" applyNumberFormat="1" applyFont="1" applyFill="1" applyAlignment="1">
      <alignment horizontal="center" vertical="center"/>
    </xf>
    <xf numFmtId="0" fontId="23" fillId="23" borderId="0" xfId="2" applyFont="1" applyFill="1" applyAlignment="1">
      <alignment horizontal="center" vertical="center" wrapText="1"/>
    </xf>
    <xf numFmtId="0" fontId="25" fillId="18" borderId="0" xfId="2" applyFont="1" applyFill="1" applyAlignment="1">
      <alignment horizontal="center" vertical="center"/>
    </xf>
    <xf numFmtId="0" fontId="23" fillId="24" borderId="0" xfId="2" applyFont="1" applyFill="1" applyAlignment="1">
      <alignment horizontal="center" vertical="center" wrapText="1"/>
    </xf>
    <xf numFmtId="0" fontId="25" fillId="21" borderId="0" xfId="2" applyFont="1" applyFill="1" applyAlignment="1">
      <alignment horizontal="center" vertical="center"/>
    </xf>
    <xf numFmtId="0" fontId="2" fillId="0" borderId="0" xfId="0" applyFont="1" applyAlignment="1">
      <alignment horizontal="center" vertical="center"/>
    </xf>
    <xf numFmtId="0" fontId="23" fillId="19" borderId="0" xfId="2" applyFont="1" applyFill="1" applyAlignment="1">
      <alignment horizontal="center" vertical="center" wrapText="1"/>
    </xf>
    <xf numFmtId="166" fontId="24" fillId="18" borderId="0" xfId="2" applyNumberFormat="1" applyFont="1" applyFill="1" applyAlignment="1">
      <alignment horizontal="center" vertical="center" wrapText="1"/>
    </xf>
    <xf numFmtId="0" fontId="23" fillId="25" borderId="0" xfId="2" applyFont="1" applyFill="1" applyAlignment="1">
      <alignment horizontal="center" vertical="center" wrapText="1"/>
    </xf>
    <xf numFmtId="0" fontId="23" fillId="26" borderId="0" xfId="2" applyFont="1" applyFill="1" applyAlignment="1">
      <alignment horizontal="center" vertical="center" wrapText="1"/>
    </xf>
    <xf numFmtId="0" fontId="23" fillId="27" borderId="0" xfId="2" applyFont="1" applyFill="1" applyAlignment="1">
      <alignment horizontal="center" vertical="center" wrapText="1"/>
    </xf>
    <xf numFmtId="0" fontId="23" fillId="28" borderId="0" xfId="2" applyFont="1" applyFill="1" applyAlignment="1">
      <alignment horizontal="center" vertical="center" wrapText="1"/>
    </xf>
    <xf numFmtId="0" fontId="23" fillId="29" borderId="0" xfId="2" applyFont="1" applyFill="1" applyAlignment="1">
      <alignment horizontal="center" vertical="center" wrapText="1"/>
    </xf>
    <xf numFmtId="0" fontId="23" fillId="30" borderId="0" xfId="2" applyFont="1" applyFill="1" applyAlignment="1">
      <alignment horizontal="center" vertical="center" wrapText="1"/>
    </xf>
    <xf numFmtId="0" fontId="2" fillId="0" borderId="38" xfId="0" applyFont="1" applyBorder="1" applyAlignment="1">
      <alignment vertical="top"/>
    </xf>
    <xf numFmtId="0" fontId="9" fillId="0" borderId="0" xfId="0" applyFont="1" applyAlignment="1">
      <alignment vertical="center"/>
    </xf>
    <xf numFmtId="0" fontId="2" fillId="2" borderId="0" xfId="0" applyFont="1" applyFill="1" applyAlignment="1">
      <alignment vertical="top" wrapText="1"/>
    </xf>
    <xf numFmtId="0" fontId="2" fillId="2" borderId="0" xfId="0" applyFont="1" applyFill="1" applyAlignment="1">
      <alignment vertical="top"/>
    </xf>
    <xf numFmtId="0" fontId="6" fillId="12" borderId="26" xfId="0" applyFont="1" applyFill="1" applyBorder="1" applyAlignment="1">
      <alignment horizontal="center" vertical="center" wrapText="1"/>
    </xf>
    <xf numFmtId="0" fontId="6" fillId="12" borderId="19" xfId="0" applyFont="1" applyFill="1" applyBorder="1" applyAlignment="1">
      <alignment horizontal="center" vertical="center" wrapText="1"/>
    </xf>
    <xf numFmtId="0" fontId="6" fillId="12" borderId="27" xfId="0" applyFont="1" applyFill="1" applyBorder="1" applyAlignment="1">
      <alignment horizontal="center" vertical="center" wrapText="1"/>
    </xf>
    <xf numFmtId="0" fontId="1" fillId="0" borderId="4" xfId="0" applyFont="1" applyBorder="1" applyAlignment="1">
      <alignment horizontal="center" vertical="center" wrapText="1"/>
    </xf>
    <xf numFmtId="0" fontId="1" fillId="2" borderId="1" xfId="0" applyFont="1" applyFill="1" applyBorder="1" applyAlignment="1">
      <alignment vertical="top" wrapText="1"/>
    </xf>
    <xf numFmtId="0" fontId="1" fillId="13" borderId="28" xfId="0" applyFont="1" applyFill="1" applyBorder="1" applyAlignment="1">
      <alignment horizontal="left" vertical="center" wrapText="1"/>
    </xf>
    <xf numFmtId="1" fontId="2" fillId="13" borderId="29" xfId="0" applyNumberFormat="1" applyFont="1" applyFill="1" applyBorder="1" applyAlignment="1">
      <alignment horizontal="center" vertical="center" wrapText="1"/>
    </xf>
    <xf numFmtId="1" fontId="2" fillId="13" borderId="30" xfId="0" applyNumberFormat="1" applyFont="1" applyFill="1" applyBorder="1" applyAlignment="1">
      <alignment horizontal="center" vertical="center" wrapText="1"/>
    </xf>
    <xf numFmtId="0" fontId="2" fillId="0" borderId="4" xfId="0" applyFont="1" applyBorder="1" applyAlignment="1">
      <alignment horizontal="center" vertical="center" wrapText="1"/>
    </xf>
    <xf numFmtId="0" fontId="1" fillId="2" borderId="31" xfId="0" applyFont="1" applyFill="1" applyBorder="1" applyAlignment="1">
      <alignment horizontal="left" vertical="center" wrapText="1"/>
    </xf>
    <xf numFmtId="1" fontId="2" fillId="2" borderId="32" xfId="0" applyNumberFormat="1" applyFont="1" applyFill="1" applyBorder="1" applyAlignment="1">
      <alignment horizontal="center" vertical="center" wrapText="1"/>
    </xf>
    <xf numFmtId="1" fontId="2" fillId="2" borderId="33" xfId="0" applyNumberFormat="1" applyFont="1" applyFill="1" applyBorder="1" applyAlignment="1">
      <alignment horizontal="center" vertical="center" wrapText="1"/>
    </xf>
    <xf numFmtId="0" fontId="1" fillId="13" borderId="31" xfId="0" applyFont="1" applyFill="1" applyBorder="1" applyAlignment="1">
      <alignment horizontal="left" vertical="center" wrapText="1"/>
    </xf>
    <xf numFmtId="1" fontId="2" fillId="13" borderId="32" xfId="0" applyNumberFormat="1" applyFont="1" applyFill="1" applyBorder="1" applyAlignment="1">
      <alignment horizontal="center" vertical="center" wrapText="1"/>
    </xf>
    <xf numFmtId="1" fontId="2" fillId="13" borderId="33" xfId="0" applyNumberFormat="1" applyFont="1" applyFill="1" applyBorder="1" applyAlignment="1">
      <alignment horizontal="center" vertical="center" wrapText="1"/>
    </xf>
    <xf numFmtId="0" fontId="1" fillId="2" borderId="34" xfId="0" applyFont="1" applyFill="1" applyBorder="1" applyAlignment="1">
      <alignment horizontal="left" vertical="center" wrapText="1"/>
    </xf>
    <xf numFmtId="1" fontId="2" fillId="2" borderId="35" xfId="0" applyNumberFormat="1" applyFont="1" applyFill="1" applyBorder="1" applyAlignment="1">
      <alignment horizontal="center" vertical="center" wrapText="1"/>
    </xf>
    <xf numFmtId="1" fontId="2" fillId="2" borderId="36" xfId="0" applyNumberFormat="1" applyFont="1" applyFill="1" applyBorder="1" applyAlignment="1">
      <alignment horizontal="center" vertical="center" wrapText="1"/>
    </xf>
    <xf numFmtId="0" fontId="2" fillId="0" borderId="0" xfId="0" applyFont="1" applyAlignment="1">
      <alignment horizontal="center" vertical="center" wrapText="1"/>
    </xf>
    <xf numFmtId="0" fontId="2" fillId="14" borderId="0" xfId="0" applyFont="1" applyFill="1" applyAlignment="1">
      <alignment vertical="top" wrapText="1"/>
    </xf>
    <xf numFmtId="0" fontId="2" fillId="14" borderId="0" xfId="0" applyFont="1" applyFill="1" applyAlignment="1">
      <alignment vertical="top"/>
    </xf>
    <xf numFmtId="0" fontId="18" fillId="0" borderId="0" xfId="0" applyFont="1" applyAlignment="1">
      <alignment vertical="top"/>
    </xf>
    <xf numFmtId="0" fontId="2" fillId="6" borderId="0" xfId="0" applyFont="1" applyFill="1" applyAlignment="1">
      <alignment vertical="top"/>
    </xf>
    <xf numFmtId="164" fontId="7" fillId="9" borderId="6" xfId="0" applyNumberFormat="1" applyFont="1" applyFill="1" applyBorder="1" applyAlignment="1">
      <alignment horizontal="center" vertical="center" wrapText="1"/>
    </xf>
    <xf numFmtId="164" fontId="2" fillId="0" borderId="4" xfId="0" applyNumberFormat="1" applyFont="1" applyBorder="1" applyAlignment="1">
      <alignment horizontal="center" vertical="center" wrapText="1"/>
    </xf>
    <xf numFmtId="164" fontId="2" fillId="0" borderId="0" xfId="0" applyNumberFormat="1" applyFont="1" applyAlignment="1">
      <alignment horizontal="center" vertical="center" wrapText="1"/>
    </xf>
    <xf numFmtId="0" fontId="2" fillId="7" borderId="4" xfId="0" applyFont="1" applyFill="1" applyBorder="1" applyAlignment="1">
      <alignment vertical="top" wrapText="1"/>
    </xf>
    <xf numFmtId="164" fontId="2" fillId="7" borderId="4" xfId="0" applyNumberFormat="1" applyFont="1" applyFill="1" applyBorder="1" applyAlignment="1">
      <alignment vertical="top" wrapText="1"/>
    </xf>
    <xf numFmtId="0" fontId="2" fillId="8" borderId="4" xfId="0" applyFont="1" applyFill="1" applyBorder="1" applyAlignment="1">
      <alignment vertical="top" wrapText="1"/>
    </xf>
    <xf numFmtId="164" fontId="2" fillId="8" borderId="4" xfId="0" applyNumberFormat="1" applyFont="1" applyFill="1" applyBorder="1" applyAlignment="1">
      <alignment vertical="top" wrapText="1"/>
    </xf>
    <xf numFmtId="0" fontId="2" fillId="0" borderId="4" xfId="0" applyFont="1" applyBorder="1" applyAlignment="1" applyProtection="1">
      <alignment horizontal="center" vertical="center" wrapText="1"/>
      <protection locked="0"/>
    </xf>
    <xf numFmtId="164" fontId="2" fillId="0" borderId="4" xfId="0" applyNumberFormat="1" applyFont="1" applyBorder="1" applyAlignment="1" applyProtection="1">
      <alignment horizontal="center" vertical="center" wrapText="1"/>
      <protection locked="0"/>
    </xf>
    <xf numFmtId="0" fontId="27" fillId="0" borderId="0" xfId="0" applyFont="1"/>
    <xf numFmtId="0" fontId="27" fillId="0" borderId="0" xfId="0" applyFont="1" applyAlignment="1">
      <alignment wrapText="1"/>
    </xf>
    <xf numFmtId="0" fontId="6" fillId="31" borderId="0" xfId="0" applyFont="1" applyFill="1" applyAlignment="1">
      <alignment horizontal="center" vertical="center" wrapText="1"/>
    </xf>
    <xf numFmtId="0" fontId="2" fillId="0" borderId="0" xfId="0" applyFont="1" applyAlignment="1">
      <alignment wrapText="1"/>
    </xf>
    <xf numFmtId="0" fontId="42" fillId="31" borderId="0" xfId="0" applyFont="1" applyFill="1" applyAlignment="1">
      <alignment vertical="top" wrapText="1"/>
    </xf>
    <xf numFmtId="0" fontId="43" fillId="39" borderId="41" xfId="0" applyFont="1" applyFill="1" applyBorder="1" applyAlignment="1">
      <alignment vertical="top" wrapText="1"/>
    </xf>
    <xf numFmtId="0" fontId="42" fillId="31" borderId="40" xfId="0" applyFont="1" applyFill="1" applyBorder="1" applyAlignment="1">
      <alignment vertical="top" wrapText="1"/>
    </xf>
    <xf numFmtId="0" fontId="43" fillId="35" borderId="41" xfId="0" applyFont="1" applyFill="1" applyBorder="1" applyAlignment="1">
      <alignment vertical="top" wrapText="1"/>
    </xf>
    <xf numFmtId="0" fontId="2" fillId="0" borderId="0" xfId="0" applyFont="1" applyAlignment="1">
      <alignment vertical="top" wrapText="1"/>
    </xf>
    <xf numFmtId="0" fontId="41" fillId="0" borderId="0" xfId="0" applyFont="1"/>
    <xf numFmtId="0" fontId="43" fillId="38" borderId="41" xfId="0" applyFont="1" applyFill="1" applyBorder="1"/>
    <xf numFmtId="0" fontId="43" fillId="2" borderId="41" xfId="0" applyFont="1" applyFill="1" applyBorder="1"/>
    <xf numFmtId="0" fontId="43" fillId="38" borderId="0" xfId="0" applyFont="1" applyFill="1"/>
    <xf numFmtId="0" fontId="43" fillId="2" borderId="0" xfId="0" applyFont="1" applyFill="1"/>
    <xf numFmtId="0" fontId="42" fillId="31" borderId="0" xfId="0" applyFont="1" applyFill="1"/>
    <xf numFmtId="0" fontId="44" fillId="0" borderId="4" xfId="0" applyFont="1" applyBorder="1" applyAlignment="1">
      <alignment horizontal="center" vertical="center" wrapText="1"/>
    </xf>
    <xf numFmtId="0" fontId="17" fillId="0" borderId="0" xfId="0" applyFont="1" applyAlignment="1">
      <alignment horizontal="center" vertical="top"/>
    </xf>
    <xf numFmtId="0" fontId="1" fillId="0" borderId="0" xfId="0" applyFont="1" applyAlignment="1">
      <alignment horizontal="center" vertical="top"/>
    </xf>
    <xf numFmtId="0" fontId="2" fillId="0" borderId="4" xfId="0" applyFont="1" applyBorder="1" applyAlignment="1" applyProtection="1">
      <alignment horizontal="left" vertical="center" wrapText="1"/>
      <protection locked="0"/>
    </xf>
    <xf numFmtId="0" fontId="0" fillId="0" borderId="0" xfId="0" applyAlignment="1">
      <alignment horizontal="center" vertical="center" wrapText="1"/>
    </xf>
    <xf numFmtId="0" fontId="45" fillId="0" borderId="0" xfId="0" applyFont="1" applyAlignment="1">
      <alignment horizontal="center" wrapText="1"/>
    </xf>
    <xf numFmtId="0" fontId="40" fillId="0" borderId="0" xfId="0" applyFont="1" applyAlignment="1">
      <alignment horizontal="center" vertical="center" wrapText="1"/>
    </xf>
    <xf numFmtId="0" fontId="2" fillId="6" borderId="0" xfId="0" applyFont="1" applyFill="1" applyAlignment="1">
      <alignment vertical="top" wrapText="1"/>
    </xf>
    <xf numFmtId="0" fontId="2" fillId="0" borderId="0" xfId="0" applyFont="1" applyAlignment="1">
      <alignment horizontal="left" vertical="center" wrapText="1"/>
    </xf>
    <xf numFmtId="0" fontId="0" fillId="0" borderId="0" xfId="0" applyAlignment="1">
      <alignment horizontal="left" vertical="center" wrapText="1"/>
    </xf>
    <xf numFmtId="165" fontId="2" fillId="0" borderId="4" xfId="0" applyNumberFormat="1" applyFont="1" applyBorder="1" applyAlignment="1" applyProtection="1">
      <alignment horizontal="center" vertical="top" wrapText="1"/>
      <protection locked="0"/>
    </xf>
    <xf numFmtId="165" fontId="0" fillId="0" borderId="0" xfId="0" applyNumberFormat="1" applyAlignment="1">
      <alignment horizontal="center"/>
    </xf>
    <xf numFmtId="0" fontId="2" fillId="0" borderId="4" xfId="0" applyFont="1" applyBorder="1" applyAlignment="1" applyProtection="1">
      <alignment horizontal="left" vertical="top" wrapText="1"/>
      <protection locked="0"/>
    </xf>
    <xf numFmtId="0" fontId="6" fillId="12" borderId="0" xfId="0" applyFont="1" applyFill="1" applyAlignment="1">
      <alignment horizontal="center" vertical="center" wrapText="1"/>
    </xf>
    <xf numFmtId="1" fontId="2" fillId="13"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0" fontId="16" fillId="0" borderId="0" xfId="0" applyFont="1" applyAlignment="1">
      <alignment wrapText="1"/>
    </xf>
    <xf numFmtId="0" fontId="18" fillId="0" borderId="0" xfId="0" applyFont="1" applyAlignment="1">
      <alignment vertical="top" wrapText="1"/>
    </xf>
    <xf numFmtId="0" fontId="17" fillId="5" borderId="0" xfId="0" applyFont="1" applyFill="1" applyAlignment="1">
      <alignment horizontal="center" vertical="top" wrapText="1"/>
    </xf>
    <xf numFmtId="0" fontId="17" fillId="0" borderId="0" xfId="0" applyFont="1" applyAlignment="1">
      <alignment horizontal="center" vertical="top" wrapText="1"/>
    </xf>
    <xf numFmtId="0" fontId="1" fillId="4" borderId="0" xfId="0" applyFont="1" applyFill="1" applyAlignment="1">
      <alignment horizontal="center" vertical="top" wrapText="1"/>
    </xf>
    <xf numFmtId="0" fontId="1" fillId="0" borderId="0" xfId="0" applyFont="1" applyAlignment="1">
      <alignment horizontal="center" vertical="top" wrapText="1"/>
    </xf>
    <xf numFmtId="0" fontId="7" fillId="9" borderId="0" xfId="0" applyFont="1" applyFill="1"/>
    <xf numFmtId="0" fontId="7" fillId="16" borderId="0" xfId="0" applyFont="1" applyFill="1"/>
    <xf numFmtId="0" fontId="0" fillId="0" borderId="0" xfId="0" applyAlignment="1">
      <alignment vertical="top"/>
    </xf>
    <xf numFmtId="0" fontId="47" fillId="5" borderId="1" xfId="0" applyFont="1" applyFill="1" applyBorder="1" applyAlignment="1">
      <alignment horizontal="center" vertical="center" wrapText="1"/>
    </xf>
    <xf numFmtId="0" fontId="48" fillId="0" borderId="0" xfId="0" applyFont="1"/>
    <xf numFmtId="0" fontId="49" fillId="5" borderId="1" xfId="0" applyFont="1" applyFill="1" applyBorder="1" applyAlignment="1">
      <alignment horizontal="center" vertical="center" wrapText="1"/>
    </xf>
    <xf numFmtId="0" fontId="50" fillId="0" borderId="0" xfId="0" applyFont="1"/>
    <xf numFmtId="0" fontId="1" fillId="0" borderId="4" xfId="0" applyFont="1" applyBorder="1" applyAlignment="1" applyProtection="1">
      <alignment horizontal="center" vertical="center" wrapText="1"/>
      <protection locked="0"/>
    </xf>
    <xf numFmtId="0" fontId="0" fillId="0" borderId="0" xfId="0" applyAlignment="1">
      <alignment horizontal="center"/>
    </xf>
    <xf numFmtId="0" fontId="6" fillId="40" borderId="51" xfId="0" applyFont="1" applyFill="1" applyBorder="1" applyAlignment="1">
      <alignment horizontal="center" vertical="top"/>
    </xf>
    <xf numFmtId="0" fontId="1" fillId="32" borderId="51" xfId="0" applyFont="1" applyFill="1" applyBorder="1" applyAlignment="1">
      <alignment horizontal="center" vertical="top"/>
    </xf>
    <xf numFmtId="0" fontId="6" fillId="31" borderId="5" xfId="0" applyFont="1" applyFill="1" applyBorder="1" applyAlignment="1">
      <alignment horizontal="center" vertical="top" wrapText="1"/>
    </xf>
    <xf numFmtId="0" fontId="17" fillId="9" borderId="5" xfId="0" applyFont="1" applyFill="1" applyBorder="1" applyAlignment="1">
      <alignment horizontal="center" vertical="top" wrapText="1"/>
    </xf>
    <xf numFmtId="0" fontId="6" fillId="40" borderId="51" xfId="0" applyFont="1" applyFill="1" applyBorder="1" applyAlignment="1">
      <alignment horizontal="center" vertical="top" wrapText="1"/>
    </xf>
    <xf numFmtId="3" fontId="1" fillId="32" borderId="51" xfId="0" applyNumberFormat="1" applyFont="1" applyFill="1" applyBorder="1" applyAlignment="1">
      <alignment horizontal="center" vertical="top" wrapText="1"/>
    </xf>
    <xf numFmtId="0" fontId="1" fillId="32" borderId="51" xfId="0" applyFont="1" applyFill="1" applyBorder="1" applyAlignment="1">
      <alignment horizontal="center" vertical="top" wrapText="1"/>
    </xf>
    <xf numFmtId="0" fontId="1" fillId="0" borderId="0" xfId="0" applyFont="1" applyAlignment="1">
      <alignment horizontal="center" vertical="center" wrapText="1"/>
    </xf>
    <xf numFmtId="0" fontId="1" fillId="0" borderId="4" xfId="0" applyFont="1" applyBorder="1" applyAlignment="1" applyProtection="1">
      <alignment vertical="top" wrapText="1"/>
      <protection locked="0"/>
    </xf>
    <xf numFmtId="0" fontId="1" fillId="37" borderId="0" xfId="0" applyFont="1" applyFill="1" applyAlignment="1">
      <alignment vertical="top" wrapText="1"/>
    </xf>
    <xf numFmtId="164" fontId="2" fillId="37" borderId="0" xfId="0" applyNumberFormat="1" applyFont="1" applyFill="1" applyAlignment="1">
      <alignment vertical="top" wrapText="1"/>
    </xf>
    <xf numFmtId="0" fontId="2" fillId="37" borderId="0" xfId="0" applyFont="1" applyFill="1" applyAlignment="1">
      <alignment vertical="top" wrapText="1"/>
    </xf>
    <xf numFmtId="0" fontId="2" fillId="38" borderId="41" xfId="0" applyFont="1" applyFill="1" applyBorder="1" applyAlignment="1">
      <alignment vertical="top" wrapText="1"/>
    </xf>
    <xf numFmtId="164" fontId="2" fillId="38" borderId="41" xfId="0" applyNumberFormat="1" applyFont="1" applyFill="1" applyBorder="1" applyAlignment="1">
      <alignment vertical="top" wrapText="1"/>
    </xf>
    <xf numFmtId="0" fontId="1" fillId="34" borderId="40" xfId="0" applyFont="1" applyFill="1" applyBorder="1" applyAlignment="1">
      <alignment vertical="top" wrapText="1"/>
    </xf>
    <xf numFmtId="164" fontId="2" fillId="34" borderId="40" xfId="0" applyNumberFormat="1" applyFont="1" applyFill="1" applyBorder="1" applyAlignment="1">
      <alignment vertical="top" wrapText="1"/>
    </xf>
    <xf numFmtId="0" fontId="2" fillId="34" borderId="40" xfId="0" applyFont="1" applyFill="1" applyBorder="1" applyAlignment="1">
      <alignment vertical="top" wrapText="1"/>
    </xf>
    <xf numFmtId="0" fontId="2" fillId="2" borderId="41" xfId="0" applyFont="1" applyFill="1" applyBorder="1" applyAlignment="1">
      <alignment vertical="top" wrapText="1"/>
    </xf>
    <xf numFmtId="164" fontId="2" fillId="2" borderId="41" xfId="0" applyNumberFormat="1" applyFont="1" applyFill="1" applyBorder="1" applyAlignment="1">
      <alignment vertical="top" wrapText="1"/>
    </xf>
    <xf numFmtId="0" fontId="1" fillId="37" borderId="40" xfId="0" applyFont="1" applyFill="1" applyBorder="1" applyAlignment="1">
      <alignment vertical="top" wrapText="1"/>
    </xf>
    <xf numFmtId="164" fontId="2" fillId="37" borderId="40" xfId="0" applyNumberFormat="1" applyFont="1" applyFill="1" applyBorder="1" applyAlignment="1">
      <alignment vertical="top" wrapText="1"/>
    </xf>
    <xf numFmtId="0" fontId="2" fillId="37" borderId="40" xfId="0" applyFont="1" applyFill="1" applyBorder="1" applyAlignment="1">
      <alignment vertical="top" wrapText="1"/>
    </xf>
    <xf numFmtId="0" fontId="6" fillId="31" borderId="0" xfId="0" applyFont="1" applyFill="1" applyAlignment="1">
      <alignment horizontal="center" vertical="center"/>
    </xf>
    <xf numFmtId="0" fontId="6" fillId="31" borderId="42" xfId="0" applyFont="1" applyFill="1" applyBorder="1"/>
    <xf numFmtId="0" fontId="37" fillId="37" borderId="42" xfId="0" applyFont="1" applyFill="1" applyBorder="1"/>
    <xf numFmtId="164" fontId="27" fillId="37" borderId="42" xfId="0" applyNumberFormat="1" applyFont="1" applyFill="1" applyBorder="1"/>
    <xf numFmtId="0" fontId="27" fillId="37" borderId="42" xfId="0" applyFont="1" applyFill="1" applyBorder="1"/>
    <xf numFmtId="0" fontId="27" fillId="38" borderId="41" xfId="0" applyFont="1" applyFill="1" applyBorder="1"/>
    <xf numFmtId="164" fontId="27" fillId="38" borderId="41" xfId="0" applyNumberFormat="1" applyFont="1" applyFill="1" applyBorder="1"/>
    <xf numFmtId="0" fontId="6" fillId="31" borderId="41" xfId="0" applyFont="1" applyFill="1" applyBorder="1"/>
    <xf numFmtId="0" fontId="37" fillId="34" borderId="41" xfId="0" applyFont="1" applyFill="1" applyBorder="1"/>
    <xf numFmtId="164" fontId="27" fillId="34" borderId="41" xfId="0" applyNumberFormat="1" applyFont="1" applyFill="1" applyBorder="1"/>
    <xf numFmtId="0" fontId="27" fillId="34" borderId="41" xfId="0" applyFont="1" applyFill="1" applyBorder="1"/>
    <xf numFmtId="0" fontId="27" fillId="2" borderId="41" xfId="0" applyFont="1" applyFill="1" applyBorder="1"/>
    <xf numFmtId="164" fontId="27" fillId="2" borderId="41" xfId="0" applyNumberFormat="1" applyFont="1" applyFill="1" applyBorder="1"/>
    <xf numFmtId="0" fontId="37" fillId="37" borderId="41" xfId="0" applyFont="1" applyFill="1" applyBorder="1"/>
    <xf numFmtId="164" fontId="27" fillId="37" borderId="41" xfId="0" applyNumberFormat="1" applyFont="1" applyFill="1" applyBorder="1"/>
    <xf numFmtId="0" fontId="27" fillId="37" borderId="41" xfId="0" applyFont="1" applyFill="1" applyBorder="1"/>
    <xf numFmtId="0" fontId="6" fillId="37" borderId="0" xfId="0" applyFont="1" applyFill="1"/>
    <xf numFmtId="0" fontId="37" fillId="37" borderId="0" xfId="0" applyFont="1" applyFill="1"/>
    <xf numFmtId="164" fontId="27" fillId="37" borderId="0" xfId="0" applyNumberFormat="1" applyFont="1" applyFill="1"/>
    <xf numFmtId="0" fontId="27" fillId="37" borderId="0" xfId="0" applyFont="1" applyFill="1"/>
    <xf numFmtId="0" fontId="27" fillId="38" borderId="0" xfId="0" applyFont="1" applyFill="1"/>
    <xf numFmtId="164" fontId="27" fillId="38" borderId="0" xfId="0" applyNumberFormat="1" applyFont="1" applyFill="1"/>
    <xf numFmtId="0" fontId="6" fillId="31" borderId="0" xfId="0" applyFont="1" applyFill="1"/>
    <xf numFmtId="0" fontId="37" fillId="34" borderId="0" xfId="0" applyFont="1" applyFill="1"/>
    <xf numFmtId="164" fontId="27" fillId="34" borderId="0" xfId="0" applyNumberFormat="1" applyFont="1" applyFill="1"/>
    <xf numFmtId="0" fontId="27" fillId="34" borderId="0" xfId="0" applyFont="1" applyFill="1"/>
    <xf numFmtId="0" fontId="27" fillId="2" borderId="0" xfId="0" applyFont="1" applyFill="1"/>
    <xf numFmtId="164" fontId="27" fillId="2" borderId="0" xfId="0" applyNumberFormat="1" applyFont="1" applyFill="1"/>
    <xf numFmtId="164" fontId="27" fillId="0" borderId="0" xfId="0" applyNumberFormat="1" applyFont="1"/>
    <xf numFmtId="0" fontId="7" fillId="31" borderId="6" xfId="0" applyFont="1" applyFill="1" applyBorder="1" applyAlignment="1">
      <alignment horizontal="center" vertical="top" wrapText="1"/>
    </xf>
    <xf numFmtId="0" fontId="1" fillId="9" borderId="1" xfId="0" applyFont="1" applyFill="1" applyBorder="1" applyAlignment="1">
      <alignment vertical="top" wrapText="1"/>
    </xf>
    <xf numFmtId="22" fontId="59" fillId="0" borderId="0" xfId="0" applyNumberFormat="1" applyFont="1" applyAlignment="1">
      <alignment wrapText="1"/>
    </xf>
    <xf numFmtId="0" fontId="60" fillId="0" borderId="0" xfId="0" applyFont="1"/>
    <xf numFmtId="16" fontId="0" fillId="0" borderId="0" xfId="0" applyNumberFormat="1" applyAlignment="1">
      <alignment horizontal="center" vertical="center" wrapText="1"/>
    </xf>
    <xf numFmtId="0" fontId="5" fillId="0" borderId="3" xfId="0" applyFont="1" applyBorder="1" applyAlignment="1">
      <alignment vertical="top" wrapText="1"/>
    </xf>
    <xf numFmtId="164" fontId="5" fillId="0" borderId="3" xfId="0" applyNumberFormat="1" applyFont="1" applyBorder="1" applyAlignment="1">
      <alignment horizontal="center" vertical="center" wrapText="1"/>
    </xf>
    <xf numFmtId="0" fontId="5" fillId="0" borderId="3" xfId="0" applyFont="1" applyBorder="1" applyAlignment="1">
      <alignment horizontal="center" vertical="top" wrapText="1"/>
    </xf>
    <xf numFmtId="164" fontId="5" fillId="0" borderId="3" xfId="0" applyNumberFormat="1" applyFont="1" applyBorder="1" applyAlignment="1">
      <alignment vertical="top" wrapText="1"/>
    </xf>
    <xf numFmtId="0" fontId="5" fillId="0" borderId="3" xfId="0" applyFont="1" applyBorder="1" applyAlignment="1">
      <alignment horizontal="left" vertical="top" wrapText="1"/>
    </xf>
    <xf numFmtId="0" fontId="5" fillId="0" borderId="3" xfId="0" applyFont="1" applyBorder="1" applyAlignment="1">
      <alignment horizontal="center" vertical="center" wrapText="1"/>
    </xf>
    <xf numFmtId="167" fontId="0" fillId="0" borderId="0" xfId="0" applyNumberFormat="1"/>
    <xf numFmtId="1" fontId="0" fillId="0" borderId="0" xfId="0" applyNumberFormat="1"/>
    <xf numFmtId="165" fontId="0" fillId="0" borderId="0" xfId="0" applyNumberFormat="1"/>
    <xf numFmtId="0" fontId="19" fillId="15" borderId="0" xfId="1"/>
    <xf numFmtId="0" fontId="64" fillId="42" borderId="0" xfId="4"/>
    <xf numFmtId="0" fontId="63" fillId="41" borderId="0" xfId="3"/>
    <xf numFmtId="0" fontId="65" fillId="43" borderId="0" xfId="2" applyFont="1" applyFill="1" applyAlignment="1">
      <alignment vertical="center"/>
    </xf>
    <xf numFmtId="0" fontId="66" fillId="43" borderId="0" xfId="2" applyFont="1" applyFill="1"/>
    <xf numFmtId="167" fontId="66" fillId="43" borderId="0" xfId="2" applyNumberFormat="1" applyFont="1" applyFill="1"/>
    <xf numFmtId="0" fontId="67" fillId="44" borderId="0" xfId="2" applyFont="1" applyFill="1" applyAlignment="1">
      <alignment horizontal="center" vertical="center"/>
    </xf>
    <xf numFmtId="0" fontId="67" fillId="0" borderId="0" xfId="2" applyFont="1"/>
    <xf numFmtId="167" fontId="67" fillId="0" borderId="0" xfId="2" applyNumberFormat="1" applyFont="1"/>
    <xf numFmtId="0" fontId="68" fillId="0" borderId="0" xfId="2" applyFont="1" applyAlignment="1">
      <alignment vertical="center" wrapText="1"/>
    </xf>
    <xf numFmtId="0" fontId="20" fillId="0" borderId="0" xfId="2"/>
    <xf numFmtId="0" fontId="69" fillId="0" borderId="0" xfId="2" applyFont="1" applyAlignment="1">
      <alignment horizontal="center"/>
    </xf>
    <xf numFmtId="0" fontId="69" fillId="0" borderId="0" xfId="2" applyFont="1"/>
    <xf numFmtId="167" fontId="68" fillId="0" borderId="0" xfId="2" applyNumberFormat="1" applyFont="1" applyAlignment="1">
      <alignment vertical="center" wrapText="1"/>
    </xf>
    <xf numFmtId="167" fontId="69" fillId="0" borderId="0" xfId="2" applyNumberFormat="1" applyFont="1"/>
    <xf numFmtId="0" fontId="68" fillId="0" borderId="0" xfId="2" applyFont="1"/>
    <xf numFmtId="167" fontId="68" fillId="0" borderId="0" xfId="2" applyNumberFormat="1" applyFont="1"/>
    <xf numFmtId="0" fontId="33" fillId="45" borderId="0" xfId="2" applyFont="1" applyFill="1" applyAlignment="1">
      <alignment vertical="center" wrapText="1"/>
    </xf>
    <xf numFmtId="0" fontId="33" fillId="45" borderId="0" xfId="2" applyFont="1" applyFill="1" applyAlignment="1">
      <alignment horizontal="center" vertical="center" wrapText="1"/>
    </xf>
    <xf numFmtId="167" fontId="33" fillId="45" borderId="0" xfId="2" applyNumberFormat="1" applyFont="1" applyFill="1" applyAlignment="1">
      <alignment vertical="center" wrapText="1"/>
    </xf>
    <xf numFmtId="0" fontId="20" fillId="0" borderId="0" xfId="2" applyAlignment="1">
      <alignment vertical="center"/>
    </xf>
    <xf numFmtId="0" fontId="72" fillId="0" borderId="0" xfId="2" applyFont="1" applyAlignment="1">
      <alignment vertical="center"/>
    </xf>
    <xf numFmtId="0" fontId="72" fillId="0" borderId="0" xfId="2" applyFont="1" applyAlignment="1">
      <alignment vertical="center" wrapText="1"/>
    </xf>
    <xf numFmtId="0" fontId="72" fillId="0" borderId="0" xfId="2" applyFont="1" applyAlignment="1">
      <alignment horizontal="center" vertical="center"/>
    </xf>
    <xf numFmtId="167" fontId="72" fillId="0" borderId="0" xfId="2" applyNumberFormat="1" applyFont="1" applyAlignment="1">
      <alignment vertical="center"/>
    </xf>
    <xf numFmtId="165" fontId="72" fillId="0" borderId="0" xfId="2" applyNumberFormat="1" applyFont="1" applyAlignment="1">
      <alignment vertical="center"/>
    </xf>
    <xf numFmtId="164" fontId="72" fillId="46" borderId="0" xfId="2" applyNumberFormat="1" applyFont="1" applyFill="1" applyAlignment="1">
      <alignment vertical="center"/>
    </xf>
    <xf numFmtId="0" fontId="73" fillId="0" borderId="0" xfId="0" applyFont="1" applyAlignment="1">
      <alignment vertical="center"/>
    </xf>
    <xf numFmtId="0" fontId="72" fillId="46" borderId="0" xfId="2" applyFont="1" applyFill="1" applyAlignment="1">
      <alignment vertical="center"/>
    </xf>
    <xf numFmtId="0" fontId="70" fillId="0" borderId="0" xfId="0" applyFont="1" applyAlignment="1">
      <alignment vertical="center"/>
    </xf>
    <xf numFmtId="0" fontId="72" fillId="0" borderId="0" xfId="2" applyFont="1" applyAlignment="1">
      <alignment wrapText="1"/>
    </xf>
    <xf numFmtId="0" fontId="74" fillId="0" borderId="0" xfId="0" applyFont="1" applyAlignment="1">
      <alignment horizontal="left" vertical="center" wrapText="1"/>
    </xf>
    <xf numFmtId="0" fontId="68" fillId="0" borderId="0" xfId="2" applyFont="1" applyAlignment="1">
      <alignment horizontal="center" vertical="center"/>
    </xf>
    <xf numFmtId="0" fontId="72" fillId="0" borderId="0" xfId="2" applyFont="1" applyAlignment="1">
      <alignment horizontal="left" vertical="center" wrapText="1"/>
    </xf>
    <xf numFmtId="0" fontId="72" fillId="0" borderId="0" xfId="2" applyFont="1" applyAlignment="1">
      <alignment horizontal="center" vertical="center" wrapText="1"/>
    </xf>
    <xf numFmtId="0" fontId="68" fillId="0" borderId="0" xfId="2" applyFont="1" applyAlignment="1">
      <alignment wrapText="1"/>
    </xf>
    <xf numFmtId="0" fontId="2" fillId="0" borderId="4" xfId="0" applyFont="1" applyBorder="1" applyAlignment="1">
      <alignment horizontal="left" vertical="center" wrapText="1"/>
    </xf>
    <xf numFmtId="0" fontId="20" fillId="0" borderId="0" xfId="2" applyAlignment="1">
      <alignment horizontal="left" vertical="center"/>
    </xf>
    <xf numFmtId="165" fontId="68" fillId="0" borderId="0" xfId="2" applyNumberFormat="1" applyFont="1"/>
    <xf numFmtId="0" fontId="68" fillId="46" borderId="0" xfId="2" applyFont="1" applyFill="1"/>
    <xf numFmtId="164" fontId="68" fillId="46" borderId="0" xfId="2" applyNumberFormat="1" applyFont="1" applyFill="1"/>
    <xf numFmtId="0" fontId="71" fillId="47" borderId="0" xfId="2" applyFont="1" applyFill="1" applyAlignment="1">
      <alignment wrapText="1"/>
    </xf>
    <xf numFmtId="167" fontId="71" fillId="47" borderId="0" xfId="2" applyNumberFormat="1" applyFont="1" applyFill="1" applyAlignment="1">
      <alignment wrapText="1"/>
    </xf>
    <xf numFmtId="165" fontId="71" fillId="47" borderId="0" xfId="2" applyNumberFormat="1" applyFont="1" applyFill="1" applyAlignment="1">
      <alignment wrapText="1"/>
    </xf>
    <xf numFmtId="167" fontId="20" fillId="0" borderId="0" xfId="2" applyNumberFormat="1"/>
    <xf numFmtId="165" fontId="20" fillId="0" borderId="0" xfId="2" applyNumberFormat="1"/>
    <xf numFmtId="167" fontId="72" fillId="0" borderId="0" xfId="2" applyNumberFormat="1" applyFont="1" applyAlignment="1">
      <alignment horizontal="center" vertical="center"/>
    </xf>
    <xf numFmtId="167" fontId="68" fillId="0" borderId="0" xfId="2" applyNumberFormat="1" applyFont="1" applyAlignment="1">
      <alignment horizontal="center" vertical="center"/>
    </xf>
    <xf numFmtId="0" fontId="66" fillId="43" borderId="0" xfId="2" applyFont="1" applyFill="1" applyAlignment="1">
      <alignment horizontal="center" vertical="center"/>
    </xf>
    <xf numFmtId="0" fontId="67" fillId="0" borderId="0" xfId="2" applyFont="1" applyAlignment="1">
      <alignment horizontal="center" vertical="center"/>
    </xf>
    <xf numFmtId="0" fontId="69" fillId="0" borderId="0" xfId="2" applyFont="1" applyAlignment="1">
      <alignment horizontal="center" vertical="center"/>
    </xf>
    <xf numFmtId="167" fontId="71" fillId="47" borderId="0" xfId="2" applyNumberFormat="1" applyFont="1" applyFill="1" applyAlignment="1">
      <alignment horizontal="center" vertical="center" wrapText="1"/>
    </xf>
    <xf numFmtId="167" fontId="20" fillId="0" borderId="0" xfId="2" applyNumberFormat="1" applyAlignment="1">
      <alignment horizontal="center" vertical="center"/>
    </xf>
    <xf numFmtId="0" fontId="74" fillId="0" borderId="0" xfId="0" applyFont="1" applyAlignment="1">
      <alignment vertical="center" wrapText="1"/>
    </xf>
    <xf numFmtId="164" fontId="72" fillId="46" borderId="0" xfId="2" applyNumberFormat="1" applyFont="1" applyFill="1" applyAlignment="1">
      <alignment horizontal="left" vertical="center"/>
    </xf>
    <xf numFmtId="0" fontId="72" fillId="0" borderId="0" xfId="2" applyFont="1" applyAlignment="1">
      <alignment horizontal="left" vertical="center"/>
    </xf>
    <xf numFmtId="167" fontId="72" fillId="0" borderId="0" xfId="2" applyNumberFormat="1" applyFont="1" applyAlignment="1">
      <alignment horizontal="left" vertical="center"/>
    </xf>
    <xf numFmtId="165" fontId="72" fillId="0" borderId="0" xfId="2" applyNumberFormat="1" applyFont="1" applyAlignment="1">
      <alignment horizontal="left" vertical="center"/>
    </xf>
    <xf numFmtId="0" fontId="72" fillId="46" borderId="0" xfId="2" applyFont="1" applyFill="1" applyAlignment="1">
      <alignment horizontal="left" vertical="center"/>
    </xf>
    <xf numFmtId="167" fontId="72" fillId="0" borderId="0" xfId="2" applyNumberFormat="1" applyFont="1"/>
    <xf numFmtId="165" fontId="72" fillId="0" borderId="0" xfId="2" applyNumberFormat="1" applyFont="1"/>
    <xf numFmtId="0" fontId="72" fillId="46" borderId="0" xfId="2" applyFont="1" applyFill="1"/>
    <xf numFmtId="0" fontId="72" fillId="0" borderId="0" xfId="2" applyFont="1"/>
    <xf numFmtId="164" fontId="72" fillId="46" borderId="0" xfId="2" applyNumberFormat="1" applyFont="1" applyFill="1"/>
    <xf numFmtId="0" fontId="71" fillId="47" borderId="0" xfId="2" applyFont="1" applyFill="1" applyAlignment="1">
      <alignment horizontal="center" vertical="center" wrapText="1"/>
    </xf>
    <xf numFmtId="0" fontId="20" fillId="0" borderId="0" xfId="2"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vertical="top" wrapText="1"/>
    </xf>
    <xf numFmtId="164" fontId="5" fillId="0" borderId="2" xfId="0" applyNumberFormat="1" applyFont="1" applyBorder="1" applyAlignment="1">
      <alignment horizontal="center" vertical="top" wrapText="1"/>
    </xf>
    <xf numFmtId="164" fontId="5" fillId="0" borderId="2" xfId="0" applyNumberFormat="1" applyFont="1" applyBorder="1" applyAlignment="1">
      <alignment vertical="top" wrapText="1"/>
    </xf>
    <xf numFmtId="164" fontId="5" fillId="0" borderId="3" xfId="0" applyNumberFormat="1" applyFont="1" applyBorder="1" applyAlignment="1">
      <alignment horizontal="center" vertical="top" wrapText="1"/>
    </xf>
    <xf numFmtId="0" fontId="53" fillId="0" borderId="0" xfId="0" applyFont="1" applyAlignment="1">
      <alignment vertical="center" wrapText="1"/>
    </xf>
    <xf numFmtId="0" fontId="51" fillId="0" borderId="0" xfId="0" applyFont="1" applyAlignment="1">
      <alignment wrapText="1"/>
    </xf>
    <xf numFmtId="164" fontId="5" fillId="0" borderId="2" xfId="0" applyNumberFormat="1" applyFont="1" applyBorder="1" applyAlignment="1">
      <alignment horizontal="center" vertical="center" wrapText="1"/>
    </xf>
    <xf numFmtId="0" fontId="2" fillId="0" borderId="4" xfId="0" applyFont="1" applyBorder="1" applyAlignment="1">
      <alignment vertical="center" wrapText="1"/>
    </xf>
    <xf numFmtId="0" fontId="4" fillId="3" borderId="0" xfId="0" applyFont="1" applyFill="1" applyAlignment="1">
      <alignment horizontal="center" vertical="center"/>
    </xf>
    <xf numFmtId="0" fontId="0" fillId="0" borderId="0" xfId="0"/>
    <xf numFmtId="0" fontId="0" fillId="0" borderId="0" xfId="0" applyAlignment="1">
      <alignment wrapText="1"/>
    </xf>
    <xf numFmtId="0" fontId="10" fillId="10" borderId="13" xfId="0" applyFont="1" applyFill="1" applyBorder="1" applyAlignment="1">
      <alignment horizontal="center" vertical="center" wrapText="1"/>
    </xf>
    <xf numFmtId="0" fontId="0" fillId="0" borderId="13" xfId="0" applyBorder="1"/>
    <xf numFmtId="3" fontId="12" fillId="11" borderId="64" xfId="0" applyNumberFormat="1" applyFont="1" applyFill="1" applyBorder="1" applyAlignment="1">
      <alignment horizontal="center" vertical="center"/>
    </xf>
    <xf numFmtId="0" fontId="0" fillId="0" borderId="9" xfId="0" applyBorder="1"/>
    <xf numFmtId="0" fontId="0" fillId="0" borderId="16" xfId="0" applyBorder="1"/>
    <xf numFmtId="0" fontId="0" fillId="0" borderId="12" xfId="0" applyBorder="1"/>
    <xf numFmtId="3" fontId="12" fillId="11" borderId="7" xfId="0" applyNumberFormat="1" applyFont="1" applyFill="1" applyBorder="1" applyAlignment="1">
      <alignment horizontal="center" vertical="center"/>
    </xf>
    <xf numFmtId="0" fontId="0" fillId="0" borderId="7" xfId="0" applyBorder="1"/>
    <xf numFmtId="0" fontId="0" fillId="0" borderId="2" xfId="0" applyBorder="1"/>
    <xf numFmtId="0" fontId="15" fillId="13" borderId="60" xfId="0" applyFont="1" applyFill="1" applyBorder="1" applyAlignment="1">
      <alignment horizontal="left" vertical="center" wrapText="1" indent="1"/>
    </xf>
    <xf numFmtId="0" fontId="0" fillId="0" borderId="24" xfId="0" applyBorder="1"/>
    <xf numFmtId="0" fontId="0" fillId="0" borderId="25" xfId="0" applyBorder="1"/>
    <xf numFmtId="3" fontId="12" fillId="11" borderId="17" xfId="0" applyNumberFormat="1" applyFont="1" applyFill="1" applyBorder="1" applyAlignment="1">
      <alignment horizontal="center" vertical="center"/>
    </xf>
    <xf numFmtId="0" fontId="0" fillId="0" borderId="57" xfId="0" applyBorder="1"/>
    <xf numFmtId="0" fontId="0" fillId="0" borderId="58" xfId="0" applyBorder="1"/>
    <xf numFmtId="0" fontId="10" fillId="10" borderId="10" xfId="0" applyFont="1" applyFill="1" applyBorder="1" applyAlignment="1">
      <alignment horizontal="center" vertical="center" wrapText="1"/>
    </xf>
    <xf numFmtId="0" fontId="0" fillId="0" borderId="59" xfId="0" applyBorder="1"/>
    <xf numFmtId="0" fontId="11" fillId="10" borderId="11" xfId="0" applyFont="1" applyFill="1" applyBorder="1" applyAlignment="1">
      <alignment horizontal="center" vertical="center"/>
    </xf>
    <xf numFmtId="0" fontId="0" fillId="0" borderId="11" xfId="0" applyBorder="1"/>
    <xf numFmtId="0" fontId="10" fillId="10" borderId="15" xfId="0" applyFont="1" applyFill="1" applyBorder="1" applyAlignment="1">
      <alignment horizontal="center" vertical="center" wrapText="1"/>
    </xf>
    <xf numFmtId="0" fontId="15" fillId="13" borderId="62" xfId="0" applyFont="1" applyFill="1" applyBorder="1" applyAlignment="1">
      <alignment horizontal="left" vertical="center" wrapText="1" indent="1"/>
    </xf>
    <xf numFmtId="0" fontId="0" fillId="0" borderId="22" xfId="0" applyBorder="1"/>
    <xf numFmtId="0" fontId="10" fillId="10" borderId="53" xfId="0" applyFont="1" applyFill="1" applyBorder="1" applyAlignment="1">
      <alignment horizontal="center" vertical="center" wrapText="1"/>
    </xf>
    <xf numFmtId="0" fontId="8" fillId="4" borderId="0" xfId="0" applyFont="1" applyFill="1" applyAlignment="1">
      <alignment horizontal="left" vertical="center" wrapText="1"/>
    </xf>
    <xf numFmtId="0" fontId="15" fillId="2" borderId="63" xfId="0" applyFont="1" applyFill="1" applyBorder="1" applyAlignment="1">
      <alignment horizontal="left" vertical="center" wrapText="1" indent="1"/>
    </xf>
    <xf numFmtId="0" fontId="0" fillId="0" borderId="3" xfId="0" applyBorder="1"/>
    <xf numFmtId="0" fontId="0" fillId="0" borderId="23" xfId="0" applyBorder="1"/>
    <xf numFmtId="0" fontId="14" fillId="12" borderId="61" xfId="0" applyFont="1" applyFill="1" applyBorder="1" applyAlignment="1">
      <alignment horizontal="left" vertical="center"/>
    </xf>
    <xf numFmtId="0" fontId="0" fillId="0" borderId="20" xfId="0" applyBorder="1"/>
    <xf numFmtId="0" fontId="0" fillId="0" borderId="21" xfId="0" applyBorder="1"/>
    <xf numFmtId="0" fontId="13" fillId="11" borderId="18" xfId="0" applyFont="1" applyFill="1" applyBorder="1" applyAlignment="1">
      <alignment horizontal="left" vertical="center"/>
    </xf>
    <xf numFmtId="0" fontId="0" fillId="0" borderId="18" xfId="0" applyBorder="1"/>
    <xf numFmtId="3" fontId="12" fillId="11" borderId="14" xfId="0" applyNumberFormat="1" applyFont="1" applyFill="1" applyBorder="1" applyAlignment="1">
      <alignment horizontal="center" vertical="center"/>
    </xf>
    <xf numFmtId="0" fontId="0" fillId="0" borderId="14" xfId="0" applyBorder="1"/>
    <xf numFmtId="0" fontId="15" fillId="13" borderId="63" xfId="0" applyFont="1" applyFill="1" applyBorder="1" applyAlignment="1">
      <alignment horizontal="left" vertical="center" wrapText="1" indent="1"/>
    </xf>
    <xf numFmtId="3" fontId="12" fillId="11" borderId="8" xfId="0" applyNumberFormat="1" applyFont="1" applyFill="1" applyBorder="1" applyAlignment="1">
      <alignment horizontal="center" vertical="center"/>
    </xf>
    <xf numFmtId="0" fontId="0" fillId="0" borderId="8" xfId="0" applyBorder="1"/>
    <xf numFmtId="0" fontId="46" fillId="11" borderId="9" xfId="0" applyFont="1" applyFill="1" applyBorder="1" applyAlignment="1">
      <alignment horizontal="center" vertical="center"/>
    </xf>
    <xf numFmtId="3" fontId="12" fillId="11" borderId="16" xfId="0" applyNumberFormat="1" applyFont="1" applyFill="1" applyBorder="1" applyAlignment="1">
      <alignment horizontal="center" vertical="center"/>
    </xf>
    <xf numFmtId="0" fontId="37" fillId="35" borderId="55" xfId="0" applyFont="1" applyFill="1" applyBorder="1" applyAlignment="1">
      <alignment horizontal="left" vertical="top" wrapText="1"/>
    </xf>
    <xf numFmtId="0" fontId="0" fillId="0" borderId="42" xfId="0" applyBorder="1"/>
    <xf numFmtId="0" fontId="0" fillId="0" borderId="48" xfId="0" applyBorder="1"/>
    <xf numFmtId="0" fontId="36" fillId="34" borderId="55" xfId="0" applyFont="1" applyFill="1" applyBorder="1" applyAlignment="1">
      <alignment horizontal="center" vertical="center"/>
    </xf>
    <xf numFmtId="0" fontId="37" fillId="35" borderId="54" xfId="0" applyFont="1" applyFill="1" applyBorder="1" applyAlignment="1">
      <alignment horizontal="left" vertical="top" wrapText="1"/>
    </xf>
    <xf numFmtId="0" fontId="0" fillId="0" borderId="47" xfId="0" applyBorder="1"/>
    <xf numFmtId="1" fontId="35" fillId="34" borderId="54" xfId="0" applyNumberFormat="1" applyFont="1" applyFill="1" applyBorder="1" applyAlignment="1">
      <alignment horizontal="center" vertical="center"/>
    </xf>
    <xf numFmtId="0" fontId="34" fillId="34" borderId="56" xfId="0" applyFont="1" applyFill="1" applyBorder="1" applyAlignment="1">
      <alignment horizontal="center" vertical="center"/>
    </xf>
    <xf numFmtId="0" fontId="0" fillId="0" borderId="46" xfId="0" applyBorder="1"/>
    <xf numFmtId="0" fontId="6" fillId="33" borderId="54" xfId="0" applyFont="1" applyFill="1" applyBorder="1" applyAlignment="1">
      <alignment horizontal="left" vertical="top"/>
    </xf>
    <xf numFmtId="0" fontId="30" fillId="31" borderId="56" xfId="0" applyFont="1" applyFill="1" applyBorder="1"/>
    <xf numFmtId="0" fontId="0" fillId="0" borderId="40" xfId="0" applyBorder="1"/>
    <xf numFmtId="0" fontId="32" fillId="32" borderId="54" xfId="0" applyFont="1" applyFill="1" applyBorder="1"/>
    <xf numFmtId="0" fontId="31" fillId="0" borderId="54" xfId="0" applyFont="1" applyBorder="1" applyAlignment="1">
      <alignment wrapText="1"/>
    </xf>
    <xf numFmtId="0" fontId="33" fillId="33" borderId="54" xfId="0" applyFont="1" applyFill="1" applyBorder="1"/>
    <xf numFmtId="0" fontId="2" fillId="6" borderId="0" xfId="0" applyFont="1" applyFill="1" applyAlignment="1">
      <alignment vertical="top" wrapText="1"/>
    </xf>
    <xf numFmtId="0" fontId="17" fillId="3" borderId="0" xfId="0" applyFont="1" applyFill="1" applyAlignment="1">
      <alignment vertical="top"/>
    </xf>
    <xf numFmtId="0" fontId="16" fillId="0" borderId="0" xfId="0" applyFont="1"/>
    <xf numFmtId="0" fontId="1" fillId="4" borderId="0" xfId="0" applyFont="1" applyFill="1" applyAlignment="1">
      <alignment horizontal="center" vertical="top"/>
    </xf>
    <xf numFmtId="0" fontId="17" fillId="5" borderId="0" xfId="0" applyFont="1" applyFill="1" applyAlignment="1">
      <alignment horizontal="center" vertical="top"/>
    </xf>
    <xf numFmtId="0" fontId="17" fillId="3" borderId="0" xfId="0" applyFont="1" applyFill="1" applyAlignment="1">
      <alignment horizontal="left" vertical="top"/>
    </xf>
    <xf numFmtId="0" fontId="3" fillId="4" borderId="0" xfId="0" applyFont="1" applyFill="1" applyAlignment="1">
      <alignment vertical="top" wrapText="1"/>
    </xf>
    <xf numFmtId="0" fontId="4" fillId="3" borderId="0" xfId="0" applyFont="1" applyFill="1" applyAlignment="1">
      <alignment horizontal="left" vertical="center"/>
    </xf>
    <xf numFmtId="0" fontId="10" fillId="0" borderId="15" xfId="0" applyFont="1" applyBorder="1" applyAlignment="1">
      <alignment horizontal="center" vertical="center" wrapText="1"/>
    </xf>
    <xf numFmtId="3" fontId="12" fillId="0" borderId="7" xfId="0" applyNumberFormat="1" applyFont="1" applyBorder="1" applyAlignment="1">
      <alignment horizontal="center" vertical="center"/>
    </xf>
    <xf numFmtId="0" fontId="55" fillId="3" borderId="0" xfId="0" applyFont="1" applyFill="1" applyAlignment="1">
      <alignment horizontal="center" vertical="top" wrapText="1"/>
    </xf>
    <xf numFmtId="0" fontId="56" fillId="0" borderId="0" xfId="0" applyFont="1" applyAlignment="1">
      <alignment horizontal="center" wrapText="1"/>
    </xf>
    <xf numFmtId="0" fontId="1" fillId="4" borderId="52" xfId="0" applyFont="1" applyFill="1" applyBorder="1" applyAlignment="1">
      <alignment horizontal="center" vertical="top" wrapText="1"/>
    </xf>
    <xf numFmtId="0" fontId="0" fillId="0" borderId="52" xfId="0" applyBorder="1"/>
    <xf numFmtId="0" fontId="17" fillId="5" borderId="0" xfId="0" applyFont="1" applyFill="1" applyAlignment="1">
      <alignment horizontal="center" vertical="top" wrapText="1"/>
    </xf>
    <xf numFmtId="0" fontId="16" fillId="0" borderId="0" xfId="0" applyFont="1" applyAlignment="1">
      <alignment wrapText="1"/>
    </xf>
    <xf numFmtId="3" fontId="1" fillId="4" borderId="0" xfId="0" applyNumberFormat="1" applyFont="1" applyFill="1" applyAlignment="1">
      <alignment horizontal="center" vertical="top" wrapText="1"/>
    </xf>
    <xf numFmtId="0" fontId="17" fillId="3" borderId="0" xfId="0" applyFont="1" applyFill="1" applyAlignment="1">
      <alignment vertical="top" wrapText="1"/>
    </xf>
    <xf numFmtId="0" fontId="5" fillId="4" borderId="0" xfId="0" applyFont="1" applyFill="1" applyAlignment="1">
      <alignment horizontal="center" vertical="center" wrapText="1"/>
    </xf>
    <xf numFmtId="0" fontId="40"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0" fontId="4" fillId="3" borderId="0" xfId="0" applyFont="1" applyFill="1" applyAlignment="1">
      <alignment horizontal="center" vertical="center" wrapText="1"/>
    </xf>
    <xf numFmtId="0" fontId="3" fillId="4" borderId="0" xfId="0" applyFont="1" applyFill="1" applyAlignment="1">
      <alignment wrapText="1"/>
    </xf>
    <xf numFmtId="0" fontId="2" fillId="3" borderId="0" xfId="0" applyFont="1" applyFill="1" applyAlignment="1">
      <alignment wrapText="1"/>
    </xf>
    <xf numFmtId="0" fontId="57" fillId="2" borderId="0" xfId="0" applyFont="1" applyFill="1" applyAlignment="1">
      <alignment vertical="center"/>
    </xf>
    <xf numFmtId="0" fontId="58" fillId="0" borderId="0" xfId="0" applyFont="1"/>
    <xf numFmtId="0" fontId="18" fillId="3" borderId="0" xfId="0" applyFont="1" applyFill="1" applyAlignment="1">
      <alignment wrapText="1"/>
    </xf>
    <xf numFmtId="0" fontId="1" fillId="2" borderId="0" xfId="0" applyFont="1" applyFill="1" applyAlignment="1">
      <alignment vertical="center"/>
    </xf>
    <xf numFmtId="0" fontId="0" fillId="0" borderId="0" xfId="0" applyAlignment="1">
      <alignment horizontal="center" vertical="center"/>
    </xf>
    <xf numFmtId="0" fontId="5" fillId="4" borderId="0" xfId="0" applyFont="1" applyFill="1" applyAlignment="1">
      <alignment horizontal="left" vertical="center" wrapText="1"/>
    </xf>
    <xf numFmtId="0" fontId="28" fillId="32" borderId="50" xfId="0" applyFont="1" applyFill="1" applyBorder="1" applyAlignment="1">
      <alignment vertical="top" wrapText="1"/>
    </xf>
    <xf numFmtId="0" fontId="0" fillId="0" borderId="50" xfId="0" applyBorder="1"/>
    <xf numFmtId="165" fontId="0" fillId="0" borderId="0" xfId="0" applyNumberFormat="1" applyAlignment="1">
      <alignment horizontal="center"/>
    </xf>
    <xf numFmtId="0" fontId="1" fillId="9" borderId="0" xfId="0" applyFont="1" applyFill="1" applyAlignment="1">
      <alignment vertical="top"/>
    </xf>
    <xf numFmtId="0" fontId="29" fillId="31" borderId="0" xfId="0" applyFont="1" applyFill="1"/>
    <xf numFmtId="0" fontId="3" fillId="0" borderId="0" xfId="0" applyFont="1" applyAlignment="1">
      <alignment vertical="top"/>
    </xf>
    <xf numFmtId="0" fontId="32" fillId="32" borderId="0" xfId="0" applyFont="1" applyFill="1" applyAlignment="1">
      <alignment wrapText="1"/>
    </xf>
    <xf numFmtId="0" fontId="27" fillId="0" borderId="0" xfId="0" applyFont="1"/>
    <xf numFmtId="0" fontId="6" fillId="31" borderId="0" xfId="0" applyFont="1" applyFill="1" applyAlignment="1">
      <alignment wrapText="1"/>
    </xf>
    <xf numFmtId="0" fontId="28" fillId="36" borderId="0" xfId="0" applyFont="1" applyFill="1" applyAlignment="1">
      <alignment wrapText="1"/>
    </xf>
    <xf numFmtId="0" fontId="30" fillId="31" borderId="0" xfId="0" applyFont="1" applyFill="1"/>
    <xf numFmtId="0" fontId="6" fillId="31" borderId="0" xfId="0" applyFont="1" applyFill="1"/>
    <xf numFmtId="0" fontId="4" fillId="31" borderId="0" xfId="0" applyFont="1" applyFill="1" applyAlignment="1">
      <alignment horizontal="left" vertical="center"/>
    </xf>
    <xf numFmtId="0" fontId="5" fillId="32" borderId="0" xfId="0" applyFont="1" applyFill="1" applyAlignment="1">
      <alignment horizontal="left" vertical="center" wrapText="1"/>
    </xf>
  </cellXfs>
  <cellStyles count="5">
    <cellStyle name="Bad" xfId="1" builtinId="27"/>
    <cellStyle name="Good" xfId="3" builtinId="26"/>
    <cellStyle name="Neutral" xfId="4" builtinId="28"/>
    <cellStyle name="Normal" xfId="0" builtinId="0"/>
    <cellStyle name="Normal 2" xfId="2" xr:uid="{00000000-0005-0000-0000-000002000000}"/>
  </cellStyles>
  <dxfs count="267">
    <dxf>
      <fill>
        <patternFill patternType="solid">
          <fgColor indexed="64"/>
          <bgColor rgb="FFFFF2CC"/>
        </patternFill>
      </fill>
    </dxf>
    <dxf>
      <font>
        <b/>
      </font>
      <fill>
        <patternFill patternType="solid">
          <fgColor indexed="64"/>
          <bgColor rgb="FFFCE4D6"/>
        </patternFill>
      </fill>
    </dxf>
    <dxf>
      <font>
        <b/>
      </font>
      <fill>
        <patternFill patternType="solid">
          <fgColor indexed="64"/>
          <bgColor rgb="FFFCE4D6"/>
        </patternFill>
      </fill>
    </dxf>
    <dxf>
      <font>
        <b/>
      </font>
      <fill>
        <patternFill patternType="solid">
          <fgColor indexed="64"/>
          <bgColor rgb="FFF4CCCC"/>
        </patternFill>
      </fill>
    </dxf>
    <dxf>
      <fill>
        <patternFill patternType="solid">
          <fgColor indexed="64"/>
          <bgColor rgb="FFFFF2CC"/>
        </patternFill>
      </fill>
    </dxf>
    <dxf>
      <font>
        <b/>
      </font>
      <fill>
        <patternFill patternType="solid">
          <fgColor indexed="64"/>
          <bgColor rgb="FFFCE4D6"/>
        </patternFill>
      </fill>
    </dxf>
    <dxf>
      <font>
        <b/>
      </font>
      <fill>
        <patternFill patternType="solid">
          <fgColor indexed="64"/>
          <bgColor rgb="FFFCE4D6"/>
        </patternFill>
      </fill>
    </dxf>
    <dxf>
      <font>
        <b/>
      </font>
      <fill>
        <patternFill patternType="solid">
          <fgColor indexed="64"/>
          <bgColor rgb="FFF4CCCC"/>
        </patternFill>
      </fill>
    </dxf>
    <dxf>
      <fill>
        <patternFill patternType="solid">
          <fgColor indexed="64"/>
          <bgColor rgb="FFFFF2CC"/>
        </patternFill>
      </fill>
    </dxf>
    <dxf>
      <font>
        <b/>
      </font>
      <fill>
        <patternFill patternType="solid">
          <fgColor indexed="64"/>
          <bgColor rgb="FFFCE4D6"/>
        </patternFill>
      </fill>
    </dxf>
    <dxf>
      <font>
        <b/>
      </font>
      <fill>
        <patternFill patternType="solid">
          <fgColor indexed="64"/>
          <bgColor rgb="FFF4CCCC"/>
        </patternFill>
      </fill>
    </dxf>
    <dxf>
      <fill>
        <patternFill patternType="solid">
          <fgColor indexed="64"/>
          <bgColor rgb="FFFFF2CC"/>
        </patternFill>
      </fill>
    </dxf>
    <dxf>
      <font>
        <b/>
      </font>
      <fill>
        <patternFill patternType="solid">
          <fgColor indexed="64"/>
          <bgColor rgb="FFFCE4D6"/>
        </patternFill>
      </fill>
    </dxf>
    <dxf>
      <font>
        <b/>
      </font>
      <fill>
        <patternFill patternType="solid">
          <fgColor indexed="64"/>
          <bgColor rgb="FFF4CCCC"/>
        </patternFill>
      </fill>
    </dxf>
    <dxf>
      <font>
        <b/>
      </font>
      <fill>
        <patternFill patternType="solid">
          <fgColor indexed="64"/>
          <bgColor rgb="FFFCE4D6"/>
        </patternFill>
      </fill>
    </dxf>
    <dxf>
      <font>
        <b/>
      </font>
      <fill>
        <patternFill patternType="solid">
          <fgColor indexed="64"/>
          <bgColor rgb="FFF4CCCC"/>
        </patternFill>
      </fill>
    </dxf>
    <dxf>
      <fill>
        <patternFill>
          <bgColor rgb="FFFFC000"/>
        </patternFill>
      </fill>
    </dxf>
    <dxf>
      <font>
        <b/>
      </font>
    </dxf>
    <dxf>
      <font>
        <b/>
        <color rgb="FF000000"/>
      </font>
      <fill>
        <patternFill patternType="solid">
          <fgColor indexed="64"/>
          <bgColor rgb="FFED7D31"/>
        </patternFill>
      </fill>
    </dxf>
    <dxf>
      <font>
        <b/>
      </font>
    </dxf>
    <dxf>
      <font>
        <b/>
        <color rgb="FF9C0006"/>
      </font>
      <fill>
        <patternFill patternType="solid">
          <fgColor indexed="64"/>
          <bgColor rgb="FFF4CCCC"/>
        </patternFill>
      </fill>
      <border>
        <left style="thin">
          <color rgb="FFC00000"/>
        </left>
        <right style="thin">
          <color rgb="FFC00000"/>
        </right>
        <top style="thin">
          <color rgb="FFC00000"/>
        </top>
        <bottom style="thin">
          <color rgb="FFC00000"/>
        </bottom>
      </border>
    </dxf>
    <dxf>
      <fill>
        <patternFill patternType="solid">
          <fgColor indexed="64"/>
          <bgColor rgb="FFFFFFDD"/>
        </patternFill>
      </fill>
    </dxf>
    <dxf>
      <fill>
        <patternFill patternType="solid">
          <fgColor indexed="64"/>
          <bgColor theme="9" tint="0.59996337778862885"/>
        </patternFill>
      </fill>
    </dxf>
    <dxf>
      <fill>
        <patternFill patternType="solid">
          <fgColor indexed="64"/>
          <bgColor rgb="FFEA9999"/>
        </patternFill>
      </fill>
    </dxf>
    <dxf>
      <font>
        <color theme="0" tint="-0.34998626667073579"/>
      </font>
      <fill>
        <patternFill>
          <bgColor theme="0" tint="-0.14996795556505021"/>
        </patternFill>
      </fill>
    </dxf>
    <dxf>
      <font>
        <b/>
        <color rgb="FFA32222"/>
      </font>
      <fill>
        <patternFill patternType="solid">
          <bgColor rgb="FFFDE9E7"/>
        </patternFill>
      </fill>
    </dxf>
    <dxf>
      <fill>
        <patternFill>
          <bgColor theme="5" tint="0.39994506668294322"/>
        </patternFill>
      </fill>
    </dxf>
    <dxf>
      <fill>
        <patternFill>
          <bgColor rgb="FFFFFF00"/>
        </patternFill>
      </fill>
    </dxf>
    <dxf>
      <fill>
        <patternFill>
          <bgColor rgb="FF92D050"/>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b/>
        <color rgb="FF9C0006"/>
      </font>
      <fill>
        <patternFill patternType="solid">
          <bgColor rgb="FFF4CCCC"/>
        </patternFill>
      </fill>
    </dxf>
    <dxf>
      <font>
        <b/>
        <color rgb="FF9C0006"/>
      </font>
      <fill>
        <patternFill patternType="solid">
          <bgColor rgb="FFF4CCCC"/>
        </patternFill>
      </fill>
    </dxf>
    <dxf>
      <font>
        <color rgb="FF666666"/>
      </font>
      <fill>
        <patternFill patternType="solid">
          <bgColor rgb="FFE7E6E6"/>
        </patternFill>
      </fill>
    </dxf>
    <dxf>
      <font>
        <color rgb="FF274E13"/>
      </font>
      <fill>
        <patternFill patternType="solid">
          <bgColor rgb="FFD9EAD3"/>
        </patternFill>
      </fill>
    </dxf>
    <dxf>
      <font>
        <b/>
        <color rgb="FF9C0006"/>
      </font>
      <fill>
        <patternFill patternType="solid">
          <bgColor rgb="FFF4CCCC"/>
        </patternFill>
      </fill>
    </dxf>
    <dxf>
      <font>
        <b/>
        <color rgb="FF9C0006"/>
      </font>
      <fill>
        <patternFill patternType="solid">
          <bgColor rgb="FFF4CCCC"/>
        </patternFill>
      </fill>
    </dxf>
    <dxf>
      <font>
        <color rgb="FF666666"/>
      </font>
      <fill>
        <patternFill patternType="solid">
          <bgColor rgb="FFE7E6E6"/>
        </patternFill>
      </fill>
    </dxf>
    <dxf>
      <font>
        <color rgb="FF274E13"/>
      </font>
      <fill>
        <patternFill patternType="solid">
          <bgColor rgb="FFD9EAD3"/>
        </patternFill>
      </fill>
    </dxf>
    <dxf>
      <font>
        <b/>
      </font>
    </dxf>
    <dxf>
      <fill>
        <patternFill patternType="solid">
          <fgColor indexed="64"/>
          <bgColor rgb="FFFFFFDD"/>
        </patternFill>
      </fill>
    </dxf>
    <dxf>
      <fill>
        <patternFill patternType="solid">
          <fgColor indexed="64"/>
          <bgColor theme="9" tint="0.59996337778862885"/>
        </patternFill>
      </fill>
    </dxf>
    <dxf>
      <fill>
        <patternFill patternType="solid">
          <fgColor indexed="64"/>
          <bgColor rgb="FFEA9999"/>
        </patternFill>
      </fill>
    </dxf>
    <dxf>
      <font>
        <color rgb="FF000000"/>
      </font>
      <fill>
        <patternFill patternType="solid">
          <fgColor indexed="64"/>
          <bgColor rgb="FFFFFF66"/>
        </patternFill>
      </fill>
    </dxf>
    <dxf>
      <font>
        <b/>
        <color rgb="FF000000"/>
      </font>
      <fill>
        <patternFill patternType="solid">
          <fgColor indexed="64"/>
          <bgColor theme="9" tint="0.39994506668294322"/>
        </patternFill>
      </fill>
    </dxf>
    <dxf>
      <font>
        <b/>
        <color rgb="FFFFFFFF"/>
      </font>
      <fill>
        <patternFill patternType="solid">
          <fgColor indexed="64"/>
          <bgColor rgb="FFC00000"/>
        </patternFill>
      </fill>
    </dxf>
    <dxf>
      <font>
        <color rgb="FF000000"/>
      </font>
      <fill>
        <patternFill patternType="solid">
          <fgColor indexed="64"/>
          <bgColor rgb="FFD9EAD3"/>
        </patternFill>
      </fill>
    </dxf>
    <dxf>
      <font>
        <color rgb="FF000000"/>
      </font>
      <fill>
        <patternFill patternType="solid">
          <fgColor indexed="64"/>
          <bgColor rgb="FFFFFF66"/>
        </patternFill>
      </fill>
    </dxf>
    <dxf>
      <font>
        <b/>
        <color rgb="FF000000"/>
      </font>
      <fill>
        <patternFill patternType="solid">
          <fgColor indexed="64"/>
          <bgColor theme="9" tint="0.39994506668294322"/>
        </patternFill>
      </fill>
    </dxf>
    <dxf>
      <font>
        <b/>
        <color rgb="FFFFFFFF"/>
      </font>
      <fill>
        <patternFill patternType="solid">
          <fgColor indexed="64"/>
          <bgColor rgb="FFC00000"/>
        </patternFill>
      </fill>
    </dxf>
    <dxf>
      <font>
        <color rgb="FF000000"/>
      </font>
      <fill>
        <patternFill patternType="solid">
          <fgColor indexed="64"/>
          <bgColor rgb="FFD9EAD3"/>
        </patternFill>
      </fill>
    </dxf>
    <dxf>
      <font>
        <b/>
        <color rgb="FFED7D31"/>
      </font>
    </dxf>
    <dxf>
      <font>
        <b/>
        <color rgb="FFC00000"/>
      </font>
    </dxf>
    <dxf>
      <fill>
        <patternFill patternType="solid">
          <fgColor indexed="64"/>
          <bgColor rgb="FFF9CB9C"/>
        </patternFill>
      </fill>
    </dxf>
    <dxf>
      <fill>
        <patternFill patternType="solid">
          <fgColor indexed="64"/>
          <bgColor rgb="FFEA9999"/>
        </patternFill>
      </fill>
    </dxf>
    <dxf>
      <fill>
        <patternFill patternType="solid">
          <fgColor indexed="64"/>
          <bgColor rgb="FFFFFF99"/>
        </patternFill>
      </fill>
    </dxf>
    <dxf>
      <font>
        <color rgb="FF000000"/>
      </font>
      <fill>
        <patternFill patternType="solid">
          <fgColor indexed="64"/>
          <bgColor rgb="FFFFFF99"/>
        </patternFill>
      </fill>
    </dxf>
    <dxf>
      <font>
        <b/>
        <color rgb="FFFFFFFF"/>
      </font>
      <fill>
        <patternFill patternType="solid">
          <fgColor indexed="64"/>
          <bgColor rgb="FFFF4747"/>
        </patternFill>
      </fill>
    </dxf>
    <dxf>
      <font>
        <b/>
        <color rgb="FF000000"/>
      </font>
      <fill>
        <patternFill patternType="solid">
          <fgColor indexed="64"/>
          <bgColor theme="9" tint="0.39994506668294322"/>
        </patternFill>
      </fill>
    </dxf>
    <dxf>
      <font>
        <b/>
        <color rgb="FF000000"/>
      </font>
      <fill>
        <patternFill patternType="solid">
          <fgColor indexed="64"/>
          <bgColor theme="9" tint="0.39994506668294322"/>
        </patternFill>
      </fill>
    </dxf>
    <dxf>
      <font>
        <b/>
        <color rgb="FFFFFFFF"/>
      </font>
      <fill>
        <patternFill patternType="solid">
          <fgColor indexed="64"/>
          <bgColor rgb="FFFF4747"/>
        </patternFill>
      </fill>
    </dxf>
    <dxf>
      <font>
        <color rgb="FF000000"/>
      </font>
      <fill>
        <patternFill patternType="solid">
          <fgColor indexed="64"/>
          <bgColor rgb="FFFFFF99"/>
        </patternFill>
      </fill>
    </dxf>
    <dxf>
      <font>
        <b/>
        <color rgb="FF9C6500"/>
      </font>
      <fill>
        <patternFill patternType="solid">
          <fgColor indexed="64"/>
          <bgColor rgb="FFFCE4D6"/>
        </patternFill>
      </fill>
      <border>
        <left style="thin">
          <color rgb="FFED7D31"/>
        </left>
        <right style="thin">
          <color rgb="FFED7D31"/>
        </right>
        <top style="thin">
          <color rgb="FFED7D31"/>
        </top>
        <bottom style="thin">
          <color rgb="FFED7D31"/>
        </bottom>
      </border>
    </dxf>
    <dxf>
      <font>
        <b/>
        <color rgb="FF9C0006"/>
      </font>
      <fill>
        <patternFill patternType="solid">
          <fgColor indexed="64"/>
          <bgColor rgb="FFF4CCCC"/>
        </patternFill>
      </fill>
      <border>
        <left style="thin">
          <color rgb="FFC00000"/>
        </left>
        <right style="thin">
          <color rgb="FFC00000"/>
        </right>
        <top style="thin">
          <color rgb="FFC00000"/>
        </top>
        <bottom style="thin">
          <color rgb="FFC00000"/>
        </bottom>
      </border>
    </dxf>
    <dxf>
      <fill>
        <patternFill patternType="solid">
          <fgColor indexed="64"/>
          <bgColor rgb="FFEA9999"/>
        </patternFill>
      </fill>
    </dxf>
    <dxf>
      <fill>
        <patternFill patternType="solid">
          <fgColor indexed="64"/>
          <bgColor rgb="FFFFFFDD"/>
        </patternFill>
      </fill>
    </dxf>
    <dxf>
      <fill>
        <patternFill patternType="solid">
          <fgColor indexed="64"/>
          <bgColor theme="9" tint="0.59996337778862885"/>
        </patternFill>
      </fill>
    </dxf>
    <dxf>
      <font>
        <b/>
        <color rgb="FF9C6500"/>
      </font>
      <fill>
        <patternFill patternType="solid">
          <fgColor indexed="64"/>
          <bgColor rgb="FFFCE4D6"/>
        </patternFill>
      </fill>
      <border>
        <left style="thin">
          <color rgb="FFED7D31"/>
        </left>
        <right style="thin">
          <color rgb="FFED7D31"/>
        </right>
        <top style="thin">
          <color rgb="FFED7D31"/>
        </top>
        <bottom style="thin">
          <color rgb="FFED7D31"/>
        </bottom>
      </border>
    </dxf>
    <dxf>
      <font>
        <b/>
        <color rgb="FF9C0006"/>
      </font>
      <fill>
        <patternFill patternType="solid">
          <fgColor indexed="64"/>
          <bgColor rgb="FFF4CCCC"/>
        </patternFill>
      </fill>
      <border>
        <left style="thin">
          <color rgb="FFC00000"/>
        </left>
        <right style="thin">
          <color rgb="FFC00000"/>
        </right>
        <top style="thin">
          <color rgb="FFC00000"/>
        </top>
        <bottom style="thin">
          <color rgb="FFC00000"/>
        </bottom>
      </border>
    </dxf>
    <dxf>
      <font>
        <b/>
        <color rgb="FF9C0006"/>
      </font>
      <fill>
        <patternFill patternType="solid">
          <fgColor indexed="64"/>
          <bgColor rgb="FFF4CCCC"/>
        </patternFill>
      </fill>
      <border>
        <left style="thin">
          <color rgb="FFC00000"/>
        </left>
        <right style="thin">
          <color rgb="FFC00000"/>
        </right>
        <top style="thin">
          <color rgb="FFC00000"/>
        </top>
        <bottom style="thin">
          <color rgb="FFC00000"/>
        </bottom>
      </border>
    </dxf>
    <dxf>
      <font>
        <b/>
        <color rgb="FF9C6500"/>
      </font>
      <fill>
        <patternFill patternType="solid">
          <fgColor indexed="64"/>
          <bgColor rgb="FFFCE4D6"/>
        </patternFill>
      </fill>
      <border>
        <left style="thin">
          <color rgb="FFED7D31"/>
        </left>
        <right style="thin">
          <color rgb="FFED7D31"/>
        </right>
        <top style="thin">
          <color rgb="FFED7D31"/>
        </top>
        <bottom style="thin">
          <color rgb="FFED7D31"/>
        </bottom>
      </border>
    </dxf>
    <dxf>
      <font>
        <color theme="0" tint="-0.34998626667073579"/>
      </font>
      <fill>
        <patternFill>
          <bgColor theme="0" tint="-0.14996795556505021"/>
        </patternFill>
      </fill>
    </dxf>
    <dxf>
      <font>
        <color theme="0" tint="-0.34998626667073579"/>
      </font>
      <fill>
        <patternFill>
          <bgColor theme="0" tint="-0.14996795556505021"/>
        </patternFill>
      </fill>
    </dxf>
    <dxf>
      <font>
        <color theme="0" tint="-0.34998626667073579"/>
      </font>
      <fill>
        <patternFill>
          <bgColor theme="0" tint="-0.14996795556505021"/>
        </patternFill>
      </fill>
    </dxf>
    <dxf>
      <fill>
        <patternFill patternType="solid">
          <fgColor indexed="64"/>
          <bgColor rgb="FFFFFFDD"/>
        </patternFill>
      </fill>
    </dxf>
    <dxf>
      <fill>
        <patternFill patternType="solid">
          <fgColor indexed="64"/>
          <bgColor theme="9" tint="0.59996337778862885"/>
        </patternFill>
      </fill>
    </dxf>
    <dxf>
      <fill>
        <patternFill patternType="solid">
          <fgColor indexed="64"/>
          <bgColor rgb="FFEA9999"/>
        </patternFill>
      </fill>
    </dxf>
    <dxf>
      <fill>
        <patternFill patternType="solid">
          <fgColor indexed="64"/>
          <bgColor rgb="FFFFFFDD"/>
        </patternFill>
      </fill>
    </dxf>
    <dxf>
      <fill>
        <patternFill patternType="solid">
          <fgColor indexed="64"/>
          <bgColor theme="9" tint="0.59996337778862885"/>
        </patternFill>
      </fill>
    </dxf>
    <dxf>
      <fill>
        <patternFill patternType="solid">
          <fgColor indexed="64"/>
          <bgColor rgb="FFEA9999"/>
        </patternFill>
      </fill>
    </dxf>
    <dxf>
      <font>
        <color rgb="FF9C0006"/>
      </font>
      <fill>
        <patternFill>
          <bgColor rgb="FFFFC7CE"/>
        </patternFill>
      </fill>
    </dxf>
    <dxf>
      <font>
        <color theme="0" tint="-0.34998626667073579"/>
      </font>
    </dxf>
    <dxf>
      <font>
        <b/>
        <color theme="1" tint="4.9989318521683403E-2"/>
      </font>
      <fill>
        <patternFill>
          <bgColor theme="5" tint="0.59996337778862885"/>
        </patternFill>
      </fill>
    </dxf>
    <dxf>
      <font>
        <b/>
        <color theme="5" tint="-0.499984740745262"/>
      </font>
      <fill>
        <patternFill>
          <bgColor theme="5" tint="0.59996337778862885"/>
        </patternFill>
      </fill>
    </dxf>
    <dxf>
      <fill>
        <patternFill>
          <bgColor theme="9" tint="0.59996337778862885"/>
        </patternFill>
      </fill>
    </dxf>
    <dxf>
      <font>
        <color rgb="FF9C0006"/>
      </font>
      <fill>
        <patternFill>
          <bgColor rgb="FFFFC7CE"/>
        </patternFill>
      </fill>
    </dxf>
    <dxf>
      <font>
        <color theme="0" tint="-0.34998626667073579"/>
      </font>
    </dxf>
    <dxf>
      <font>
        <b/>
        <color theme="1" tint="4.9989318521683403E-2"/>
      </font>
      <fill>
        <patternFill>
          <bgColor theme="5" tint="0.59996337778862885"/>
        </patternFill>
      </fill>
    </dxf>
    <dxf>
      <font>
        <b/>
        <color theme="5" tint="-0.499984740745262"/>
      </font>
      <fill>
        <patternFill>
          <bgColor theme="3" tint="0.79998168889431442"/>
        </patternFill>
      </fill>
    </dxf>
    <dxf>
      <font>
        <color theme="0" tint="-0.14993743705557422"/>
      </font>
    </dxf>
    <dxf>
      <font>
        <b/>
        <color rgb="FF9C0006"/>
      </font>
      <fill>
        <patternFill patternType="solid">
          <fgColor indexed="64"/>
          <bgColor rgb="FFF4CCCC"/>
        </patternFill>
      </fill>
      <border>
        <left style="thin">
          <color rgb="FFC00000"/>
        </left>
        <right style="thin">
          <color rgb="FFC00000"/>
        </right>
        <top style="thin">
          <color rgb="FFC00000"/>
        </top>
        <bottom style="thin">
          <color rgb="FFC00000"/>
        </bottom>
      </border>
    </dxf>
    <dxf>
      <font>
        <b/>
      </font>
    </dxf>
    <dxf>
      <font>
        <b/>
      </font>
    </dxf>
    <dxf>
      <font>
        <b/>
      </font>
    </dxf>
    <dxf>
      <fill>
        <patternFill patternType="solid">
          <fgColor indexed="64"/>
          <bgColor rgb="FFFFF2CC"/>
        </patternFill>
      </fill>
    </dxf>
    <dxf>
      <fill>
        <patternFill patternType="solid">
          <fgColor indexed="64"/>
          <bgColor rgb="FFFCE4D6"/>
        </patternFill>
      </fill>
    </dxf>
    <dxf>
      <fill>
        <patternFill patternType="solid">
          <fgColor indexed="64"/>
          <bgColor rgb="FFFEC2C2"/>
        </patternFill>
      </fill>
    </dxf>
    <dxf>
      <font>
        <b/>
      </font>
    </dxf>
    <dxf>
      <font>
        <b/>
      </font>
    </dxf>
    <dxf>
      <font>
        <b/>
      </font>
    </dxf>
    <dxf>
      <font>
        <b/>
        <color rgb="FF9C0006"/>
      </font>
      <fill>
        <patternFill patternType="solid">
          <fgColor indexed="64"/>
          <bgColor rgb="FFF4CCCC"/>
        </patternFill>
      </fill>
      <border>
        <left style="thin">
          <color rgb="FFC00000"/>
        </left>
        <right style="thin">
          <color rgb="FFC00000"/>
        </right>
        <top style="thin">
          <color rgb="FFC00000"/>
        </top>
        <bottom style="thin">
          <color rgb="FFC00000"/>
        </bottom>
      </border>
    </dxf>
    <dxf>
      <fill>
        <patternFill patternType="solid">
          <fgColor indexed="64"/>
          <bgColor rgb="FFFFF2CC"/>
        </patternFill>
      </fill>
    </dxf>
    <dxf>
      <fill>
        <patternFill patternType="solid">
          <fgColor indexed="64"/>
          <bgColor rgb="FFFCE4D6"/>
        </patternFill>
      </fill>
    </dxf>
    <dxf>
      <fill>
        <patternFill patternType="solid">
          <fgColor indexed="64"/>
          <bgColor rgb="FFFCE4E4"/>
        </patternFill>
      </fill>
    </dxf>
    <dxf>
      <alignment vertical="top" wrapText="1"/>
    </dxf>
    <dxf>
      <alignment vertical="top" wrapText="1"/>
    </dxf>
    <dxf>
      <alignment vertical="top" wrapText="1"/>
    </dxf>
    <dxf>
      <alignment vertical="top" wrapText="1"/>
    </dxf>
    <dxf>
      <alignment vertical="top" wrapText="1"/>
    </dxf>
    <dxf>
      <alignment vertical="top" wrapText="1"/>
    </dxf>
    <dxf>
      <font>
        <b/>
        <color rgb="FFFFFFFF"/>
      </font>
      <fill>
        <patternFill patternType="solid">
          <fgColor indexed="64"/>
          <bgColor rgb="FF1F4E78"/>
        </patternFill>
      </fill>
      <alignment vertical="top" wrapText="1"/>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font>
        <strike val="0"/>
        <condense val="0"/>
        <extend val="0"/>
        <outline val="0"/>
        <shadow val="0"/>
        <vertAlign val="baseline"/>
        <sz val="10"/>
        <color rgb="FF000000"/>
        <name val="Aptos"/>
      </font>
      <alignment horizontal="general" vertical="top"/>
      <protection locked="1" hidden="0"/>
    </dxf>
    <dxf>
      <font>
        <strike val="0"/>
        <condense val="0"/>
        <extend val="0"/>
        <outline val="0"/>
        <shadow val="0"/>
        <vertAlign val="baseline"/>
        <sz val="10"/>
        <color rgb="FF000000"/>
        <name val="Aptos"/>
      </font>
      <alignment horizontal="general" vertical="top"/>
      <protection locked="1" hidden="0"/>
    </dxf>
    <dxf>
      <protection locked="1" hidden="0"/>
    </dxf>
    <dxf>
      <protection locked="1" hidden="0"/>
    </dxf>
    <dxf>
      <protection locked="1" hidden="0"/>
    </dxf>
    <dxf>
      <protection locked="1" hidden="0"/>
    </dxf>
    <dxf>
      <protection locked="1" hidden="0"/>
    </dxf>
    <dxf>
      <protection locked="1" hidden="0"/>
    </dxf>
    <dxf>
      <alignment wrapText="1"/>
      <protection locked="1" hidden="0"/>
    </dxf>
    <dxf>
      <alignment wrapText="1"/>
      <protection locked="0" hidden="0"/>
    </dxf>
    <dxf>
      <alignment wrapText="1"/>
      <protection locked="1" hidden="0"/>
    </dxf>
    <dxf>
      <alignment wrapText="1"/>
      <protection locked="1" hidden="0"/>
    </dxf>
    <dxf>
      <alignment wrapText="1"/>
      <protection locked="0" hidden="0"/>
    </dxf>
    <dxf>
      <alignment wrapText="1"/>
      <protection locked="0" hidden="0"/>
    </dxf>
    <dxf>
      <alignment wrapText="1"/>
      <protection locked="0" hidden="0"/>
    </dxf>
    <dxf>
      <alignment wrapText="1"/>
      <protection locked="0" hidden="0"/>
    </dxf>
    <dxf>
      <alignment wrapText="1"/>
      <protection locked="0" hidden="0"/>
    </dxf>
    <dxf>
      <alignment wrapText="1"/>
      <protection locked="0" hidden="0"/>
    </dxf>
    <dxf>
      <alignment wrapText="1"/>
      <protection locked="0" hidden="0"/>
    </dxf>
    <dxf>
      <alignment wrapText="1"/>
      <protection locked="0" hidden="0"/>
    </dxf>
    <dxf>
      <alignment wrapText="1"/>
      <protection locked="0" hidden="0"/>
    </dxf>
    <dxf>
      <alignment wrapText="1"/>
      <protection locked="0" hidden="0"/>
    </dxf>
    <dxf>
      <alignment wrapText="1"/>
      <protection locked="0" hidden="0"/>
    </dxf>
    <dxf>
      <alignment wrapText="1"/>
      <protection locked="0" hidden="0"/>
    </dxf>
    <dxf>
      <alignment wrapText="1"/>
      <protection locked="0" hidden="0"/>
    </dxf>
    <dxf>
      <alignment wrapText="1"/>
      <protection locked="0" hidden="0"/>
    </dxf>
    <dxf>
      <alignment wrapText="1"/>
      <protection locked="0" hidden="0"/>
    </dxf>
    <dxf>
      <alignment wrapText="1"/>
      <protection locked="0" hidden="0"/>
    </dxf>
    <dxf>
      <alignment wrapText="1"/>
      <protection locked="0" hidden="0"/>
    </dxf>
    <dxf>
      <numFmt numFmtId="165" formatCode="[$-F800]dddd\,\ mmmm\ dd\,\ yyyy"/>
      <alignment horizontal="center" wrapText="1"/>
      <protection locked="0" hidden="0"/>
    </dxf>
    <dxf>
      <font>
        <strike val="0"/>
        <condense val="0"/>
        <extend val="0"/>
        <outline val="0"/>
        <shadow val="0"/>
        <vertAlign val="baseline"/>
        <sz val="10"/>
        <color rgb="FF000000"/>
        <name val="Aptos"/>
      </font>
      <alignment horizontal="general" vertical="top" wrapText="1"/>
      <border outline="0">
        <left/>
        <right/>
        <top/>
        <bottom style="thin">
          <color rgb="FFD9E1F2"/>
        </bottom>
      </border>
      <protection locked="0" hidden="0"/>
    </dxf>
    <dxf>
      <alignment wrapText="1"/>
      <protection locked="1" hidden="0"/>
    </dxf>
    <dxf>
      <alignment wrapText="1"/>
      <protection locked="0" hidden="0"/>
    </dxf>
    <dxf>
      <alignment wrapText="1"/>
      <protection locked="0" hidden="0"/>
    </dxf>
    <dxf>
      <font>
        <b/>
        <color rgb="FFFFFFFF"/>
      </font>
      <fill>
        <patternFill patternType="solid">
          <fgColor indexed="64"/>
          <bgColor rgb="FF1F4E78"/>
        </patternFill>
      </fill>
      <alignment wrapText="1"/>
      <protection locked="1" hidden="0"/>
    </dxf>
    <dxf>
      <protection locked="1" hidden="0"/>
    </dxf>
    <dxf>
      <protection locked="1" hidden="0"/>
    </dxf>
    <dxf>
      <protection locked="1" hidden="0"/>
    </dxf>
    <dxf>
      <numFmt numFmtId="0" formatCode="General"/>
      <protection locked="1" hidden="0"/>
    </dxf>
    <dxf>
      <numFmt numFmtId="164" formatCode="mmm\ d\,\ yyyy"/>
      <protection locked="1" hidden="0"/>
    </dxf>
    <dxf>
      <numFmt numFmtId="167" formatCode="dd/mmm/yy;;"/>
      <protection locked="1" hidden="0"/>
    </dxf>
    <dxf>
      <numFmt numFmtId="167" formatCode="dd/mmm/yy;;"/>
      <protection locked="1" hidden="0"/>
    </dxf>
    <dxf>
      <font>
        <b val="0"/>
        <i val="0"/>
        <strike val="0"/>
        <condense val="0"/>
        <extend val="0"/>
        <outline val="0"/>
        <shadow val="0"/>
        <u val="none"/>
        <vertAlign val="baseline"/>
        <sz val="11"/>
        <color rgb="FF263445"/>
        <name val="Aptos"/>
        <scheme val="none"/>
      </font>
      <numFmt numFmtId="167" formatCode="dd/mmm/yy;;"/>
      <protection locked="1" hidden="0"/>
    </dxf>
    <dxf>
      <font>
        <b val="0"/>
        <i val="0"/>
        <strike val="0"/>
        <condense val="0"/>
        <extend val="0"/>
        <outline val="0"/>
        <shadow val="0"/>
        <u val="none"/>
        <vertAlign val="baseline"/>
        <sz val="11"/>
        <color rgb="FF263445"/>
        <name val="Aptos"/>
        <scheme val="none"/>
      </font>
      <numFmt numFmtId="165" formatCode="[$-F800]dddd\,\ mmmm\ dd\,\ yyyy"/>
      <protection locked="1" hidden="0"/>
    </dxf>
    <dxf>
      <font>
        <b val="0"/>
        <i val="0"/>
        <strike val="0"/>
        <condense val="0"/>
        <extend val="0"/>
        <outline val="0"/>
        <shadow val="0"/>
        <u val="none"/>
        <vertAlign val="baseline"/>
        <sz val="11"/>
        <color rgb="FF263445"/>
        <name val="Aptos"/>
        <family val="2"/>
        <scheme val="none"/>
      </font>
      <numFmt numFmtId="167" formatCode="dd/mmm/yy;;"/>
      <protection locked="1" hidden="0"/>
    </dxf>
    <dxf>
      <font>
        <b val="0"/>
        <i val="0"/>
        <strike val="0"/>
        <condense val="0"/>
        <extend val="0"/>
        <outline val="0"/>
        <shadow val="0"/>
        <u val="none"/>
        <vertAlign val="baseline"/>
        <sz val="11"/>
        <color rgb="FF263445"/>
        <name val="Aptos"/>
        <family val="2"/>
        <scheme val="none"/>
      </font>
      <numFmt numFmtId="167" formatCode="dd/mmm/yy;;"/>
      <protection locked="1" hidden="0"/>
    </dxf>
    <dxf>
      <font>
        <b val="0"/>
        <i val="0"/>
        <strike val="0"/>
        <condense val="0"/>
        <extend val="0"/>
        <outline val="0"/>
        <shadow val="0"/>
        <u val="none"/>
        <vertAlign val="baseline"/>
        <sz val="11"/>
        <color rgb="FF263445"/>
        <name val="Aptos"/>
        <family val="2"/>
        <scheme val="none"/>
      </font>
      <numFmt numFmtId="167" formatCode="dd/mmm/yy;;"/>
      <alignment horizontal="center" vertical="center" textRotation="0" indent="0" justifyLastLine="0" shrinkToFit="0" readingOrder="0"/>
      <protection locked="1" hidden="0"/>
    </dxf>
    <dxf>
      <font>
        <b val="0"/>
        <i val="0"/>
        <strike val="0"/>
        <condense val="0"/>
        <extend val="0"/>
        <outline val="0"/>
        <shadow val="0"/>
        <u val="none"/>
        <vertAlign val="baseline"/>
        <sz val="11"/>
        <color rgb="FF263445"/>
        <name val="Aptos"/>
        <family val="2"/>
        <scheme val="none"/>
      </font>
      <numFmt numFmtId="167" formatCode="dd/mmm/yy;;"/>
      <alignment horizontal="center" vertical="center" textRotation="0" indent="0" justifyLastLine="0" shrinkToFit="0" readingOrder="0"/>
      <protection locked="1" hidden="0"/>
    </dxf>
    <dxf>
      <font>
        <b val="0"/>
        <i val="0"/>
        <strike val="0"/>
        <condense val="0"/>
        <extend val="0"/>
        <outline val="0"/>
        <shadow val="0"/>
        <u val="none"/>
        <vertAlign val="baseline"/>
        <sz val="11"/>
        <color rgb="FF263445"/>
        <name val="Aptos"/>
        <family val="2"/>
        <scheme val="none"/>
      </font>
      <numFmt numFmtId="167" formatCode="dd/mmm/yy;;"/>
      <alignment horizontal="center" vertical="center" textRotation="0" indent="0" justifyLastLine="0" shrinkToFit="0" readingOrder="0"/>
      <protection locked="1" hidden="0"/>
    </dxf>
    <dxf>
      <numFmt numFmtId="167" formatCode="dd/mmm/yy;;"/>
      <alignment horizontal="center" vertical="center" textRotation="0" indent="0" justifyLastLine="0" shrinkToFit="0" readingOrder="0"/>
      <protection locked="1" hidden="0"/>
    </dxf>
    <dxf>
      <font>
        <b val="0"/>
        <i val="0"/>
        <strike val="0"/>
        <condense val="0"/>
        <extend val="0"/>
        <outline val="0"/>
        <shadow val="0"/>
        <u val="none"/>
        <vertAlign val="baseline"/>
        <sz val="11"/>
        <color rgb="FF263445"/>
        <name val="Aptos"/>
        <family val="2"/>
        <scheme val="none"/>
      </font>
      <numFmt numFmtId="167" formatCode="dd/mmm/yy;;"/>
      <alignment horizontal="center" vertical="center" textRotation="0" indent="0" justifyLastLine="0" shrinkToFit="0" readingOrder="0"/>
      <protection locked="1" hidden="0"/>
    </dxf>
    <dxf>
      <numFmt numFmtId="167" formatCode="dd/mmm/yy;;"/>
      <alignment horizontal="center" vertical="center" textRotation="0" indent="0" justifyLastLine="0" shrinkToFit="0" readingOrder="0"/>
      <protection locked="1" hidden="0"/>
    </dxf>
    <dxf>
      <font>
        <b val="0"/>
        <i val="0"/>
        <strike val="0"/>
        <condense val="0"/>
        <extend val="0"/>
        <outline val="0"/>
        <shadow val="0"/>
        <u val="none"/>
        <vertAlign val="baseline"/>
        <sz val="11"/>
        <color rgb="FF263445"/>
        <name val="Aptos"/>
        <family val="2"/>
        <scheme val="none"/>
      </font>
      <protection locked="1" hidden="0"/>
    </dxf>
    <dxf>
      <font>
        <b val="0"/>
        <i val="0"/>
        <strike val="0"/>
        <condense val="0"/>
        <extend val="0"/>
        <outline val="0"/>
        <shadow val="0"/>
        <u val="none"/>
        <vertAlign val="baseline"/>
        <sz val="11"/>
        <color rgb="FF263445"/>
        <name val="Aptos"/>
        <family val="2"/>
        <scheme val="none"/>
      </font>
      <numFmt numFmtId="0" formatCode="General"/>
      <alignment horizontal="center" vertical="center" textRotation="0" indent="0" justifyLastLine="0" shrinkToFit="0" readingOrder="0"/>
      <protection locked="1" hidden="0"/>
    </dxf>
    <dxf>
      <protection locked="1" hidden="0"/>
    </dxf>
    <dxf>
      <font>
        <b val="0"/>
        <i val="0"/>
        <strike val="0"/>
        <condense val="0"/>
        <extend val="0"/>
        <outline val="0"/>
        <shadow val="0"/>
        <u val="none"/>
        <vertAlign val="baseline"/>
        <sz val="11"/>
        <color rgb="FF263445"/>
        <name val="Aptos"/>
        <family val="2"/>
        <scheme val="none"/>
      </font>
      <alignment horizontal="general" vertical="bottom" textRotation="0" wrapText="1" indent="0" justifyLastLine="0" shrinkToFit="0" readingOrder="0"/>
      <protection locked="1" hidden="0"/>
    </dxf>
    <dxf>
      <protection locked="1" hidden="0"/>
    </dxf>
    <dxf>
      <numFmt numFmtId="0" formatCode="General"/>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alignment horizontal="center" textRotation="0" indent="0" justifyLastLine="0" shrinkToFit="0" readingOrder="0"/>
      <protection locked="1" hidden="0"/>
    </dxf>
    <dxf>
      <protection locked="1" hidden="0"/>
    </dxf>
    <dxf>
      <protection locked="1" hidden="0"/>
    </dxf>
    <dxf>
      <protection locked="1" hidden="0"/>
    </dxf>
    <dxf>
      <protection locked="1" hidden="0"/>
    </dxf>
    <dxf>
      <protection locked="1" hidden="0"/>
    </dxf>
    <dxf>
      <font>
        <strike val="0"/>
        <outline val="0"/>
        <shadow val="0"/>
        <u val="none"/>
        <vertAlign val="baseline"/>
        <sz val="12"/>
      </font>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alignment horizontal="center" textRotation="0" indent="0" justifyLastLine="0" shrinkToFit="0" readingOrder="0"/>
      <protection locked="1" hidden="0"/>
    </dxf>
    <dxf>
      <alignment horizontal="center" vertical="center" textRotation="0" indent="0" justifyLastLine="0" shrinkToFit="0" readingOrder="0"/>
      <protection locked="1" hidden="0"/>
    </dxf>
    <dxf>
      <protection locked="1" hidden="0"/>
    </dxf>
    <dxf>
      <alignment horizontal="center" textRotation="0" indent="0" justifyLastLine="0" shrinkToFit="0" readingOrder="0"/>
      <protection locked="1" hidden="0"/>
    </dxf>
    <dxf>
      <protection locked="1" hidden="0"/>
    </dxf>
    <dxf>
      <alignment horizontal="center" textRotation="0" indent="0" justifyLastLine="0" shrinkToFit="0" readingOrder="0"/>
      <protection locked="1" hidden="0"/>
    </dxf>
    <dxf>
      <alignment horizontal="center" textRotation="0" indent="0" justifyLastLine="0" shrinkToFit="0" readingOrder="0"/>
      <protection locked="1" hidden="0"/>
    </dxf>
    <dxf>
      <alignment horizontal="center" textRotation="0" indent="0" justifyLastLine="0" shrinkToFit="0" readingOrder="0"/>
      <protection locked="1" hidden="0"/>
    </dxf>
    <dxf>
      <alignment horizontal="center" textRotation="0" indent="0" justifyLastLine="0" shrinkToFit="0" readingOrder="0"/>
      <protection locked="1" hidden="0"/>
    </dxf>
    <dxf>
      <protection locked="1" hidden="0"/>
    </dxf>
    <dxf>
      <protection locked="1" hidden="0"/>
    </dxf>
    <dxf>
      <protection locked="1" hidden="0"/>
    </dxf>
    <dxf>
      <alignment horizontal="center" vertical="center" textRotation="0" indent="0" justifyLastLine="0" shrinkToFit="0" readingOrder="0"/>
      <protection locked="1" hidden="0"/>
    </dxf>
    <dxf>
      <protection locked="1" hidden="0"/>
    </dxf>
    <dxf>
      <protection locked="1" hidden="0"/>
    </dxf>
    <dxf>
      <protection locked="1" hidden="0"/>
    </dxf>
    <dxf>
      <protection locked="1" hidden="0"/>
    </dxf>
    <dxf>
      <protection locked="1" hidden="0"/>
    </dxf>
    <dxf>
      <font>
        <strike val="0"/>
        <outline val="0"/>
        <shadow val="0"/>
        <u val="none"/>
        <vertAlign val="baseline"/>
        <sz val="10"/>
      </font>
    </dxf>
  </dxfs>
  <tableStyles count="0" defaultTableStyle="TableStyleMedium9"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Open Actions by SLT Member</a:t>
            </a:r>
          </a:p>
        </c:rich>
      </c:tx>
      <c:overlay val="1"/>
    </c:title>
    <c:autoTitleDeleted val="0"/>
    <c:plotArea>
      <c:layout/>
      <c:barChart>
        <c:barDir val="bar"/>
        <c:grouping val="clustered"/>
        <c:varyColors val="1"/>
        <c:ser>
          <c:idx val="0"/>
          <c:order val="0"/>
          <c:tx>
            <c:strRef>
              <c:f>'Executive Dashboard (2)'!$B$9</c:f>
              <c:strCache>
                <c:ptCount val="1"/>
                <c:pt idx="0">
                  <c:v>Open</c:v>
                </c:pt>
              </c:strCache>
            </c:strRef>
          </c:tx>
          <c:spPr>
            <a:solidFill>
              <a:srgbClr val="4472C4"/>
            </a:solidFill>
            <a:ln>
              <a:solidFill>
                <a:srgbClr val="FFFFFF"/>
              </a:solidFill>
              <a:prstDash val="solid"/>
            </a:ln>
          </c:spPr>
          <c:invertIfNegative val="1"/>
          <c:dLbls>
            <c:spPr>
              <a:noFill/>
              <a:ln>
                <a:noFill/>
                <a:prstDash val="solid"/>
              </a:ln>
            </c:spPr>
            <c:dLblPos val="outEnd"/>
            <c:showLegendKey val="0"/>
            <c:showVal val="1"/>
            <c:showCatName val="1"/>
            <c:showSerName val="0"/>
            <c:showPercent val="0"/>
            <c:showBubbleSize val="0"/>
            <c:showLeaderLines val="0"/>
            <c:extLst>
              <c:ext xmlns:c15="http://schemas.microsoft.com/office/drawing/2012/chart" uri="{CE6537A1-D6FC-4f65-9D91-7224C49458BB}">
                <c15:showLeaderLines val="0"/>
              </c:ext>
            </c:extLst>
          </c:dLbls>
          <c:cat>
            <c:strRef>
              <c:f>'Executive Dashboard (2)'!$A$10:$A$17</c:f>
              <c:strCache>
                <c:ptCount val="8"/>
                <c:pt idx="0">
                  <c:v>Gene</c:v>
                </c:pt>
                <c:pt idx="1">
                  <c:v>Dave</c:v>
                </c:pt>
                <c:pt idx="2">
                  <c:v>Maurizio</c:v>
                </c:pt>
                <c:pt idx="3">
                  <c:v>Tom</c:v>
                </c:pt>
                <c:pt idx="4">
                  <c:v>Tony</c:v>
                </c:pt>
                <c:pt idx="5">
                  <c:v>Sherry</c:v>
                </c:pt>
                <c:pt idx="6">
                  <c:v>Sandy</c:v>
                </c:pt>
                <c:pt idx="7">
                  <c:v>Other</c:v>
                </c:pt>
              </c:strCache>
            </c:strRef>
          </c:cat>
          <c:val>
            <c:numRef>
              <c:f>'Executive Dashboard (2)'!$B$10:$B$17</c:f>
              <c:numCache>
                <c:formatCode>0</c:formatCode>
                <c:ptCount val="8"/>
                <c:pt idx="0">
                  <c:v>4</c:v>
                </c:pt>
                <c:pt idx="1">
                  <c:v>7</c:v>
                </c:pt>
                <c:pt idx="2">
                  <c:v>1</c:v>
                </c:pt>
                <c:pt idx="3">
                  <c:v>5</c:v>
                </c:pt>
                <c:pt idx="4">
                  <c:v>1</c:v>
                </c:pt>
                <c:pt idx="5">
                  <c:v>3</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FFFFF"/>
                    </a:solidFill>
                    <a:prstDash val="solid"/>
                  </a:ln>
                </c14:spPr>
              </c14:invertSolidFillFmt>
            </c:ext>
            <c:ext xmlns:c16="http://schemas.microsoft.com/office/drawing/2014/chart" uri="{C3380CC4-5D6E-409C-BE32-E72D297353CC}">
              <c16:uniqueId val="{00000000-C628-4E19-B1E3-E169AE93C1C1}"/>
            </c:ext>
          </c:extLst>
        </c:ser>
        <c:ser>
          <c:idx val="1"/>
          <c:order val="1"/>
          <c:tx>
            <c:strRef>
              <c:f>'Executive Dashboard (2)'!$C$9</c:f>
              <c:strCache>
                <c:ptCount val="1"/>
                <c:pt idx="0">
                  <c:v>Overdue</c:v>
                </c:pt>
              </c:strCache>
            </c:strRef>
          </c:tx>
          <c:spPr>
            <a:solidFill>
              <a:srgbClr val="C00000"/>
            </a:solidFill>
            <a:ln>
              <a:solidFill>
                <a:srgbClr val="FFFFFF"/>
              </a:solidFill>
              <a:prstDash val="solid"/>
            </a:ln>
          </c:spPr>
          <c:invertIfNegative val="1"/>
          <c:dLbls>
            <c:spPr>
              <a:noFill/>
              <a:ln>
                <a:noFill/>
                <a:prstDash val="solid"/>
              </a:ln>
            </c:spPr>
            <c:dLblPos val="outEnd"/>
            <c:showLegendKey val="0"/>
            <c:showVal val="1"/>
            <c:showCatName val="1"/>
            <c:showSerName val="0"/>
            <c:showPercent val="0"/>
            <c:showBubbleSize val="0"/>
            <c:showLeaderLines val="0"/>
            <c:extLst>
              <c:ext xmlns:c15="http://schemas.microsoft.com/office/drawing/2012/chart" uri="{CE6537A1-D6FC-4f65-9D91-7224C49458BB}">
                <c15:showLeaderLines val="0"/>
              </c:ext>
            </c:extLst>
          </c:dLbls>
          <c:cat>
            <c:strRef>
              <c:f>'Executive Dashboard (2)'!$A$10:$A$17</c:f>
              <c:strCache>
                <c:ptCount val="8"/>
                <c:pt idx="0">
                  <c:v>Gene</c:v>
                </c:pt>
                <c:pt idx="1">
                  <c:v>Dave</c:v>
                </c:pt>
                <c:pt idx="2">
                  <c:v>Maurizio</c:v>
                </c:pt>
                <c:pt idx="3">
                  <c:v>Tom</c:v>
                </c:pt>
                <c:pt idx="4">
                  <c:v>Tony</c:v>
                </c:pt>
                <c:pt idx="5">
                  <c:v>Sherry</c:v>
                </c:pt>
                <c:pt idx="6">
                  <c:v>Sandy</c:v>
                </c:pt>
                <c:pt idx="7">
                  <c:v>Other</c:v>
                </c:pt>
              </c:strCache>
            </c:strRef>
          </c:cat>
          <c:val>
            <c:numRef>
              <c:f>'Executive Dashboard (2)'!$C$10:$C$17</c:f>
              <c:numCache>
                <c:formatCode>0</c:formatCode>
                <c:ptCount val="8"/>
                <c:pt idx="0">
                  <c:v>4</c:v>
                </c:pt>
                <c:pt idx="1">
                  <c:v>4</c:v>
                </c:pt>
                <c:pt idx="2">
                  <c:v>0</c:v>
                </c:pt>
                <c:pt idx="3">
                  <c:v>0</c:v>
                </c:pt>
                <c:pt idx="4">
                  <c:v>1</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FFFFF"/>
                    </a:solidFill>
                    <a:prstDash val="solid"/>
                  </a:ln>
                </c14:spPr>
              </c14:invertSolidFillFmt>
            </c:ext>
            <c:ext xmlns:c16="http://schemas.microsoft.com/office/drawing/2014/chart" uri="{C3380CC4-5D6E-409C-BE32-E72D297353CC}">
              <c16:uniqueId val="{00000001-C628-4E19-B1E3-E169AE93C1C1}"/>
            </c:ext>
          </c:extLst>
        </c:ser>
        <c:ser>
          <c:idx val="2"/>
          <c:order val="2"/>
          <c:tx>
            <c:strRef>
              <c:f>'Executive Dashboard (2)'!$D$9</c:f>
              <c:strCache>
                <c:ptCount val="1"/>
                <c:pt idx="0">
                  <c:v>At Risk / Stuck</c:v>
                </c:pt>
              </c:strCache>
            </c:strRef>
          </c:tx>
          <c:spPr>
            <a:solidFill>
              <a:srgbClr val="ED7D31"/>
            </a:solidFill>
            <a:ln>
              <a:solidFill>
                <a:srgbClr val="FFFFFF"/>
              </a:solidFill>
              <a:prstDash val="solid"/>
            </a:ln>
          </c:spPr>
          <c:invertIfNegative val="1"/>
          <c:dLbls>
            <c:spPr>
              <a:noFill/>
              <a:ln>
                <a:noFill/>
                <a:prstDash val="solid"/>
              </a:ln>
            </c:spPr>
            <c:dLblPos val="outEnd"/>
            <c:showLegendKey val="0"/>
            <c:showVal val="1"/>
            <c:showCatName val="1"/>
            <c:showSerName val="0"/>
            <c:showPercent val="0"/>
            <c:showBubbleSize val="0"/>
            <c:showLeaderLines val="0"/>
            <c:extLst>
              <c:ext xmlns:c15="http://schemas.microsoft.com/office/drawing/2012/chart" uri="{CE6537A1-D6FC-4f65-9D91-7224C49458BB}">
                <c15:showLeaderLines val="0"/>
              </c:ext>
            </c:extLst>
          </c:dLbls>
          <c:cat>
            <c:strRef>
              <c:f>'Executive Dashboard (2)'!$A$10:$A$17</c:f>
              <c:strCache>
                <c:ptCount val="8"/>
                <c:pt idx="0">
                  <c:v>Gene</c:v>
                </c:pt>
                <c:pt idx="1">
                  <c:v>Dave</c:v>
                </c:pt>
                <c:pt idx="2">
                  <c:v>Maurizio</c:v>
                </c:pt>
                <c:pt idx="3">
                  <c:v>Tom</c:v>
                </c:pt>
                <c:pt idx="4">
                  <c:v>Tony</c:v>
                </c:pt>
                <c:pt idx="5">
                  <c:v>Sherry</c:v>
                </c:pt>
                <c:pt idx="6">
                  <c:v>Sandy</c:v>
                </c:pt>
                <c:pt idx="7">
                  <c:v>Other</c:v>
                </c:pt>
              </c:strCache>
            </c:strRef>
          </c:cat>
          <c:val>
            <c:numRef>
              <c:f>'Executive Dashboard (2)'!$D$10:$D$17</c:f>
              <c:numCache>
                <c:formatCode>0</c:formatCode>
                <c:ptCount val="8"/>
                <c:pt idx="0">
                  <c:v>0</c:v>
                </c:pt>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FFFFF"/>
                    </a:solidFill>
                    <a:prstDash val="solid"/>
                  </a:ln>
                </c14:spPr>
              </c14:invertSolidFillFmt>
            </c:ext>
            <c:ext xmlns:c16="http://schemas.microsoft.com/office/drawing/2014/chart" uri="{C3380CC4-5D6E-409C-BE32-E72D297353CC}">
              <c16:uniqueId val="{00000002-C628-4E19-B1E3-E169AE93C1C1}"/>
            </c:ext>
          </c:extLst>
        </c:ser>
        <c:ser>
          <c:idx val="3"/>
          <c:order val="3"/>
          <c:tx>
            <c:strRef>
              <c:f>'Executive Dashboard (2)'!$E$9</c:f>
              <c:strCache>
                <c:ptCount val="1"/>
                <c:pt idx="0">
                  <c:v>High Risk</c:v>
                </c:pt>
              </c:strCache>
            </c:strRef>
          </c:tx>
          <c:spPr>
            <a:solidFill>
              <a:srgbClr val="70AD47"/>
            </a:solidFill>
            <a:ln>
              <a:solidFill>
                <a:srgbClr val="FFFFFF"/>
              </a:solidFill>
              <a:prstDash val="solid"/>
            </a:ln>
          </c:spPr>
          <c:invertIfNegative val="1"/>
          <c:dLbls>
            <c:spPr>
              <a:noFill/>
              <a:ln>
                <a:noFill/>
                <a:prstDash val="solid"/>
              </a:ln>
            </c:spPr>
            <c:dLblPos val="outEnd"/>
            <c:showLegendKey val="0"/>
            <c:showVal val="1"/>
            <c:showCatName val="1"/>
            <c:showSerName val="0"/>
            <c:showPercent val="0"/>
            <c:showBubbleSize val="0"/>
            <c:showLeaderLines val="0"/>
            <c:extLst>
              <c:ext xmlns:c15="http://schemas.microsoft.com/office/drawing/2012/chart" uri="{CE6537A1-D6FC-4f65-9D91-7224C49458BB}">
                <c15:showLeaderLines val="0"/>
              </c:ext>
            </c:extLst>
          </c:dLbls>
          <c:cat>
            <c:strRef>
              <c:f>'Executive Dashboard (2)'!$A$10:$A$17</c:f>
              <c:strCache>
                <c:ptCount val="8"/>
                <c:pt idx="0">
                  <c:v>Gene</c:v>
                </c:pt>
                <c:pt idx="1">
                  <c:v>Dave</c:v>
                </c:pt>
                <c:pt idx="2">
                  <c:v>Maurizio</c:v>
                </c:pt>
                <c:pt idx="3">
                  <c:v>Tom</c:v>
                </c:pt>
                <c:pt idx="4">
                  <c:v>Tony</c:v>
                </c:pt>
                <c:pt idx="5">
                  <c:v>Sherry</c:v>
                </c:pt>
                <c:pt idx="6">
                  <c:v>Sandy</c:v>
                </c:pt>
                <c:pt idx="7">
                  <c:v>Other</c:v>
                </c:pt>
              </c:strCache>
            </c:strRef>
          </c:cat>
          <c:val>
            <c:numRef>
              <c:f>'Executive Dashboard (2)'!$E$10:$E$17</c:f>
              <c:numCache>
                <c:formatCode>0</c:formatCode>
                <c:ptCount val="8"/>
                <c:pt idx="0">
                  <c:v>1</c:v>
                </c:pt>
                <c:pt idx="1">
                  <c:v>7</c:v>
                </c:pt>
                <c:pt idx="2">
                  <c:v>1</c:v>
                </c:pt>
                <c:pt idx="3">
                  <c:v>2</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FFFFF"/>
                    </a:solidFill>
                    <a:prstDash val="solid"/>
                  </a:ln>
                </c14:spPr>
              </c14:invertSolidFillFmt>
            </c:ext>
            <c:ext xmlns:c16="http://schemas.microsoft.com/office/drawing/2014/chart" uri="{C3380CC4-5D6E-409C-BE32-E72D297353CC}">
              <c16:uniqueId val="{00000003-C628-4E19-B1E3-E169AE93C1C1}"/>
            </c:ext>
          </c:extLst>
        </c:ser>
        <c:ser>
          <c:idx val="4"/>
          <c:order val="4"/>
          <c:tx>
            <c:strRef>
              <c:f>'Executive Dashboard (2)'!$F$9</c:f>
              <c:strCache>
                <c:ptCount val="1"/>
                <c:pt idx="0">
                  <c:v>Escalations</c:v>
                </c:pt>
              </c:strCache>
            </c:strRef>
          </c:tx>
          <c:spPr>
            <a:solidFill>
              <a:srgbClr val="7030A0"/>
            </a:solidFill>
            <a:ln>
              <a:solidFill>
                <a:srgbClr val="FFFFFF"/>
              </a:solidFill>
              <a:prstDash val="solid"/>
            </a:ln>
          </c:spPr>
          <c:invertIfNegative val="1"/>
          <c:dLbls>
            <c:spPr>
              <a:noFill/>
              <a:ln>
                <a:noFill/>
                <a:prstDash val="solid"/>
              </a:ln>
            </c:spPr>
            <c:dLblPos val="outEnd"/>
            <c:showLegendKey val="0"/>
            <c:showVal val="1"/>
            <c:showCatName val="1"/>
            <c:showSerName val="0"/>
            <c:showPercent val="0"/>
            <c:showBubbleSize val="0"/>
            <c:showLeaderLines val="0"/>
            <c:extLst>
              <c:ext xmlns:c15="http://schemas.microsoft.com/office/drawing/2012/chart" uri="{CE6537A1-D6FC-4f65-9D91-7224C49458BB}">
                <c15:showLeaderLines val="0"/>
              </c:ext>
            </c:extLst>
          </c:dLbls>
          <c:cat>
            <c:strRef>
              <c:f>'Executive Dashboard (2)'!$A$10:$A$17</c:f>
              <c:strCache>
                <c:ptCount val="8"/>
                <c:pt idx="0">
                  <c:v>Gene</c:v>
                </c:pt>
                <c:pt idx="1">
                  <c:v>Dave</c:v>
                </c:pt>
                <c:pt idx="2">
                  <c:v>Maurizio</c:v>
                </c:pt>
                <c:pt idx="3">
                  <c:v>Tom</c:v>
                </c:pt>
                <c:pt idx="4">
                  <c:v>Tony</c:v>
                </c:pt>
                <c:pt idx="5">
                  <c:v>Sherry</c:v>
                </c:pt>
                <c:pt idx="6">
                  <c:v>Sandy</c:v>
                </c:pt>
                <c:pt idx="7">
                  <c:v>Other</c:v>
                </c:pt>
              </c:strCache>
            </c:strRef>
          </c:cat>
          <c:val>
            <c:numRef>
              <c:f>'Executive Dashboard (2)'!$F$10:$F$17</c:f>
              <c:numCache>
                <c:formatCode>0</c:formatCode>
                <c:ptCount val="8"/>
                <c:pt idx="0">
                  <c:v>2</c:v>
                </c:pt>
                <c:pt idx="1">
                  <c:v>2</c:v>
                </c:pt>
                <c:pt idx="2">
                  <c:v>2</c:v>
                </c:pt>
                <c:pt idx="3">
                  <c:v>1</c:v>
                </c:pt>
                <c:pt idx="4">
                  <c:v>0</c:v>
                </c:pt>
                <c:pt idx="5">
                  <c:v>1</c:v>
                </c:pt>
                <c:pt idx="6">
                  <c:v>1</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FFFFF"/>
                    </a:solidFill>
                    <a:prstDash val="solid"/>
                  </a:ln>
                </c14:spPr>
              </c14:invertSolidFillFmt>
            </c:ext>
            <c:ext xmlns:c16="http://schemas.microsoft.com/office/drawing/2014/chart" uri="{C3380CC4-5D6E-409C-BE32-E72D297353CC}">
              <c16:uniqueId val="{00000004-C628-4E19-B1E3-E169AE93C1C1}"/>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US"/>
                  <a:t>SLT member</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rPr lang="en-US"/>
                  <a:t>Open action count</a:t>
                </a:r>
              </a:p>
            </c:rich>
          </c:tx>
          <c:overlay val="1"/>
        </c:title>
        <c:numFmt formatCode="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Strategic Objective Risk Summary</a:t>
            </a:r>
          </a:p>
        </c:rich>
      </c:tx>
      <c:overlay val="1"/>
    </c:title>
    <c:autoTitleDeleted val="0"/>
    <c:plotArea>
      <c:layout/>
      <c:barChart>
        <c:barDir val="col"/>
        <c:grouping val="clustered"/>
        <c:varyColors val="1"/>
        <c:ser>
          <c:idx val="0"/>
          <c:order val="0"/>
          <c:tx>
            <c:strRef>
              <c:f>'Executive Dashboard (2)'!$I$9</c:f>
              <c:strCache>
                <c:ptCount val="1"/>
                <c:pt idx="0">
                  <c:v>Open Items</c:v>
                </c:pt>
              </c:strCache>
            </c:strRef>
          </c:tx>
          <c:spPr>
            <a:solidFill>
              <a:srgbClr val="4472C4"/>
            </a:solidFill>
            <a:ln>
              <a:solidFill>
                <a:srgbClr val="FFFFFF"/>
              </a:solidFill>
              <a:prstDash val="solid"/>
            </a:ln>
          </c:spPr>
          <c:invertIfNegative val="1"/>
          <c:dLbls>
            <c:spPr>
              <a:noFill/>
              <a:ln>
                <a:noFill/>
                <a:prstDash val="solid"/>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'Executive Dashboard (2)'!$H$10:$H$17</c:f>
              <c:strCache>
                <c:ptCount val="8"/>
                <c:pt idx="0">
                  <c:v>ASP Go-Live</c:v>
                </c:pt>
                <c:pt idx="1">
                  <c:v>Governance</c:v>
                </c:pt>
                <c:pt idx="2">
                  <c:v>Cost Reduction</c:v>
                </c:pt>
                <c:pt idx="3">
                  <c:v>People &amp; Culture</c:v>
                </c:pt>
                <c:pt idx="4">
                  <c:v>Sierra Growth</c:v>
                </c:pt>
                <c:pt idx="5">
                  <c:v>Federal Licence</c:v>
                </c:pt>
                <c:pt idx="6">
                  <c:v>Food Safety</c:v>
                </c:pt>
                <c:pt idx="7">
                  <c:v>Commercial Growth</c:v>
                </c:pt>
              </c:strCache>
            </c:strRef>
          </c:cat>
          <c:val>
            <c:numRef>
              <c:f>'Executive Dashboard (2)'!$I$10:$I$17</c:f>
              <c:numCache>
                <c:formatCode>0</c:formatCode>
                <c:ptCount val="8"/>
                <c:pt idx="0">
                  <c:v>5</c:v>
                </c:pt>
                <c:pt idx="1">
                  <c:v>6</c:v>
                </c:pt>
                <c:pt idx="2">
                  <c:v>2</c:v>
                </c:pt>
                <c:pt idx="3">
                  <c:v>6</c:v>
                </c:pt>
                <c:pt idx="4">
                  <c:v>0</c:v>
                </c:pt>
                <c:pt idx="5">
                  <c:v>0</c:v>
                </c:pt>
                <c:pt idx="6">
                  <c:v>1</c:v>
                </c:pt>
                <c:pt idx="7">
                  <c:v>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FFFFF"/>
                    </a:solidFill>
                    <a:prstDash val="solid"/>
                  </a:ln>
                </c14:spPr>
              </c14:invertSolidFillFmt>
            </c:ext>
            <c:ext xmlns:c16="http://schemas.microsoft.com/office/drawing/2014/chart" uri="{C3380CC4-5D6E-409C-BE32-E72D297353CC}">
              <c16:uniqueId val="{00000000-E600-4A00-8E7B-AE1944C34D91}"/>
            </c:ext>
          </c:extLst>
        </c:ser>
        <c:ser>
          <c:idx val="1"/>
          <c:order val="1"/>
          <c:tx>
            <c:strRef>
              <c:f>'Executive Dashboard (2)'!$J$9</c:f>
              <c:strCache>
                <c:ptCount val="1"/>
                <c:pt idx="0">
                  <c:v>High Risk</c:v>
                </c:pt>
              </c:strCache>
            </c:strRef>
          </c:tx>
          <c:spPr>
            <a:solidFill>
              <a:srgbClr val="C00000"/>
            </a:solidFill>
            <a:ln>
              <a:solidFill>
                <a:srgbClr val="FFFFFF"/>
              </a:solidFill>
              <a:prstDash val="solid"/>
            </a:ln>
          </c:spPr>
          <c:invertIfNegative val="1"/>
          <c:dLbls>
            <c:spPr>
              <a:noFill/>
              <a:ln>
                <a:noFill/>
                <a:prstDash val="solid"/>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'Executive Dashboard (2)'!$H$10:$H$17</c:f>
              <c:strCache>
                <c:ptCount val="8"/>
                <c:pt idx="0">
                  <c:v>ASP Go-Live</c:v>
                </c:pt>
                <c:pt idx="1">
                  <c:v>Governance</c:v>
                </c:pt>
                <c:pt idx="2">
                  <c:v>Cost Reduction</c:v>
                </c:pt>
                <c:pt idx="3">
                  <c:v>People &amp; Culture</c:v>
                </c:pt>
                <c:pt idx="4">
                  <c:v>Sierra Growth</c:v>
                </c:pt>
                <c:pt idx="5">
                  <c:v>Federal Licence</c:v>
                </c:pt>
                <c:pt idx="6">
                  <c:v>Food Safety</c:v>
                </c:pt>
                <c:pt idx="7">
                  <c:v>Commercial Growth</c:v>
                </c:pt>
              </c:strCache>
            </c:strRef>
          </c:cat>
          <c:val>
            <c:numRef>
              <c:f>'Executive Dashboard (2)'!$J$10:$J$17</c:f>
              <c:numCache>
                <c:formatCode>0</c:formatCode>
                <c:ptCount val="8"/>
                <c:pt idx="0">
                  <c:v>4</c:v>
                </c:pt>
                <c:pt idx="1">
                  <c:v>1</c:v>
                </c:pt>
                <c:pt idx="2">
                  <c:v>1</c:v>
                </c:pt>
                <c:pt idx="3">
                  <c:v>3</c:v>
                </c:pt>
                <c:pt idx="4">
                  <c:v>0</c:v>
                </c:pt>
                <c:pt idx="5">
                  <c:v>0</c:v>
                </c:pt>
                <c:pt idx="6">
                  <c:v>0</c:v>
                </c:pt>
                <c:pt idx="7">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FFFFF"/>
                    </a:solidFill>
                    <a:prstDash val="solid"/>
                  </a:ln>
                </c14:spPr>
              </c14:invertSolidFillFmt>
            </c:ext>
            <c:ext xmlns:c16="http://schemas.microsoft.com/office/drawing/2014/chart" uri="{C3380CC4-5D6E-409C-BE32-E72D297353CC}">
              <c16:uniqueId val="{00000001-E600-4A00-8E7B-AE1944C34D91}"/>
            </c:ext>
          </c:extLst>
        </c:ser>
        <c:ser>
          <c:idx val="2"/>
          <c:order val="2"/>
          <c:tx>
            <c:strRef>
              <c:f>'Executive Dashboard (2)'!$K$9</c:f>
              <c:strCache>
                <c:ptCount val="1"/>
                <c:pt idx="0">
                  <c:v>Escalations</c:v>
                </c:pt>
              </c:strCache>
            </c:strRef>
          </c:tx>
          <c:spPr>
            <a:solidFill>
              <a:srgbClr val="ED7D31"/>
            </a:solidFill>
            <a:ln>
              <a:solidFill>
                <a:srgbClr val="FFFFFF"/>
              </a:solidFill>
              <a:prstDash val="solid"/>
            </a:ln>
          </c:spPr>
          <c:invertIfNegative val="1"/>
          <c:dLbls>
            <c:spPr>
              <a:noFill/>
              <a:ln>
                <a:noFill/>
                <a:prstDash val="solid"/>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'Executive Dashboard (2)'!$H$10:$H$17</c:f>
              <c:strCache>
                <c:ptCount val="8"/>
                <c:pt idx="0">
                  <c:v>ASP Go-Live</c:v>
                </c:pt>
                <c:pt idx="1">
                  <c:v>Governance</c:v>
                </c:pt>
                <c:pt idx="2">
                  <c:v>Cost Reduction</c:v>
                </c:pt>
                <c:pt idx="3">
                  <c:v>People &amp; Culture</c:v>
                </c:pt>
                <c:pt idx="4">
                  <c:v>Sierra Growth</c:v>
                </c:pt>
                <c:pt idx="5">
                  <c:v>Federal Licence</c:v>
                </c:pt>
                <c:pt idx="6">
                  <c:v>Food Safety</c:v>
                </c:pt>
                <c:pt idx="7">
                  <c:v>Commercial Growth</c:v>
                </c:pt>
              </c:strCache>
            </c:strRef>
          </c:cat>
          <c:val>
            <c:numRef>
              <c:f>'Executive Dashboard (2)'!$K$10:$K$17</c:f>
              <c:numCache>
                <c:formatCode>0</c:formatCode>
                <c:ptCount val="8"/>
                <c:pt idx="0">
                  <c:v>2</c:v>
                </c:pt>
                <c:pt idx="1">
                  <c:v>2</c:v>
                </c:pt>
                <c:pt idx="2">
                  <c:v>2</c:v>
                </c:pt>
                <c:pt idx="3">
                  <c:v>3</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FFFFF"/>
                    </a:solidFill>
                    <a:prstDash val="solid"/>
                  </a:ln>
                </c14:spPr>
              </c14:invertSolidFillFmt>
            </c:ext>
            <c:ext xmlns:c16="http://schemas.microsoft.com/office/drawing/2014/chart" uri="{C3380CC4-5D6E-409C-BE32-E72D297353CC}">
              <c16:uniqueId val="{00000002-E600-4A00-8E7B-AE1944C34D91}"/>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US"/>
                  <a:t>Strategic objective</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Item count</a:t>
                </a:r>
              </a:p>
            </c:rich>
          </c:tx>
          <c:overlay val="1"/>
        </c:title>
        <c:numFmt formatCode="0" sourceLinked="1"/>
        <c:majorTickMark val="none"/>
        <c:minorTickMark val="none"/>
        <c:tickLblPos val="nextTo"/>
        <c:crossAx val="10"/>
        <c:crosses val="autoZero"/>
        <c:crossBetween val="between"/>
      </c:valAx>
    </c:plotArea>
    <c:legend>
      <c:legendPos val="r"/>
      <c:layout>
        <c:manualLayout>
          <c:xMode val="edge"/>
          <c:yMode val="edge"/>
          <c:x val="0.82476338582677178"/>
          <c:y val="0.36750236220472438"/>
          <c:w val="0.16023661417322829"/>
          <c:h val="0.2169949606299213"/>
        </c:manualLayout>
      </c:layout>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Open Actions by SLT Member</a:t>
            </a:r>
          </a:p>
        </c:rich>
      </c:tx>
      <c:overlay val="1"/>
    </c:title>
    <c:autoTitleDeleted val="0"/>
    <c:plotArea>
      <c:layout>
        <c:manualLayout>
          <c:layoutTarget val="inner"/>
          <c:xMode val="edge"/>
          <c:yMode val="edge"/>
          <c:x val="7.9518072289156624E-2"/>
          <c:y val="7.3126142595978064E-2"/>
          <c:w val="0.73012048192771073"/>
          <c:h val="0.81718464351005482"/>
        </c:manualLayout>
      </c:layout>
      <c:barChart>
        <c:barDir val="col"/>
        <c:grouping val="stacked"/>
        <c:varyColors val="1"/>
        <c:ser>
          <c:idx val="0"/>
          <c:order val="0"/>
          <c:tx>
            <c:strRef>
              <c:f>'Executive Dashboard'!$B$9</c:f>
              <c:strCache>
                <c:ptCount val="1"/>
                <c:pt idx="0">
                  <c:v>Open</c:v>
                </c:pt>
              </c:strCache>
            </c:strRef>
          </c:tx>
          <c:spPr>
            <a:solidFill>
              <a:srgbClr val="4472C4"/>
            </a:solidFill>
            <a:ln>
              <a:solidFill>
                <a:srgbClr val="FFFFFF"/>
              </a:solidFill>
              <a:prstDash val="solid"/>
            </a:ln>
          </c:spPr>
          <c:invertIfNegative val="1"/>
          <c:dLbls>
            <c:dLbl>
              <c:idx val="0"/>
              <c:spPr>
                <a:solidFill>
                  <a:schemeClr val="bg2">
                    <a:alpha val="50000"/>
                    <a:lumMod val="50000"/>
                  </a:schemeClr>
                </a:solidFill>
                <a:ln>
                  <a:prstDash val="solid"/>
                </a:ln>
              </c:spPr>
              <c:txPr>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D8F-4DB4-97D9-6DF08311974E}"/>
                </c:ext>
              </c:extLst>
            </c:dLbl>
            <c:dLbl>
              <c:idx val="1"/>
              <c:spPr>
                <a:solidFill>
                  <a:srgbClr val="F9B277"/>
                </a:solidFill>
                <a:ln>
                  <a:prstDash val="solid"/>
                </a:ln>
              </c:spPr>
              <c:txPr>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D8F-4DB4-97D9-6DF08311974E}"/>
                </c:ext>
              </c:extLst>
            </c:dLbl>
            <c:dLbl>
              <c:idx val="2"/>
              <c:spPr>
                <a:solidFill>
                  <a:schemeClr val="accent5">
                    <a:alpha val="50000"/>
                    <a:lumMod val="60000"/>
                    <a:lumOff val="40000"/>
                  </a:schemeClr>
                </a:solidFill>
                <a:ln>
                  <a:prstDash val="solid"/>
                </a:ln>
              </c:spPr>
              <c:txPr>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D8F-4DB4-97D9-6DF08311974E}"/>
                </c:ext>
              </c:extLst>
            </c:dLbl>
            <c:dLbl>
              <c:idx val="3"/>
              <c:spPr>
                <a:solidFill>
                  <a:schemeClr val="accent3">
                    <a:alpha val="50000"/>
                    <a:lumMod val="60000"/>
                    <a:lumOff val="40000"/>
                  </a:schemeClr>
                </a:solidFill>
                <a:ln>
                  <a:prstDash val="solid"/>
                </a:ln>
              </c:spPr>
              <c:txPr>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D8F-4DB4-97D9-6DF08311974E}"/>
                </c:ext>
              </c:extLst>
            </c:dLbl>
            <c:dLbl>
              <c:idx val="4"/>
              <c:spPr>
                <a:solidFill>
                  <a:schemeClr val="tx2">
                    <a:alpha val="50000"/>
                    <a:lumMod val="60000"/>
                    <a:lumOff val="40000"/>
                  </a:schemeClr>
                </a:solidFill>
                <a:ln>
                  <a:prstDash val="solid"/>
                </a:ln>
              </c:spPr>
              <c:txPr>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D8F-4DB4-97D9-6DF08311974E}"/>
                </c:ext>
              </c:extLst>
            </c:dLbl>
            <c:dLbl>
              <c:idx val="5"/>
              <c:spPr>
                <a:solidFill>
                  <a:schemeClr val="accent4">
                    <a:alpha val="50000"/>
                    <a:lumMod val="75000"/>
                  </a:schemeClr>
                </a:solidFill>
                <a:ln>
                  <a:prstDash val="solid"/>
                </a:ln>
              </c:spPr>
              <c:txPr>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D8F-4DB4-97D9-6DF08311974E}"/>
                </c:ext>
              </c:extLst>
            </c:dLbl>
            <c:dLbl>
              <c:idx val="6"/>
              <c:spPr>
                <a:solidFill>
                  <a:schemeClr val="accent2">
                    <a:alpha val="50000"/>
                    <a:lumMod val="60000"/>
                    <a:lumOff val="40000"/>
                  </a:schemeClr>
                </a:solidFill>
                <a:ln>
                  <a:prstDash val="solid"/>
                </a:ln>
              </c:spPr>
              <c:txPr>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D8F-4DB4-97D9-6DF08311974E}"/>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D8F-4DB4-97D9-6DF08311974E}"/>
                </c:ext>
              </c:extLst>
            </c:dLbl>
            <c:spPr>
              <a:solidFill>
                <a:sysClr val="window" lastClr="FFFFFF"/>
              </a:solidFill>
              <a:ln>
                <a:solidFill>
                  <a:sysClr val="windowText" lastClr="000000">
                    <a:lumOff val="35000"/>
                    <a:lumMod val="65000"/>
                  </a:sysClr>
                </a:solidFill>
                <a:prstDash val="solid"/>
              </a:ln>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'Executive Dashboard'!$A$10:$A$17</c:f>
              <c:strCache>
                <c:ptCount val="8"/>
                <c:pt idx="0">
                  <c:v>Gene</c:v>
                </c:pt>
                <c:pt idx="1">
                  <c:v>Dave</c:v>
                </c:pt>
                <c:pt idx="2">
                  <c:v>Maurizio</c:v>
                </c:pt>
                <c:pt idx="3">
                  <c:v>Tom</c:v>
                </c:pt>
                <c:pt idx="4">
                  <c:v>Tony</c:v>
                </c:pt>
                <c:pt idx="5">
                  <c:v>Sherry</c:v>
                </c:pt>
                <c:pt idx="6">
                  <c:v>Sandy</c:v>
                </c:pt>
                <c:pt idx="7">
                  <c:v>Other</c:v>
                </c:pt>
              </c:strCache>
            </c:strRef>
          </c:cat>
          <c:val>
            <c:numRef>
              <c:f>'Executive Dashboard'!$B$10:$B$17</c:f>
              <c:numCache>
                <c:formatCode>0</c:formatCode>
                <c:ptCount val="8"/>
                <c:pt idx="0">
                  <c:v>4</c:v>
                </c:pt>
                <c:pt idx="1">
                  <c:v>7</c:v>
                </c:pt>
                <c:pt idx="2">
                  <c:v>1</c:v>
                </c:pt>
                <c:pt idx="3">
                  <c:v>5</c:v>
                </c:pt>
                <c:pt idx="4">
                  <c:v>1</c:v>
                </c:pt>
                <c:pt idx="5">
                  <c:v>3</c:v>
                </c:pt>
                <c:pt idx="6">
                  <c:v>0</c:v>
                </c:pt>
                <c:pt idx="7">
                  <c:v>8</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FFFFF"/>
                    </a:solidFill>
                    <a:prstDash val="solid"/>
                  </a:ln>
                </c14:spPr>
              </c14:invertSolidFillFmt>
            </c:ext>
            <c:ext xmlns:c16="http://schemas.microsoft.com/office/drawing/2014/chart" uri="{C3380CC4-5D6E-409C-BE32-E72D297353CC}">
              <c16:uniqueId val="{00000008-ED8F-4DB4-97D9-6DF08311974E}"/>
            </c:ext>
          </c:extLst>
        </c:ser>
        <c:ser>
          <c:idx val="1"/>
          <c:order val="1"/>
          <c:tx>
            <c:strRef>
              <c:f>'Executive Dashboard'!$C$9</c:f>
              <c:strCache>
                <c:ptCount val="1"/>
                <c:pt idx="0">
                  <c:v>Overdue</c:v>
                </c:pt>
              </c:strCache>
            </c:strRef>
          </c:tx>
          <c:spPr>
            <a:solidFill>
              <a:srgbClr val="C00000"/>
            </a:solidFill>
            <a:ln>
              <a:solidFill>
                <a:srgbClr val="FFFFFF"/>
              </a:solidFill>
              <a:prstDash val="solid"/>
            </a:ln>
          </c:spPr>
          <c:invertIfNegative val="1"/>
          <c:dLbls>
            <c:dLbl>
              <c:idx val="3"/>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9-ED8F-4DB4-97D9-6DF08311974E}"/>
                </c:ext>
              </c:extLst>
            </c:dLbl>
            <c:spPr>
              <a:noFill/>
              <a:ln>
                <a:no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'Executive Dashboard'!$A$10:$A$17</c:f>
              <c:strCache>
                <c:ptCount val="8"/>
                <c:pt idx="0">
                  <c:v>Gene</c:v>
                </c:pt>
                <c:pt idx="1">
                  <c:v>Dave</c:v>
                </c:pt>
                <c:pt idx="2">
                  <c:v>Maurizio</c:v>
                </c:pt>
                <c:pt idx="3">
                  <c:v>Tom</c:v>
                </c:pt>
                <c:pt idx="4">
                  <c:v>Tony</c:v>
                </c:pt>
                <c:pt idx="5">
                  <c:v>Sherry</c:v>
                </c:pt>
                <c:pt idx="6">
                  <c:v>Sandy</c:v>
                </c:pt>
                <c:pt idx="7">
                  <c:v>Other</c:v>
                </c:pt>
              </c:strCache>
            </c:strRef>
          </c:cat>
          <c:val>
            <c:numRef>
              <c:f>'Executive Dashboard'!$C$10:$C$17</c:f>
              <c:numCache>
                <c:formatCode>0</c:formatCode>
                <c:ptCount val="8"/>
                <c:pt idx="0">
                  <c:v>4</c:v>
                </c:pt>
                <c:pt idx="1">
                  <c:v>4</c:v>
                </c:pt>
                <c:pt idx="2">
                  <c:v>0</c:v>
                </c:pt>
                <c:pt idx="3">
                  <c:v>0</c:v>
                </c:pt>
                <c:pt idx="4">
                  <c:v>1</c:v>
                </c:pt>
                <c:pt idx="5">
                  <c:v>0</c:v>
                </c:pt>
                <c:pt idx="6">
                  <c:v>0</c:v>
                </c:pt>
                <c:pt idx="7">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FFFFF"/>
                    </a:solidFill>
                    <a:prstDash val="solid"/>
                  </a:ln>
                </c14:spPr>
              </c14:invertSolidFillFmt>
            </c:ext>
            <c:ext xmlns:c16="http://schemas.microsoft.com/office/drawing/2014/chart" uri="{C3380CC4-5D6E-409C-BE32-E72D297353CC}">
              <c16:uniqueId val="{0000000A-ED8F-4DB4-97D9-6DF08311974E}"/>
            </c:ext>
          </c:extLst>
        </c:ser>
        <c:ser>
          <c:idx val="2"/>
          <c:order val="2"/>
          <c:tx>
            <c:strRef>
              <c:f>'Executive Dashboard'!$G$9</c:f>
              <c:strCache>
                <c:ptCount val="1"/>
                <c:pt idx="0">
                  <c:v>At Risk / Stuck</c:v>
                </c:pt>
              </c:strCache>
            </c:strRef>
          </c:tx>
          <c:spPr>
            <a:solidFill>
              <a:srgbClr val="ED7D31"/>
            </a:solidFill>
            <a:ln>
              <a:solidFill>
                <a:srgbClr val="FFFFFF"/>
              </a:solidFill>
              <a:prstDash val="solid"/>
            </a:ln>
          </c:spPr>
          <c:invertIfNegative val="1"/>
          <c:cat>
            <c:strRef>
              <c:f>'Executive Dashboard'!$A$10:$A$17</c:f>
              <c:strCache>
                <c:ptCount val="8"/>
                <c:pt idx="0">
                  <c:v>Gene</c:v>
                </c:pt>
                <c:pt idx="1">
                  <c:v>Dave</c:v>
                </c:pt>
                <c:pt idx="2">
                  <c:v>Maurizio</c:v>
                </c:pt>
                <c:pt idx="3">
                  <c:v>Tom</c:v>
                </c:pt>
                <c:pt idx="4">
                  <c:v>Tony</c:v>
                </c:pt>
                <c:pt idx="5">
                  <c:v>Sherry</c:v>
                </c:pt>
                <c:pt idx="6">
                  <c:v>Sandy</c:v>
                </c:pt>
                <c:pt idx="7">
                  <c:v>Other</c:v>
                </c:pt>
              </c:strCache>
            </c:strRef>
          </c:cat>
          <c:val>
            <c:numRef>
              <c:f>'Executive Dashboard'!$G$10:$G$17</c:f>
              <c:numCache>
                <c:formatCode>0</c:formatCode>
                <c:ptCount val="8"/>
                <c:pt idx="0">
                  <c:v>0</c:v>
                </c:pt>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FFFFF"/>
                    </a:solidFill>
                    <a:prstDash val="solid"/>
                  </a:ln>
                </c14:spPr>
              </c14:invertSolidFillFmt>
            </c:ext>
            <c:ext xmlns:c16="http://schemas.microsoft.com/office/drawing/2014/chart" uri="{C3380CC4-5D6E-409C-BE32-E72D297353CC}">
              <c16:uniqueId val="{0000000B-ED8F-4DB4-97D9-6DF08311974E}"/>
            </c:ext>
          </c:extLst>
        </c:ser>
        <c:ser>
          <c:idx val="3"/>
          <c:order val="3"/>
          <c:tx>
            <c:strRef>
              <c:f>'Executive Dashboard'!$H$9</c:f>
              <c:strCache>
                <c:ptCount val="1"/>
                <c:pt idx="0">
                  <c:v>Escalations</c:v>
                </c:pt>
              </c:strCache>
            </c:strRef>
          </c:tx>
          <c:spPr>
            <a:solidFill>
              <a:srgbClr val="70AD47"/>
            </a:solidFill>
            <a:ln>
              <a:solidFill>
                <a:srgbClr val="FFFFFF"/>
              </a:solidFill>
              <a:prstDash val="solid"/>
            </a:ln>
          </c:spPr>
          <c:invertIfNegative val="1"/>
          <c:dLbls>
            <c:spPr>
              <a:noFill/>
              <a:ln>
                <a:noFill/>
                <a:prstDash val="solid"/>
              </a:ln>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'Executive Dashboard'!$A$10:$A$17</c:f>
              <c:strCache>
                <c:ptCount val="8"/>
                <c:pt idx="0">
                  <c:v>Gene</c:v>
                </c:pt>
                <c:pt idx="1">
                  <c:v>Dave</c:v>
                </c:pt>
                <c:pt idx="2">
                  <c:v>Maurizio</c:v>
                </c:pt>
                <c:pt idx="3">
                  <c:v>Tom</c:v>
                </c:pt>
                <c:pt idx="4">
                  <c:v>Tony</c:v>
                </c:pt>
                <c:pt idx="5">
                  <c:v>Sherry</c:v>
                </c:pt>
                <c:pt idx="6">
                  <c:v>Sandy</c:v>
                </c:pt>
                <c:pt idx="7">
                  <c:v>Other</c:v>
                </c:pt>
              </c:strCache>
            </c:strRef>
          </c:cat>
          <c:val>
            <c:numRef>
              <c:f>'Executive Dashboard'!$H$10:$H$17</c:f>
              <c:numCache>
                <c:formatCode>0</c:formatCode>
                <c:ptCount val="8"/>
                <c:pt idx="0">
                  <c:v>0</c:v>
                </c:pt>
                <c:pt idx="1">
                  <c:v>1</c:v>
                </c:pt>
                <c:pt idx="2">
                  <c:v>0</c:v>
                </c:pt>
                <c:pt idx="3">
                  <c:v>0</c:v>
                </c:pt>
                <c:pt idx="4">
                  <c:v>0</c:v>
                </c:pt>
                <c:pt idx="5">
                  <c:v>1</c:v>
                </c:pt>
                <c:pt idx="6">
                  <c:v>0</c:v>
                </c:pt>
                <c:pt idx="7">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FFFFF"/>
                    </a:solidFill>
                    <a:prstDash val="solid"/>
                  </a:ln>
                </c14:spPr>
              </c14:invertSolidFillFmt>
            </c:ext>
            <c:ext xmlns:c16="http://schemas.microsoft.com/office/drawing/2014/chart" uri="{C3380CC4-5D6E-409C-BE32-E72D297353CC}">
              <c16:uniqueId val="{0000000C-ED8F-4DB4-97D9-6DF08311974E}"/>
            </c:ext>
          </c:extLst>
        </c:ser>
        <c:ser>
          <c:idx val="4"/>
          <c:order val="4"/>
          <c:tx>
            <c:strRef>
              <c:f>'Executive Dashboard'!$F$9</c:f>
              <c:strCache>
                <c:ptCount val="1"/>
                <c:pt idx="0">
                  <c:v>High Risk</c:v>
                </c:pt>
              </c:strCache>
            </c:strRef>
          </c:tx>
          <c:spPr>
            <a:solidFill>
              <a:srgbClr val="7030A0"/>
            </a:solidFill>
            <a:ln>
              <a:solidFill>
                <a:srgbClr val="FFFFFF"/>
              </a:solidFill>
              <a:prstDash val="solid"/>
            </a:ln>
          </c:spPr>
          <c:invertIfNegative val="1"/>
          <c:dLbls>
            <c:spPr>
              <a:noFill/>
              <a:ln>
                <a:noFill/>
                <a:prstDash val="solid"/>
              </a:ln>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'Executive Dashboard'!$A$10:$A$17</c:f>
              <c:strCache>
                <c:ptCount val="8"/>
                <c:pt idx="0">
                  <c:v>Gene</c:v>
                </c:pt>
                <c:pt idx="1">
                  <c:v>Dave</c:v>
                </c:pt>
                <c:pt idx="2">
                  <c:v>Maurizio</c:v>
                </c:pt>
                <c:pt idx="3">
                  <c:v>Tom</c:v>
                </c:pt>
                <c:pt idx="4">
                  <c:v>Tony</c:v>
                </c:pt>
                <c:pt idx="5">
                  <c:v>Sherry</c:v>
                </c:pt>
                <c:pt idx="6">
                  <c:v>Sandy</c:v>
                </c:pt>
                <c:pt idx="7">
                  <c:v>Other</c:v>
                </c:pt>
              </c:strCache>
            </c:strRef>
          </c:cat>
          <c:val>
            <c:numRef>
              <c:f>'Executive Dashboard'!$F$9</c:f>
              <c:numCache>
                <c:formatCode>General</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FFFFF"/>
                    </a:solidFill>
                    <a:prstDash val="solid"/>
                  </a:ln>
                </c14:spPr>
              </c14:invertSolidFillFmt>
            </c:ext>
            <c:ext xmlns:c16="http://schemas.microsoft.com/office/drawing/2014/chart" uri="{C3380CC4-5D6E-409C-BE32-E72D297353CC}">
              <c16:uniqueId val="{0000000D-ED8F-4DB4-97D9-6DF08311974E}"/>
            </c:ext>
          </c:extLst>
        </c:ser>
        <c:dLbls>
          <c:showLegendKey val="0"/>
          <c:showVal val="0"/>
          <c:showCatName val="0"/>
          <c:showSerName val="0"/>
          <c:showPercent val="0"/>
          <c:showBubbleSize val="0"/>
        </c:dLbls>
        <c:gapWidth val="150"/>
        <c:overlap val="100"/>
        <c:axId val="10"/>
        <c:axId val="100"/>
      </c:barChart>
      <c:catAx>
        <c:axId val="10"/>
        <c:scaling>
          <c:orientation val="minMax"/>
        </c:scaling>
        <c:delete val="0"/>
        <c:axPos val="b"/>
        <c:title>
          <c:tx>
            <c:rich>
              <a:bodyPr/>
              <a:lstStyle/>
              <a:p>
                <a:pPr>
                  <a:defRPr/>
                </a:pPr>
                <a:r>
                  <a:rPr lang="en-US"/>
                  <a:t>SLT member</a:t>
                </a:r>
              </a:p>
            </c:rich>
          </c:tx>
          <c:layout>
            <c:manualLayout>
              <c:xMode val="edge"/>
              <c:yMode val="edge"/>
              <c:x val="0.37539151883123051"/>
              <c:y val="0.9378427787934186"/>
            </c:manualLayout>
          </c:layout>
          <c:overlay val="1"/>
        </c:title>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Open action count</a:t>
                </a:r>
              </a:p>
            </c:rich>
          </c:tx>
          <c:overlay val="1"/>
        </c:title>
        <c:numFmt formatCode="0" sourceLinked="1"/>
        <c:majorTickMark val="out"/>
        <c:minorTickMark val="none"/>
        <c:tickLblPos val="nextTo"/>
        <c:crossAx val="10"/>
        <c:crosses val="autoZero"/>
        <c:crossBetween val="between"/>
      </c:valAx>
    </c:plotArea>
    <c:legend>
      <c:legendPos val="r"/>
      <c:layout>
        <c:manualLayout>
          <c:xMode val="edge"/>
          <c:yMode val="edge"/>
          <c:x val="0.80984403756759316"/>
          <c:y val="2.392203716765753E-2"/>
          <c:w val="0.18292704676975621"/>
          <c:h val="0.40370956829665028"/>
        </c:manualLayout>
      </c:layout>
      <c:overlay val="1"/>
      <c:spPr>
        <a:solidFill>
          <a:schemeClr val="bg2">
            <a:lumMod val="90000"/>
          </a:schemeClr>
        </a:solidFill>
        <a:ln>
          <a:solidFill>
            <a:schemeClr val="bg2">
              <a:lumMod val="75000"/>
            </a:schemeClr>
          </a:solidFill>
          <a:prstDash val="solid"/>
        </a:ln>
      </c:spPr>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Strategic Objective Risk Summary</a:t>
            </a:r>
          </a:p>
        </c:rich>
      </c:tx>
      <c:overlay val="1"/>
    </c:title>
    <c:autoTitleDeleted val="0"/>
    <c:plotArea>
      <c:layout>
        <c:manualLayout>
          <c:layoutTarget val="inner"/>
          <c:xMode val="edge"/>
          <c:yMode val="edge"/>
          <c:x val="3.1741382511673868E-2"/>
          <c:y val="4.0515550443924228E-2"/>
          <c:w val="0.65970610705908594"/>
          <c:h val="0.84504920009824891"/>
        </c:manualLayout>
      </c:layout>
      <c:barChart>
        <c:barDir val="col"/>
        <c:grouping val="stacked"/>
        <c:varyColors val="1"/>
        <c:ser>
          <c:idx val="0"/>
          <c:order val="0"/>
          <c:tx>
            <c:strRef>
              <c:f>'Executive Dashboard'!$J$10</c:f>
              <c:strCache>
                <c:ptCount val="1"/>
                <c:pt idx="0">
                  <c:v>ASP Go-Live</c:v>
                </c:pt>
              </c:strCache>
            </c:strRef>
          </c:tx>
          <c:spPr>
            <a:solidFill>
              <a:srgbClr val="4472C4"/>
            </a:solidFill>
            <a:ln>
              <a:solidFill>
                <a:srgbClr val="FFFFFF"/>
              </a:solidFill>
              <a:prstDash val="solid"/>
            </a:ln>
          </c:spPr>
          <c:invertIfNegative val="1"/>
          <c:dLbls>
            <c:spPr>
              <a:noFill/>
              <a:ln>
                <a:no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'Executive Dashboard'!$K$9:$P$9</c:f>
              <c:strCache>
                <c:ptCount val="6"/>
                <c:pt idx="0">
                  <c:v>Open Items</c:v>
                </c:pt>
                <c:pt idx="1">
                  <c:v>Overdue</c:v>
                </c:pt>
                <c:pt idx="2">
                  <c:v>Critical  priority</c:v>
                </c:pt>
                <c:pt idx="3">
                  <c:v>high priority</c:v>
                </c:pt>
                <c:pt idx="4">
                  <c:v>High Risk</c:v>
                </c:pt>
                <c:pt idx="5">
                  <c:v>Escalations</c:v>
                </c:pt>
              </c:strCache>
            </c:strRef>
          </c:cat>
          <c:val>
            <c:numRef>
              <c:f>'Executive Dashboard'!$K$10:$P$10</c:f>
              <c:numCache>
                <c:formatCode>0</c:formatCode>
                <c:ptCount val="6"/>
                <c:pt idx="0">
                  <c:v>5</c:v>
                </c:pt>
                <c:pt idx="1">
                  <c:v>0</c:v>
                </c:pt>
                <c:pt idx="2">
                  <c:v>0</c:v>
                </c:pt>
                <c:pt idx="3">
                  <c:v>1</c:v>
                </c:pt>
                <c:pt idx="4">
                  <c:v>2</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FFFFF"/>
                    </a:solidFill>
                    <a:prstDash val="solid"/>
                  </a:ln>
                </c14:spPr>
              </c14:invertSolidFillFmt>
            </c:ext>
            <c:ext xmlns:c16="http://schemas.microsoft.com/office/drawing/2014/chart" uri="{C3380CC4-5D6E-409C-BE32-E72D297353CC}">
              <c16:uniqueId val="{00000000-41DB-43E0-A434-E593C45AF313}"/>
            </c:ext>
          </c:extLst>
        </c:ser>
        <c:ser>
          <c:idx val="1"/>
          <c:order val="1"/>
          <c:tx>
            <c:strRef>
              <c:f>'Executive Dashboard'!$J$11</c:f>
              <c:strCache>
                <c:ptCount val="1"/>
                <c:pt idx="0">
                  <c:v>Governance</c:v>
                </c:pt>
              </c:strCache>
            </c:strRef>
          </c:tx>
          <c:spPr>
            <a:solidFill>
              <a:srgbClr val="C00000"/>
            </a:solidFill>
            <a:ln>
              <a:solidFill>
                <a:srgbClr val="FFFFFF"/>
              </a:solidFill>
              <a:prstDash val="solid"/>
            </a:ln>
          </c:spPr>
          <c:invertIfNegative val="1"/>
          <c:dLbls>
            <c:spPr>
              <a:noFill/>
              <a:ln>
                <a:no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'Executive Dashboard'!$K$9:$P$9</c:f>
              <c:strCache>
                <c:ptCount val="6"/>
                <c:pt idx="0">
                  <c:v>Open Items</c:v>
                </c:pt>
                <c:pt idx="1">
                  <c:v>Overdue</c:v>
                </c:pt>
                <c:pt idx="2">
                  <c:v>Critical  priority</c:v>
                </c:pt>
                <c:pt idx="3">
                  <c:v>high priority</c:v>
                </c:pt>
                <c:pt idx="4">
                  <c:v>High Risk</c:v>
                </c:pt>
                <c:pt idx="5">
                  <c:v>Escalations</c:v>
                </c:pt>
              </c:strCache>
            </c:strRef>
          </c:cat>
          <c:val>
            <c:numRef>
              <c:f>'Executive Dashboard'!$K$11:$P$11</c:f>
              <c:numCache>
                <c:formatCode>0</c:formatCode>
                <c:ptCount val="6"/>
                <c:pt idx="0">
                  <c:v>6</c:v>
                </c:pt>
                <c:pt idx="1">
                  <c:v>3</c:v>
                </c:pt>
                <c:pt idx="2">
                  <c:v>0</c:v>
                </c:pt>
                <c:pt idx="3">
                  <c:v>0</c:v>
                </c:pt>
                <c:pt idx="4">
                  <c:v>0</c:v>
                </c:pt>
                <c:pt idx="5">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FFFFF"/>
                    </a:solidFill>
                    <a:prstDash val="solid"/>
                  </a:ln>
                </c14:spPr>
              </c14:invertSolidFillFmt>
            </c:ext>
            <c:ext xmlns:c16="http://schemas.microsoft.com/office/drawing/2014/chart" uri="{C3380CC4-5D6E-409C-BE32-E72D297353CC}">
              <c16:uniqueId val="{00000001-41DB-43E0-A434-E593C45AF313}"/>
            </c:ext>
          </c:extLst>
        </c:ser>
        <c:ser>
          <c:idx val="2"/>
          <c:order val="2"/>
          <c:tx>
            <c:strRef>
              <c:f>'Executive Dashboard'!$J$12</c:f>
              <c:strCache>
                <c:ptCount val="1"/>
                <c:pt idx="0">
                  <c:v>Cost Reduction</c:v>
                </c:pt>
              </c:strCache>
            </c:strRef>
          </c:tx>
          <c:spPr>
            <a:solidFill>
              <a:srgbClr val="ED7D31"/>
            </a:solidFill>
            <a:ln>
              <a:solidFill>
                <a:srgbClr val="FFFFFF"/>
              </a:solidFill>
              <a:prstDash val="solid"/>
            </a:ln>
          </c:spPr>
          <c:invertIfNegative val="1"/>
          <c:dLbls>
            <c:spPr>
              <a:noFill/>
              <a:ln>
                <a:no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'Executive Dashboard'!$K$9:$P$9</c:f>
              <c:strCache>
                <c:ptCount val="6"/>
                <c:pt idx="0">
                  <c:v>Open Items</c:v>
                </c:pt>
                <c:pt idx="1">
                  <c:v>Overdue</c:v>
                </c:pt>
                <c:pt idx="2">
                  <c:v>Critical  priority</c:v>
                </c:pt>
                <c:pt idx="3">
                  <c:v>high priority</c:v>
                </c:pt>
                <c:pt idx="4">
                  <c:v>High Risk</c:v>
                </c:pt>
                <c:pt idx="5">
                  <c:v>Escalations</c:v>
                </c:pt>
              </c:strCache>
            </c:strRef>
          </c:cat>
          <c:val>
            <c:numRef>
              <c:f>'Executive Dashboard'!$K$12:$P$12</c:f>
              <c:numCache>
                <c:formatCode>0</c:formatCode>
                <c:ptCount val="6"/>
                <c:pt idx="0">
                  <c:v>2</c:v>
                </c:pt>
                <c:pt idx="1">
                  <c:v>1</c:v>
                </c:pt>
                <c:pt idx="2">
                  <c:v>0</c:v>
                </c:pt>
                <c:pt idx="3">
                  <c:v>1</c:v>
                </c:pt>
                <c:pt idx="4">
                  <c:v>0</c:v>
                </c:pt>
                <c:pt idx="5">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FFFFF"/>
                    </a:solidFill>
                    <a:prstDash val="solid"/>
                  </a:ln>
                </c14:spPr>
              </c14:invertSolidFillFmt>
            </c:ext>
            <c:ext xmlns:c16="http://schemas.microsoft.com/office/drawing/2014/chart" uri="{C3380CC4-5D6E-409C-BE32-E72D297353CC}">
              <c16:uniqueId val="{00000002-41DB-43E0-A434-E593C45AF313}"/>
            </c:ext>
          </c:extLst>
        </c:ser>
        <c:ser>
          <c:idx val="3"/>
          <c:order val="3"/>
          <c:tx>
            <c:strRef>
              <c:f>'Executive Dashboard'!$J$13</c:f>
              <c:strCache>
                <c:ptCount val="1"/>
                <c:pt idx="0">
                  <c:v>People &amp; Culture</c:v>
                </c:pt>
              </c:strCache>
            </c:strRef>
          </c:tx>
          <c:spPr>
            <a:ln>
              <a:prstDash val="solid"/>
            </a:ln>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1DB-43E0-A434-E593C45AF313}"/>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1DB-43E0-A434-E593C45AF313}"/>
                </c:ext>
              </c:extLst>
            </c:dLbl>
            <c:spPr>
              <a:noFill/>
              <a:ln>
                <a:noFill/>
                <a:prstDash val="solid"/>
              </a:ln>
            </c:spPr>
            <c:showLegendKey val="0"/>
            <c:showVal val="0"/>
            <c:showCatName val="0"/>
            <c:showSerName val="0"/>
            <c:showPercent val="0"/>
            <c:showBubbleSize val="0"/>
            <c:extLst>
              <c:ext xmlns:c15="http://schemas.microsoft.com/office/drawing/2012/chart" uri="{CE6537A1-D6FC-4f65-9D91-7224C49458BB}">
                <c15:showLeaderLines val="0"/>
              </c:ext>
            </c:extLst>
          </c:dLbls>
          <c:cat>
            <c:strRef>
              <c:f>'Executive Dashboard'!$K$9:$P$9</c:f>
              <c:strCache>
                <c:ptCount val="6"/>
                <c:pt idx="0">
                  <c:v>Open Items</c:v>
                </c:pt>
                <c:pt idx="1">
                  <c:v>Overdue</c:v>
                </c:pt>
                <c:pt idx="2">
                  <c:v>Critical  priority</c:v>
                </c:pt>
                <c:pt idx="3">
                  <c:v>high priority</c:v>
                </c:pt>
                <c:pt idx="4">
                  <c:v>High Risk</c:v>
                </c:pt>
                <c:pt idx="5">
                  <c:v>Escalations</c:v>
                </c:pt>
              </c:strCache>
            </c:strRef>
          </c:cat>
          <c:val>
            <c:numRef>
              <c:f>'Executive Dashboard'!$K$13:$P$13</c:f>
              <c:numCache>
                <c:formatCode>0</c:formatCode>
                <c:ptCount val="6"/>
                <c:pt idx="0">
                  <c:v>6</c:v>
                </c:pt>
                <c:pt idx="1">
                  <c:v>4</c:v>
                </c:pt>
                <c:pt idx="2">
                  <c:v>0</c:v>
                </c:pt>
                <c:pt idx="3">
                  <c:v>2</c:v>
                </c:pt>
                <c:pt idx="4">
                  <c:v>0</c:v>
                </c:pt>
                <c:pt idx="5">
                  <c:v>0</c:v>
                </c:pt>
              </c:numCache>
            </c:numRef>
          </c:val>
          <c:extLst>
            <c:ext xmlns:c16="http://schemas.microsoft.com/office/drawing/2014/chart" uri="{C3380CC4-5D6E-409C-BE32-E72D297353CC}">
              <c16:uniqueId val="{00000005-41DB-43E0-A434-E593C45AF313}"/>
            </c:ext>
          </c:extLst>
        </c:ser>
        <c:ser>
          <c:idx val="4"/>
          <c:order val="4"/>
          <c:tx>
            <c:strRef>
              <c:f>'Executive Dashboard'!$J$14</c:f>
              <c:strCache>
                <c:ptCount val="1"/>
                <c:pt idx="0">
                  <c:v>Sierra Growth</c:v>
                </c:pt>
              </c:strCache>
            </c:strRef>
          </c:tx>
          <c:spPr>
            <a:ln>
              <a:prstDash val="solid"/>
            </a:ln>
          </c:spPr>
          <c:invertIfNegative val="0"/>
          <c:cat>
            <c:strRef>
              <c:f>'Executive Dashboard'!$K$9:$P$9</c:f>
              <c:strCache>
                <c:ptCount val="6"/>
                <c:pt idx="0">
                  <c:v>Open Items</c:v>
                </c:pt>
                <c:pt idx="1">
                  <c:v>Overdue</c:v>
                </c:pt>
                <c:pt idx="2">
                  <c:v>Critical  priority</c:v>
                </c:pt>
                <c:pt idx="3">
                  <c:v>high priority</c:v>
                </c:pt>
                <c:pt idx="4">
                  <c:v>High Risk</c:v>
                </c:pt>
                <c:pt idx="5">
                  <c:v>Escalations</c:v>
                </c:pt>
              </c:strCache>
            </c:strRef>
          </c:cat>
          <c:val>
            <c:numRef>
              <c:f>'Executive Dashboard'!$K$14:$P$14</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6-41DB-43E0-A434-E593C45AF313}"/>
            </c:ext>
          </c:extLst>
        </c:ser>
        <c:ser>
          <c:idx val="5"/>
          <c:order val="5"/>
          <c:tx>
            <c:strRef>
              <c:f>'Executive Dashboard'!$J$15</c:f>
              <c:strCache>
                <c:ptCount val="1"/>
                <c:pt idx="0">
                  <c:v>Federal Licence</c:v>
                </c:pt>
              </c:strCache>
            </c:strRef>
          </c:tx>
          <c:spPr>
            <a:ln>
              <a:prstDash val="solid"/>
            </a:ln>
          </c:spPr>
          <c:invertIfNegative val="0"/>
          <c:cat>
            <c:strRef>
              <c:f>'Executive Dashboard'!$K$9:$P$9</c:f>
              <c:strCache>
                <c:ptCount val="6"/>
                <c:pt idx="0">
                  <c:v>Open Items</c:v>
                </c:pt>
                <c:pt idx="1">
                  <c:v>Overdue</c:v>
                </c:pt>
                <c:pt idx="2">
                  <c:v>Critical  priority</c:v>
                </c:pt>
                <c:pt idx="3">
                  <c:v>high priority</c:v>
                </c:pt>
                <c:pt idx="4">
                  <c:v>High Risk</c:v>
                </c:pt>
                <c:pt idx="5">
                  <c:v>Escalations</c:v>
                </c:pt>
              </c:strCache>
            </c:strRef>
          </c:cat>
          <c:val>
            <c:numRef>
              <c:f>'Executive Dashboard'!$K$15:$P$15</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7-41DB-43E0-A434-E593C45AF313}"/>
            </c:ext>
          </c:extLst>
        </c:ser>
        <c:ser>
          <c:idx val="6"/>
          <c:order val="6"/>
          <c:tx>
            <c:strRef>
              <c:f>'Executive Dashboard'!$J$16</c:f>
              <c:strCache>
                <c:ptCount val="1"/>
                <c:pt idx="0">
                  <c:v>Food Safety</c:v>
                </c:pt>
              </c:strCache>
            </c:strRef>
          </c:tx>
          <c:spPr>
            <a:ln>
              <a:prstDash val="solid"/>
            </a:ln>
          </c:spPr>
          <c:invertIfNegative val="0"/>
          <c:cat>
            <c:strRef>
              <c:f>'Executive Dashboard'!$K$9:$P$9</c:f>
              <c:strCache>
                <c:ptCount val="6"/>
                <c:pt idx="0">
                  <c:v>Open Items</c:v>
                </c:pt>
                <c:pt idx="1">
                  <c:v>Overdue</c:v>
                </c:pt>
                <c:pt idx="2">
                  <c:v>Critical  priority</c:v>
                </c:pt>
                <c:pt idx="3">
                  <c:v>high priority</c:v>
                </c:pt>
                <c:pt idx="4">
                  <c:v>High Risk</c:v>
                </c:pt>
                <c:pt idx="5">
                  <c:v>Escalations</c:v>
                </c:pt>
              </c:strCache>
            </c:strRef>
          </c:cat>
          <c:val>
            <c:numRef>
              <c:f>'Executive Dashboard'!$K$16:$P$16</c:f>
              <c:numCache>
                <c:formatCode>0</c:formatCode>
                <c:ptCount val="6"/>
                <c:pt idx="0">
                  <c:v>1</c:v>
                </c:pt>
                <c:pt idx="1">
                  <c:v>0</c:v>
                </c:pt>
                <c:pt idx="2">
                  <c:v>0</c:v>
                </c:pt>
                <c:pt idx="3">
                  <c:v>0</c:v>
                </c:pt>
                <c:pt idx="4">
                  <c:v>0</c:v>
                </c:pt>
                <c:pt idx="5">
                  <c:v>0</c:v>
                </c:pt>
              </c:numCache>
            </c:numRef>
          </c:val>
          <c:extLst>
            <c:ext xmlns:c16="http://schemas.microsoft.com/office/drawing/2014/chart" uri="{C3380CC4-5D6E-409C-BE32-E72D297353CC}">
              <c16:uniqueId val="{00000008-41DB-43E0-A434-E593C45AF313}"/>
            </c:ext>
          </c:extLst>
        </c:ser>
        <c:ser>
          <c:idx val="7"/>
          <c:order val="7"/>
          <c:tx>
            <c:strRef>
              <c:f>'Executive Dashboard'!$J$17</c:f>
              <c:strCache>
                <c:ptCount val="1"/>
                <c:pt idx="0">
                  <c:v>Commercial Growth</c:v>
                </c:pt>
              </c:strCache>
            </c:strRef>
          </c:tx>
          <c:spPr>
            <a:ln>
              <a:prstDash val="solid"/>
            </a:ln>
          </c:spPr>
          <c:invertIfNegative val="0"/>
          <c:cat>
            <c:strRef>
              <c:f>'Executive Dashboard'!$K$9:$P$9</c:f>
              <c:strCache>
                <c:ptCount val="6"/>
                <c:pt idx="0">
                  <c:v>Open Items</c:v>
                </c:pt>
                <c:pt idx="1">
                  <c:v>Overdue</c:v>
                </c:pt>
                <c:pt idx="2">
                  <c:v>Critical  priority</c:v>
                </c:pt>
                <c:pt idx="3">
                  <c:v>high priority</c:v>
                </c:pt>
                <c:pt idx="4">
                  <c:v>High Risk</c:v>
                </c:pt>
                <c:pt idx="5">
                  <c:v>Escalations</c:v>
                </c:pt>
              </c:strCache>
            </c:strRef>
          </c:cat>
          <c:val>
            <c:numRef>
              <c:f>'Executive Dashboard'!$K$17:$P$17</c:f>
              <c:numCache>
                <c:formatCode>0</c:formatCode>
                <c:ptCount val="6"/>
                <c:pt idx="0">
                  <c:v>3</c:v>
                </c:pt>
                <c:pt idx="1">
                  <c:v>0</c:v>
                </c:pt>
                <c:pt idx="2">
                  <c:v>0</c:v>
                </c:pt>
                <c:pt idx="3">
                  <c:v>1</c:v>
                </c:pt>
                <c:pt idx="4">
                  <c:v>1</c:v>
                </c:pt>
                <c:pt idx="5">
                  <c:v>0</c:v>
                </c:pt>
              </c:numCache>
            </c:numRef>
          </c:val>
          <c:extLst>
            <c:ext xmlns:c16="http://schemas.microsoft.com/office/drawing/2014/chart" uri="{C3380CC4-5D6E-409C-BE32-E72D297353CC}">
              <c16:uniqueId val="{00000009-41DB-43E0-A434-E593C45AF313}"/>
            </c:ext>
          </c:extLst>
        </c:ser>
        <c:dLbls>
          <c:showLegendKey val="0"/>
          <c:showVal val="0"/>
          <c:showCatName val="0"/>
          <c:showSerName val="0"/>
          <c:showPercent val="0"/>
          <c:showBubbleSize val="0"/>
        </c:dLbls>
        <c:gapWidth val="150"/>
        <c:overlap val="100"/>
        <c:axId val="10"/>
        <c:axId val="100"/>
      </c:barChart>
      <c:catAx>
        <c:axId val="10"/>
        <c:scaling>
          <c:orientation val="minMax"/>
        </c:scaling>
        <c:delete val="0"/>
        <c:axPos val="b"/>
        <c:title>
          <c:tx>
            <c:rich>
              <a:bodyPr/>
              <a:lstStyle/>
              <a:p>
                <a:pPr>
                  <a:defRPr/>
                </a:pPr>
                <a:r>
                  <a:rPr lang="en-US"/>
                  <a:t>Strategic objective</a:t>
                </a:r>
              </a:p>
            </c:rich>
          </c:tx>
          <c:overlay val="1"/>
        </c:title>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Item count</a:t>
                </a:r>
              </a:p>
            </c:rich>
          </c:tx>
          <c:overlay val="1"/>
        </c:title>
        <c:numFmt formatCode="0" sourceLinked="1"/>
        <c:majorTickMark val="out"/>
        <c:minorTickMark val="none"/>
        <c:tickLblPos val="nextTo"/>
        <c:crossAx val="10"/>
        <c:crosses val="autoZero"/>
        <c:crossBetween val="between"/>
      </c:valAx>
    </c:plotArea>
    <c:legend>
      <c:legendPos val="r"/>
      <c:layout>
        <c:manualLayout>
          <c:xMode val="edge"/>
          <c:yMode val="edge"/>
          <c:x val="0.71156155216387662"/>
          <c:y val="3.2327547454358257E-2"/>
          <c:w val="0.24049881918581359"/>
          <c:h val="0.53282986035585334"/>
        </c:manualLayout>
      </c:layout>
      <c:overlay val="1"/>
      <c:spPr>
        <a:solidFill>
          <a:schemeClr val="bg2">
            <a:lumMod val="90000"/>
          </a:schemeClr>
        </a:solidFill>
        <a:ln>
          <a:prstDash val="solid"/>
        </a:ln>
      </c:spPr>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0</xdr:col>
      <xdr:colOff>0</xdr:colOff>
      <xdr:row>18</xdr:row>
      <xdr:rowOff>19050</xdr:rowOff>
    </xdr:from>
    <xdr:ext cx="5270500" cy="347345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196849</xdr:colOff>
      <xdr:row>18</xdr:row>
      <xdr:rowOff>19050</xdr:rowOff>
    </xdr:from>
    <xdr:ext cx="5080000" cy="344805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18</xdr:row>
      <xdr:rowOff>15239</xdr:rowOff>
    </xdr:from>
    <xdr:ext cx="5270500" cy="3940437"/>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600981</xdr:colOff>
      <xdr:row>17</xdr:row>
      <xdr:rowOff>332014</xdr:rowOff>
    </xdr:from>
    <xdr:ext cx="5213352" cy="4295215"/>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AMIR\SLT%20Master%20tracker%20-%20Updated\to%20add%20commitments\JW%20FINAL\SLT_Action_Tracker_Board_Ready_Executive_v4_2026_with_CommitmentTracker.xlsx" TargetMode="External"/><Relationship Id="rId1" Type="http://schemas.openxmlformats.org/officeDocument/2006/relationships/externalLinkPath" Target="file:///D:\AMIR\SLT%20Master%20tracker%20-%20Updated\to%20add%20commitments\JW%20FINAL\SLT_Action_Tracker_Board_Ready_Executive_v4_2026_with_CommitmentTrack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5-Minute Summary"/>
      <sheetName val="Board Summary (2)"/>
      <sheetName val="Executive Dashboard (2)"/>
      <sheetName val="Board Summary"/>
      <sheetName val="Executive Dashboard"/>
      <sheetName val="Action Register"/>
      <sheetName val="Commitments"/>
      <sheetName val="Decision Queue"/>
      <sheetName val="Decision Register"/>
      <sheetName val="Sheet1"/>
      <sheetName val="Decision Queue_Bak"/>
      <sheetName val="Decision Register_Bak"/>
      <sheetName val="Lists &amp; Controls"/>
      <sheetName val="Action Record Viewer"/>
      <sheetName val="Decision Queue Viewer"/>
      <sheetName val="Decision Record Viewer"/>
      <sheetName val="Enhancement Log"/>
      <sheetName val="ID Regis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2">
          <cell r="AT2">
            <v>0</v>
          </cell>
        </row>
        <row r="3">
          <cell r="P3" t="str">
            <v>DEC-0001</v>
          </cell>
          <cell r="AT3">
            <v>-1</v>
          </cell>
        </row>
        <row r="4">
          <cell r="P4" t="str">
            <v>DEC-0002</v>
          </cell>
          <cell r="AT4">
            <v>-2</v>
          </cell>
        </row>
        <row r="5">
          <cell r="P5" t="str">
            <v>DEC-0003</v>
          </cell>
          <cell r="AT5">
            <v>-3</v>
          </cell>
        </row>
        <row r="6">
          <cell r="AT6">
            <v>-4</v>
          </cell>
        </row>
        <row r="7">
          <cell r="AT7">
            <v>-5</v>
          </cell>
        </row>
        <row r="8">
          <cell r="AT8">
            <v>-6</v>
          </cell>
        </row>
        <row r="9">
          <cell r="AT9">
            <v>-7</v>
          </cell>
        </row>
        <row r="10">
          <cell r="AT10">
            <v>-8</v>
          </cell>
        </row>
        <row r="11">
          <cell r="AT11">
            <v>-9</v>
          </cell>
        </row>
        <row r="12">
          <cell r="AT12">
            <v>-10</v>
          </cell>
        </row>
        <row r="13">
          <cell r="AT13">
            <v>-11</v>
          </cell>
        </row>
        <row r="14">
          <cell r="AT14">
            <v>-12</v>
          </cell>
        </row>
        <row r="15">
          <cell r="AT15">
            <v>-13</v>
          </cell>
        </row>
        <row r="16">
          <cell r="AT16">
            <v>-14</v>
          </cell>
        </row>
        <row r="17">
          <cell r="AT17">
            <v>-15</v>
          </cell>
        </row>
        <row r="18">
          <cell r="AT18">
            <v>-16</v>
          </cell>
        </row>
        <row r="19">
          <cell r="AT19">
            <v>-17</v>
          </cell>
        </row>
        <row r="20">
          <cell r="AT20">
            <v>-18</v>
          </cell>
        </row>
        <row r="21">
          <cell r="AT21">
            <v>-19</v>
          </cell>
        </row>
        <row r="22">
          <cell r="AT22">
            <v>-20</v>
          </cell>
        </row>
        <row r="23">
          <cell r="AT23">
            <v>-21</v>
          </cell>
        </row>
        <row r="24">
          <cell r="AT24">
            <v>-22</v>
          </cell>
        </row>
        <row r="25">
          <cell r="AT25">
            <v>-23</v>
          </cell>
        </row>
        <row r="26">
          <cell r="AT26">
            <v>-24</v>
          </cell>
        </row>
        <row r="27">
          <cell r="AT27">
            <v>-25</v>
          </cell>
        </row>
        <row r="28">
          <cell r="AT28">
            <v>-26</v>
          </cell>
        </row>
        <row r="29">
          <cell r="AT29">
            <v>-27</v>
          </cell>
        </row>
        <row r="30">
          <cell r="AT30">
            <v>-28</v>
          </cell>
        </row>
        <row r="31">
          <cell r="AT31">
            <v>-29</v>
          </cell>
        </row>
        <row r="32">
          <cell r="AT32">
            <v>-30</v>
          </cell>
        </row>
        <row r="33">
          <cell r="AT33">
            <v>-31</v>
          </cell>
        </row>
        <row r="34">
          <cell r="AT34">
            <v>-32</v>
          </cell>
        </row>
        <row r="35">
          <cell r="AT35">
            <v>-33</v>
          </cell>
        </row>
        <row r="36">
          <cell r="AT36">
            <v>-34</v>
          </cell>
        </row>
        <row r="37">
          <cell r="AT37">
            <v>-35</v>
          </cell>
        </row>
        <row r="38">
          <cell r="AT38">
            <v>-36</v>
          </cell>
        </row>
        <row r="39">
          <cell r="AT39">
            <v>-37</v>
          </cell>
        </row>
        <row r="40">
          <cell r="AT40">
            <v>-38</v>
          </cell>
        </row>
        <row r="41">
          <cell r="AT41">
            <v>-39</v>
          </cell>
        </row>
        <row r="42">
          <cell r="AT42">
            <v>-40</v>
          </cell>
        </row>
        <row r="43">
          <cell r="AT43">
            <v>-41</v>
          </cell>
        </row>
        <row r="44">
          <cell r="AT44">
            <v>-42</v>
          </cell>
        </row>
        <row r="45">
          <cell r="AT45">
            <v>-43</v>
          </cell>
        </row>
        <row r="46">
          <cell r="AT46">
            <v>-44</v>
          </cell>
        </row>
        <row r="47">
          <cell r="AT47">
            <v>-45</v>
          </cell>
        </row>
        <row r="48">
          <cell r="AT48">
            <v>-46</v>
          </cell>
        </row>
        <row r="49">
          <cell r="AT49">
            <v>-47</v>
          </cell>
        </row>
        <row r="50">
          <cell r="AT50">
            <v>-48</v>
          </cell>
        </row>
        <row r="51">
          <cell r="AT51">
            <v>-49</v>
          </cell>
        </row>
        <row r="52">
          <cell r="AT52">
            <v>-50</v>
          </cell>
        </row>
        <row r="53">
          <cell r="AT53">
            <v>-51</v>
          </cell>
        </row>
        <row r="54">
          <cell r="AT54">
            <v>-52</v>
          </cell>
        </row>
        <row r="55">
          <cell r="AT55">
            <v>-53</v>
          </cell>
        </row>
        <row r="56">
          <cell r="AT56">
            <v>-54</v>
          </cell>
        </row>
        <row r="57">
          <cell r="AT57">
            <v>-55</v>
          </cell>
        </row>
        <row r="58">
          <cell r="AT58">
            <v>-56</v>
          </cell>
        </row>
        <row r="59">
          <cell r="AT59">
            <v>-57</v>
          </cell>
        </row>
        <row r="60">
          <cell r="AT60">
            <v>-58</v>
          </cell>
        </row>
        <row r="61">
          <cell r="AT61">
            <v>-59</v>
          </cell>
        </row>
        <row r="62">
          <cell r="AT62">
            <v>-60</v>
          </cell>
        </row>
      </sheetData>
      <sheetData sheetId="13" refreshError="1"/>
      <sheetData sheetId="14" refreshError="1"/>
      <sheetData sheetId="15" refreshError="1"/>
      <sheetData sheetId="16" refreshError="1"/>
      <sheetData sheetId="17"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DecisionQueue" displayName="tblDecisionQueue" ref="A4:AN204" totalsRowShown="0" headerRowDxfId="266" dataDxfId="265">
  <tableColumns count="40">
    <tableColumn id="1" xr3:uid="{00000000-0010-0000-0300-000001000000}" name="Decision ID" dataDxfId="264"/>
    <tableColumn id="2" xr3:uid="{00000000-0010-0000-0300-000002000000}" name="Decision Required" dataDxfId="263"/>
    <tableColumn id="3" xr3:uid="{00000000-0010-0000-0300-000003000000}" name="Workstream" dataDxfId="262"/>
    <tableColumn id="4" xr3:uid="{00000000-0010-0000-0300-000004000000}" name="Assigned To" dataDxfId="261"/>
    <tableColumn id="5" xr3:uid="{00000000-0010-0000-0300-000005000000}" name="Decision Deadline" dataDxfId="260"/>
    <tableColumn id="6" xr3:uid="{00000000-0010-0000-0300-000006000000}" name="Recommendation" dataDxfId="259"/>
    <tableColumn id="7" xr3:uid="{00000000-0010-0000-0300-000007000000}" name="Status" dataDxfId="258"/>
    <tableColumn id="8" xr3:uid="{00000000-0010-0000-0300-000008000000}" name="Decision Type" dataDxfId="257"/>
    <tableColumn id="9" xr3:uid="{00000000-0010-0000-0300-000009000000}" name="CEO/CFO Attention" dataDxfId="256"/>
    <tableColumn id="10" xr3:uid="{00000000-0010-0000-0300-00000A000000}" name="Financial Impact" dataDxfId="255"/>
    <tableColumn id="11" xr3:uid="{00000000-0010-0000-0300-00000B000000}" name="Risk Impact" dataDxfId="254"/>
    <tableColumn id="12" xr3:uid="{00000000-0010-0000-0300-00000C000000}" name="Strategic Objective" dataDxfId="253"/>
    <tableColumn id="13" xr3:uid="{00000000-0010-0000-0300-00000D000000}" name="Decision Date" dataDxfId="252"/>
    <tableColumn id="14" xr3:uid="{00000000-0010-0000-0300-00000E000000}" name="Further Action Required" dataDxfId="251"/>
    <tableColumn id="15" xr3:uid="{00000000-0010-0000-0300-00000F000000}" name="Context / Input Required" dataDxfId="250"/>
    <tableColumn id="16" xr3:uid="{00000000-0010-0000-0300-000010000000}" name="Owned By" dataDxfId="249"/>
    <tableColumn id="17" xr3:uid="{00000000-0010-0000-0300-000011000000}" name="Requested By" dataDxfId="248"/>
    <tableColumn id="18" xr3:uid="{00000000-0010-0000-0300-000012000000}" name="Date Raised" dataDxfId="247"/>
    <tableColumn id="19" xr3:uid="{00000000-0010-0000-0300-000013000000}" name="Delay Impact / Risk" dataDxfId="246"/>
    <tableColumn id="20" xr3:uid="{00000000-0010-0000-0300-000014000000}" name="Blocker / Waiting On" dataDxfId="245"/>
    <tableColumn id="21" xr3:uid="{00000000-0010-0000-0300-000015000000}" name="Notes" dataDxfId="244"/>
    <tableColumn id="22" xr3:uid="{00000000-0010-0000-0300-000016000000}" name="Queue Immutable Key" dataDxfId="243"/>
    <tableColumn id="23" xr3:uid="{00000000-0010-0000-0300-000017000000}" name="Active Record" dataDxfId="242"/>
    <tableColumn id="24" xr3:uid="{00000000-0010-0000-0300-000018000000}" name="Decision Log ID" dataDxfId="241"/>
    <tableColumn id="25" xr3:uid="{00000000-0010-0000-0300-000019000000}" name="Source Decision ID" dataDxfId="240"/>
    <tableColumn id="26" xr3:uid="{00000000-0010-0000-0300-00001A000000}" name="Decision Summary" dataDxfId="239"/>
    <tableColumn id="27" xr3:uid="{00000000-0010-0000-0300-00001B000000}" name="Decision Maker" dataDxfId="238"/>
    <tableColumn id="28" xr3:uid="{00000000-0010-0000-0300-00001C000000}" name="Next Action" dataDxfId="237"/>
    <tableColumn id="29" xr3:uid="{00000000-0010-0000-0300-00001D000000}" name="Original Issue" dataDxfId="236"/>
    <tableColumn id="30" xr3:uid="{00000000-0010-0000-0300-00001E000000}" name="Rationale" dataDxfId="235"/>
    <tableColumn id="31" xr3:uid="{00000000-0010-0000-0300-00001F000000}" name="Follow-up Status" dataDxfId="234"/>
    <tableColumn id="32" xr3:uid="{00000000-0010-0000-0300-000020000000}" name="Requester" dataDxfId="233"/>
    <tableColumn id="33" xr3:uid="{00000000-0010-0000-0300-000021000000}" name="Due Date" dataDxfId="232"/>
    <tableColumn id="34" xr3:uid="{00000000-0010-0000-0300-000022000000}" name="Logged Date" dataDxfId="231"/>
    <tableColumn id="35" xr3:uid="{00000000-0010-0000-0300-000023000000}" name="Decision Log Immutable Key" dataDxfId="230"/>
    <tableColumn id="36" xr3:uid="{00000000-0010-0000-0300-000024000000}" name="Queue Source Key" dataDxfId="229"/>
    <tableColumn id="37" xr3:uid="{00000000-0010-0000-0300-000025000000}" name="Parent Decision ID" dataDxfId="228"/>
    <tableColumn id="38" xr3:uid="{00000000-0010-0000-0300-000026000000}" name="Consistency Check" dataDxfId="227"/>
    <tableColumn id="39" xr3:uid="{00000000-0010-0000-0300-000027000000}" name="ID Origin" dataDxfId="226"/>
    <tableColumn id="40" xr3:uid="{00000000-0010-0000-0300-000028000000}" name="ID Check" dataDxfId="2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DecisionRegister" displayName="tblDecisionRegister" ref="A4:AN304" totalsRowShown="0" headerRowDxfId="224" dataDxfId="223">
  <tableColumns count="40">
    <tableColumn id="1" xr3:uid="{00000000-0010-0000-0400-000001000000}" name="Decision ID" dataDxfId="222"/>
    <tableColumn id="2" xr3:uid="{00000000-0010-0000-0400-000002000000}" name="Decision Required" dataDxfId="221"/>
    <tableColumn id="3" xr3:uid="{00000000-0010-0000-0400-000003000000}" name="Workstream" dataDxfId="220"/>
    <tableColumn id="4" xr3:uid="{00000000-0010-0000-0400-000004000000}" name="Assigned To" dataDxfId="219"/>
    <tableColumn id="5" xr3:uid="{00000000-0010-0000-0400-000005000000}" name="Decision Deadline" dataDxfId="218"/>
    <tableColumn id="6" xr3:uid="{00000000-0010-0000-0400-000006000000}" name="Recommendation" dataDxfId="217"/>
    <tableColumn id="7" xr3:uid="{00000000-0010-0000-0400-000007000000}" name="Status" dataDxfId="216"/>
    <tableColumn id="8" xr3:uid="{00000000-0010-0000-0400-000008000000}" name="Decision Type" dataDxfId="215"/>
    <tableColumn id="9" xr3:uid="{00000000-0010-0000-0400-000009000000}" name="CEO/CFO Attention" dataDxfId="214"/>
    <tableColumn id="10" xr3:uid="{00000000-0010-0000-0400-00000A000000}" name="Financial Impact" dataDxfId="213"/>
    <tableColumn id="11" xr3:uid="{00000000-0010-0000-0400-00000B000000}" name="Risk Impact" dataDxfId="212"/>
    <tableColumn id="12" xr3:uid="{00000000-0010-0000-0400-00000C000000}" name="Strategic Objective" dataDxfId="211"/>
    <tableColumn id="13" xr3:uid="{00000000-0010-0000-0400-00000D000000}" name="Decision Date" dataDxfId="210"/>
    <tableColumn id="14" xr3:uid="{00000000-0010-0000-0400-00000E000000}" name="Further Action Required" dataDxfId="209"/>
    <tableColumn id="15" xr3:uid="{00000000-0010-0000-0400-00000F000000}" name="Context / Input Required" dataDxfId="208"/>
    <tableColumn id="16" xr3:uid="{00000000-0010-0000-0400-000010000000}" name="Owned By" dataDxfId="207"/>
    <tableColumn id="17" xr3:uid="{00000000-0010-0000-0400-000011000000}" name="Requested By" dataDxfId="206"/>
    <tableColumn id="18" xr3:uid="{00000000-0010-0000-0400-000012000000}" name="Date Raised" dataDxfId="205"/>
    <tableColumn id="19" xr3:uid="{00000000-0010-0000-0400-000013000000}" name="Delay Impact / Risk" dataDxfId="204"/>
    <tableColumn id="20" xr3:uid="{00000000-0010-0000-0400-000014000000}" name="Blocker / Waiting On" dataDxfId="203"/>
    <tableColumn id="21" xr3:uid="{00000000-0010-0000-0400-000015000000}" name="Notes" dataDxfId="202"/>
    <tableColumn id="22" xr3:uid="{00000000-0010-0000-0400-000016000000}" name="Queue Immutable Key" dataDxfId="201"/>
    <tableColumn id="23" xr3:uid="{00000000-0010-0000-0400-000017000000}" name="Active Record" dataDxfId="200"/>
    <tableColumn id="24" xr3:uid="{00000000-0010-0000-0400-000018000000}" name="Decision Log ID" dataDxfId="199"/>
    <tableColumn id="25" xr3:uid="{00000000-0010-0000-0400-000019000000}" name="Source Decision ID" dataDxfId="198"/>
    <tableColumn id="26" xr3:uid="{00000000-0010-0000-0400-00001A000000}" name="Decision Summary" dataDxfId="197"/>
    <tableColumn id="27" xr3:uid="{00000000-0010-0000-0400-00001B000000}" name="Decision Maker" dataDxfId="196"/>
    <tableColumn id="28" xr3:uid="{00000000-0010-0000-0400-00001C000000}" name="Next Action" dataDxfId="195"/>
    <tableColumn id="29" xr3:uid="{00000000-0010-0000-0400-00001D000000}" name="Original Issue" dataDxfId="194"/>
    <tableColumn id="30" xr3:uid="{00000000-0010-0000-0400-00001E000000}" name="Rationale" dataDxfId="193"/>
    <tableColumn id="31" xr3:uid="{00000000-0010-0000-0400-00001F000000}" name="Follow-up Status" dataDxfId="192"/>
    <tableColumn id="32" xr3:uid="{00000000-0010-0000-0400-000020000000}" name="Requester" dataDxfId="191"/>
    <tableColumn id="33" xr3:uid="{00000000-0010-0000-0400-000021000000}" name="Due Date" dataDxfId="190"/>
    <tableColumn id="34" xr3:uid="{00000000-0010-0000-0400-000022000000}" name="Logged Date" dataDxfId="189"/>
    <tableColumn id="35" xr3:uid="{00000000-0010-0000-0400-000023000000}" name="Decision Log Immutable Key" dataDxfId="188"/>
    <tableColumn id="36" xr3:uid="{00000000-0010-0000-0400-000024000000}" name="Queue Source Key" dataDxfId="187"/>
    <tableColumn id="37" xr3:uid="{00000000-0010-0000-0400-000025000000}" name="Parent Decision ID" dataDxfId="186"/>
    <tableColumn id="38" xr3:uid="{00000000-0010-0000-0400-000026000000}" name="Consistency Check" dataDxfId="185"/>
    <tableColumn id="39" xr3:uid="{00000000-0010-0000-0400-000027000000}" name="ID Origin" dataDxfId="184"/>
    <tableColumn id="40" xr3:uid="{00000000-0010-0000-0400-000028000000}" name="ID Check" dataDxfId="18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E61B8F9-1C08-45A1-89CA-56CD53D4F189}" name="CommitmentsTable" displayName="CommitmentsTable" ref="A12:W1418" totalsRowShown="0" headerRowDxfId="182" dataDxfId="181">
  <tableColumns count="23">
    <tableColumn id="1" xr3:uid="{7918DC41-2012-4894-86EE-8EA9D26662E0}" name="ID" dataDxfId="180">
      <calculatedColumnFormula>IF(OR(CommitmentsTable[[#This Row],[Commitment / deliverable]]="",CommitmentsTable[[#This Row],[Immutable Key]]=""),"",SUBSTITUTE(CommitmentsTable[[#This Row],[Immutable Key]],"-K-","-"))</calculatedColumnFormula>
    </tableColumn>
    <tableColumn id="2" xr3:uid="{E7C7D430-66B6-4D16-9631-174BE6E1DA3E}" name="Commitment / deliverable" dataDxfId="179"/>
    <tableColumn id="18" xr3:uid="{C7C88AD1-4D01-4798-AE15-74ABA660414D}" name="Success Measure" dataDxfId="178" dataCellStyle="Normal 2"/>
    <tableColumn id="3" xr3:uid="{E89797A9-BFAA-4510-9264-69FEECDBD072}" name="Owner" dataDxfId="177"/>
    <tableColumn id="21" xr3:uid="{F09ED36A-F6A5-4163-9B7E-4CD0C2A6DA7C}" name="RAG Status" dataDxfId="176" dataCellStyle="Normal 2"/>
    <tableColumn id="23" xr3:uid="{3F953950-5827-4FDD-A5FB-48E79DC9C4FC}" name="Status1" dataDxfId="175" dataCellStyle="Normal 2"/>
    <tableColumn id="4" xr3:uid="{BD6E2E6E-AB58-4C7A-8A93-B5D83DE3F50F}" name="Date record entered" dataDxfId="174">
      <calculatedColumnFormula>IF(CommitmentsTable[[#This Row],[Commitment / deliverable]]="","",IF(CommitmentsTable[[#This Row],[Date record entered]]="",TODAY(),CommitmentsTable[[#This Row],[Date record entered]]))</calculatedColumnFormula>
    </tableColumn>
    <tableColumn id="7" xr3:uid="{45BED651-D07B-4432-81DC-C0C2E8F39D6C}" name="Date Assigned if different from entry date" dataDxfId="173" dataCellStyle="Normal 2"/>
    <tableColumn id="5" xr3:uid="{3AEAFB3F-6076-4C5A-BDF8-803396101E4F}" name="Original due" dataDxfId="172">
      <calculatedColumnFormula>IF(CommitmentsTable[[#This Row],[Date Assigned if different from entry date]]&lt;&gt;"",CommitmentsTable[[#This Row],[Date Assigned if different from entry date]]+90,IF(CommitmentsTable[[#This Row],[Date record entered]]&lt;&gt;"",CommitmentsTable[[#This Row],[Date record entered]]+90,""))</calculatedColumnFormula>
    </tableColumn>
    <tableColumn id="20" xr3:uid="{7A7F10FA-5DFC-4A04-BBCD-757332E10717}" name="30 Day Check-In Update due" dataDxfId="171" dataCellStyle="Normal 2">
      <calculatedColumnFormula>IF(CommitmentsTable[[#This Row],[Date Assigned if different from entry date]]&lt;&gt;"",CommitmentsTable[[#This Row],[Date Assigned if different from entry date]]+30,IF(CommitmentsTable[[#This Row],[Date record entered]]&lt;&gt;"",CommitmentsTable[[#This Row],[Date record entered]]+30,""))</calculatedColumnFormula>
    </tableColumn>
    <tableColumn id="14" xr3:uid="{7D30B78B-06A3-428C-A59A-6D223F9A71E9}" name="30 Day Check-In Notes" dataDxfId="170" dataCellStyle="Normal 2"/>
    <tableColumn id="19" xr3:uid="{201E384D-38EE-46A2-8E99-05683D45494F}" name="60 Day Check-In Update due" dataDxfId="169" dataCellStyle="Normal 2">
      <calculatedColumnFormula>IF(CommitmentsTable[[#This Row],[Date Assigned if different from entry date]]&lt;&gt;"",CommitmentsTable[[#This Row],[Date Assigned if different from entry date]]+60,IF(CommitmentsTable[[#This Row],[Date record entered]]&lt;&gt;"",CommitmentsTable[[#This Row],[Date record entered]]+60,""))</calculatedColumnFormula>
    </tableColumn>
    <tableColumn id="15" xr3:uid="{C8CDD538-BDA4-447B-92B5-F7A58D9556A8}" name="60 Day Check-In Notes" dataDxfId="168" dataCellStyle="Normal 2"/>
    <tableColumn id="8" xr3:uid="{D7FB4B3E-D632-4379-8AEB-6613E45C3033}" name="90 Day Check-In Update Dates" dataDxfId="167" dataCellStyle="Normal 2"/>
    <tableColumn id="16" xr3:uid="{CC002774-F24C-4477-82CF-A0293D11362F}" name="Extension Approved By" dataDxfId="166"/>
    <tableColumn id="17" xr3:uid="{B07012A3-BFFF-4B51-AE90-2DEAE39926C4}" name="Ext. Approval Date" dataDxfId="165"/>
    <tableColumn id="6" xr3:uid="{9DEBB017-3B4A-4C77-B2BD-9B56EF5BFC35}" name="Revised due" dataDxfId="164"/>
    <tableColumn id="9" xr3:uid="{2EAB757F-D0DE-456A-8879-7904416D4207}" name="Delivered on" dataDxfId="163"/>
    <tableColumn id="10" xr3:uid="{FA136592-44B9-461E-91BD-51D9EB462262}" name="Current due" dataDxfId="162">
      <calculatedColumnFormula>IF(CommitmentsTable[[#This Row],[Commitment / deliverable]]="","",IF(CommitmentsTable[[#This Row],[Revised due]]&lt;&gt;"",CommitmentsTable[[#This Row],[Revised due]],CommitmentsTable[[#This Row],[Original due]]))</calculatedColumnFormula>
    </tableColumn>
    <tableColumn id="11" xr3:uid="{58FD4544-4527-4169-AF4A-C50203F50429}" name="Status2" dataDxfId="161">
      <calculatedColumnFormula>IF(OR(CommitmentsTable[[#This Row],[Commitment / deliverable]]="",CommitmentsTable[[#This Row],[Owner]]=""),"",IF(CommitmentsTable[[#This Row],[Status2]]="","Open",CommitmentsTable[[#This Row],[Status2]]))</calculatedColumnFormula>
    </tableColumn>
    <tableColumn id="12" xr3:uid="{32A348C3-C6CC-4C8B-ACF9-9C924487E8E0}" name="Report cue" dataDxfId="160">
      <calculatedColumnFormula>IF(B13="","",IF(T13="Closed","",IF(OR(T13="Slipped",T13="At risk",AND(S13&lt;&gt;"",S13&lt;TODAY())),"Slipped / at risk",IF(G13=TODAY(),"New today",IF(S13=TODAY()+1,"Due tomorrow","")))))</calculatedColumnFormula>
    </tableColumn>
    <tableColumn id="13" xr3:uid="{6B0D098E-57F7-4192-9A01-1848DFB50A64}" name="Change / risk / next step" dataDxfId="159"/>
    <tableColumn id="22" xr3:uid="{A27238FC-5201-430C-ADB4-AE8FBEED61C2}" name="Immutable Key" dataDxfId="158" dataCellStyle="Normal 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DecisionLog" displayName="tblDecisionLog" ref="A4:X104" headerRowDxfId="157" dataDxfId="156" totalsRowDxfId="155">
  <autoFilter ref="A4:X104" xr:uid="{00000000-0009-0000-0100-000001000000}"/>
  <tableColumns count="24">
    <tableColumn id="1" xr3:uid="{00000000-0010-0000-0000-000001000000}" name="Decision Log ID" dataDxfId="154">
      <calculatedColumnFormula array="1">IF(tblDecisionLog[[#This Row],[Source Decision ID]]="","",tblDecisionLog[[#This Row],[Source Decision ID]]&amp;"-L"&amp;SUMPRODUCT((tblDecisionLog[Source Decision ID]=tblDecisionLog[[#This Row],[Source Decision ID]])*(--RIGHT(tblDecisionLog[Decision Log Immutable Key],4)&lt;=--RIGHT(tblDecisionLog[[#This Row],[Decision Log Immutable Key]],4))))</calculatedColumnFormula>
    </tableColumn>
    <tableColumn id="25" xr3:uid="{00000000-0010-0000-0000-000019000000}" name="Source Decision ID" dataDxfId="153"/>
    <tableColumn id="2" xr3:uid="{00000000-0010-0000-0000-000002000000}" name="Decision Date" dataDxfId="152"/>
    <tableColumn id="3" xr3:uid="{00000000-0010-0000-0000-000003000000}" name="Decision Summary" dataDxfId="151"/>
    <tableColumn id="4" xr3:uid="{00000000-0010-0000-0000-000004000000}" name="Decision Maker" dataDxfId="150"/>
    <tableColumn id="5" xr3:uid="{00000000-0010-0000-0000-000005000000}" name="Decision Type" dataDxfId="149"/>
    <tableColumn id="6" xr3:uid="{00000000-0010-0000-0000-000006000000}" name="Next Action" dataDxfId="148"/>
    <tableColumn id="7" xr3:uid="{00000000-0010-0000-0000-000007000000}" name="Workstream" dataDxfId="147"/>
    <tableColumn id="8" xr3:uid="{00000000-0010-0000-0000-000008000000}" name="Original Issue" dataDxfId="146"/>
    <tableColumn id="9" xr3:uid="{00000000-0010-0000-0000-000009000000}" name="Rationale" dataDxfId="145"/>
    <tableColumn id="10" xr3:uid="{00000000-0010-0000-0000-00000A000000}" name="Further Action Required" dataDxfId="144"/>
    <tableColumn id="11" xr3:uid="{00000000-0010-0000-0000-00000B000000}" name="Follow-up Status" dataDxfId="143"/>
    <tableColumn id="12" xr3:uid="{00000000-0010-0000-0000-00000C000000}" name="Requester" dataDxfId="142"/>
    <tableColumn id="13" xr3:uid="{00000000-0010-0000-0000-00000D000000}" name="Assigned To" dataDxfId="141"/>
    <tableColumn id="14" xr3:uid="{00000000-0010-0000-0000-00000E000000}" name="Due Date" dataDxfId="140"/>
    <tableColumn id="15" xr3:uid="{00000000-0010-0000-0000-00000F000000}" name="Risk Impact" dataDxfId="139"/>
    <tableColumn id="16" xr3:uid="{00000000-0010-0000-0000-000010000000}" name="Financial Impact" dataDxfId="138"/>
    <tableColumn id="17" xr3:uid="{00000000-0010-0000-0000-000011000000}" name="Strategic Objective" dataDxfId="137"/>
    <tableColumn id="18" xr3:uid="{00000000-0010-0000-0000-000012000000}" name="Logged Date" dataDxfId="136"/>
    <tableColumn id="19" xr3:uid="{00000000-0010-0000-0000-000013000000}" name="Notes" dataDxfId="135"/>
    <tableColumn id="20" xr3:uid="{00000000-0010-0000-0000-000014000000}" name="Decision Log Immutable Key" dataDxfId="134"/>
    <tableColumn id="21" xr3:uid="{00000000-0010-0000-0000-000015000000}" name="Queue Source Key" dataDxfId="133">
      <calculatedColumnFormula>IF(tblDecisionLog[[#This Row],[Source Decision ID]]="","",_xlfn.XLOOKUP(tblDecisionLog[[#This Row],[Source Decision ID]],'Decision Queue_Bak'!$A:$A,'Decision Queue_Bak'!$V:$V,""))</calculatedColumnFormula>
    </tableColumn>
    <tableColumn id="22" xr3:uid="{00000000-0010-0000-0000-000016000000}" name="Parent Decision ID" dataDxfId="132"/>
    <tableColumn id="23" xr3:uid="{00000000-0010-0000-0000-000017000000}" name="Consistency Check" dataDxfId="131">
      <calculatedColumnFormula>IF(tblDecisionLog[[#This Row],[Source Decision ID]]="","",IF(tblDecisionLog[[#This Row],[Queue Source Key]]&lt;&gt;"","Linked","Missing queue key"))</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Lists&amp;Controls" displayName="TLists_Controls" ref="A4:O21" headerRowDxfId="130" dataDxfId="129" totalsRowDxfId="128">
  <autoFilter ref="A4:O21" xr:uid="{00000000-0009-0000-0100-000002000000}"/>
  <tableColumns count="15">
    <tableColumn id="1" xr3:uid="{00000000-0010-0000-0100-000001000000}" name="Status" dataDxfId="127"/>
    <tableColumn id="2" xr3:uid="{00000000-0010-0000-0100-000002000000}" name="Priority" dataDxfId="126"/>
    <tableColumn id="3" xr3:uid="{00000000-0010-0000-0100-000003000000}" name="Risk Impact" dataDxfId="125"/>
    <tableColumn id="13" xr3:uid="{00000000-0010-0000-0100-00000D000000}" name="Deadline Rule" dataDxfId="124"/>
    <tableColumn id="12" xr3:uid="{00000000-0010-0000-0100-00000C000000}" name="Conditional Format Date" dataDxfId="123"/>
    <tableColumn id="4" xr3:uid="{00000000-0010-0000-0100-000004000000}" name="Strategic Objective" dataDxfId="122"/>
    <tableColumn id="5" xr3:uid="{00000000-0010-0000-0100-000005000000}" name="Escalation Required" dataDxfId="121"/>
    <tableColumn id="6" xr3:uid="{00000000-0010-0000-0100-000006000000}" name="Financial Impact" dataDxfId="120"/>
    <tableColumn id="7" xr3:uid="{00000000-0010-0000-0100-000007000000}" name="Decision Type" dataDxfId="119"/>
    <tableColumn id="8" xr3:uid="{00000000-0010-0000-0100-000008000000}" name="CEO/CFO Attention" dataDxfId="118"/>
    <tableColumn id="9" xr3:uid="{00000000-0010-0000-0100-000009000000}" name="Workstream" dataDxfId="117"/>
    <tableColumn id="10" xr3:uid="{00000000-0010-0000-0100-00000A000000}" name="ASP Readiness Stream" dataDxfId="116"/>
    <tableColumn id="11" xr3:uid="{00000000-0010-0000-0100-00000B000000}" name="Category" dataDxfId="115"/>
    <tableColumn id="14" xr3:uid="{00000000-0010-0000-0100-00000E000000}" name="People" dataDxfId="114"/>
    <tableColumn id="15" xr3:uid="{7980A666-7511-4DC9-B89D-42FED15CD9BA}" name="Approvers" dataDxfId="113" totalsRowDxfId="11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ChangeSummary" displayName="tblChangeSummary" ref="A4:D21" headerRowDxfId="111" dataDxfId="110" totalsRowDxfId="109">
  <autoFilter ref="A4:D21" xr:uid="{00000000-0009-0000-0100-000003000000}"/>
  <tableColumns count="4">
    <tableColumn id="1" xr3:uid="{00000000-0010-0000-0200-000001000000}" name="Area" dataDxfId="108"/>
    <tableColumn id="2" xr3:uid="{00000000-0010-0000-0200-000002000000}" name="Recommendation Added" dataDxfId="107"/>
    <tableColumn id="3" xr3:uid="{00000000-0010-0000-0200-000003000000}" name="Why It Matters" dataDxfId="106"/>
    <tableColumn id="4" xr3:uid="{00000000-0010-0000-0200-000004000000}" name="Where Implemented" dataDxfId="10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6.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8"/>
  <sheetViews>
    <sheetView workbookViewId="0">
      <selection activeCell="K5" sqref="K5"/>
    </sheetView>
  </sheetViews>
  <sheetFormatPr defaultRowHeight="14.5"/>
  <cols>
    <col min="1" max="1" width="12.453125" customWidth="1"/>
    <col min="2" max="2" width="30.453125" customWidth="1"/>
    <col min="3" max="3" width="14.26953125" customWidth="1"/>
    <col min="4" max="4" width="13.26953125" customWidth="1"/>
    <col min="5" max="5" width="30.453125" customWidth="1"/>
    <col min="6" max="6" width="28.54296875" customWidth="1"/>
    <col min="7" max="7" width="14.26953125" customWidth="1"/>
    <col min="8" max="8" width="12.453125" customWidth="1"/>
  </cols>
  <sheetData>
    <row r="1" spans="1:8" ht="30" customHeight="1">
      <c r="A1" s="325" t="s">
        <v>0</v>
      </c>
      <c r="B1" s="326"/>
      <c r="C1" s="326"/>
      <c r="D1" s="326"/>
      <c r="E1" s="326"/>
      <c r="F1" s="326"/>
      <c r="G1" s="326"/>
      <c r="H1" s="323"/>
    </row>
    <row r="2" spans="1:8">
      <c r="A2" s="327" t="s">
        <v>1</v>
      </c>
      <c r="B2" s="274"/>
      <c r="C2" s="274"/>
      <c r="D2" s="274"/>
      <c r="E2" s="274"/>
      <c r="F2" s="274"/>
      <c r="G2" s="274"/>
      <c r="H2" s="320"/>
    </row>
    <row r="3" spans="1:8">
      <c r="A3" s="26" t="s">
        <v>2</v>
      </c>
      <c r="B3" s="25">
        <f>DATE(2026,7,22)</f>
        <v>46225</v>
      </c>
      <c r="C3" s="16"/>
      <c r="D3" s="16"/>
      <c r="E3" s="16"/>
      <c r="F3" s="16"/>
      <c r="G3" s="16"/>
      <c r="H3" s="22"/>
    </row>
    <row r="4" spans="1:8">
      <c r="A4" s="329" t="s">
        <v>3</v>
      </c>
      <c r="B4" s="274"/>
      <c r="C4" s="274"/>
      <c r="D4" s="274"/>
      <c r="E4" s="274"/>
      <c r="F4" s="274"/>
      <c r="G4" s="274"/>
      <c r="H4" s="320"/>
    </row>
    <row r="5" spans="1:8">
      <c r="A5" s="328" t="s">
        <v>4</v>
      </c>
      <c r="B5" s="274"/>
      <c r="C5" s="274"/>
      <c r="D5" s="274"/>
      <c r="E5" s="274"/>
      <c r="F5" s="274"/>
      <c r="G5" s="274"/>
      <c r="H5" s="320"/>
    </row>
    <row r="6" spans="1:8">
      <c r="A6" s="19"/>
      <c r="B6" s="16"/>
      <c r="C6" s="16"/>
      <c r="D6" s="16"/>
      <c r="E6" s="16"/>
      <c r="F6" s="16"/>
      <c r="G6" s="16"/>
      <c r="H6" s="22"/>
    </row>
    <row r="7" spans="1:8">
      <c r="A7" s="322" t="s">
        <v>5</v>
      </c>
      <c r="B7" s="323"/>
      <c r="C7" s="322" t="s">
        <v>6</v>
      </c>
      <c r="D7" s="323"/>
      <c r="E7" s="322" t="s">
        <v>7</v>
      </c>
      <c r="F7" s="323"/>
      <c r="G7" s="322" t="s">
        <v>8</v>
      </c>
      <c r="H7" s="323"/>
    </row>
    <row r="8" spans="1:8" ht="28.5" customHeight="1">
      <c r="A8" s="321">
        <f>COUNTIFS('Action Register'!$B:$B,"&lt;&gt;",'Action Register'!$G:$G,"&lt;&gt;Completed",'Action Register'!$T:$T,"ACTIVE")</f>
        <v>29</v>
      </c>
      <c r="B8" s="320"/>
      <c r="C8" s="321">
        <f t="array" ref="C8">SUMPRODUCT(('Action Register'!$B$5:$B$104&lt;&gt;"")*('Action Register'!$G$5:$G$104&lt;&gt;"Completed")*('Action Register'!$T$5:$T$104="ACTIVE")*(IFERROR(--'Action Register'!$F$5:$F$104,DATEVALUE('Action Register'!$F$5:$F$104))&lt;$B$3))</f>
        <v>0</v>
      </c>
      <c r="D8" s="320"/>
      <c r="E8" s="321">
        <f>COUNTIFS('Action Register'!$B:$B,"&lt;&gt;",'Action Register'!$H:$H,"Critical",'Action Register'!$T:$T,"ACTIVE")</f>
        <v>0</v>
      </c>
      <c r="F8" s="320"/>
      <c r="G8" s="321">
        <f>COUNTIFS('Action Register'!$B:$B,"&lt;&gt;",'Action Register'!$J:$J,"High",'Action Register'!$T:$T,"ACTIVE")</f>
        <v>6</v>
      </c>
      <c r="H8" s="320"/>
    </row>
    <row r="9" spans="1:8">
      <c r="A9" s="318" t="s">
        <v>9</v>
      </c>
      <c r="B9" s="317"/>
      <c r="C9" s="318" t="s">
        <v>10</v>
      </c>
      <c r="D9" s="317"/>
      <c r="E9" s="318" t="s">
        <v>11</v>
      </c>
      <c r="F9" s="317"/>
      <c r="G9" s="318" t="s">
        <v>12</v>
      </c>
      <c r="H9" s="317"/>
    </row>
    <row r="10" spans="1:8">
      <c r="A10" s="20"/>
      <c r="B10" s="17"/>
      <c r="C10" s="17"/>
      <c r="D10" s="17"/>
      <c r="E10" s="17"/>
      <c r="F10" s="17"/>
      <c r="G10" s="17"/>
      <c r="H10" s="23"/>
    </row>
    <row r="11" spans="1:8">
      <c r="A11" s="322" t="s">
        <v>13</v>
      </c>
      <c r="B11" s="323"/>
      <c r="C11" s="322" t="s">
        <v>14</v>
      </c>
      <c r="D11" s="323"/>
      <c r="E11" s="322" t="s">
        <v>15</v>
      </c>
      <c r="F11" s="323"/>
      <c r="G11" s="322" t="s">
        <v>16</v>
      </c>
      <c r="H11" s="323"/>
    </row>
    <row r="12" spans="1:8" ht="28.5" customHeight="1">
      <c r="A12" s="321">
        <f>COUNTIFS('Action Register'!$B:$B,"&lt;&gt;",'Action Register'!$L:$L,"Yes",'Action Register'!$T:$T,"ACTIVE")</f>
        <v>3</v>
      </c>
      <c r="B12" s="320"/>
      <c r="C12" s="321">
        <f>COUNTIFS('Action Register'!$B:$B,"&lt;&gt;",'Action Register'!$K:$K,"ASP Go-Live",'Action Register'!$T:$T,"ACTIVE")</f>
        <v>5</v>
      </c>
      <c r="D12" s="320"/>
      <c r="E12" s="321">
        <f>COUNTIFS('Decision Queue_Bak'!$B:$B,"&lt;&gt;",'Decision Queue_Bak'!$W:$W,"ACTIVE")</f>
        <v>3</v>
      </c>
      <c r="F12" s="320"/>
      <c r="G12" s="321">
        <f>MAX(0,COUNTA('Decision Register_Bak'!$C:$C)-1)</f>
        <v>2</v>
      </c>
      <c r="H12" s="320"/>
    </row>
    <row r="13" spans="1:8">
      <c r="A13" s="318" t="s">
        <v>17</v>
      </c>
      <c r="B13" s="317"/>
      <c r="C13" s="318" t="s">
        <v>18</v>
      </c>
      <c r="D13" s="317"/>
      <c r="E13" s="318" t="s">
        <v>19</v>
      </c>
      <c r="F13" s="317"/>
      <c r="G13" s="318" t="s">
        <v>20</v>
      </c>
      <c r="H13" s="317"/>
    </row>
    <row r="14" spans="1:8">
      <c r="A14" s="19"/>
      <c r="B14" s="16"/>
      <c r="C14" s="16"/>
      <c r="D14" s="16"/>
      <c r="E14" s="16"/>
      <c r="F14" s="16"/>
      <c r="G14" s="16"/>
      <c r="H14" s="22"/>
    </row>
    <row r="15" spans="1:8">
      <c r="A15" s="329" t="s">
        <v>21</v>
      </c>
      <c r="B15" s="274"/>
      <c r="C15" s="274"/>
      <c r="D15" s="274"/>
      <c r="E15" s="274"/>
      <c r="F15" s="274"/>
      <c r="G15" s="274"/>
      <c r="H15" s="320"/>
    </row>
    <row r="16" spans="1:8">
      <c r="A16" s="8" t="s">
        <v>22</v>
      </c>
      <c r="B16" s="9" t="s">
        <v>23</v>
      </c>
      <c r="C16" s="10" t="s">
        <v>24</v>
      </c>
      <c r="D16" s="18"/>
      <c r="E16" s="8" t="s">
        <v>25</v>
      </c>
      <c r="F16" s="10" t="s">
        <v>26</v>
      </c>
      <c r="G16" s="18"/>
      <c r="H16" s="24"/>
    </row>
    <row r="17" spans="1:8" ht="67.5" customHeight="1">
      <c r="A17" s="11" t="s">
        <v>27</v>
      </c>
      <c r="B17" s="12" t="s">
        <v>28</v>
      </c>
      <c r="C17" s="13" t="s">
        <v>29</v>
      </c>
      <c r="D17" s="18"/>
      <c r="E17" s="14">
        <v>1</v>
      </c>
      <c r="F17" s="13" t="s">
        <v>30</v>
      </c>
      <c r="G17" s="18"/>
      <c r="H17" s="24"/>
    </row>
    <row r="18" spans="1:8" ht="67.5" customHeight="1">
      <c r="A18" s="11" t="s">
        <v>31</v>
      </c>
      <c r="B18" s="12" t="s">
        <v>32</v>
      </c>
      <c r="C18" s="13" t="s">
        <v>33</v>
      </c>
      <c r="D18" s="18"/>
      <c r="E18" s="14">
        <v>2</v>
      </c>
      <c r="F18" s="13" t="s">
        <v>34</v>
      </c>
      <c r="G18" s="18"/>
      <c r="H18" s="24"/>
    </row>
    <row r="19" spans="1:8" ht="67.5" customHeight="1">
      <c r="A19" s="11" t="s">
        <v>35</v>
      </c>
      <c r="B19" s="12" t="s">
        <v>36</v>
      </c>
      <c r="C19" s="13" t="s">
        <v>37</v>
      </c>
      <c r="D19" s="18"/>
      <c r="E19" s="14">
        <v>3</v>
      </c>
      <c r="F19" s="13" t="s">
        <v>38</v>
      </c>
      <c r="G19" s="18"/>
      <c r="H19" s="24"/>
    </row>
    <row r="20" spans="1:8" ht="67.5" customHeight="1">
      <c r="A20" s="11" t="s">
        <v>39</v>
      </c>
      <c r="B20" s="12" t="s">
        <v>40</v>
      </c>
      <c r="C20" s="13" t="s">
        <v>41</v>
      </c>
      <c r="D20" s="18"/>
      <c r="E20" s="14">
        <v>4</v>
      </c>
      <c r="F20" s="13" t="s">
        <v>42</v>
      </c>
      <c r="G20" s="18"/>
      <c r="H20" s="24"/>
    </row>
    <row r="21" spans="1:8" ht="67.5" customHeight="1">
      <c r="A21" s="11" t="s">
        <v>43</v>
      </c>
      <c r="B21" s="12" t="s">
        <v>44</v>
      </c>
      <c r="C21" s="13" t="s">
        <v>45</v>
      </c>
      <c r="D21" s="18"/>
      <c r="E21" s="14">
        <v>5</v>
      </c>
      <c r="F21" s="13" t="s">
        <v>46</v>
      </c>
      <c r="G21" s="18"/>
      <c r="H21" s="24"/>
    </row>
    <row r="22" spans="1:8" ht="81" customHeight="1">
      <c r="A22" s="11" t="s">
        <v>47</v>
      </c>
      <c r="B22" s="12" t="s">
        <v>48</v>
      </c>
      <c r="C22" s="13" t="s">
        <v>49</v>
      </c>
      <c r="D22" s="18"/>
      <c r="E22" s="14">
        <v>6</v>
      </c>
      <c r="F22" s="13" t="s">
        <v>50</v>
      </c>
      <c r="G22" s="18"/>
      <c r="H22" s="24"/>
    </row>
    <row r="23" spans="1:8" ht="54" customHeight="1">
      <c r="A23" s="11" t="s">
        <v>51</v>
      </c>
      <c r="B23" s="12" t="s">
        <v>52</v>
      </c>
      <c r="C23" s="13" t="s">
        <v>53</v>
      </c>
      <c r="D23" s="18"/>
      <c r="E23" s="18"/>
      <c r="F23" s="18"/>
      <c r="G23" s="18"/>
      <c r="H23" s="24"/>
    </row>
    <row r="24" spans="1:8">
      <c r="A24" s="21"/>
      <c r="B24" s="18"/>
      <c r="C24" s="18"/>
      <c r="D24" s="18"/>
      <c r="E24" s="18"/>
      <c r="F24" s="18"/>
      <c r="G24" s="18"/>
      <c r="H24" s="24"/>
    </row>
    <row r="25" spans="1:8">
      <c r="A25" s="324" t="s">
        <v>54</v>
      </c>
      <c r="B25" s="274"/>
      <c r="C25" s="274"/>
      <c r="D25" s="274"/>
      <c r="E25" s="274"/>
      <c r="F25" s="274"/>
      <c r="G25" s="274"/>
      <c r="H25" s="320"/>
    </row>
    <row r="26" spans="1:8">
      <c r="A26" s="8" t="s">
        <v>55</v>
      </c>
      <c r="B26" s="9" t="s">
        <v>56</v>
      </c>
      <c r="C26" s="9" t="s">
        <v>57</v>
      </c>
      <c r="D26" s="9" t="s">
        <v>58</v>
      </c>
      <c r="E26" s="8" t="s">
        <v>59</v>
      </c>
      <c r="F26" s="9" t="s">
        <v>60</v>
      </c>
      <c r="G26" s="10" t="s">
        <v>61</v>
      </c>
      <c r="H26" s="24"/>
    </row>
    <row r="27" spans="1:8" ht="54" customHeight="1">
      <c r="A27" s="11">
        <v>1</v>
      </c>
      <c r="B27" s="12" t="s">
        <v>62</v>
      </c>
      <c r="C27" s="12" t="s">
        <v>63</v>
      </c>
      <c r="D27" s="15">
        <v>46225</v>
      </c>
      <c r="E27" s="14">
        <v>1</v>
      </c>
      <c r="F27" s="12" t="s">
        <v>64</v>
      </c>
      <c r="G27" s="13" t="s">
        <v>65</v>
      </c>
      <c r="H27" s="24"/>
    </row>
    <row r="28" spans="1:8" ht="54" customHeight="1">
      <c r="A28" s="11">
        <v>2</v>
      </c>
      <c r="B28" s="12" t="s">
        <v>66</v>
      </c>
      <c r="C28" s="12" t="s">
        <v>67</v>
      </c>
      <c r="D28" s="12" t="s">
        <v>68</v>
      </c>
      <c r="E28" s="14">
        <v>2</v>
      </c>
      <c r="F28" s="12" t="s">
        <v>69</v>
      </c>
      <c r="G28" s="13" t="s">
        <v>70</v>
      </c>
      <c r="H28" s="24"/>
    </row>
    <row r="29" spans="1:8" ht="67.5" customHeight="1">
      <c r="A29" s="11">
        <v>3</v>
      </c>
      <c r="B29" s="12" t="s">
        <v>71</v>
      </c>
      <c r="C29" s="12" t="s">
        <v>72</v>
      </c>
      <c r="D29" s="15">
        <v>46227</v>
      </c>
      <c r="E29" s="14">
        <v>3</v>
      </c>
      <c r="F29" s="12" t="s">
        <v>73</v>
      </c>
      <c r="G29" s="13" t="s">
        <v>74</v>
      </c>
      <c r="H29" s="24"/>
    </row>
    <row r="30" spans="1:8" ht="54" customHeight="1">
      <c r="A30" s="11">
        <v>4</v>
      </c>
      <c r="B30" s="12" t="s">
        <v>75</v>
      </c>
      <c r="C30" s="12" t="s">
        <v>76</v>
      </c>
      <c r="D30" s="12" t="s">
        <v>77</v>
      </c>
      <c r="E30" s="14">
        <v>4</v>
      </c>
      <c r="F30" s="12" t="s">
        <v>33</v>
      </c>
      <c r="G30" s="13" t="s">
        <v>78</v>
      </c>
      <c r="H30" s="24"/>
    </row>
    <row r="31" spans="1:8" ht="54" customHeight="1">
      <c r="A31" s="11">
        <v>5</v>
      </c>
      <c r="B31" s="12" t="s">
        <v>79</v>
      </c>
      <c r="C31" s="12" t="s">
        <v>41</v>
      </c>
      <c r="D31" s="12" t="s">
        <v>80</v>
      </c>
      <c r="E31" s="14">
        <v>5</v>
      </c>
      <c r="F31" s="12" t="s">
        <v>81</v>
      </c>
      <c r="G31" s="13" t="s">
        <v>82</v>
      </c>
      <c r="H31" s="24"/>
    </row>
    <row r="32" spans="1:8" ht="67.5" customHeight="1">
      <c r="A32" s="11">
        <v>6</v>
      </c>
      <c r="B32" s="12" t="s">
        <v>83</v>
      </c>
      <c r="C32" s="12" t="s">
        <v>84</v>
      </c>
      <c r="D32" s="13" t="s">
        <v>85</v>
      </c>
      <c r="E32" s="18"/>
      <c r="F32" s="18"/>
      <c r="G32" s="18"/>
      <c r="H32" s="24"/>
    </row>
    <row r="33" spans="1:8" ht="54" customHeight="1">
      <c r="A33" s="11">
        <v>7</v>
      </c>
      <c r="B33" s="12" t="s">
        <v>86</v>
      </c>
      <c r="C33" s="12" t="s">
        <v>87</v>
      </c>
      <c r="D33" s="13" t="s">
        <v>88</v>
      </c>
      <c r="E33" s="18"/>
      <c r="F33" s="18"/>
      <c r="G33" s="18"/>
      <c r="H33" s="24"/>
    </row>
    <row r="34" spans="1:8">
      <c r="A34" s="21"/>
      <c r="B34" s="18"/>
      <c r="C34" s="18"/>
      <c r="D34" s="18"/>
      <c r="E34" s="18"/>
      <c r="F34" s="18"/>
      <c r="G34" s="18"/>
      <c r="H34" s="24"/>
    </row>
    <row r="35" spans="1:8">
      <c r="A35" s="324" t="s">
        <v>89</v>
      </c>
      <c r="B35" s="274"/>
      <c r="C35" s="274"/>
      <c r="D35" s="274"/>
      <c r="E35" s="274"/>
      <c r="F35" s="274"/>
      <c r="G35" s="274"/>
      <c r="H35" s="320"/>
    </row>
    <row r="36" spans="1:8">
      <c r="A36" s="319">
        <v>1</v>
      </c>
      <c r="B36" s="274"/>
      <c r="C36" s="274"/>
      <c r="D36" s="274"/>
      <c r="E36" s="274"/>
      <c r="F36" s="274"/>
      <c r="G36" s="274"/>
      <c r="H36" s="320"/>
    </row>
    <row r="37" spans="1:8">
      <c r="A37" s="319">
        <v>2</v>
      </c>
      <c r="B37" s="274"/>
      <c r="C37" s="274"/>
      <c r="D37" s="274"/>
      <c r="E37" s="274"/>
      <c r="F37" s="274"/>
      <c r="G37" s="274"/>
      <c r="H37" s="320"/>
    </row>
    <row r="38" spans="1:8">
      <c r="A38" s="315">
        <v>3</v>
      </c>
      <c r="B38" s="316"/>
      <c r="C38" s="316"/>
      <c r="D38" s="316"/>
      <c r="E38" s="316"/>
      <c r="F38" s="316"/>
      <c r="G38" s="316"/>
      <c r="H38" s="317"/>
    </row>
  </sheetData>
  <sheetProtection sheet="1" objects="1" scenarios="1"/>
  <mergeCells count="34">
    <mergeCell ref="E12:F12"/>
    <mergeCell ref="G12:H12"/>
    <mergeCell ref="A15:H15"/>
    <mergeCell ref="A11:B11"/>
    <mergeCell ref="G11:H11"/>
    <mergeCell ref="C9:D9"/>
    <mergeCell ref="A2:H2"/>
    <mergeCell ref="A5:H5"/>
    <mergeCell ref="A8:B8"/>
    <mergeCell ref="C8:D8"/>
    <mergeCell ref="A4:H4"/>
    <mergeCell ref="C7:D7"/>
    <mergeCell ref="E7:F7"/>
    <mergeCell ref="A1:H1"/>
    <mergeCell ref="G8:H8"/>
    <mergeCell ref="E8:F8"/>
    <mergeCell ref="A7:B7"/>
    <mergeCell ref="G7:H7"/>
    <mergeCell ref="A38:H38"/>
    <mergeCell ref="A13:B13"/>
    <mergeCell ref="C13:D13"/>
    <mergeCell ref="A9:B9"/>
    <mergeCell ref="G9:H9"/>
    <mergeCell ref="A37:H37"/>
    <mergeCell ref="G13:H13"/>
    <mergeCell ref="E9:F9"/>
    <mergeCell ref="A12:B12"/>
    <mergeCell ref="C12:D12"/>
    <mergeCell ref="C11:D11"/>
    <mergeCell ref="E11:F11"/>
    <mergeCell ref="A35:H35"/>
    <mergeCell ref="A36:H36"/>
    <mergeCell ref="A25:H25"/>
    <mergeCell ref="E13:F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7365D"/>
    <pageSetUpPr fitToPage="1"/>
  </sheetPr>
  <dimension ref="A1:L25"/>
  <sheetViews>
    <sheetView showGridLines="0" workbookViewId="0">
      <pane ySplit="1" topLeftCell="A2" activePane="bottomLeft" state="frozen"/>
      <selection pane="bottomLeft" activeCell="I7" sqref="I7:I8"/>
    </sheetView>
  </sheetViews>
  <sheetFormatPr defaultRowHeight="14.5"/>
  <cols>
    <col min="1" max="2" width="35" customWidth="1"/>
    <col min="3" max="3" width="27" customWidth="1"/>
    <col min="4" max="4" width="21" customWidth="1"/>
    <col min="5" max="5" width="27" customWidth="1"/>
    <col min="6" max="6" width="12" customWidth="1"/>
    <col min="7" max="7" width="31.54296875" customWidth="1"/>
    <col min="8" max="8" width="12" customWidth="1"/>
    <col min="9" max="10" width="18.1796875" customWidth="1"/>
    <col min="11" max="11" width="27" hidden="1" customWidth="1"/>
    <col min="12" max="12" width="12" hidden="1" customWidth="1"/>
  </cols>
  <sheetData>
    <row r="1" spans="1:12" s="6" customFormat="1" ht="32.15" customHeight="1">
      <c r="A1" s="335" t="s">
        <v>90</v>
      </c>
      <c r="B1" s="332"/>
      <c r="C1" s="332"/>
      <c r="D1" s="332"/>
      <c r="E1" s="332"/>
      <c r="F1" s="332"/>
      <c r="G1" s="332"/>
      <c r="H1" s="332"/>
      <c r="I1" s="332"/>
      <c r="J1" s="332"/>
      <c r="K1" s="332"/>
      <c r="L1" s="76"/>
    </row>
    <row r="2" spans="1:12" ht="28.15" customHeight="1">
      <c r="A2" s="336" t="s">
        <v>91</v>
      </c>
      <c r="B2" s="274"/>
      <c r="C2" s="274"/>
      <c r="D2" s="274"/>
      <c r="E2" s="274"/>
      <c r="F2" s="274"/>
      <c r="G2" s="274"/>
      <c r="H2" s="274"/>
      <c r="I2" s="274"/>
      <c r="J2" s="274"/>
      <c r="K2" s="274"/>
      <c r="L2" s="2"/>
    </row>
    <row r="3" spans="1:12">
      <c r="A3" s="2"/>
      <c r="B3" s="2"/>
      <c r="C3" s="2"/>
      <c r="D3" s="2"/>
      <c r="E3" s="2"/>
      <c r="F3" s="2"/>
      <c r="G3" s="2"/>
      <c r="H3" s="2"/>
      <c r="I3" s="2"/>
      <c r="J3" s="2"/>
      <c r="K3" s="2"/>
      <c r="L3" s="2"/>
    </row>
    <row r="4" spans="1:12">
      <c r="A4" s="5" t="s">
        <v>92</v>
      </c>
      <c r="B4" s="5" t="s">
        <v>93</v>
      </c>
      <c r="C4" s="2"/>
      <c r="D4" s="5" t="s">
        <v>94</v>
      </c>
      <c r="E4" s="77"/>
      <c r="F4" s="2"/>
      <c r="G4" s="5" t="s">
        <v>95</v>
      </c>
      <c r="H4" s="77"/>
      <c r="I4" s="2"/>
      <c r="J4" s="5" t="s">
        <v>96</v>
      </c>
      <c r="K4" s="78">
        <v>46219</v>
      </c>
      <c r="L4" s="2"/>
    </row>
    <row r="5" spans="1:12">
      <c r="A5" s="2"/>
      <c r="B5" s="2"/>
      <c r="C5" s="2"/>
      <c r="D5" s="2"/>
      <c r="E5" s="2"/>
      <c r="F5" s="2"/>
      <c r="G5" s="2"/>
      <c r="H5" s="2"/>
      <c r="I5" s="2"/>
      <c r="J5" s="2"/>
      <c r="K5" s="2"/>
      <c r="L5" s="2"/>
    </row>
    <row r="6" spans="1:12" s="6" customFormat="1">
      <c r="A6" s="334" t="s">
        <v>5</v>
      </c>
      <c r="B6" s="332"/>
      <c r="C6" s="334" t="s">
        <v>6</v>
      </c>
      <c r="D6" s="332"/>
      <c r="E6" s="334" t="s">
        <v>7</v>
      </c>
      <c r="F6" s="332"/>
      <c r="G6" s="334" t="s">
        <v>8</v>
      </c>
      <c r="H6" s="332"/>
      <c r="I6" s="133" t="s">
        <v>13</v>
      </c>
      <c r="J6" s="133" t="s">
        <v>14</v>
      </c>
      <c r="K6" s="103"/>
    </row>
    <row r="7" spans="1:12" ht="15" customHeight="1">
      <c r="A7" s="333">
        <f>'Executive Dashboard'!A5</f>
        <v>29</v>
      </c>
      <c r="B7" s="274"/>
      <c r="C7" s="333">
        <f ca="1">'Executive Dashboard'!C5</f>
        <v>10</v>
      </c>
      <c r="D7" s="274"/>
      <c r="E7" s="333">
        <f>'Executive Dashboard'!F5</f>
        <v>0</v>
      </c>
      <c r="F7" s="274"/>
      <c r="G7" s="333">
        <f>'Executive Dashboard'!K5</f>
        <v>6</v>
      </c>
      <c r="H7" s="274"/>
      <c r="I7" s="134">
        <v>5</v>
      </c>
      <c r="J7" s="134">
        <v>1</v>
      </c>
      <c r="K7" s="104"/>
    </row>
    <row r="8" spans="1:12" ht="15" customHeight="1">
      <c r="A8" s="274"/>
      <c r="B8" s="274"/>
      <c r="C8" s="274"/>
      <c r="D8" s="274"/>
      <c r="E8" s="274"/>
      <c r="F8" s="274"/>
      <c r="G8" s="274"/>
      <c r="H8" s="274"/>
      <c r="I8" s="134"/>
      <c r="J8" s="134"/>
    </row>
    <row r="9" spans="1:12" s="6" customFormat="1">
      <c r="A9" s="76"/>
      <c r="B9" s="76"/>
      <c r="C9" s="76"/>
      <c r="D9" s="76"/>
      <c r="E9" s="76"/>
      <c r="F9" s="76"/>
      <c r="G9" s="76"/>
      <c r="H9" s="76"/>
      <c r="I9" s="76"/>
      <c r="J9" s="76"/>
      <c r="K9" s="76"/>
      <c r="L9" s="76"/>
    </row>
    <row r="10" spans="1:12" s="6" customFormat="1" ht="12" customHeight="1">
      <c r="A10" s="331" t="s">
        <v>97</v>
      </c>
      <c r="B10" s="332"/>
      <c r="C10" s="332"/>
      <c r="D10" s="332"/>
      <c r="E10" s="332"/>
      <c r="F10" s="332"/>
      <c r="G10" s="332"/>
      <c r="H10" s="332"/>
      <c r="I10" s="332"/>
      <c r="J10" s="332"/>
      <c r="K10" s="332"/>
      <c r="L10" s="76"/>
    </row>
    <row r="11" spans="1:12" s="6" customFormat="1" ht="15.75" customHeight="1" thickBot="1">
      <c r="A11" s="135" t="s">
        <v>98</v>
      </c>
      <c r="B11" s="135" t="s">
        <v>99</v>
      </c>
      <c r="C11" s="135" t="s">
        <v>100</v>
      </c>
      <c r="D11" s="135" t="s">
        <v>101</v>
      </c>
      <c r="E11" s="135" t="s">
        <v>102</v>
      </c>
      <c r="F11" s="135" t="s">
        <v>55</v>
      </c>
      <c r="G11" s="135" t="s">
        <v>103</v>
      </c>
      <c r="H11" s="135" t="s">
        <v>104</v>
      </c>
      <c r="I11" s="135" t="s">
        <v>105</v>
      </c>
      <c r="J11" s="135" t="s">
        <v>106</v>
      </c>
      <c r="K11" s="136"/>
      <c r="L11" s="76"/>
    </row>
    <row r="12" spans="1:12" ht="54" customHeight="1">
      <c r="A12" s="81" t="str">
        <f t="array" aca="1" ref="A12:J16" ca="1">_xlfn.LET(
    _xlpm.ids,'Action Register'!$A$5:$A$104,
    _xlpm.items,'Action Register'!$B$5:$B$104,
    _xlpm.owners,'Action Register'!$D$5:$D$104,
    _xlpm.due,'Action Register'!$F$5:$F$104,
    _xlpm.dueNum,IFERROR(--_xlpm.due,DATEVALUE(_xlpm.due)),
    _xlpm.status,'Action Register'!$G$5:$G$104,
    _xlpm.pri,'Action Register'!$H$5:$H$104,
    _xlpm.risk,'Action Register'!$J$5:$J$104,
    _xlpm.obj,'Action Register'!$K$5:$K$104,
    _xlpm.esc,'Action Register'!$L$5:$L$104,
    _xlpm.note,'Action Register'!$P$5:$P$104,
    _xlpm.active,'Action Register'!$T$5:$T$104,
    _xlpm.include,(_xlpm.items&lt;&gt;"")*(_xlpm.active="ACTIVE")*((_xlpm.pri="Critical")+(_xlpm.pri="High")+(_xlpm.risk="High")+(_xlpm.esc="Yes")),
    _xlpm.data,CHOOSE({1,2,3,4,5,6,7,8,9,10},_xlpm.ids,_xlpm.items,_xlpm.owners,_xlpm.due,_xlpm.status,_xlpm.pri,_xlpm.risk,_xlpm.esc,_xlpm.obj,_xlpm.note),
    _xlpm.prioritySort,_xlfn._xlws.FILTER(_xlfn.SWITCH(_xlpm.pri,"Critical",1,"High",2,"Medium",3,"Low",4,9),_xlpm.include),
    _xlpm.overdueSort,_xlfn._xlws.FILTER(--(_xlpm.dueNum&lt;TODAY()),_xlpm.include),
    _xlpm.escalationSort,_xlfn._xlws.FILTER(--(_xlpm.esc="Yes"),_xlpm.include),
    _xlpm.riskSort,_xlfn._xlws.FILTER(_xlfn.SWITCH(_xlpm.risk,"High",1,"Medium",2,"Low",3,9),_xlpm.include),
    _xlfn.TAKE(_xlfn.SORTBY(_xlfn._xlws.FILTER(_xlpm.data,_xlpm.include),_xlpm.prioritySort,1,_xlpm.overdueSort,-1,_xlpm.escalationSort,-1,_xlpm.riskSort,1),5)
  )</f>
        <v>SLT-0051</v>
      </c>
      <c r="B12" s="81" t="str">
        <f ca="1"/>
        <v>Customer Invoice Pricing Discrepancies - London Drugs</v>
      </c>
      <c r="C12" s="81" t="str">
        <f ca="1"/>
        <v>Dave</v>
      </c>
      <c r="D12" s="82">
        <f ca="1"/>
        <v>46311</v>
      </c>
      <c r="E12" s="81" t="str">
        <f ca="1"/>
        <v>In Progress</v>
      </c>
      <c r="F12" s="81" t="str">
        <f ca="1"/>
        <v>High</v>
      </c>
      <c r="G12" s="81" t="str">
        <f ca="1"/>
        <v>High</v>
      </c>
      <c r="H12" s="81" t="str">
        <f ca="1"/>
        <v>No</v>
      </c>
      <c r="I12" s="81" t="str">
        <f ca="1"/>
        <v>Other</v>
      </c>
      <c r="J12" s="81">
        <f ca="1"/>
        <v>0</v>
      </c>
      <c r="K12" s="2"/>
      <c r="L12" s="2"/>
    </row>
    <row r="13" spans="1:12" ht="67.5" customHeight="1">
      <c r="A13" s="83" t="str">
        <f ca="1"/>
        <v>SLT-0035</v>
      </c>
      <c r="B13" s="83" t="str">
        <f ca="1"/>
        <v>Review December salary and pay-band alignment strategy in Q4</v>
      </c>
      <c r="C13" s="83" t="str">
        <f ca="1"/>
        <v>Gene</v>
      </c>
      <c r="D13" s="84">
        <f ca="1"/>
        <v>46308</v>
      </c>
      <c r="E13" s="83" t="str">
        <f ca="1"/>
        <v>In Progress</v>
      </c>
      <c r="F13" s="83" t="str">
        <f ca="1"/>
        <v>High</v>
      </c>
      <c r="G13" s="83" t="str">
        <f ca="1"/>
        <v>Medium</v>
      </c>
      <c r="H13" s="83" t="str">
        <f ca="1"/>
        <v>No</v>
      </c>
      <c r="I13" s="83" t="str">
        <f ca="1"/>
        <v>People &amp; Culture</v>
      </c>
      <c r="J13" s="83">
        <f ca="1"/>
        <v>0</v>
      </c>
      <c r="K13" s="2"/>
      <c r="L13" s="2"/>
    </row>
    <row r="14" spans="1:12" ht="40.5" customHeight="1">
      <c r="A14" s="83" t="str">
        <f ca="1"/>
        <v>SLT-0036</v>
      </c>
      <c r="B14" s="83" t="str">
        <f ca="1"/>
        <v>RTRI Funding Application - Reapplication</v>
      </c>
      <c r="C14" s="83" t="str">
        <f ca="1"/>
        <v>Dave</v>
      </c>
      <c r="D14" s="84">
        <f ca="1"/>
        <v>46307</v>
      </c>
      <c r="E14" s="83" t="str">
        <f ca="1"/>
        <v>In Progress</v>
      </c>
      <c r="F14" s="83" t="str">
        <f ca="1"/>
        <v>High</v>
      </c>
      <c r="G14" s="83" t="str">
        <f ca="1"/>
        <v>Medium</v>
      </c>
      <c r="H14" s="83" t="str">
        <f ca="1"/>
        <v>No</v>
      </c>
      <c r="I14" s="83" t="str">
        <f ca="1"/>
        <v>Cost Reduction</v>
      </c>
      <c r="J14" s="83">
        <f ca="1"/>
        <v>0</v>
      </c>
      <c r="K14" s="2"/>
      <c r="L14" s="2"/>
    </row>
    <row r="15" spans="1:12" ht="40.5" customHeight="1">
      <c r="A15" s="83" t="str">
        <f ca="1"/>
        <v>SLT-0054</v>
      </c>
      <c r="B15" s="83" t="str">
        <f ca="1"/>
        <v>Vacation and Blackout Period Planning</v>
      </c>
      <c r="C15" s="83" t="str">
        <f ca="1"/>
        <v>Gene</v>
      </c>
      <c r="D15" s="84">
        <f ca="1"/>
        <v>46304</v>
      </c>
      <c r="E15" s="83" t="str">
        <f ca="1"/>
        <v>In Progress</v>
      </c>
      <c r="F15" s="83" t="str">
        <f ca="1"/>
        <v>High</v>
      </c>
      <c r="G15" s="83" t="str">
        <f ca="1"/>
        <v>Medium</v>
      </c>
      <c r="H15" s="83" t="str">
        <f ca="1"/>
        <v>No</v>
      </c>
      <c r="I15" s="83" t="str">
        <f ca="1"/>
        <v>People &amp; Culture</v>
      </c>
      <c r="J15" s="83">
        <f ca="1"/>
        <v>0</v>
      </c>
      <c r="K15" s="2"/>
      <c r="L15" s="2"/>
    </row>
    <row r="16" spans="1:12" ht="40.5" customHeight="1">
      <c r="A16" s="81" t="str">
        <f ca="1"/>
        <v>SLT-0042</v>
      </c>
      <c r="B16" s="81" t="str">
        <f ca="1"/>
        <v>$700K Risk - Maple Leaf Insurance Claim Risk</v>
      </c>
      <c r="C16" s="81" t="str">
        <f ca="1"/>
        <v>Dave</v>
      </c>
      <c r="D16" s="82">
        <f ca="1"/>
        <v>46321</v>
      </c>
      <c r="E16" s="81" t="str">
        <f ca="1"/>
        <v>In Progress</v>
      </c>
      <c r="F16" s="81" t="str">
        <f ca="1"/>
        <v>High</v>
      </c>
      <c r="G16" s="81" t="str">
        <f ca="1"/>
        <v>High</v>
      </c>
      <c r="H16" s="81" t="str">
        <f ca="1"/>
        <v>Yes</v>
      </c>
      <c r="I16" s="81" t="str">
        <f ca="1"/>
        <v>Other</v>
      </c>
      <c r="J16" s="81">
        <f ca="1"/>
        <v>0</v>
      </c>
      <c r="K16" s="2"/>
      <c r="L16" s="2"/>
    </row>
    <row r="17" spans="1:12">
      <c r="A17" s="2"/>
      <c r="B17" s="2"/>
      <c r="C17" s="2"/>
      <c r="D17" s="2"/>
      <c r="E17" s="2"/>
      <c r="F17" s="2"/>
      <c r="G17" s="2"/>
      <c r="H17" s="2"/>
      <c r="I17" s="2"/>
      <c r="J17" s="2"/>
      <c r="K17" s="2"/>
      <c r="L17" s="2"/>
    </row>
    <row r="18" spans="1:12">
      <c r="A18" s="2"/>
      <c r="B18" s="2"/>
      <c r="C18" s="2"/>
      <c r="D18" s="2"/>
      <c r="E18" s="2"/>
      <c r="F18" s="2"/>
      <c r="G18" s="2"/>
      <c r="H18" s="2"/>
      <c r="I18" s="2"/>
      <c r="J18" s="2"/>
      <c r="K18" s="2"/>
      <c r="L18" s="2"/>
    </row>
    <row r="19" spans="1:12">
      <c r="A19" s="331" t="s">
        <v>107</v>
      </c>
      <c r="B19" s="274"/>
      <c r="C19" s="274"/>
      <c r="D19" s="274"/>
      <c r="E19" s="274"/>
      <c r="F19" s="2"/>
      <c r="G19" s="331" t="s">
        <v>108</v>
      </c>
      <c r="H19" s="274"/>
      <c r="I19" s="274"/>
      <c r="J19" s="274"/>
      <c r="K19" s="274"/>
      <c r="L19" s="2"/>
    </row>
    <row r="20" spans="1:12">
      <c r="A20" s="330" t="s">
        <v>109</v>
      </c>
      <c r="B20" s="274"/>
      <c r="C20" s="274"/>
      <c r="D20" s="274"/>
      <c r="E20" s="274"/>
      <c r="F20" s="2"/>
      <c r="G20" s="330" t="s">
        <v>110</v>
      </c>
      <c r="H20" s="274"/>
      <c r="I20" s="274"/>
      <c r="J20" s="274"/>
      <c r="K20" s="274"/>
      <c r="L20" s="2"/>
    </row>
    <row r="21" spans="1:12">
      <c r="A21" s="330" t="s">
        <v>111</v>
      </c>
      <c r="B21" s="274"/>
      <c r="C21" s="274"/>
      <c r="D21" s="274"/>
      <c r="E21" s="274"/>
      <c r="F21" s="2"/>
      <c r="G21" s="330" t="s">
        <v>112</v>
      </c>
      <c r="H21" s="274"/>
      <c r="I21" s="274"/>
      <c r="J21" s="274"/>
      <c r="K21" s="274"/>
      <c r="L21" s="2"/>
    </row>
    <row r="22" spans="1:12">
      <c r="A22" s="330" t="s">
        <v>113</v>
      </c>
      <c r="B22" s="274"/>
      <c r="C22" s="274"/>
      <c r="D22" s="274"/>
      <c r="E22" s="274"/>
      <c r="F22" s="2"/>
      <c r="G22" s="330" t="s">
        <v>114</v>
      </c>
      <c r="H22" s="274"/>
      <c r="I22" s="274"/>
      <c r="J22" s="274"/>
      <c r="K22" s="274"/>
      <c r="L22" s="2"/>
    </row>
    <row r="23" spans="1:12">
      <c r="A23" s="330" t="s">
        <v>115</v>
      </c>
      <c r="B23" s="274"/>
      <c r="C23" s="274"/>
      <c r="D23" s="274"/>
      <c r="E23" s="274"/>
      <c r="F23" s="2"/>
      <c r="G23" s="330" t="s">
        <v>116</v>
      </c>
      <c r="H23" s="274"/>
      <c r="I23" s="274"/>
      <c r="J23" s="274"/>
      <c r="K23" s="274"/>
      <c r="L23" s="2"/>
    </row>
    <row r="24" spans="1:12">
      <c r="A24" s="330" t="s">
        <v>117</v>
      </c>
      <c r="B24" s="274"/>
      <c r="C24" s="274"/>
      <c r="D24" s="274"/>
      <c r="E24" s="274"/>
      <c r="F24" s="2"/>
      <c r="G24" s="330" t="s">
        <v>118</v>
      </c>
      <c r="H24" s="274"/>
      <c r="I24" s="274"/>
      <c r="J24" s="274"/>
      <c r="K24" s="274"/>
      <c r="L24" s="2"/>
    </row>
    <row r="25" spans="1:12">
      <c r="A25" s="2"/>
      <c r="B25" s="2"/>
      <c r="C25" s="2"/>
      <c r="D25" s="2"/>
      <c r="E25" s="2"/>
      <c r="F25" s="2"/>
      <c r="G25" s="330" t="s">
        <v>119</v>
      </c>
      <c r="H25" s="274"/>
      <c r="I25" s="274"/>
      <c r="J25" s="274"/>
      <c r="K25" s="274"/>
      <c r="L25" s="2"/>
    </row>
  </sheetData>
  <sheetProtection sheet="1" objects="1" scenarios="1"/>
  <mergeCells count="24">
    <mergeCell ref="C6:D6"/>
    <mergeCell ref="G21:K21"/>
    <mergeCell ref="A24:E24"/>
    <mergeCell ref="G23:K23"/>
    <mergeCell ref="A1:K1"/>
    <mergeCell ref="A6:B6"/>
    <mergeCell ref="C7:D8"/>
    <mergeCell ref="E7:F8"/>
    <mergeCell ref="G19:K19"/>
    <mergeCell ref="G6:H6"/>
    <mergeCell ref="A21:E21"/>
    <mergeCell ref="E6:F6"/>
    <mergeCell ref="G24:K24"/>
    <mergeCell ref="A2:K2"/>
    <mergeCell ref="A23:E23"/>
    <mergeCell ref="A22:E22"/>
    <mergeCell ref="G25:K25"/>
    <mergeCell ref="A10:K10"/>
    <mergeCell ref="G22:K22"/>
    <mergeCell ref="G7:H8"/>
    <mergeCell ref="A20:E20"/>
    <mergeCell ref="G20:K20"/>
    <mergeCell ref="A7:B8"/>
    <mergeCell ref="A19:E19"/>
  </mergeCells>
  <conditionalFormatting sqref="A12:J16">
    <cfRule type="expression" dxfId="104" priority="1">
      <formula>$F12="Critical"</formula>
    </cfRule>
    <cfRule type="expression" dxfId="103" priority="2">
      <formula>$F12="High"</formula>
    </cfRule>
    <cfRule type="expression" dxfId="102" priority="3">
      <formula>$F12="Medium"</formula>
    </cfRule>
  </conditionalFormatting>
  <conditionalFormatting sqref="D12:D16">
    <cfRule type="expression" dxfId="101" priority="7">
      <formula>AND($D12&lt;&gt;"",ISNUMBER($D12),$D12&lt;TODAY())</formula>
    </cfRule>
  </conditionalFormatting>
  <conditionalFormatting sqref="F12:F16">
    <cfRule type="expression" dxfId="100" priority="4">
      <formula>$F12&lt;&gt;""</formula>
    </cfRule>
  </conditionalFormatting>
  <conditionalFormatting sqref="G12:G16">
    <cfRule type="expression" dxfId="99" priority="5">
      <formula>$G12="High"</formula>
    </cfRule>
  </conditionalFormatting>
  <conditionalFormatting sqref="H12:H16">
    <cfRule type="expression" dxfId="98" priority="6">
      <formula>$H12="Yes"</formula>
    </cfRule>
  </conditionalFormatting>
  <pageMargins left="0.25" right="0.25" top="0.5" bottom="0.5" header="0.5" footer="0.5"/>
  <pageSetup fitToHeight="0" orientation="landscape"/>
  <headerFooter>
    <oddHeader>&amp;C&amp;"Aptos,Bold"&amp;14 Amir Group of Companies - SLT Action Tracker</oddHeader>
    <oddFooter>&amp;CConfidential -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7365D"/>
    <pageSetUpPr fitToPage="1"/>
  </sheetPr>
  <dimension ref="A1:L42"/>
  <sheetViews>
    <sheetView showGridLines="0" workbookViewId="0">
      <pane ySplit="1" topLeftCell="A10" activePane="bottomLeft" state="frozen"/>
      <selection sqref="A1:K1"/>
      <selection pane="bottomLeft" activeCell="O23" sqref="O23"/>
    </sheetView>
  </sheetViews>
  <sheetFormatPr defaultRowHeight="14.5"/>
  <cols>
    <col min="1" max="1" width="12.7265625" style="1" customWidth="1"/>
    <col min="2" max="3" width="12.7265625" customWidth="1"/>
    <col min="4" max="4" width="12.7265625" style="1" customWidth="1"/>
    <col min="5" max="6" width="12.7265625" customWidth="1"/>
    <col min="7" max="7" width="3.7265625" customWidth="1"/>
    <col min="8" max="8" width="21.7265625" style="1" customWidth="1"/>
    <col min="9" max="10" width="11.7265625" customWidth="1"/>
    <col min="11" max="12" width="12.7265625" customWidth="1"/>
  </cols>
  <sheetData>
    <row r="1" spans="1:12" ht="36" customHeight="1">
      <c r="A1" s="337" t="s">
        <v>120</v>
      </c>
      <c r="B1" s="274"/>
      <c r="C1" s="274"/>
      <c r="D1" s="275"/>
      <c r="E1" s="274"/>
      <c r="F1" s="274"/>
      <c r="G1" s="274"/>
      <c r="H1" s="275"/>
      <c r="I1" s="274"/>
      <c r="J1" s="274"/>
      <c r="K1" s="274"/>
    </row>
    <row r="2" spans="1:12" ht="24" customHeight="1">
      <c r="A2" s="299" t="s">
        <v>121</v>
      </c>
      <c r="B2" s="274"/>
      <c r="C2" s="274"/>
      <c r="D2" s="275"/>
      <c r="E2" s="274"/>
      <c r="F2" s="274"/>
      <c r="G2" s="274"/>
      <c r="H2" s="275"/>
      <c r="I2" s="274"/>
      <c r="J2" s="274"/>
      <c r="K2" s="274"/>
      <c r="L2" s="52"/>
    </row>
    <row r="3" spans="1:12" ht="12" customHeight="1">
      <c r="A3" s="53"/>
      <c r="B3" s="54"/>
      <c r="C3" s="54"/>
      <c r="D3" s="53"/>
      <c r="E3" s="54"/>
      <c r="F3" s="54"/>
      <c r="G3" s="2"/>
      <c r="H3" s="53"/>
      <c r="I3" s="54"/>
      <c r="J3" s="54"/>
      <c r="K3" s="54"/>
      <c r="L3" s="54"/>
    </row>
    <row r="4" spans="1:12" ht="28.15" customHeight="1">
      <c r="A4" s="291" t="s">
        <v>5</v>
      </c>
      <c r="B4" s="292"/>
      <c r="C4" s="295" t="s">
        <v>6</v>
      </c>
      <c r="D4" s="292"/>
      <c r="E4" s="295" t="s">
        <v>7</v>
      </c>
      <c r="F4" s="292"/>
      <c r="G4" s="338" t="s">
        <v>8</v>
      </c>
      <c r="H4" s="292"/>
      <c r="I4" s="295" t="s">
        <v>13</v>
      </c>
      <c r="J4" s="292"/>
      <c r="K4" s="295" t="s">
        <v>14</v>
      </c>
      <c r="L4" s="292"/>
    </row>
    <row r="5" spans="1:12" ht="30" customHeight="1">
      <c r="A5" s="311">
        <f>COUNTIFS('Action Register'!$T:$T,"ACTIVE",'Action Register'!$B:$B,"&lt;&gt;",'Action Register'!$G:$G,"&lt;&gt;Completed",'Action Register'!$G:$G,"&lt;&gt;Cancelled")</f>
        <v>29</v>
      </c>
      <c r="B5" s="274"/>
      <c r="C5" s="282">
        <f ca="1">COUNTIFS('Action Register'!$F:$F,"&lt;"&amp;TODAY(),'Action Register'!$B:$B,"&lt;&gt;",'Action Register'!$G:$G,"&lt;&gt;Completed",'Action Register'!$G:$G,"&lt;&gt;Cancelled",'Action Register'!$G:$G,"&lt;&gt;Deferred")</f>
        <v>10</v>
      </c>
      <c r="D5" s="275"/>
      <c r="E5" s="282">
        <f>COUNTIFS('Action Register'!$H:$H,"Critical",'Action Register'!$B:$B,"&lt;&gt;")</f>
        <v>0</v>
      </c>
      <c r="F5" s="274"/>
      <c r="G5" s="339">
        <f>COUNTIFS('Action Register'!$J:$J,"High",'Action Register'!$B:$B,"&lt;&gt;")</f>
        <v>14</v>
      </c>
      <c r="H5" s="275"/>
      <c r="I5" s="282">
        <f>COUNTIFS('Action Register'!$L:$L,"Yes",'Action Register'!$B:$B,"&lt;&gt;")</f>
        <v>10</v>
      </c>
      <c r="J5" s="274"/>
      <c r="K5" s="288">
        <f>COUNTIFS('Action Register'!$K:$K,"ASP Go-Live",'Action Register'!$B:$B,"&lt;&gt;")</f>
        <v>9</v>
      </c>
      <c r="L5" s="289"/>
    </row>
    <row r="6" spans="1:12" ht="30" customHeight="1">
      <c r="A6" s="312"/>
      <c r="B6" s="284"/>
      <c r="C6" s="283"/>
      <c r="D6" s="284"/>
      <c r="E6" s="283"/>
      <c r="F6" s="284"/>
      <c r="G6" s="283"/>
      <c r="H6" s="284"/>
      <c r="I6" s="283"/>
      <c r="J6" s="284"/>
      <c r="K6" s="283"/>
      <c r="L6" s="290"/>
    </row>
    <row r="7" spans="1:12" ht="7.9" customHeight="1">
      <c r="A7" s="53"/>
      <c r="B7" s="54"/>
      <c r="C7" s="54"/>
      <c r="D7" s="53"/>
      <c r="E7" s="54"/>
      <c r="F7" s="54"/>
      <c r="G7" s="2"/>
      <c r="H7" s="53"/>
      <c r="I7" s="54"/>
      <c r="J7" s="54"/>
      <c r="K7" s="54"/>
      <c r="L7" s="54"/>
    </row>
    <row r="8" spans="1:12" ht="7.9" customHeight="1" thickBot="1">
      <c r="A8" s="53"/>
      <c r="B8" s="54"/>
      <c r="C8" s="54"/>
      <c r="D8" s="53"/>
      <c r="E8" s="54"/>
      <c r="F8" s="54"/>
      <c r="G8" s="2"/>
      <c r="H8" s="53"/>
      <c r="I8" s="54"/>
      <c r="J8" s="54"/>
      <c r="K8" s="54"/>
      <c r="L8" s="54"/>
    </row>
    <row r="9" spans="1:12" ht="25.9" customHeight="1" thickBot="1">
      <c r="A9" s="55" t="s">
        <v>100</v>
      </c>
      <c r="B9" s="56" t="s">
        <v>122</v>
      </c>
      <c r="C9" s="56" t="s">
        <v>6</v>
      </c>
      <c r="D9" s="56" t="s">
        <v>123</v>
      </c>
      <c r="E9" s="56" t="s">
        <v>8</v>
      </c>
      <c r="F9" s="57" t="s">
        <v>13</v>
      </c>
      <c r="G9" s="58"/>
      <c r="H9" s="55" t="s">
        <v>105</v>
      </c>
      <c r="I9" s="56" t="s">
        <v>124</v>
      </c>
      <c r="J9" s="56" t="s">
        <v>8</v>
      </c>
      <c r="K9" s="57" t="s">
        <v>13</v>
      </c>
      <c r="L9" s="59"/>
    </row>
    <row r="10" spans="1:12" ht="22.15" customHeight="1">
      <c r="A10" s="60" t="s">
        <v>125</v>
      </c>
      <c r="B10" s="61">
        <f>COUNTIFS('Action Register'!$D:$D,$A10,'Action Register'!$B:$B,"&lt;&gt;",'Action Register'!$G:$G,"&lt;&gt;Completed",'Action Register'!$G:$G,"&lt;&gt;Cancelled")</f>
        <v>4</v>
      </c>
      <c r="C10" s="61">
        <f ca="1">COUNTIFS('Action Register'!$D:$D,$A10,'Action Register'!$F:$F,"&lt;"&amp;TODAY(),'Action Register'!$B:$B,"&lt;&gt;",'Action Register'!$G:$G,"&lt;&gt;Completed",'Action Register'!$G:$G,"&lt;&gt;Cancelled",'Action Register'!$G:$G,"&lt;&gt;Deferred")</f>
        <v>4</v>
      </c>
      <c r="D10" s="61">
        <f>COUNTIFS('Action Register'!$D:$D,$A10,'Action Register'!$G:$G,"At Risk")+COUNTIFS('Action Register'!$D:$D,$A10,'Action Register'!$G:$G,"Stuck")</f>
        <v>0</v>
      </c>
      <c r="E10" s="61">
        <f>COUNTIFS('Action Register'!$D:$D,$A10,'Action Register'!$J:$J,"High")</f>
        <v>1</v>
      </c>
      <c r="F10" s="62">
        <f>COUNTIFS('Action Register'!$D:$D,$A10,'Action Register'!$L:$L,"Yes")</f>
        <v>2</v>
      </c>
      <c r="G10" s="63"/>
      <c r="H10" s="60" t="s">
        <v>126</v>
      </c>
      <c r="I10" s="61">
        <f>COUNTIFS('Action Register'!$K:$K,$H10,'Action Register'!$B:$B,"&lt;&gt;",'Action Register'!$G:$G,"&lt;&gt;Completed",'Action Register'!$G:$G,"&lt;&gt;Cancelled")</f>
        <v>5</v>
      </c>
      <c r="J10" s="61">
        <f>COUNTIFS('Action Register'!$K:$K,$H10,'Action Register'!$J:$J,"High")</f>
        <v>4</v>
      </c>
      <c r="K10" s="62">
        <f>COUNTIFS('Action Register'!$K:$K,$H10,'Action Register'!$L:$L,"Yes")</f>
        <v>2</v>
      </c>
      <c r="L10" s="54"/>
    </row>
    <row r="11" spans="1:12" ht="22.15" customHeight="1">
      <c r="A11" s="64" t="s">
        <v>127</v>
      </c>
      <c r="B11" s="65">
        <f>COUNTIFS('Action Register'!$D:$D,$A11,'Action Register'!$B:$B,"&lt;&gt;",'Action Register'!$G:$G,"&lt;&gt;Completed",'Action Register'!$G:$G,"&lt;&gt;Cancelled")</f>
        <v>7</v>
      </c>
      <c r="C11" s="65">
        <f ca="1">COUNTIFS('Action Register'!$D:$D,$A11,'Action Register'!$F:$F,"&lt;"&amp;TODAY(),'Action Register'!$B:$B,"&lt;&gt;",'Action Register'!$G:$G,"&lt;&gt;Completed",'Action Register'!$G:$G,"&lt;&gt;Cancelled",'Action Register'!$G:$G,"&lt;&gt;Deferred")</f>
        <v>4</v>
      </c>
      <c r="D11" s="65">
        <f>COUNTIFS('Action Register'!$D:$D,$A11,'Action Register'!$G:$G,"At Risk")+COUNTIFS('Action Register'!$D:$D,$A11,'Action Register'!$G:$G,"Stuck")</f>
        <v>0</v>
      </c>
      <c r="E11" s="65">
        <f>COUNTIFS('Action Register'!$D:$D,$A11,'Action Register'!$J:$J,"High")</f>
        <v>7</v>
      </c>
      <c r="F11" s="66">
        <f>COUNTIFS('Action Register'!$D:$D,$A11,'Action Register'!$L:$L,"Yes")</f>
        <v>2</v>
      </c>
      <c r="G11" s="63"/>
      <c r="H11" s="64" t="s">
        <v>128</v>
      </c>
      <c r="I11" s="65">
        <f>COUNTIFS('Action Register'!$K:$K,$H11,'Action Register'!$B:$B,"&lt;&gt;",'Action Register'!$G:$G,"&lt;&gt;Completed",'Action Register'!$G:$G,"&lt;&gt;Cancelled")</f>
        <v>6</v>
      </c>
      <c r="J11" s="65">
        <f>COUNTIFS('Action Register'!$K:$K,$H11,'Action Register'!$J:$J,"High")</f>
        <v>1</v>
      </c>
      <c r="K11" s="66">
        <f>COUNTIFS('Action Register'!$K:$K,$H11,'Action Register'!$L:$L,"Yes")</f>
        <v>2</v>
      </c>
      <c r="L11" s="54"/>
    </row>
    <row r="12" spans="1:12" ht="22.15" customHeight="1">
      <c r="A12" s="67" t="s">
        <v>129</v>
      </c>
      <c r="B12" s="68">
        <f>COUNTIFS('Action Register'!$D:$D,$A12,'Action Register'!$B:$B,"&lt;&gt;",'Action Register'!$G:$G,"&lt;&gt;Completed",'Action Register'!$G:$G,"&lt;&gt;Cancelled")</f>
        <v>1</v>
      </c>
      <c r="C12" s="68">
        <f ca="1">COUNTIFS('Action Register'!$D:$D,$A12,'Action Register'!$F:$F,"&lt;"&amp;TODAY(),'Action Register'!$B:$B,"&lt;&gt;",'Action Register'!$G:$G,"&lt;&gt;Completed",'Action Register'!$G:$G,"&lt;&gt;Cancelled",'Action Register'!$G:$G,"&lt;&gt;Deferred")</f>
        <v>0</v>
      </c>
      <c r="D12" s="68">
        <f>COUNTIFS('Action Register'!$D:$D,$A12,'Action Register'!$G:$G,"At Risk")+COUNTIFS('Action Register'!$D:$D,$A12,'Action Register'!$G:$G,"Stuck")</f>
        <v>0</v>
      </c>
      <c r="E12" s="68">
        <f>COUNTIFS('Action Register'!$D:$D,$A12,'Action Register'!$J:$J,"High")</f>
        <v>1</v>
      </c>
      <c r="F12" s="69">
        <f>COUNTIFS('Action Register'!$D:$D,$A12,'Action Register'!$L:$L,"Yes")</f>
        <v>2</v>
      </c>
      <c r="G12" s="63"/>
      <c r="H12" s="67" t="s">
        <v>130</v>
      </c>
      <c r="I12" s="68">
        <f>COUNTIFS('Action Register'!$K:$K,$H12,'Action Register'!$B:$B,"&lt;&gt;",'Action Register'!$G:$G,"&lt;&gt;Completed",'Action Register'!$G:$G,"&lt;&gt;Cancelled")</f>
        <v>2</v>
      </c>
      <c r="J12" s="68">
        <f>COUNTIFS('Action Register'!$K:$K,$H12,'Action Register'!$J:$J,"High")</f>
        <v>1</v>
      </c>
      <c r="K12" s="69">
        <f>COUNTIFS('Action Register'!$K:$K,$H12,'Action Register'!$L:$L,"Yes")</f>
        <v>2</v>
      </c>
      <c r="L12" s="54"/>
    </row>
    <row r="13" spans="1:12" ht="22.15" customHeight="1">
      <c r="A13" s="64" t="s">
        <v>131</v>
      </c>
      <c r="B13" s="65">
        <f>COUNTIFS('Action Register'!$D:$D,$A13,'Action Register'!$B:$B,"&lt;&gt;",'Action Register'!$G:$G,"&lt;&gt;Completed",'Action Register'!$G:$G,"&lt;&gt;Cancelled")</f>
        <v>5</v>
      </c>
      <c r="C13" s="65">
        <f ca="1">COUNTIFS('Action Register'!$D:$D,$A13,'Action Register'!$F:$F,"&lt;"&amp;TODAY(),'Action Register'!$B:$B,"&lt;&gt;",'Action Register'!$G:$G,"&lt;&gt;Completed",'Action Register'!$G:$G,"&lt;&gt;Cancelled",'Action Register'!$G:$G,"&lt;&gt;Deferred")</f>
        <v>0</v>
      </c>
      <c r="D13" s="65">
        <f>COUNTIFS('Action Register'!$D:$D,$A13,'Action Register'!$G:$G,"At Risk")+COUNTIFS('Action Register'!$D:$D,$A13,'Action Register'!$G:$G,"Stuck")</f>
        <v>0</v>
      </c>
      <c r="E13" s="65">
        <f>COUNTIFS('Action Register'!$D:$D,$A13,'Action Register'!$J:$J,"High")</f>
        <v>2</v>
      </c>
      <c r="F13" s="66">
        <f>COUNTIFS('Action Register'!$D:$D,$A13,'Action Register'!$L:$L,"Yes")</f>
        <v>1</v>
      </c>
      <c r="G13" s="63"/>
      <c r="H13" s="64" t="s">
        <v>132</v>
      </c>
      <c r="I13" s="65">
        <f>COUNTIFS('Action Register'!$K:$K,$H13,'Action Register'!$B:$B,"&lt;&gt;",'Action Register'!$G:$G,"&lt;&gt;Completed",'Action Register'!$G:$G,"&lt;&gt;Cancelled")</f>
        <v>6</v>
      </c>
      <c r="J13" s="65">
        <f>COUNTIFS('Action Register'!$K:$K,$H13,'Action Register'!$J:$J,"High")</f>
        <v>3</v>
      </c>
      <c r="K13" s="66">
        <f>COUNTIFS('Action Register'!$K:$K,$H13,'Action Register'!$L:$L,"Yes")</f>
        <v>3</v>
      </c>
      <c r="L13" s="54"/>
    </row>
    <row r="14" spans="1:12" ht="22.15" customHeight="1">
      <c r="A14" s="67" t="s">
        <v>133</v>
      </c>
      <c r="B14" s="68">
        <f>COUNTIFS('Action Register'!$D:$D,$A14,'Action Register'!$B:$B,"&lt;&gt;",'Action Register'!$G:$G,"&lt;&gt;Completed",'Action Register'!$G:$G,"&lt;&gt;Cancelled")</f>
        <v>1</v>
      </c>
      <c r="C14" s="68">
        <f ca="1">COUNTIFS('Action Register'!$D:$D,$A14,'Action Register'!$F:$F,"&lt;"&amp;TODAY(),'Action Register'!$B:$B,"&lt;&gt;",'Action Register'!$G:$G,"&lt;&gt;Completed",'Action Register'!$G:$G,"&lt;&gt;Cancelled",'Action Register'!$G:$G,"&lt;&gt;Deferred")</f>
        <v>1</v>
      </c>
      <c r="D14" s="68">
        <f>COUNTIFS('Action Register'!$D:$D,$A14,'Action Register'!$G:$G,"At Risk")+COUNTIFS('Action Register'!$D:$D,$A14,'Action Register'!$G:$G,"Stuck")</f>
        <v>0</v>
      </c>
      <c r="E14" s="68">
        <f>COUNTIFS('Action Register'!$D:$D,$A14,'Action Register'!$J:$J,"High")</f>
        <v>0</v>
      </c>
      <c r="F14" s="69">
        <f>COUNTIFS('Action Register'!$D:$D,$A14,'Action Register'!$L:$L,"Yes")</f>
        <v>0</v>
      </c>
      <c r="G14" s="63"/>
      <c r="H14" s="67" t="s">
        <v>134</v>
      </c>
      <c r="I14" s="68">
        <f>COUNTIFS('Action Register'!$K:$K,$H14,'Action Register'!$B:$B,"&lt;&gt;",'Action Register'!$G:$G,"&lt;&gt;Completed",'Action Register'!$G:$G,"&lt;&gt;Cancelled")</f>
        <v>0</v>
      </c>
      <c r="J14" s="68">
        <f>COUNTIFS('Action Register'!$K:$K,$H14,'Action Register'!$J:$J,"High")</f>
        <v>0</v>
      </c>
      <c r="K14" s="69">
        <f>COUNTIFS('Action Register'!$K:$K,$H14,'Action Register'!$L:$L,"Yes")</f>
        <v>0</v>
      </c>
      <c r="L14" s="54"/>
    </row>
    <row r="15" spans="1:12" ht="22.15" customHeight="1">
      <c r="A15" s="64" t="s">
        <v>135</v>
      </c>
      <c r="B15" s="65">
        <f>COUNTIFS('Action Register'!$D:$D,$A15,'Action Register'!$B:$B,"&lt;&gt;",'Action Register'!$G:$G,"&lt;&gt;Completed",'Action Register'!$G:$G,"&lt;&gt;Cancelled")</f>
        <v>3</v>
      </c>
      <c r="C15" s="65">
        <f ca="1">COUNTIFS('Action Register'!$D:$D,$A15,'Action Register'!$F:$F,"&lt;"&amp;TODAY(),'Action Register'!$B:$B,"&lt;&gt;",'Action Register'!$G:$G,"&lt;&gt;Completed",'Action Register'!$G:$G,"&lt;&gt;Cancelled",'Action Register'!$G:$G,"&lt;&gt;Deferred")</f>
        <v>0</v>
      </c>
      <c r="D15" s="65">
        <f>COUNTIFS('Action Register'!$D:$D,$A15,'Action Register'!$G:$G,"At Risk")+COUNTIFS('Action Register'!$D:$D,$A15,'Action Register'!$G:$G,"Stuck")</f>
        <v>0</v>
      </c>
      <c r="E15" s="65">
        <f>COUNTIFS('Action Register'!$D:$D,$A15,'Action Register'!$J:$J,"High")</f>
        <v>0</v>
      </c>
      <c r="F15" s="66">
        <f>COUNTIFS('Action Register'!$D:$D,$A15,'Action Register'!$L:$L,"Yes")</f>
        <v>1</v>
      </c>
      <c r="G15" s="63"/>
      <c r="H15" s="64" t="s">
        <v>136</v>
      </c>
      <c r="I15" s="65">
        <f>COUNTIFS('Action Register'!$K:$K,$H15,'Action Register'!$B:$B,"&lt;&gt;",'Action Register'!$G:$G,"&lt;&gt;Completed",'Action Register'!$G:$G,"&lt;&gt;Cancelled")</f>
        <v>0</v>
      </c>
      <c r="J15" s="65">
        <f>COUNTIFS('Action Register'!$K:$K,$H15,'Action Register'!$J:$J,"High")</f>
        <v>0</v>
      </c>
      <c r="K15" s="66">
        <f>COUNTIFS('Action Register'!$K:$K,$H15,'Action Register'!$L:$L,"Yes")</f>
        <v>0</v>
      </c>
      <c r="L15" s="54"/>
    </row>
    <row r="16" spans="1:12" ht="22.15" customHeight="1">
      <c r="A16" s="67" t="s">
        <v>137</v>
      </c>
      <c r="B16" s="68">
        <f>COUNTIFS('Action Register'!$D:$D,$A16,'Action Register'!$B:$B,"&lt;&gt;",'Action Register'!$G:$G,"&lt;&gt;Completed",'Action Register'!$G:$G,"&lt;&gt;Cancelled")</f>
        <v>0</v>
      </c>
      <c r="C16" s="68">
        <f ca="1">COUNTIFS('Action Register'!$D:$D,$A16,'Action Register'!$F:$F,"&lt;"&amp;TODAY(),'Action Register'!$B:$B,"&lt;&gt;",'Action Register'!$G:$G,"&lt;&gt;Completed",'Action Register'!$G:$G,"&lt;&gt;Cancelled",'Action Register'!$G:$G,"&lt;&gt;Deferred")</f>
        <v>0</v>
      </c>
      <c r="D16" s="68">
        <f>COUNTIFS('Action Register'!$D:$D,$A16,'Action Register'!$G:$G,"At Risk")+COUNTIFS('Action Register'!$D:$D,$A16,'Action Register'!$G:$G,"Stuck")</f>
        <v>0</v>
      </c>
      <c r="E16" s="68">
        <f>COUNTIFS('Action Register'!$D:$D,$A16,'Action Register'!$J:$J,"High")</f>
        <v>0</v>
      </c>
      <c r="F16" s="69">
        <f>COUNTIFS('Action Register'!$D:$D,$A16,'Action Register'!$L:$L,"Yes")</f>
        <v>1</v>
      </c>
      <c r="G16" s="63"/>
      <c r="H16" s="67" t="s">
        <v>138</v>
      </c>
      <c r="I16" s="68">
        <f>COUNTIFS('Action Register'!$K:$K,$H16,'Action Register'!$B:$B,"&lt;&gt;",'Action Register'!$G:$G,"&lt;&gt;Completed",'Action Register'!$G:$G,"&lt;&gt;Cancelled")</f>
        <v>1</v>
      </c>
      <c r="J16" s="68">
        <f>COUNTIFS('Action Register'!$K:$K,$H16,'Action Register'!$J:$J,"High")</f>
        <v>0</v>
      </c>
      <c r="K16" s="69">
        <f>COUNTIFS('Action Register'!$K:$K,$H16,'Action Register'!$L:$L,"Yes")</f>
        <v>0</v>
      </c>
      <c r="L16" s="54"/>
    </row>
    <row r="17" spans="1:12" ht="22.15" customHeight="1" thickBot="1">
      <c r="A17" s="70" t="s">
        <v>139</v>
      </c>
      <c r="B17" s="71">
        <f>COUNTIFS('Action Register'!$D:$D,$A17,'Action Register'!$B:$B,"&lt;&gt;",'Action Register'!$G:$G,"&lt;&gt;Completed",'Action Register'!$G:$G,"&lt;&gt;Cancelled")</f>
        <v>0</v>
      </c>
      <c r="C17" s="71">
        <f ca="1">COUNTIFS('Action Register'!$D:$D,$A17,'Action Register'!$F:$F,"&lt;"&amp;TODAY(),'Action Register'!$B:$B,"&lt;&gt;",'Action Register'!$G:$G,"&lt;&gt;Completed",'Action Register'!$G:$G,"&lt;&gt;Cancelled",'Action Register'!$G:$G,"&lt;&gt;Deferred")</f>
        <v>0</v>
      </c>
      <c r="D17" s="71">
        <f>COUNTIFS('Action Register'!$D:$D,$A17,'Action Register'!$G:$G,"At Risk")+COUNTIFS('Action Register'!$D:$D,$A17,'Action Register'!$G:$G,"Stuck")</f>
        <v>0</v>
      </c>
      <c r="E17" s="71">
        <f>COUNTIFS('Action Register'!$D:$D,$A17,'Action Register'!$J:$J,"High")</f>
        <v>0</v>
      </c>
      <c r="F17" s="72">
        <f>COUNTIFS('Action Register'!$D:$D,$A17,'Action Register'!$L:$L,"Yes")</f>
        <v>0</v>
      </c>
      <c r="G17" s="73"/>
      <c r="H17" s="70" t="s">
        <v>140</v>
      </c>
      <c r="I17" s="71">
        <f>COUNTIFS('Action Register'!$K:$K,$H17,'Action Register'!$B:$B,"&lt;&gt;",'Action Register'!$G:$G,"&lt;&gt;Completed",'Action Register'!$G:$G,"&lt;&gt;Cancelled")</f>
        <v>3</v>
      </c>
      <c r="J17" s="71">
        <f>COUNTIFS('Action Register'!$K:$K,$H17,'Action Register'!$J:$J,"High")</f>
        <v>1</v>
      </c>
      <c r="K17" s="72">
        <f>COUNTIFS('Action Register'!$K:$K,$H17,'Action Register'!$L:$L,"Yes")</f>
        <v>0</v>
      </c>
      <c r="L17" s="54"/>
    </row>
    <row r="18" spans="1:12" ht="28.15" customHeight="1">
      <c r="A18" s="306" t="s">
        <v>141</v>
      </c>
      <c r="B18" s="307"/>
      <c r="C18" s="307"/>
      <c r="D18" s="307"/>
      <c r="E18" s="307"/>
      <c r="F18" s="307"/>
      <c r="G18" s="307"/>
      <c r="H18" s="307"/>
      <c r="I18" s="307"/>
      <c r="J18" s="307"/>
      <c r="K18" s="307"/>
      <c r="L18" s="307"/>
    </row>
    <row r="19" spans="1:12" ht="18" customHeight="1">
      <c r="A19" s="74"/>
      <c r="B19" s="75"/>
      <c r="C19" s="75"/>
      <c r="D19" s="74"/>
      <c r="E19" s="75"/>
      <c r="F19" s="75"/>
      <c r="G19" s="2"/>
      <c r="H19" s="74"/>
      <c r="I19" s="75"/>
      <c r="J19" s="75"/>
      <c r="K19" s="75"/>
      <c r="L19" s="75"/>
    </row>
    <row r="20" spans="1:12" ht="18" customHeight="1">
      <c r="A20" s="74"/>
      <c r="B20" s="75"/>
      <c r="C20" s="75"/>
      <c r="D20" s="74"/>
      <c r="E20" s="75"/>
      <c r="F20" s="75"/>
      <c r="G20" s="2"/>
      <c r="H20" s="74"/>
      <c r="I20" s="75"/>
      <c r="J20" s="75"/>
      <c r="K20" s="75"/>
      <c r="L20" s="75"/>
    </row>
    <row r="21" spans="1:12" ht="18" customHeight="1">
      <c r="A21" s="74"/>
      <c r="B21" s="75"/>
      <c r="C21" s="75"/>
      <c r="D21" s="74"/>
      <c r="E21" s="75"/>
      <c r="F21" s="75"/>
      <c r="G21" s="2"/>
      <c r="H21" s="74"/>
      <c r="I21" s="75"/>
      <c r="J21" s="75"/>
      <c r="K21" s="75"/>
      <c r="L21" s="75"/>
    </row>
    <row r="22" spans="1:12" ht="18" customHeight="1">
      <c r="A22" s="74"/>
      <c r="B22" s="75"/>
      <c r="C22" s="75"/>
      <c r="D22" s="74"/>
      <c r="E22" s="75"/>
      <c r="F22" s="75"/>
      <c r="G22" s="2"/>
      <c r="H22" s="74"/>
      <c r="I22" s="75"/>
      <c r="J22" s="75"/>
      <c r="K22" s="75"/>
      <c r="L22" s="75"/>
    </row>
    <row r="23" spans="1:12" ht="18" customHeight="1">
      <c r="A23" s="74"/>
      <c r="B23" s="75"/>
      <c r="C23" s="75"/>
      <c r="D23" s="74"/>
      <c r="E23" s="75"/>
      <c r="F23" s="75"/>
      <c r="G23" s="2"/>
      <c r="H23" s="74"/>
      <c r="I23" s="75"/>
      <c r="J23" s="75"/>
      <c r="K23" s="75"/>
      <c r="L23" s="75"/>
    </row>
    <row r="24" spans="1:12" ht="18" customHeight="1">
      <c r="A24" s="74"/>
      <c r="B24" s="75"/>
      <c r="C24" s="75"/>
      <c r="D24" s="74"/>
      <c r="E24" s="75"/>
      <c r="F24" s="75"/>
      <c r="G24" s="2"/>
      <c r="H24" s="74"/>
      <c r="I24" s="75"/>
      <c r="J24" s="75"/>
      <c r="K24" s="75"/>
      <c r="L24" s="75"/>
    </row>
    <row r="25" spans="1:12" ht="18" customHeight="1">
      <c r="A25" s="74"/>
      <c r="B25" s="75"/>
      <c r="C25" s="75"/>
      <c r="D25" s="74"/>
      <c r="E25" s="75"/>
      <c r="F25" s="75"/>
      <c r="G25" s="2"/>
      <c r="H25" s="74"/>
      <c r="I25" s="75"/>
      <c r="J25" s="75"/>
      <c r="K25" s="75"/>
      <c r="L25" s="75"/>
    </row>
    <row r="26" spans="1:12" ht="18" customHeight="1">
      <c r="A26" s="74"/>
      <c r="B26" s="75"/>
      <c r="C26" s="75"/>
      <c r="D26" s="74"/>
      <c r="E26" s="75"/>
      <c r="F26" s="75"/>
      <c r="G26" s="2"/>
      <c r="H26" s="74"/>
      <c r="I26" s="75"/>
      <c r="J26" s="75"/>
      <c r="K26" s="75"/>
      <c r="L26" s="75"/>
    </row>
    <row r="27" spans="1:12" ht="18" customHeight="1">
      <c r="A27" s="74"/>
      <c r="B27" s="75"/>
      <c r="C27" s="75"/>
      <c r="D27" s="74"/>
      <c r="E27" s="75"/>
      <c r="F27" s="75"/>
      <c r="G27" s="2"/>
      <c r="H27" s="74"/>
      <c r="I27" s="75"/>
      <c r="J27" s="75"/>
      <c r="K27" s="75"/>
      <c r="L27" s="75"/>
    </row>
    <row r="28" spans="1:12" ht="18" customHeight="1">
      <c r="A28" s="74"/>
      <c r="B28" s="75"/>
      <c r="C28" s="75"/>
      <c r="D28" s="74"/>
      <c r="E28" s="75"/>
      <c r="F28" s="75"/>
      <c r="G28" s="2"/>
      <c r="H28" s="74"/>
      <c r="I28" s="75"/>
      <c r="J28" s="75"/>
      <c r="K28" s="75"/>
      <c r="L28" s="75"/>
    </row>
    <row r="29" spans="1:12" ht="18" customHeight="1">
      <c r="A29" s="74"/>
      <c r="B29" s="75"/>
      <c r="C29" s="75"/>
      <c r="D29" s="74"/>
      <c r="E29" s="75"/>
      <c r="F29" s="75"/>
      <c r="G29" s="2"/>
      <c r="H29" s="74"/>
      <c r="I29" s="75"/>
      <c r="J29" s="75"/>
      <c r="K29" s="75"/>
      <c r="L29" s="75"/>
    </row>
    <row r="30" spans="1:12" ht="18" customHeight="1">
      <c r="A30" s="74"/>
      <c r="B30" s="75"/>
      <c r="C30" s="75"/>
      <c r="D30" s="74"/>
      <c r="E30" s="75"/>
      <c r="F30" s="75"/>
      <c r="G30" s="2"/>
      <c r="H30" s="74"/>
      <c r="I30" s="75"/>
      <c r="J30" s="75"/>
      <c r="K30" s="75"/>
      <c r="L30" s="75"/>
    </row>
    <row r="31" spans="1:12" ht="18" customHeight="1">
      <c r="A31" s="74"/>
      <c r="B31" s="75"/>
      <c r="C31" s="75"/>
      <c r="D31" s="74"/>
      <c r="E31" s="75"/>
      <c r="F31" s="75"/>
      <c r="G31" s="2"/>
      <c r="H31" s="74"/>
      <c r="I31" s="75"/>
      <c r="J31" s="75"/>
      <c r="K31" s="75"/>
      <c r="L31" s="75"/>
    </row>
    <row r="32" spans="1:12" ht="18" customHeight="1">
      <c r="A32" s="74"/>
      <c r="B32" s="75"/>
      <c r="C32" s="75"/>
      <c r="D32" s="74"/>
      <c r="E32" s="75"/>
      <c r="F32" s="75"/>
      <c r="G32" s="2"/>
      <c r="H32" s="74"/>
      <c r="I32" s="75"/>
      <c r="J32" s="75"/>
      <c r="K32" s="75"/>
      <c r="L32" s="75"/>
    </row>
    <row r="33" spans="1:12" ht="18" customHeight="1">
      <c r="A33" s="74"/>
      <c r="B33" s="75"/>
      <c r="C33" s="75"/>
      <c r="D33" s="74"/>
      <c r="E33" s="75"/>
      <c r="F33" s="75"/>
      <c r="G33" s="2"/>
      <c r="H33" s="74"/>
      <c r="I33" s="75"/>
      <c r="J33" s="75"/>
      <c r="K33" s="75"/>
      <c r="L33" s="75"/>
    </row>
    <row r="34" spans="1:12" ht="18" customHeight="1">
      <c r="A34" s="74"/>
      <c r="B34" s="75"/>
      <c r="C34" s="75"/>
      <c r="D34" s="74"/>
      <c r="E34" s="75"/>
      <c r="F34" s="75"/>
      <c r="G34" s="2"/>
      <c r="H34" s="74"/>
      <c r="I34" s="75"/>
      <c r="J34" s="75"/>
      <c r="K34" s="75"/>
      <c r="L34" s="75"/>
    </row>
    <row r="35" spans="1:12" ht="18" customHeight="1">
      <c r="A35" s="74"/>
      <c r="B35" s="75"/>
      <c r="C35" s="75"/>
      <c r="D35" s="74"/>
      <c r="E35" s="75"/>
      <c r="F35" s="75"/>
      <c r="G35" s="2"/>
      <c r="H35" s="74"/>
      <c r="I35" s="75"/>
      <c r="J35" s="75"/>
      <c r="K35" s="75"/>
      <c r="L35" s="75"/>
    </row>
    <row r="36" spans="1:12" ht="18" customHeight="1" thickBot="1">
      <c r="A36" s="74"/>
      <c r="B36" s="75"/>
      <c r="C36" s="75"/>
      <c r="D36" s="74"/>
      <c r="E36" s="75"/>
      <c r="F36" s="75"/>
      <c r="G36" s="2"/>
      <c r="H36" s="74"/>
      <c r="I36" s="75"/>
      <c r="J36" s="75"/>
      <c r="K36" s="75"/>
      <c r="L36" s="75"/>
    </row>
    <row r="37" spans="1:12" ht="28.15" customHeight="1">
      <c r="A37" s="303" t="s">
        <v>142</v>
      </c>
      <c r="B37" s="304"/>
      <c r="C37" s="304"/>
      <c r="D37" s="304"/>
      <c r="E37" s="304"/>
      <c r="F37" s="304"/>
      <c r="G37" s="304"/>
      <c r="H37" s="304"/>
      <c r="I37" s="304"/>
      <c r="J37" s="304"/>
      <c r="K37" s="304"/>
      <c r="L37" s="305"/>
    </row>
    <row r="38" spans="1:12" ht="22.15" customHeight="1">
      <c r="A38" s="296" t="s">
        <v>143</v>
      </c>
      <c r="B38" s="284"/>
      <c r="C38" s="284"/>
      <c r="D38" s="284"/>
      <c r="E38" s="284"/>
      <c r="F38" s="284"/>
      <c r="G38" s="284"/>
      <c r="H38" s="284"/>
      <c r="I38" s="284"/>
      <c r="J38" s="284"/>
      <c r="K38" s="284"/>
      <c r="L38" s="297"/>
    </row>
    <row r="39" spans="1:12" ht="22.15" customHeight="1">
      <c r="A39" s="300" t="s">
        <v>144</v>
      </c>
      <c r="B39" s="301"/>
      <c r="C39" s="301"/>
      <c r="D39" s="301"/>
      <c r="E39" s="301"/>
      <c r="F39" s="301"/>
      <c r="G39" s="301"/>
      <c r="H39" s="301"/>
      <c r="I39" s="301"/>
      <c r="J39" s="301"/>
      <c r="K39" s="301"/>
      <c r="L39" s="302"/>
    </row>
    <row r="40" spans="1:12" ht="22.15" customHeight="1">
      <c r="A40" s="310" t="s">
        <v>145</v>
      </c>
      <c r="B40" s="301"/>
      <c r="C40" s="301"/>
      <c r="D40" s="301"/>
      <c r="E40" s="301"/>
      <c r="F40" s="301"/>
      <c r="G40" s="301"/>
      <c r="H40" s="301"/>
      <c r="I40" s="301"/>
      <c r="J40" s="301"/>
      <c r="K40" s="301"/>
      <c r="L40" s="302"/>
    </row>
    <row r="41" spans="1:12" ht="22.15" customHeight="1">
      <c r="A41" s="300" t="s">
        <v>146</v>
      </c>
      <c r="B41" s="301"/>
      <c r="C41" s="301"/>
      <c r="D41" s="301"/>
      <c r="E41" s="301"/>
      <c r="F41" s="301"/>
      <c r="G41" s="301"/>
      <c r="H41" s="301"/>
      <c r="I41" s="301"/>
      <c r="J41" s="301"/>
      <c r="K41" s="301"/>
      <c r="L41" s="302"/>
    </row>
    <row r="42" spans="1:12" ht="22.15" customHeight="1">
      <c r="A42" s="285" t="s">
        <v>147</v>
      </c>
      <c r="B42" s="286"/>
      <c r="C42" s="286"/>
      <c r="D42" s="286"/>
      <c r="E42" s="286"/>
      <c r="F42" s="286"/>
      <c r="G42" s="286"/>
      <c r="H42" s="286"/>
      <c r="I42" s="286"/>
      <c r="J42" s="286"/>
      <c r="K42" s="286"/>
      <c r="L42" s="287"/>
    </row>
  </sheetData>
  <sheetProtection sheet="1" objects="1" scenarios="1"/>
  <mergeCells count="21">
    <mergeCell ref="A37:L37"/>
    <mergeCell ref="A5:B6"/>
    <mergeCell ref="G5:H6"/>
    <mergeCell ref="I5:J6"/>
    <mergeCell ref="A18:L18"/>
    <mergeCell ref="A1:K1"/>
    <mergeCell ref="C4:D4"/>
    <mergeCell ref="E4:F4"/>
    <mergeCell ref="A42:L42"/>
    <mergeCell ref="A38:L38"/>
    <mergeCell ref="A2:K2"/>
    <mergeCell ref="C5:D6"/>
    <mergeCell ref="E5:F6"/>
    <mergeCell ref="K5:L6"/>
    <mergeCell ref="A40:L40"/>
    <mergeCell ref="A39:L39"/>
    <mergeCell ref="A4:B4"/>
    <mergeCell ref="G4:H4"/>
    <mergeCell ref="I4:J4"/>
    <mergeCell ref="K4:L4"/>
    <mergeCell ref="A41:L41"/>
  </mergeCells>
  <pageMargins left="0.25" right="0.25" top="0.5" bottom="0.5" header="0.5" footer="0.5"/>
  <pageSetup fitToHeight="0" orientation="landscape"/>
  <headerFooter>
    <oddHeader>&amp;C&amp;"Aptos,Bold"&amp;14 Amir Group of Companies - SLT Action Tracker</oddHeader>
    <oddFooter>&amp;CConfidential - Page &amp;P of &amp;N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7365D"/>
    <pageSetUpPr fitToPage="1"/>
  </sheetPr>
  <dimension ref="A1:L135"/>
  <sheetViews>
    <sheetView showGridLines="0" tabSelected="1" zoomScale="85" zoomScaleNormal="85" workbookViewId="0">
      <pane ySplit="11" topLeftCell="A12" activePane="bottomLeft" state="frozen"/>
      <selection pane="bottomLeft" activeCell="S1" sqref="S1"/>
    </sheetView>
  </sheetViews>
  <sheetFormatPr defaultColWidth="9.1796875" defaultRowHeight="14.5"/>
  <cols>
    <col min="1" max="1" width="25.7265625" style="1" customWidth="1"/>
    <col min="2" max="2" width="34" style="1" customWidth="1"/>
    <col min="3" max="3" width="19.26953125" style="1" customWidth="1"/>
    <col min="4" max="4" width="21" style="1" customWidth="1"/>
    <col min="5" max="5" width="14.1796875" style="1" customWidth="1"/>
    <col min="6" max="6" width="12" style="1" customWidth="1"/>
    <col min="7" max="7" width="14.7265625" style="1" customWidth="1"/>
    <col min="8" max="8" width="12" style="1" customWidth="1"/>
    <col min="9" max="9" width="18.1796875" style="1" customWidth="1"/>
    <col min="10" max="10" width="31.453125" style="1" customWidth="1"/>
    <col min="11" max="11" width="8.26953125" style="1" hidden="1" customWidth="1"/>
    <col min="12" max="12" width="12" style="1" hidden="1" customWidth="1"/>
    <col min="13" max="13" width="9.1796875" style="1" customWidth="1"/>
    <col min="14" max="16384" width="9.1796875" style="1"/>
  </cols>
  <sheetData>
    <row r="1" spans="1:12" s="118" customFormat="1" ht="32.15" customHeight="1">
      <c r="A1" s="340" t="s">
        <v>90</v>
      </c>
      <c r="B1" s="341"/>
      <c r="C1" s="341"/>
      <c r="D1" s="341"/>
      <c r="E1" s="341"/>
      <c r="F1" s="341"/>
      <c r="G1" s="341"/>
      <c r="H1" s="341"/>
      <c r="I1" s="341"/>
      <c r="J1" s="341"/>
      <c r="K1" s="341"/>
      <c r="L1" s="119"/>
    </row>
    <row r="2" spans="1:12" ht="28.15" customHeight="1">
      <c r="A2" s="336" t="s">
        <v>91</v>
      </c>
      <c r="B2" s="275"/>
      <c r="C2" s="275"/>
      <c r="D2" s="275"/>
      <c r="E2" s="275"/>
      <c r="F2" s="275"/>
      <c r="G2" s="275"/>
      <c r="H2" s="275"/>
      <c r="I2" s="275"/>
      <c r="J2" s="275"/>
      <c r="K2" s="275"/>
      <c r="L2" s="95"/>
    </row>
    <row r="3" spans="1:12" hidden="1">
      <c r="A3" s="95"/>
      <c r="B3" s="95"/>
      <c r="C3" s="95"/>
      <c r="D3" s="95"/>
      <c r="E3" s="95"/>
      <c r="F3" s="95"/>
      <c r="G3" s="95"/>
      <c r="H3" s="95"/>
      <c r="I3" s="95"/>
      <c r="J3" s="95"/>
      <c r="K3" s="95"/>
      <c r="L3" s="95"/>
    </row>
    <row r="4" spans="1:12" hidden="1">
      <c r="A4" s="5" t="s">
        <v>92</v>
      </c>
      <c r="B4" s="5" t="s">
        <v>93</v>
      </c>
      <c r="C4" s="95"/>
      <c r="D4" s="5" t="s">
        <v>94</v>
      </c>
      <c r="E4" s="109"/>
      <c r="F4" s="95"/>
      <c r="G4" s="5" t="s">
        <v>95</v>
      </c>
      <c r="H4" s="109"/>
      <c r="I4" s="95"/>
      <c r="J4" s="5" t="s">
        <v>96</v>
      </c>
      <c r="K4" s="78">
        <v>46219</v>
      </c>
      <c r="L4" s="95"/>
    </row>
    <row r="5" spans="1:12" hidden="1">
      <c r="A5" s="95"/>
      <c r="B5" s="95"/>
      <c r="C5" s="95"/>
      <c r="D5" s="95"/>
      <c r="E5" s="95"/>
      <c r="F5" s="95"/>
      <c r="G5" s="95"/>
      <c r="H5" s="95"/>
      <c r="I5" s="95"/>
      <c r="J5" s="95"/>
      <c r="K5" s="95"/>
      <c r="L5" s="95"/>
    </row>
    <row r="6" spans="1:12" s="118" customFormat="1">
      <c r="A6" s="120" t="s">
        <v>5</v>
      </c>
      <c r="B6" s="120" t="s">
        <v>6</v>
      </c>
      <c r="C6" s="344" t="s">
        <v>7</v>
      </c>
      <c r="D6" s="345"/>
      <c r="E6" s="344" t="s">
        <v>148</v>
      </c>
      <c r="F6" s="345"/>
      <c r="G6" s="344" t="s">
        <v>8</v>
      </c>
      <c r="H6" s="345"/>
      <c r="I6" s="137" t="s">
        <v>13</v>
      </c>
      <c r="J6" s="137" t="s">
        <v>14</v>
      </c>
      <c r="K6" s="121"/>
    </row>
    <row r="7" spans="1:12" ht="15" customHeight="1">
      <c r="A7" s="122">
        <f>'Executive Dashboard'!A5</f>
        <v>29</v>
      </c>
      <c r="B7" s="122">
        <f ca="1">'Executive Dashboard'!C5</f>
        <v>10</v>
      </c>
      <c r="C7" s="346">
        <f>'Executive Dashboard'!F5</f>
        <v>0</v>
      </c>
      <c r="D7" s="275"/>
      <c r="E7" s="346">
        <f>'Executive Dashboard'!I5</f>
        <v>8</v>
      </c>
      <c r="F7" s="275"/>
      <c r="G7" s="342">
        <f>'Executive Dashboard'!K5</f>
        <v>6</v>
      </c>
      <c r="H7" s="343"/>
      <c r="I7" s="138">
        <f>'Executive Dashboard'!M5</f>
        <v>3</v>
      </c>
      <c r="J7" s="138">
        <f>'Executive Dashboard'!O5</f>
        <v>5</v>
      </c>
      <c r="K7" s="123"/>
    </row>
    <row r="8" spans="1:12" ht="15" hidden="1" customHeight="1">
      <c r="K8" s="139"/>
      <c r="L8" s="139"/>
    </row>
    <row r="9" spans="1:12" s="118" customFormat="1">
      <c r="A9" s="119"/>
      <c r="B9" s="119"/>
      <c r="C9" s="119"/>
      <c r="D9" s="119"/>
      <c r="E9" s="119"/>
      <c r="F9" s="119"/>
      <c r="G9" s="119"/>
      <c r="H9" s="119"/>
      <c r="I9" s="119"/>
      <c r="J9" s="119"/>
      <c r="K9" s="119"/>
      <c r="L9" s="119"/>
    </row>
    <row r="10" spans="1:12" s="118" customFormat="1" ht="12" customHeight="1">
      <c r="A10" s="347" t="s">
        <v>97</v>
      </c>
      <c r="B10" s="345"/>
      <c r="C10" s="345"/>
      <c r="D10" s="345"/>
      <c r="E10" s="345"/>
      <c r="F10" s="345"/>
      <c r="G10" s="345"/>
      <c r="H10" s="345"/>
      <c r="I10" s="345"/>
      <c r="J10" s="345"/>
      <c r="K10" s="345"/>
      <c r="L10" s="119"/>
    </row>
    <row r="11" spans="1:12" s="118" customFormat="1">
      <c r="A11" s="135" t="s">
        <v>98</v>
      </c>
      <c r="B11" s="135" t="s">
        <v>99</v>
      </c>
      <c r="C11" s="135" t="s">
        <v>100</v>
      </c>
      <c r="D11" s="135" t="s">
        <v>101</v>
      </c>
      <c r="E11" s="135" t="s">
        <v>102</v>
      </c>
      <c r="F11" s="135" t="s">
        <v>55</v>
      </c>
      <c r="G11" s="135" t="s">
        <v>103</v>
      </c>
      <c r="H11" s="135" t="s">
        <v>104</v>
      </c>
      <c r="I11" s="135" t="s">
        <v>105</v>
      </c>
      <c r="J11" s="135" t="s">
        <v>106</v>
      </c>
      <c r="K11" s="136"/>
      <c r="L11" s="119"/>
    </row>
    <row r="12" spans="1:12" ht="71.5" customHeight="1">
      <c r="A12" s="63" t="str" cm="1">
        <f t="array" aca="1" ref="A12:J28" ca="1">_xlfn.LET(
    _xlpm.ids,'Action Register'!$A$5:$A$104,
    _xlpm.items,'Action Register'!$B$5:$B$104,
    _xlpm.owners,'Action Register'!$D$5:$D$104,
    _xlpm.due,'Action Register'!$F$5:$F$104,
    _xlpm.dueNum,IFERROR(--_xlpm.due,DATEVALUE(_xlpm.due)),
    _xlpm.status,'Action Register'!$G$5:$G$104,
    _xlpm.pri,'Action Register'!$H$5:$H$104,
    _xlpm.risk,'Action Register'!$J$5:$J$104,
    _xlpm.obj,'Action Register'!$K$5:$K$104,
    _xlpm.esc,'Action Register'!$L$5:$L$104,
    _xlpm.note,'Action Register'!$P$5:$P$104,
    _xlpm.active,'Action Register'!$T$5:$T$104,
    _xlpm.include,(_xlpm.items&lt;&gt;"")*(_xlpm.active="ACTIVE")*((_xlpm.pri="Critical")+(_xlpm.pri="High")+(_xlpm.risk="High")+(_xlpm.esc="Yes")+(_xlpm.due&lt;=TODAY())),
    _xlpm.data,CHOOSE({1,2,3,4,5,6,7,8,9,10},_xlpm.ids,_xlpm.items,IF(_xlpm.owners="","",_xlpm.owners),_xlpm.due,_xlpm.status,_xlpm.pri,_xlpm.risk,_xlpm.esc,_xlpm.obj,IF(_xlpm.note="","",_xlpm.note)),
    _xlpm.prioritySort,_xlfn._xlws.FILTER(_xlfn.SWITCH(_xlpm.pri,"Critical",1,"High",2,"Medium",3,"Low",4,9),_xlpm.include),
    _xlpm.overdueSort,_xlfn._xlws.FILTER(--(_xlpm.dueNum&lt;TODAY()),_xlpm.include),
    _xlpm.escalationSort,_xlfn._xlws.FILTER(--(_xlpm.esc="Yes"),_xlpm.include),
    _xlpm.riskSort,_xlfn._xlws.FILTER(_xlfn.SWITCH(_xlpm.risk,"High",1,"Medium",2,"Low",3,9),_xlpm.include),
   _xlfn.SORTBY(_xlfn._xlws.FILTER(_xlpm.data,_xlpm.include),_xlpm.prioritySort,1,_xlpm.overdueSort,-1,_xlpm.escalationSort,-1,_xlpm.riskSort,1)
)</f>
        <v>SLT-0051</v>
      </c>
      <c r="B12" s="63" t="str">
        <f ca="1"/>
        <v>Customer Invoice Pricing Discrepancies - London Drugs</v>
      </c>
      <c r="C12" s="63" t="str">
        <f ca="1"/>
        <v>Dave</v>
      </c>
      <c r="D12" s="79">
        <f ca="1"/>
        <v>46311</v>
      </c>
      <c r="E12" s="63" t="str">
        <f ca="1"/>
        <v>In Progress</v>
      </c>
      <c r="F12" s="63" t="str">
        <f ca="1"/>
        <v>High</v>
      </c>
      <c r="G12" s="63" t="str">
        <f ca="1"/>
        <v>High</v>
      </c>
      <c r="H12" s="63" t="str">
        <f ca="1"/>
        <v>No</v>
      </c>
      <c r="I12" s="63" t="str">
        <f ca="1"/>
        <v>Other</v>
      </c>
      <c r="J12" s="63" t="str">
        <f ca="1"/>
        <v/>
      </c>
      <c r="K12" s="95"/>
      <c r="L12" s="95"/>
    </row>
    <row r="13" spans="1:12" ht="67.150000000000006" customHeight="1">
      <c r="A13" s="63" t="str">
        <f ca="1"/>
        <v>SLT-0035</v>
      </c>
      <c r="B13" s="63" t="str">
        <f ca="1"/>
        <v>Review December salary and pay-band alignment strategy in Q4</v>
      </c>
      <c r="C13" s="63" t="str">
        <f ca="1"/>
        <v>Gene</v>
      </c>
      <c r="D13" s="79">
        <f ca="1"/>
        <v>46308</v>
      </c>
      <c r="E13" s="63" t="str">
        <f ca="1"/>
        <v>In Progress</v>
      </c>
      <c r="F13" s="63" t="str">
        <f ca="1"/>
        <v>High</v>
      </c>
      <c r="G13" s="63" t="str">
        <f ca="1"/>
        <v>Medium</v>
      </c>
      <c r="H13" s="63" t="str">
        <f ca="1"/>
        <v>No</v>
      </c>
      <c r="I13" s="63" t="str">
        <f ca="1"/>
        <v>People &amp; Culture</v>
      </c>
      <c r="J13" s="63" t="str">
        <f ca="1"/>
        <v/>
      </c>
      <c r="K13" s="95"/>
      <c r="L13" s="95"/>
    </row>
    <row r="14" spans="1:12" ht="81" customHeight="1">
      <c r="A14" s="63" t="str">
        <f ca="1"/>
        <v>SLT-0036</v>
      </c>
      <c r="B14" s="63" t="str">
        <f ca="1"/>
        <v>RTRI Funding Application - Reapplication</v>
      </c>
      <c r="C14" s="63" t="str">
        <f ca="1"/>
        <v>Dave</v>
      </c>
      <c r="D14" s="79">
        <f ca="1"/>
        <v>46307</v>
      </c>
      <c r="E14" s="63" t="str">
        <f ca="1"/>
        <v>In Progress</v>
      </c>
      <c r="F14" s="63" t="str">
        <f ca="1"/>
        <v>High</v>
      </c>
      <c r="G14" s="63" t="str">
        <f ca="1"/>
        <v>Medium</v>
      </c>
      <c r="H14" s="63" t="str">
        <f ca="1"/>
        <v>No</v>
      </c>
      <c r="I14" s="63" t="str">
        <f ca="1"/>
        <v>Cost Reduction</v>
      </c>
      <c r="J14" s="63" t="str">
        <f ca="1"/>
        <v/>
      </c>
      <c r="K14" s="95"/>
      <c r="L14" s="95"/>
    </row>
    <row r="15" spans="1:12" ht="111.75" customHeight="1">
      <c r="A15" s="63" t="str">
        <f ca="1"/>
        <v>SLT-0054</v>
      </c>
      <c r="B15" s="63" t="str">
        <f ca="1"/>
        <v>Vacation and Blackout Period Planning</v>
      </c>
      <c r="C15" s="63" t="str">
        <f ca="1"/>
        <v>Gene</v>
      </c>
      <c r="D15" s="79">
        <f ca="1"/>
        <v>46304</v>
      </c>
      <c r="E15" s="63" t="str">
        <f ca="1"/>
        <v>In Progress</v>
      </c>
      <c r="F15" s="63" t="str">
        <f ca="1"/>
        <v>High</v>
      </c>
      <c r="G15" s="63" t="str">
        <f ca="1"/>
        <v>Medium</v>
      </c>
      <c r="H15" s="63" t="str">
        <f ca="1"/>
        <v>No</v>
      </c>
      <c r="I15" s="63" t="str">
        <f ca="1"/>
        <v>People &amp; Culture</v>
      </c>
      <c r="J15" s="63" t="str">
        <f ca="1"/>
        <v/>
      </c>
      <c r="K15" s="95"/>
      <c r="L15" s="95"/>
    </row>
    <row r="16" spans="1:12" ht="63.65" customHeight="1">
      <c r="A16" s="63" t="str">
        <f ca="1"/>
        <v>SLT-0042</v>
      </c>
      <c r="B16" s="63" t="str">
        <f ca="1"/>
        <v>$700K Risk - Maple Leaf Insurance Claim Risk</v>
      </c>
      <c r="C16" s="63" t="str">
        <f ca="1"/>
        <v>Dave</v>
      </c>
      <c r="D16" s="79">
        <f ca="1"/>
        <v>46321</v>
      </c>
      <c r="E16" s="63" t="str">
        <f ca="1"/>
        <v>In Progress</v>
      </c>
      <c r="F16" s="63" t="str">
        <f ca="1"/>
        <v>High</v>
      </c>
      <c r="G16" s="63" t="str">
        <f ca="1"/>
        <v>High</v>
      </c>
      <c r="H16" s="63" t="str">
        <f ca="1"/>
        <v>Yes</v>
      </c>
      <c r="I16" s="63" t="str">
        <f ca="1"/>
        <v>Other</v>
      </c>
      <c r="J16" s="63" t="str">
        <f ca="1"/>
        <v/>
      </c>
      <c r="K16" s="95"/>
      <c r="L16" s="95"/>
    </row>
    <row r="17" spans="1:12" ht="45.75" customHeight="1">
      <c r="A17" s="73" t="str">
        <f ca="1"/>
        <v>SLT-0015</v>
      </c>
      <c r="B17" s="73" t="str">
        <f ca="1"/>
        <v>YVF Yield Report</v>
      </c>
      <c r="C17" s="73" t="str">
        <f ca="1"/>
        <v>Tom</v>
      </c>
      <c r="D17" s="80">
        <f ca="1"/>
        <v>46322</v>
      </c>
      <c r="E17" s="73" t="str">
        <f ca="1"/>
        <v>In Progress</v>
      </c>
      <c r="F17" s="73" t="str">
        <f ca="1"/>
        <v>High</v>
      </c>
      <c r="G17" s="73" t="str">
        <f ca="1"/>
        <v>High</v>
      </c>
      <c r="H17" s="73" t="str">
        <f ca="1"/>
        <v>No</v>
      </c>
      <c r="I17" s="73" t="str">
        <f ca="1"/>
        <v>Commercial Growth</v>
      </c>
      <c r="J17" s="73" t="str">
        <f ca="1"/>
        <v>Original request - 1.	Confirm yield reports are being distributed to YVF stakeholders (Ryan and James).
2.	Add the dollar impact of yields to YVF reports.
Will support 2027 transfer price piece</v>
      </c>
      <c r="K17" s="95"/>
      <c r="L17" s="95"/>
    </row>
    <row r="18" spans="1:12" ht="27.75" customHeight="1">
      <c r="A18" s="73" t="str">
        <f ca="1"/>
        <v>SLT-0025</v>
      </c>
      <c r="B18" s="73" t="str">
        <f ca="1"/>
        <v>Chilled Water System Change Order 
(OCO-008)</v>
      </c>
      <c r="C18" s="73" t="str">
        <f ca="1"/>
        <v>Colin</v>
      </c>
      <c r="D18" s="80">
        <f ca="1"/>
        <v>46321</v>
      </c>
      <c r="E18" s="73" t="str">
        <f ca="1"/>
        <v>Assigned</v>
      </c>
      <c r="F18" s="73" t="str">
        <f ca="1"/>
        <v>High</v>
      </c>
      <c r="G18" s="73" t="str">
        <f ca="1"/>
        <v>High</v>
      </c>
      <c r="H18" s="73" t="str">
        <f ca="1"/>
        <v>No</v>
      </c>
      <c r="I18" s="73" t="str">
        <f ca="1"/>
        <v>ASP Go-Live</v>
      </c>
      <c r="J18" s="73" t="str">
        <f ca="1"/>
        <v>Leadership also maintained that responsibility for the omission rests with Coldbox and should not be transferred to its subcontractor.</v>
      </c>
      <c r="K18" s="95"/>
      <c r="L18" s="95"/>
    </row>
    <row r="19" spans="1:12" ht="66.650000000000006" customHeight="1">
      <c r="A19" s="73" t="str">
        <f ca="1"/>
        <v>SLT-0043</v>
      </c>
      <c r="B19" s="73" t="str">
        <f ca="1"/>
        <v>$200K - Inventory issue from 2025 year-end</v>
      </c>
      <c r="C19" s="73" t="str">
        <f ca="1"/>
        <v>Dave</v>
      </c>
      <c r="D19" s="80">
        <f ca="1"/>
        <v>46321</v>
      </c>
      <c r="E19" s="73" t="str">
        <f ca="1"/>
        <v>In Progress</v>
      </c>
      <c r="F19" s="73" t="str">
        <f ca="1"/>
        <v>High</v>
      </c>
      <c r="G19" s="73" t="str">
        <f ca="1"/>
        <v>High</v>
      </c>
      <c r="H19" s="73" t="str">
        <f ca="1"/>
        <v>No</v>
      </c>
      <c r="I19" s="73" t="str">
        <f ca="1"/>
        <v>Other</v>
      </c>
      <c r="J19" s="73" t="str">
        <f ca="1"/>
        <v>Resolve and record the $200K inventory variance from FY2025 year-end</v>
      </c>
      <c r="K19" s="95"/>
      <c r="L19" s="95"/>
    </row>
    <row r="20" spans="1:12" ht="78" customHeight="1">
      <c r="A20" s="73" t="str">
        <f ca="1"/>
        <v>SLT-0001</v>
      </c>
      <c r="B20" s="73" t="str">
        <f ca="1"/>
        <v>Employee Payroll Advances</v>
      </c>
      <c r="C20" s="73" t="str">
        <f ca="1"/>
        <v>Gene</v>
      </c>
      <c r="D20" s="80">
        <f ca="1"/>
        <v>46254</v>
      </c>
      <c r="E20" s="73" t="str">
        <f ca="1"/>
        <v>In Progress</v>
      </c>
      <c r="F20" s="73" t="str">
        <f ca="1"/>
        <v>Medium</v>
      </c>
      <c r="G20" s="73" t="str">
        <f ca="1"/>
        <v>Medium</v>
      </c>
      <c r="H20" s="73" t="str">
        <f ca="1"/>
        <v>No</v>
      </c>
      <c r="I20" s="73" t="str">
        <f ca="1"/>
        <v>Governance</v>
      </c>
      <c r="J20" s="73" t="str">
        <f ca="1"/>
        <v>Governance fields added for SLT visibility.</v>
      </c>
      <c r="K20" s="95"/>
      <c r="L20" s="95"/>
    </row>
    <row r="21" spans="1:12" ht="27" customHeight="1">
      <c r="A21" s="73" t="str">
        <f ca="1"/>
        <v>SLT-0008</v>
      </c>
      <c r="B21" s="73" t="str">
        <f ca="1"/>
        <v xml:space="preserve">Develop a Performance Plan for Tatiana </v>
      </c>
      <c r="C21" s="73" t="str">
        <f ca="1"/>
        <v>Adam</v>
      </c>
      <c r="D21" s="80">
        <f ca="1"/>
        <v>46314</v>
      </c>
      <c r="E21" s="73" t="str">
        <f ca="1"/>
        <v>In Progress</v>
      </c>
      <c r="F21" s="73" t="str">
        <f ca="1"/>
        <v>Medium</v>
      </c>
      <c r="G21" s="73" t="str">
        <f ca="1"/>
        <v>Medium</v>
      </c>
      <c r="H21" s="73" t="str">
        <f ca="1"/>
        <v>No</v>
      </c>
      <c r="I21" s="73" t="str">
        <f ca="1"/>
        <v>People &amp; Culture</v>
      </c>
      <c r="J21" s="73" t="str">
        <f ca="1"/>
        <v/>
      </c>
      <c r="K21" s="95"/>
      <c r="L21" s="95"/>
    </row>
    <row r="22" spans="1:12" ht="27" customHeight="1">
      <c r="A22" s="73" t="str">
        <f ca="1"/>
        <v>SLT-0012</v>
      </c>
      <c r="B22" s="73" t="str">
        <f ca="1"/>
        <v>PO Policy Rollout</v>
      </c>
      <c r="C22" s="73" t="str">
        <f ca="1"/>
        <v>Dave</v>
      </c>
      <c r="D22" s="80">
        <f ca="1"/>
        <v>46316</v>
      </c>
      <c r="E22" s="73" t="str">
        <f ca="1"/>
        <v>In Progress</v>
      </c>
      <c r="F22" s="73" t="str">
        <f ca="1"/>
        <v>Medium</v>
      </c>
      <c r="G22" s="73" t="str">
        <f ca="1"/>
        <v>Medium</v>
      </c>
      <c r="H22" s="73" t="str">
        <f ca="1"/>
        <v>No</v>
      </c>
      <c r="I22" s="73" t="str">
        <f ca="1"/>
        <v>Governance</v>
      </c>
      <c r="J22" s="73" t="str">
        <f ca="1"/>
        <v>Brought from deferred decision on May 11, 2026. Evaluated 2 vendor proposals.  Sherry Crawford and Practical Approach.</v>
      </c>
      <c r="K22" s="95"/>
      <c r="L22" s="95"/>
    </row>
    <row r="23" spans="1:12" ht="70.900000000000006" customHeight="1">
      <c r="A23" s="73" t="str">
        <f ca="1"/>
        <v>SLT-0029</v>
      </c>
      <c r="B23" s="73" t="str">
        <f ca="1"/>
        <v xml:space="preserve">Workorder Closure - Sierra
</v>
      </c>
      <c r="C23" s="73" t="str">
        <f ca="1"/>
        <v>Dave</v>
      </c>
      <c r="D23" s="80">
        <f ca="1"/>
        <v>46310</v>
      </c>
      <c r="E23" s="73" t="str">
        <f ca="1"/>
        <v>In Progress</v>
      </c>
      <c r="F23" s="73" t="str">
        <f ca="1"/>
        <v>Medium</v>
      </c>
      <c r="G23" s="73" t="str">
        <f ca="1"/>
        <v>Medium</v>
      </c>
      <c r="H23" s="73" t="str">
        <f ca="1"/>
        <v>No</v>
      </c>
      <c r="I23" s="73" t="str">
        <f ca="1"/>
        <v>Governance</v>
      </c>
      <c r="J23" s="73" t="str">
        <f ca="1"/>
        <v/>
      </c>
      <c r="K23" s="95"/>
      <c r="L23" s="95"/>
    </row>
    <row r="24" spans="1:12" ht="46.9" customHeight="1">
      <c r="A24" s="73" t="str">
        <f ca="1"/>
        <v>SLT-0017</v>
      </c>
      <c r="B24" s="73" t="str">
        <f ca="1"/>
        <v>Deloitte's Best Managed Companies</v>
      </c>
      <c r="C24" s="73" t="str">
        <f ca="1"/>
        <v>Tony</v>
      </c>
      <c r="D24" s="80">
        <f ca="1"/>
        <v>46311</v>
      </c>
      <c r="E24" s="73" t="str">
        <f ca="1"/>
        <v>In Progress</v>
      </c>
      <c r="F24" s="73" t="str">
        <f ca="1"/>
        <v>Medium</v>
      </c>
      <c r="G24" s="73" t="str">
        <f ca="1"/>
        <v>Low</v>
      </c>
      <c r="H24" s="73" t="str">
        <f ca="1"/>
        <v>No</v>
      </c>
      <c r="I24" s="73" t="str">
        <f ca="1"/>
        <v>Other</v>
      </c>
      <c r="J24" s="73" t="str">
        <f ca="1"/>
        <v/>
      </c>
      <c r="K24" s="95"/>
      <c r="L24" s="95"/>
    </row>
    <row r="25" spans="1:12" ht="138" customHeight="1">
      <c r="A25" s="73" t="str">
        <f ca="1"/>
        <v>SLT-0004</v>
      </c>
      <c r="B25" s="73" t="str">
        <f ca="1"/>
        <v>CFO Governance &amp; Controls Register</v>
      </c>
      <c r="C25" s="73" t="str">
        <f ca="1"/>
        <v>Sherry</v>
      </c>
      <c r="D25" s="80">
        <f ca="1"/>
        <v>46321</v>
      </c>
      <c r="E25" s="73" t="str">
        <f ca="1"/>
        <v>In Progress</v>
      </c>
      <c r="F25" s="73" t="str">
        <f ca="1"/>
        <v>Medium</v>
      </c>
      <c r="G25" s="73" t="str">
        <f ca="1"/>
        <v>Medium</v>
      </c>
      <c r="H25" s="73" t="str">
        <f ca="1"/>
        <v>Yes</v>
      </c>
      <c r="I25" s="73" t="str">
        <f ca="1"/>
        <v>Governance</v>
      </c>
      <c r="J25" s="73" t="str">
        <f ca="1"/>
        <v>CFO governance visibility for policies, internal audit, grants, legal review, and controls.</v>
      </c>
      <c r="K25" s="95"/>
      <c r="L25" s="95"/>
    </row>
    <row r="26" spans="1:12" ht="161.5" customHeight="1">
      <c r="A26" s="73" t="str">
        <f ca="1"/>
        <v>SLT-0044</v>
      </c>
      <c r="B26" s="73" t="str">
        <f ca="1"/>
        <v>DSI Machine (Camera) Root Cause Analysis ($80K value equipment)</v>
      </c>
      <c r="C26" s="73" t="str">
        <f ca="1"/>
        <v>Adam</v>
      </c>
      <c r="D26" s="80">
        <f ca="1"/>
        <v>46321</v>
      </c>
      <c r="E26" s="73" t="str">
        <f ca="1"/>
        <v>In Progress</v>
      </c>
      <c r="F26" s="73" t="str">
        <f ca="1"/>
        <v>Medium</v>
      </c>
      <c r="G26" s="73" t="str">
        <f ca="1"/>
        <v>Medium</v>
      </c>
      <c r="H26" s="73" t="str">
        <f ca="1"/>
        <v>Yes</v>
      </c>
      <c r="I26" s="73" t="str">
        <f ca="1"/>
        <v>Cost Reduction</v>
      </c>
      <c r="J26" s="73" t="str">
        <f ca="1"/>
        <v/>
      </c>
      <c r="K26" s="95"/>
      <c r="L26" s="95"/>
    </row>
    <row r="27" spans="1:12" ht="27" customHeight="1">
      <c r="A27" s="73" t="str">
        <f ca="1"/>
        <v>SLT-0022</v>
      </c>
      <c r="B27" s="73" t="str">
        <f ca="1"/>
        <v>Division 9 Steel - Change Order</v>
      </c>
      <c r="C27" s="73" t="str">
        <f ca="1"/>
        <v>Colin</v>
      </c>
      <c r="D27" s="80">
        <f ca="1"/>
        <v>46321</v>
      </c>
      <c r="E27" s="73" t="str">
        <f ca="1"/>
        <v>In Progress</v>
      </c>
      <c r="F27" s="73" t="str">
        <f ca="1"/>
        <v>Medium</v>
      </c>
      <c r="G27" s="73" t="str">
        <f ca="1"/>
        <v>High</v>
      </c>
      <c r="H27" s="73" t="str">
        <f ca="1"/>
        <v>No</v>
      </c>
      <c r="I27" s="73" t="str">
        <f ca="1"/>
        <v>ASP Go-Live</v>
      </c>
      <c r="J27" s="73" t="str">
        <f ca="1"/>
        <v>Per Colin's Decision Brief submission $410,559.82 remains available for interior alterations according to CBB.  What happened to the $800K?
Recall this monthly to SLT meetings until it is resolved.</v>
      </c>
      <c r="K27" s="95"/>
      <c r="L27" s="95"/>
    </row>
    <row r="28" spans="1:12" ht="27" customHeight="1">
      <c r="A28" s="73" t="str">
        <f ca="1"/>
        <v>SLT-0048</v>
      </c>
      <c r="B28" s="73" t="str">
        <f ca="1"/>
        <v xml:space="preserve">Sierra Reserved Parking Policy </v>
      </c>
      <c r="C28" s="73" t="str">
        <f ca="1"/>
        <v>Gene</v>
      </c>
      <c r="D28" s="80">
        <f ca="1"/>
        <v>46310</v>
      </c>
      <c r="E28" s="73" t="str">
        <f ca="1"/>
        <v>In Progress</v>
      </c>
      <c r="F28" s="73" t="str">
        <f ca="1"/>
        <v>Low</v>
      </c>
      <c r="G28" s="73" t="str">
        <f ca="1"/>
        <v>Low</v>
      </c>
      <c r="H28" s="73" t="str">
        <f ca="1"/>
        <v>No</v>
      </c>
      <c r="I28" s="73" t="str">
        <f ca="1"/>
        <v>People &amp; Culture</v>
      </c>
      <c r="J28" s="73" t="str">
        <f ca="1"/>
        <v/>
      </c>
      <c r="K28" s="95"/>
      <c r="L28" s="95"/>
    </row>
    <row r="29" spans="1:12" ht="27" customHeight="1">
      <c r="A29" s="73"/>
      <c r="B29" s="73"/>
      <c r="C29" s="73"/>
      <c r="D29" s="80"/>
      <c r="E29" s="73"/>
      <c r="F29" s="73"/>
      <c r="G29" s="73"/>
      <c r="H29" s="73"/>
      <c r="I29" s="73"/>
      <c r="J29" s="73"/>
      <c r="K29" s="95"/>
      <c r="L29" s="95"/>
    </row>
    <row r="30" spans="1:12" ht="27" customHeight="1">
      <c r="A30" s="73"/>
      <c r="B30" s="73"/>
      <c r="C30" s="73"/>
      <c r="D30" s="80"/>
      <c r="E30" s="73"/>
      <c r="F30" s="73"/>
      <c r="G30" s="73"/>
      <c r="H30" s="73"/>
      <c r="I30" s="73"/>
      <c r="J30" s="73"/>
      <c r="K30" s="95"/>
      <c r="L30" s="95"/>
    </row>
    <row r="31" spans="1:12" ht="27" customHeight="1">
      <c r="A31" s="73"/>
      <c r="B31" s="73"/>
      <c r="C31" s="73"/>
      <c r="D31" s="80"/>
      <c r="E31" s="73"/>
      <c r="F31" s="73"/>
      <c r="G31" s="73"/>
      <c r="H31" s="73"/>
      <c r="I31" s="73"/>
      <c r="J31" s="73"/>
      <c r="K31" s="95"/>
      <c r="L31" s="95"/>
    </row>
    <row r="32" spans="1:12" ht="27" customHeight="1">
      <c r="A32" s="73"/>
      <c r="B32" s="73"/>
      <c r="C32" s="73"/>
      <c r="D32" s="80"/>
      <c r="E32" s="73"/>
      <c r="F32" s="73"/>
      <c r="G32" s="73"/>
      <c r="H32" s="73"/>
      <c r="I32" s="73"/>
      <c r="J32" s="73"/>
      <c r="K32" s="95"/>
      <c r="L32" s="95"/>
    </row>
    <row r="33" spans="1:12" ht="27" customHeight="1">
      <c r="A33" s="73"/>
      <c r="B33" s="73"/>
      <c r="C33" s="73"/>
      <c r="D33" s="80"/>
      <c r="E33" s="73"/>
      <c r="F33" s="73"/>
      <c r="G33" s="73"/>
      <c r="H33" s="73"/>
      <c r="I33" s="73"/>
      <c r="J33" s="73"/>
      <c r="K33" s="95"/>
      <c r="L33" s="95"/>
    </row>
    <row r="34" spans="1:12" ht="27" customHeight="1">
      <c r="A34" s="73"/>
      <c r="B34" s="73"/>
      <c r="C34" s="73"/>
      <c r="D34" s="80"/>
      <c r="E34" s="73"/>
      <c r="F34" s="73"/>
      <c r="G34" s="73"/>
      <c r="H34" s="73"/>
      <c r="I34" s="73"/>
      <c r="J34" s="73"/>
      <c r="K34" s="95"/>
      <c r="L34" s="95"/>
    </row>
    <row r="35" spans="1:12" ht="27" customHeight="1">
      <c r="A35" s="73"/>
      <c r="B35" s="73"/>
      <c r="C35" s="73"/>
      <c r="D35" s="80"/>
      <c r="E35" s="73"/>
      <c r="F35" s="73"/>
      <c r="G35" s="73"/>
      <c r="H35" s="73"/>
      <c r="I35" s="73"/>
      <c r="J35" s="73"/>
      <c r="K35" s="95"/>
      <c r="L35" s="95"/>
    </row>
    <row r="36" spans="1:12" ht="27" customHeight="1">
      <c r="A36" s="73"/>
      <c r="B36" s="73"/>
      <c r="C36" s="73"/>
      <c r="D36" s="80"/>
      <c r="E36" s="73"/>
      <c r="F36" s="73"/>
      <c r="G36" s="73"/>
      <c r="H36" s="73"/>
      <c r="I36" s="73"/>
      <c r="J36" s="73"/>
      <c r="K36" s="95"/>
      <c r="L36" s="95"/>
    </row>
    <row r="37" spans="1:12" ht="27" customHeight="1">
      <c r="A37" s="73"/>
      <c r="B37" s="73"/>
      <c r="C37" s="73"/>
      <c r="D37" s="80"/>
      <c r="E37" s="73"/>
      <c r="F37" s="73"/>
      <c r="G37" s="73"/>
      <c r="H37" s="73"/>
      <c r="I37" s="73"/>
      <c r="J37" s="73"/>
      <c r="K37" s="95"/>
      <c r="L37" s="95"/>
    </row>
    <row r="38" spans="1:12" ht="27" customHeight="1">
      <c r="A38" s="73"/>
      <c r="B38" s="73"/>
      <c r="C38" s="73"/>
      <c r="D38" s="80"/>
      <c r="E38" s="73"/>
      <c r="F38" s="73"/>
      <c r="G38" s="73"/>
      <c r="H38" s="73"/>
      <c r="I38" s="73"/>
      <c r="J38" s="73"/>
      <c r="K38" s="95"/>
      <c r="L38" s="95"/>
    </row>
    <row r="39" spans="1:12" ht="27" customHeight="1">
      <c r="A39" s="73"/>
      <c r="B39" s="73"/>
      <c r="C39" s="73"/>
      <c r="D39" s="80"/>
      <c r="E39" s="73"/>
      <c r="F39" s="73"/>
      <c r="G39" s="73"/>
      <c r="H39" s="73"/>
      <c r="I39" s="73"/>
      <c r="J39" s="73"/>
      <c r="K39" s="95"/>
      <c r="L39" s="95"/>
    </row>
    <row r="40" spans="1:12" ht="27" customHeight="1">
      <c r="A40" s="73"/>
      <c r="B40" s="73"/>
      <c r="C40" s="73"/>
      <c r="D40" s="80"/>
      <c r="E40" s="73"/>
      <c r="F40" s="73"/>
      <c r="G40" s="73"/>
      <c r="H40" s="73"/>
      <c r="I40" s="73"/>
      <c r="J40" s="73"/>
      <c r="K40" s="95"/>
      <c r="L40" s="95"/>
    </row>
    <row r="41" spans="1:12" ht="27" customHeight="1">
      <c r="A41" s="73"/>
      <c r="B41" s="73"/>
      <c r="C41" s="73"/>
      <c r="D41" s="80"/>
      <c r="E41" s="73"/>
      <c r="F41" s="73"/>
      <c r="G41" s="73"/>
      <c r="H41" s="73"/>
      <c r="I41" s="73"/>
      <c r="J41" s="73"/>
      <c r="K41" s="95"/>
      <c r="L41" s="95"/>
    </row>
    <row r="42" spans="1:12" ht="27" customHeight="1">
      <c r="A42" s="73"/>
      <c r="B42" s="73"/>
      <c r="C42" s="73"/>
      <c r="D42" s="80"/>
      <c r="E42" s="73"/>
      <c r="F42" s="73"/>
      <c r="G42" s="73"/>
      <c r="H42" s="73"/>
      <c r="I42" s="73"/>
      <c r="J42" s="73"/>
      <c r="K42" s="95"/>
      <c r="L42" s="95"/>
    </row>
    <row r="43" spans="1:12" ht="27" customHeight="1">
      <c r="A43" s="73"/>
      <c r="B43" s="73"/>
      <c r="C43" s="73"/>
      <c r="D43" s="80"/>
      <c r="E43" s="73"/>
      <c r="F43" s="73"/>
      <c r="G43" s="73"/>
      <c r="H43" s="73"/>
      <c r="I43" s="73"/>
      <c r="J43" s="73"/>
      <c r="K43" s="95"/>
      <c r="L43" s="95"/>
    </row>
    <row r="44" spans="1:12" ht="27" customHeight="1">
      <c r="A44" s="73"/>
      <c r="B44" s="73"/>
      <c r="C44" s="73"/>
      <c r="D44" s="80"/>
      <c r="E44" s="73"/>
      <c r="F44" s="73"/>
      <c r="G44" s="73"/>
      <c r="H44" s="73"/>
      <c r="I44" s="73"/>
      <c r="J44" s="73"/>
      <c r="K44" s="95"/>
      <c r="L44" s="95"/>
    </row>
    <row r="45" spans="1:12" ht="27" customHeight="1">
      <c r="A45" s="73"/>
      <c r="B45" s="73"/>
      <c r="C45" s="73"/>
      <c r="D45" s="80"/>
      <c r="E45" s="73"/>
      <c r="F45" s="73"/>
      <c r="G45" s="73"/>
      <c r="H45" s="73"/>
      <c r="I45" s="73"/>
      <c r="J45" s="73"/>
      <c r="K45" s="95"/>
      <c r="L45" s="95"/>
    </row>
    <row r="46" spans="1:12" ht="27" customHeight="1">
      <c r="A46" s="73"/>
      <c r="B46" s="73"/>
      <c r="C46" s="73"/>
      <c r="D46" s="80"/>
      <c r="E46" s="73"/>
      <c r="F46" s="73"/>
      <c r="G46" s="73"/>
      <c r="H46" s="73"/>
      <c r="I46" s="73"/>
      <c r="J46" s="73"/>
      <c r="K46" s="95"/>
      <c r="L46" s="95"/>
    </row>
    <row r="47" spans="1:12" ht="27" customHeight="1">
      <c r="A47" s="73"/>
      <c r="B47" s="73"/>
      <c r="C47" s="73"/>
      <c r="D47" s="80"/>
      <c r="E47" s="73"/>
      <c r="F47" s="73"/>
      <c r="G47" s="73"/>
      <c r="H47" s="73"/>
      <c r="I47" s="73"/>
      <c r="J47" s="73"/>
      <c r="K47" s="95"/>
      <c r="L47" s="95"/>
    </row>
    <row r="48" spans="1:12" ht="27" customHeight="1">
      <c r="A48" s="73"/>
      <c r="B48" s="73"/>
      <c r="C48" s="73"/>
      <c r="D48" s="80"/>
      <c r="E48" s="73"/>
      <c r="F48" s="73"/>
      <c r="G48" s="73"/>
      <c r="H48" s="73"/>
      <c r="I48" s="73"/>
      <c r="J48" s="73"/>
      <c r="K48" s="95"/>
      <c r="L48" s="95"/>
    </row>
    <row r="49" spans="1:12" ht="27" customHeight="1">
      <c r="A49" s="73"/>
      <c r="B49" s="73"/>
      <c r="C49" s="73"/>
      <c r="D49" s="80"/>
      <c r="E49" s="73"/>
      <c r="F49" s="73"/>
      <c r="G49" s="73"/>
      <c r="H49" s="73"/>
      <c r="I49" s="73"/>
      <c r="J49" s="73"/>
      <c r="K49" s="95"/>
      <c r="L49" s="95"/>
    </row>
    <row r="50" spans="1:12" ht="27" customHeight="1">
      <c r="A50" s="73"/>
      <c r="B50" s="73"/>
      <c r="C50" s="73"/>
      <c r="D50" s="80"/>
      <c r="E50" s="73"/>
      <c r="F50" s="73"/>
      <c r="G50" s="73"/>
      <c r="H50" s="73"/>
      <c r="I50" s="73"/>
      <c r="J50" s="73"/>
      <c r="K50" s="95"/>
      <c r="L50" s="95"/>
    </row>
    <row r="51" spans="1:12" ht="27" customHeight="1">
      <c r="A51" s="73"/>
      <c r="B51" s="73"/>
      <c r="C51" s="73"/>
      <c r="D51" s="80"/>
      <c r="E51" s="73"/>
      <c r="F51" s="73"/>
      <c r="G51" s="73"/>
      <c r="H51" s="73"/>
      <c r="I51" s="73"/>
      <c r="J51" s="73"/>
      <c r="K51" s="95"/>
      <c r="L51" s="95"/>
    </row>
    <row r="52" spans="1:12" ht="27" customHeight="1">
      <c r="A52" s="73"/>
      <c r="B52" s="73"/>
      <c r="C52" s="73"/>
      <c r="D52" s="80"/>
      <c r="E52" s="73"/>
      <c r="F52" s="73"/>
      <c r="G52" s="73"/>
      <c r="H52" s="73"/>
      <c r="I52" s="73"/>
      <c r="J52" s="73"/>
      <c r="K52" s="95"/>
      <c r="L52" s="95"/>
    </row>
    <row r="53" spans="1:12" ht="27" customHeight="1">
      <c r="A53" s="73"/>
      <c r="B53" s="73"/>
      <c r="C53" s="73"/>
      <c r="D53" s="80"/>
      <c r="E53" s="73"/>
      <c r="F53" s="73"/>
      <c r="G53" s="73"/>
      <c r="H53" s="73"/>
      <c r="I53" s="73"/>
      <c r="J53" s="73"/>
      <c r="K53" s="95"/>
      <c r="L53" s="95"/>
    </row>
    <row r="54" spans="1:12" ht="27" customHeight="1">
      <c r="A54" s="73"/>
      <c r="B54" s="73"/>
      <c r="C54" s="73"/>
      <c r="D54" s="80"/>
      <c r="E54" s="73"/>
      <c r="F54" s="73"/>
      <c r="G54" s="73"/>
      <c r="H54" s="73"/>
      <c r="I54" s="73"/>
      <c r="J54" s="73"/>
      <c r="K54" s="95"/>
      <c r="L54" s="95"/>
    </row>
    <row r="55" spans="1:12" ht="27" customHeight="1">
      <c r="A55" s="73"/>
      <c r="B55" s="73"/>
      <c r="C55" s="73"/>
      <c r="D55" s="80"/>
      <c r="E55" s="73"/>
      <c r="F55" s="73"/>
      <c r="G55" s="73"/>
      <c r="H55" s="73"/>
      <c r="I55" s="73"/>
      <c r="J55" s="73"/>
      <c r="K55" s="95"/>
      <c r="L55" s="95"/>
    </row>
    <row r="56" spans="1:12" ht="27" customHeight="1">
      <c r="A56" s="73"/>
      <c r="B56" s="73"/>
      <c r="C56" s="73"/>
      <c r="D56" s="80"/>
      <c r="E56" s="73"/>
      <c r="F56" s="73"/>
      <c r="G56" s="73"/>
      <c r="H56" s="73"/>
      <c r="I56" s="73"/>
      <c r="J56" s="73"/>
      <c r="K56" s="95"/>
      <c r="L56" s="95"/>
    </row>
    <row r="57" spans="1:12" ht="27" customHeight="1">
      <c r="A57" s="73"/>
      <c r="B57" s="73"/>
      <c r="C57" s="73"/>
      <c r="D57" s="80"/>
      <c r="E57" s="73"/>
      <c r="F57" s="73"/>
      <c r="G57" s="73"/>
      <c r="H57" s="73"/>
      <c r="I57" s="73"/>
      <c r="J57" s="73"/>
      <c r="K57" s="95"/>
      <c r="L57" s="95"/>
    </row>
    <row r="58" spans="1:12" ht="27" customHeight="1">
      <c r="A58" s="73"/>
      <c r="B58" s="73"/>
      <c r="C58" s="73"/>
      <c r="D58" s="80"/>
      <c r="E58" s="73"/>
      <c r="F58" s="73"/>
      <c r="G58" s="73"/>
      <c r="H58" s="73"/>
      <c r="I58" s="73"/>
      <c r="J58" s="73"/>
      <c r="K58" s="95"/>
      <c r="L58" s="95"/>
    </row>
    <row r="59" spans="1:12" ht="27" customHeight="1">
      <c r="A59" s="73"/>
      <c r="B59" s="73"/>
      <c r="C59" s="73"/>
      <c r="D59" s="80"/>
      <c r="E59" s="73"/>
      <c r="F59" s="73"/>
      <c r="G59" s="73"/>
      <c r="H59" s="73"/>
      <c r="I59" s="73"/>
      <c r="J59" s="73"/>
      <c r="K59" s="95"/>
      <c r="L59" s="95"/>
    </row>
    <row r="60" spans="1:12" ht="27" customHeight="1">
      <c r="A60" s="73"/>
      <c r="B60" s="73"/>
      <c r="C60" s="73"/>
      <c r="D60" s="80"/>
      <c r="E60" s="73"/>
      <c r="F60" s="73"/>
      <c r="G60" s="73"/>
      <c r="H60" s="73"/>
      <c r="I60" s="73"/>
      <c r="J60" s="73"/>
      <c r="K60" s="95"/>
      <c r="L60" s="95"/>
    </row>
    <row r="61" spans="1:12" ht="27" customHeight="1">
      <c r="A61" s="73"/>
      <c r="B61" s="73"/>
      <c r="C61" s="73"/>
      <c r="D61" s="80"/>
      <c r="E61" s="73"/>
      <c r="F61" s="73"/>
      <c r="G61" s="73"/>
      <c r="H61" s="73"/>
      <c r="I61" s="73"/>
      <c r="J61" s="73"/>
      <c r="K61" s="95"/>
      <c r="L61" s="95"/>
    </row>
    <row r="62" spans="1:12" ht="27" customHeight="1">
      <c r="A62" s="73"/>
      <c r="B62" s="73"/>
      <c r="C62" s="73"/>
      <c r="D62" s="80"/>
      <c r="E62" s="73"/>
      <c r="F62" s="73"/>
      <c r="G62" s="73"/>
      <c r="H62" s="73"/>
      <c r="I62" s="73"/>
      <c r="J62" s="73"/>
      <c r="K62" s="95"/>
      <c r="L62" s="95"/>
    </row>
    <row r="63" spans="1:12" ht="27" customHeight="1">
      <c r="A63" s="73"/>
      <c r="B63" s="73"/>
      <c r="C63" s="73"/>
      <c r="D63" s="80"/>
      <c r="E63" s="73"/>
      <c r="F63" s="73"/>
      <c r="G63" s="73"/>
      <c r="H63" s="73"/>
      <c r="I63" s="73"/>
      <c r="J63" s="73"/>
      <c r="K63" s="95"/>
      <c r="L63" s="95"/>
    </row>
    <row r="64" spans="1:12" ht="27" customHeight="1">
      <c r="A64" s="73"/>
      <c r="B64" s="73"/>
      <c r="C64" s="73"/>
      <c r="D64" s="80"/>
      <c r="E64" s="73"/>
      <c r="F64" s="73"/>
      <c r="G64" s="73"/>
      <c r="H64" s="73"/>
      <c r="I64" s="73"/>
      <c r="J64" s="73"/>
      <c r="K64" s="95"/>
      <c r="L64" s="95"/>
    </row>
    <row r="65" spans="1:12" ht="27" customHeight="1">
      <c r="A65" s="73"/>
      <c r="B65" s="73"/>
      <c r="C65" s="73"/>
      <c r="D65" s="80"/>
      <c r="E65" s="73"/>
      <c r="F65" s="73"/>
      <c r="G65" s="73"/>
      <c r="H65" s="73"/>
      <c r="I65" s="73"/>
      <c r="J65" s="73"/>
      <c r="K65" s="95"/>
      <c r="L65" s="95"/>
    </row>
    <row r="66" spans="1:12" ht="27" customHeight="1">
      <c r="A66" s="73"/>
      <c r="B66" s="73"/>
      <c r="C66" s="73"/>
      <c r="D66" s="80"/>
      <c r="E66" s="73"/>
      <c r="F66" s="73"/>
      <c r="G66" s="73"/>
      <c r="H66" s="73"/>
      <c r="I66" s="73"/>
      <c r="J66" s="73"/>
      <c r="K66" s="95"/>
      <c r="L66" s="95"/>
    </row>
    <row r="67" spans="1:12" ht="27" customHeight="1">
      <c r="A67" s="73"/>
      <c r="B67" s="73"/>
      <c r="C67" s="73"/>
      <c r="D67" s="80"/>
      <c r="E67" s="73"/>
      <c r="F67" s="73"/>
      <c r="G67" s="73"/>
      <c r="H67" s="73"/>
      <c r="I67" s="73"/>
      <c r="J67" s="73"/>
      <c r="K67" s="95"/>
      <c r="L67" s="95"/>
    </row>
    <row r="68" spans="1:12" ht="27" customHeight="1">
      <c r="A68" s="73"/>
      <c r="B68" s="73"/>
      <c r="C68" s="73"/>
      <c r="D68" s="80"/>
      <c r="E68" s="73"/>
      <c r="F68" s="73"/>
      <c r="G68" s="73"/>
      <c r="H68" s="73"/>
      <c r="I68" s="73"/>
      <c r="J68" s="73"/>
      <c r="K68" s="95"/>
      <c r="L68" s="95"/>
    </row>
    <row r="69" spans="1:12" ht="27" customHeight="1">
      <c r="A69" s="73"/>
      <c r="B69" s="73"/>
      <c r="C69" s="73"/>
      <c r="D69" s="80"/>
      <c r="E69" s="73"/>
      <c r="F69" s="73"/>
      <c r="G69" s="73"/>
      <c r="H69" s="73"/>
      <c r="I69" s="73"/>
      <c r="J69" s="73"/>
      <c r="K69" s="95"/>
      <c r="L69" s="95"/>
    </row>
    <row r="70" spans="1:12" ht="27" customHeight="1">
      <c r="A70" s="73"/>
      <c r="B70" s="73"/>
      <c r="C70" s="73"/>
      <c r="D70" s="80"/>
      <c r="E70" s="73"/>
      <c r="F70" s="73"/>
      <c r="G70" s="73"/>
      <c r="H70" s="73"/>
      <c r="I70" s="73"/>
      <c r="J70" s="73"/>
      <c r="K70" s="95"/>
      <c r="L70" s="95"/>
    </row>
    <row r="71" spans="1:12" ht="27" customHeight="1">
      <c r="A71" s="73"/>
      <c r="B71" s="73"/>
      <c r="C71" s="73"/>
      <c r="D71" s="80"/>
      <c r="E71" s="73"/>
      <c r="F71" s="73"/>
      <c r="G71" s="73"/>
      <c r="H71" s="73"/>
      <c r="I71" s="73"/>
      <c r="J71" s="73"/>
      <c r="K71" s="95"/>
      <c r="L71" s="95"/>
    </row>
    <row r="72" spans="1:12" ht="27" customHeight="1">
      <c r="A72" s="73"/>
      <c r="B72" s="73"/>
      <c r="C72" s="73"/>
      <c r="D72" s="80"/>
      <c r="E72" s="73"/>
      <c r="F72" s="73"/>
      <c r="G72" s="73"/>
      <c r="H72" s="73"/>
      <c r="I72" s="73"/>
      <c r="J72" s="73"/>
      <c r="K72" s="95"/>
      <c r="L72" s="95"/>
    </row>
    <row r="73" spans="1:12" ht="27" customHeight="1">
      <c r="A73" s="73"/>
      <c r="B73" s="73"/>
      <c r="C73" s="73"/>
      <c r="D73" s="80"/>
      <c r="E73" s="73"/>
      <c r="F73" s="73"/>
      <c r="G73" s="73"/>
      <c r="H73" s="73"/>
      <c r="I73" s="73"/>
      <c r="J73" s="73"/>
      <c r="K73" s="95"/>
      <c r="L73" s="95"/>
    </row>
    <row r="74" spans="1:12" ht="27" customHeight="1">
      <c r="A74" s="73"/>
      <c r="B74" s="73"/>
      <c r="C74" s="73"/>
      <c r="D74" s="80"/>
      <c r="E74" s="73"/>
      <c r="F74" s="73"/>
      <c r="G74" s="73"/>
      <c r="H74" s="73"/>
      <c r="I74" s="73"/>
      <c r="J74" s="73"/>
      <c r="K74" s="95"/>
      <c r="L74" s="95"/>
    </row>
    <row r="75" spans="1:12" ht="27" customHeight="1">
      <c r="A75" s="73"/>
      <c r="B75" s="73"/>
      <c r="C75" s="73"/>
      <c r="D75" s="80"/>
      <c r="E75" s="73"/>
      <c r="F75" s="73"/>
      <c r="G75" s="73"/>
      <c r="H75" s="73"/>
      <c r="I75" s="73"/>
      <c r="J75" s="73"/>
      <c r="K75" s="95"/>
      <c r="L75" s="95"/>
    </row>
    <row r="76" spans="1:12" ht="27" customHeight="1">
      <c r="A76" s="73"/>
      <c r="B76" s="73"/>
      <c r="C76" s="73"/>
      <c r="D76" s="80"/>
      <c r="E76" s="73"/>
      <c r="F76" s="73"/>
      <c r="G76" s="73"/>
      <c r="H76" s="73"/>
      <c r="I76" s="73"/>
      <c r="J76" s="73"/>
      <c r="K76" s="95"/>
      <c r="L76" s="95"/>
    </row>
    <row r="77" spans="1:12" ht="27" customHeight="1">
      <c r="A77" s="73"/>
      <c r="B77" s="73"/>
      <c r="C77" s="73"/>
      <c r="D77" s="80"/>
      <c r="E77" s="73"/>
      <c r="F77" s="73"/>
      <c r="G77" s="73"/>
      <c r="H77" s="73"/>
      <c r="I77" s="73"/>
      <c r="J77" s="73"/>
      <c r="K77" s="95"/>
      <c r="L77" s="95"/>
    </row>
    <row r="78" spans="1:12" ht="27" customHeight="1">
      <c r="A78" s="73"/>
      <c r="B78" s="73"/>
      <c r="C78" s="73"/>
      <c r="D78" s="80"/>
      <c r="E78" s="73"/>
      <c r="F78" s="73"/>
      <c r="G78" s="73"/>
      <c r="H78" s="73"/>
      <c r="I78" s="73"/>
      <c r="J78" s="73"/>
      <c r="K78" s="95"/>
      <c r="L78" s="95"/>
    </row>
    <row r="79" spans="1:12" ht="27" customHeight="1">
      <c r="A79" s="73"/>
      <c r="B79" s="73"/>
      <c r="C79" s="73"/>
      <c r="D79" s="80"/>
      <c r="E79" s="73"/>
      <c r="F79" s="73"/>
      <c r="G79" s="73"/>
      <c r="H79" s="73"/>
      <c r="I79" s="73"/>
      <c r="J79" s="73"/>
      <c r="K79" s="95"/>
      <c r="L79" s="95"/>
    </row>
    <row r="80" spans="1:12" ht="27" customHeight="1">
      <c r="A80" s="73"/>
      <c r="B80" s="73"/>
      <c r="C80" s="73"/>
      <c r="D80" s="80"/>
      <c r="E80" s="73"/>
      <c r="F80" s="73"/>
      <c r="G80" s="73"/>
      <c r="H80" s="73"/>
      <c r="I80" s="73"/>
      <c r="J80" s="73"/>
      <c r="K80" s="95"/>
      <c r="L80" s="95"/>
    </row>
    <row r="81" spans="1:12" ht="27" customHeight="1">
      <c r="A81" s="73"/>
      <c r="B81" s="73"/>
      <c r="C81" s="73"/>
      <c r="D81" s="80"/>
      <c r="E81" s="73"/>
      <c r="F81" s="73"/>
      <c r="G81" s="73"/>
      <c r="H81" s="73"/>
      <c r="I81" s="73"/>
      <c r="J81" s="73"/>
      <c r="K81" s="95"/>
      <c r="L81" s="95"/>
    </row>
    <row r="82" spans="1:12" ht="27" customHeight="1">
      <c r="A82" s="73"/>
      <c r="B82" s="73"/>
      <c r="C82" s="73"/>
      <c r="D82" s="80"/>
      <c r="E82" s="73"/>
      <c r="F82" s="73"/>
      <c r="G82" s="73"/>
      <c r="H82" s="73"/>
      <c r="I82" s="73"/>
      <c r="J82" s="73"/>
      <c r="K82" s="95"/>
      <c r="L82" s="95"/>
    </row>
    <row r="83" spans="1:12" ht="27" customHeight="1">
      <c r="A83" s="73"/>
      <c r="B83" s="73"/>
      <c r="C83" s="73"/>
      <c r="D83" s="80"/>
      <c r="E83" s="73"/>
      <c r="F83" s="73"/>
      <c r="G83" s="73"/>
      <c r="H83" s="73"/>
      <c r="I83" s="73"/>
      <c r="J83" s="73"/>
      <c r="K83" s="95"/>
      <c r="L83" s="95"/>
    </row>
    <row r="84" spans="1:12" ht="27" customHeight="1">
      <c r="A84" s="73"/>
      <c r="B84" s="73"/>
      <c r="C84" s="73"/>
      <c r="D84" s="80"/>
      <c r="E84" s="73"/>
      <c r="F84" s="73"/>
      <c r="G84" s="73"/>
      <c r="H84" s="73"/>
      <c r="I84" s="73"/>
      <c r="J84" s="73"/>
      <c r="K84" s="95"/>
      <c r="L84" s="95"/>
    </row>
    <row r="85" spans="1:12" ht="27" customHeight="1">
      <c r="A85" s="73"/>
      <c r="B85" s="73"/>
      <c r="C85" s="73"/>
      <c r="D85" s="80"/>
      <c r="E85" s="73"/>
      <c r="F85" s="73"/>
      <c r="G85" s="73"/>
      <c r="H85" s="73"/>
      <c r="I85" s="73"/>
      <c r="J85" s="73"/>
      <c r="K85" s="95"/>
      <c r="L85" s="95"/>
    </row>
    <row r="86" spans="1:12" ht="27" customHeight="1">
      <c r="A86" s="73"/>
      <c r="B86" s="73"/>
      <c r="C86" s="73"/>
      <c r="D86" s="80"/>
      <c r="E86" s="73"/>
      <c r="F86" s="73"/>
      <c r="G86" s="73"/>
      <c r="H86" s="73"/>
      <c r="I86" s="73"/>
      <c r="J86" s="73"/>
      <c r="K86" s="95"/>
      <c r="L86" s="95"/>
    </row>
    <row r="87" spans="1:12" ht="27" customHeight="1">
      <c r="A87" s="73"/>
      <c r="B87" s="73"/>
      <c r="C87" s="73"/>
      <c r="D87" s="80"/>
      <c r="E87" s="73"/>
      <c r="F87" s="73"/>
      <c r="G87" s="73"/>
      <c r="H87" s="73"/>
      <c r="I87" s="73"/>
      <c r="J87" s="73"/>
      <c r="K87" s="95"/>
      <c r="L87" s="95"/>
    </row>
    <row r="88" spans="1:12" ht="27" customHeight="1">
      <c r="A88" s="73"/>
      <c r="B88" s="73"/>
      <c r="C88" s="73"/>
      <c r="D88" s="80"/>
      <c r="E88" s="73"/>
      <c r="F88" s="73"/>
      <c r="G88" s="73"/>
      <c r="H88" s="73"/>
      <c r="I88" s="73"/>
      <c r="J88" s="73"/>
      <c r="K88" s="95"/>
      <c r="L88" s="95"/>
    </row>
    <row r="89" spans="1:12" ht="27" customHeight="1">
      <c r="A89" s="73"/>
      <c r="B89" s="73"/>
      <c r="C89" s="73"/>
      <c r="D89" s="80"/>
      <c r="E89" s="73"/>
      <c r="F89" s="73"/>
      <c r="G89" s="73"/>
      <c r="H89" s="73"/>
      <c r="I89" s="73"/>
      <c r="J89" s="73"/>
      <c r="K89" s="95"/>
      <c r="L89" s="95"/>
    </row>
    <row r="90" spans="1:12" ht="27" customHeight="1">
      <c r="A90" s="73"/>
      <c r="B90" s="73"/>
      <c r="C90" s="73"/>
      <c r="D90" s="80"/>
      <c r="E90" s="73"/>
      <c r="F90" s="73"/>
      <c r="G90" s="73"/>
      <c r="H90" s="73"/>
      <c r="I90" s="73"/>
      <c r="J90" s="73"/>
      <c r="K90" s="95"/>
      <c r="L90" s="95"/>
    </row>
    <row r="91" spans="1:12" ht="27" customHeight="1">
      <c r="A91" s="73"/>
      <c r="B91" s="73"/>
      <c r="C91" s="73"/>
      <c r="D91" s="80"/>
      <c r="E91" s="73"/>
      <c r="F91" s="73"/>
      <c r="G91" s="73"/>
      <c r="H91" s="73"/>
      <c r="I91" s="73"/>
      <c r="J91" s="73"/>
      <c r="K91" s="95"/>
      <c r="L91" s="95"/>
    </row>
    <row r="92" spans="1:12" ht="27" customHeight="1">
      <c r="A92" s="73"/>
      <c r="B92" s="73"/>
      <c r="C92" s="73"/>
      <c r="D92" s="80"/>
      <c r="E92" s="73"/>
      <c r="F92" s="73"/>
      <c r="G92" s="73"/>
      <c r="H92" s="73"/>
      <c r="I92" s="73"/>
      <c r="J92" s="73"/>
      <c r="K92" s="95"/>
      <c r="L92" s="95"/>
    </row>
    <row r="93" spans="1:12" ht="27" customHeight="1">
      <c r="A93" s="73"/>
      <c r="B93" s="73"/>
      <c r="C93" s="73"/>
      <c r="D93" s="80"/>
      <c r="E93" s="73"/>
      <c r="F93" s="73"/>
      <c r="G93" s="73"/>
      <c r="H93" s="73"/>
      <c r="I93" s="73"/>
      <c r="J93" s="73"/>
      <c r="K93" s="95"/>
      <c r="L93" s="95"/>
    </row>
    <row r="94" spans="1:12" ht="27" customHeight="1">
      <c r="A94" s="73"/>
      <c r="B94" s="73"/>
      <c r="C94" s="73"/>
      <c r="D94" s="80"/>
      <c r="E94" s="73"/>
      <c r="F94" s="73"/>
      <c r="G94" s="73"/>
      <c r="H94" s="73"/>
      <c r="I94" s="73"/>
      <c r="J94" s="73"/>
      <c r="K94" s="95"/>
      <c r="L94" s="95"/>
    </row>
    <row r="95" spans="1:12" ht="27" customHeight="1">
      <c r="A95" s="73"/>
      <c r="B95" s="73"/>
      <c r="C95" s="73"/>
      <c r="D95" s="80"/>
      <c r="E95" s="73"/>
      <c r="F95" s="73"/>
      <c r="G95" s="73"/>
      <c r="H95" s="73"/>
      <c r="I95" s="73"/>
      <c r="J95" s="73"/>
      <c r="K95" s="95"/>
      <c r="L95" s="95"/>
    </row>
    <row r="96" spans="1:12" ht="27" customHeight="1">
      <c r="A96" s="73"/>
      <c r="B96" s="73"/>
      <c r="C96" s="73"/>
      <c r="D96" s="80"/>
      <c r="E96" s="73"/>
      <c r="F96" s="73"/>
      <c r="G96" s="73"/>
      <c r="H96" s="73"/>
      <c r="I96" s="73"/>
      <c r="J96" s="73"/>
      <c r="K96" s="95"/>
      <c r="L96" s="95"/>
    </row>
    <row r="97" spans="1:12" ht="27" customHeight="1">
      <c r="A97" s="73"/>
      <c r="B97" s="73"/>
      <c r="C97" s="73"/>
      <c r="D97" s="80"/>
      <c r="E97" s="73"/>
      <c r="F97" s="73"/>
      <c r="G97" s="73"/>
      <c r="H97" s="73"/>
      <c r="I97" s="73"/>
      <c r="J97" s="73"/>
      <c r="K97" s="95"/>
      <c r="L97" s="95"/>
    </row>
    <row r="98" spans="1:12" ht="27" customHeight="1">
      <c r="A98" s="73"/>
      <c r="B98" s="73"/>
      <c r="C98" s="73"/>
      <c r="D98" s="80"/>
      <c r="E98" s="73"/>
      <c r="F98" s="73"/>
      <c r="G98" s="73"/>
      <c r="H98" s="73"/>
      <c r="I98" s="73"/>
      <c r="J98" s="73"/>
      <c r="K98" s="95"/>
      <c r="L98" s="95"/>
    </row>
    <row r="99" spans="1:12" ht="27" customHeight="1">
      <c r="A99" s="73"/>
      <c r="B99" s="73"/>
      <c r="C99" s="73"/>
      <c r="D99" s="80"/>
      <c r="E99" s="73"/>
      <c r="F99" s="73"/>
      <c r="G99" s="73"/>
      <c r="H99" s="73"/>
      <c r="I99" s="73"/>
      <c r="J99" s="73"/>
      <c r="K99" s="95"/>
      <c r="L99" s="95"/>
    </row>
    <row r="100" spans="1:12" ht="27" customHeight="1">
      <c r="A100" s="73"/>
      <c r="B100" s="73"/>
      <c r="C100" s="73"/>
      <c r="D100" s="80"/>
      <c r="E100" s="73"/>
      <c r="F100" s="73"/>
      <c r="G100" s="73"/>
      <c r="H100" s="73"/>
      <c r="I100" s="73"/>
      <c r="J100" s="73"/>
      <c r="K100" s="95"/>
      <c r="L100" s="95"/>
    </row>
    <row r="101" spans="1:12" ht="27" customHeight="1">
      <c r="A101" s="73"/>
      <c r="B101" s="73"/>
      <c r="C101" s="73"/>
      <c r="D101" s="80"/>
      <c r="E101" s="73"/>
      <c r="F101" s="73"/>
      <c r="G101" s="73"/>
      <c r="H101" s="73"/>
      <c r="I101" s="73"/>
      <c r="J101" s="73"/>
      <c r="K101" s="95"/>
      <c r="L101" s="95"/>
    </row>
    <row r="102" spans="1:12" ht="27" customHeight="1">
      <c r="A102" s="73"/>
      <c r="B102" s="73"/>
      <c r="C102" s="73"/>
      <c r="D102" s="80"/>
      <c r="E102" s="73"/>
      <c r="F102" s="73"/>
      <c r="G102" s="73"/>
      <c r="H102" s="73"/>
      <c r="I102" s="73"/>
      <c r="J102" s="73"/>
      <c r="K102" s="95"/>
      <c r="L102" s="95"/>
    </row>
    <row r="103" spans="1:12" ht="27" customHeight="1">
      <c r="A103" s="73"/>
      <c r="B103" s="73"/>
      <c r="C103" s="73"/>
      <c r="D103" s="80"/>
      <c r="E103" s="73"/>
      <c r="F103" s="73"/>
      <c r="G103" s="73"/>
      <c r="H103" s="73"/>
      <c r="I103" s="73"/>
      <c r="J103" s="73"/>
      <c r="K103" s="95"/>
      <c r="L103" s="95"/>
    </row>
    <row r="104" spans="1:12" ht="27" customHeight="1">
      <c r="A104" s="73"/>
      <c r="B104" s="73"/>
      <c r="C104" s="73"/>
      <c r="D104" s="80"/>
      <c r="E104" s="73"/>
      <c r="F104" s="73"/>
      <c r="G104" s="73"/>
      <c r="H104" s="73"/>
      <c r="I104" s="73"/>
      <c r="J104" s="73"/>
      <c r="K104" s="95"/>
      <c r="L104" s="95"/>
    </row>
    <row r="105" spans="1:12" ht="27" customHeight="1">
      <c r="A105" s="73"/>
      <c r="B105" s="73"/>
      <c r="C105" s="73"/>
      <c r="D105" s="80"/>
      <c r="E105" s="73"/>
      <c r="F105" s="73"/>
      <c r="G105" s="73"/>
      <c r="H105" s="73"/>
      <c r="I105" s="73"/>
      <c r="J105" s="73"/>
      <c r="K105" s="95"/>
      <c r="L105" s="95"/>
    </row>
    <row r="106" spans="1:12" ht="27" customHeight="1">
      <c r="A106" s="73"/>
      <c r="B106" s="73"/>
      <c r="C106" s="73"/>
      <c r="D106" s="80"/>
      <c r="E106" s="73"/>
      <c r="F106" s="73"/>
      <c r="G106" s="73"/>
      <c r="H106" s="73"/>
      <c r="I106" s="73"/>
      <c r="J106" s="73"/>
      <c r="K106" s="95"/>
      <c r="L106" s="95"/>
    </row>
    <row r="107" spans="1:12" ht="27" customHeight="1">
      <c r="A107" s="73"/>
      <c r="B107" s="73"/>
      <c r="C107" s="73"/>
      <c r="D107" s="80"/>
      <c r="E107" s="73"/>
      <c r="F107" s="73"/>
      <c r="G107" s="73"/>
      <c r="H107" s="73"/>
      <c r="I107" s="73"/>
      <c r="J107" s="73"/>
      <c r="K107" s="95"/>
      <c r="L107" s="95"/>
    </row>
    <row r="108" spans="1:12" ht="27" customHeight="1">
      <c r="A108" s="73"/>
      <c r="B108" s="73"/>
      <c r="C108" s="73"/>
      <c r="D108" s="80"/>
      <c r="E108" s="73"/>
      <c r="F108" s="73"/>
      <c r="G108" s="73"/>
      <c r="H108" s="73"/>
      <c r="I108" s="73"/>
      <c r="J108" s="73"/>
      <c r="K108" s="95"/>
      <c r="L108" s="95"/>
    </row>
    <row r="109" spans="1:12" ht="27" customHeight="1">
      <c r="A109" s="73"/>
      <c r="B109" s="73"/>
      <c r="C109" s="73"/>
      <c r="D109" s="80"/>
      <c r="E109" s="73"/>
      <c r="F109" s="73"/>
      <c r="G109" s="73"/>
      <c r="H109" s="73"/>
      <c r="I109" s="73"/>
      <c r="J109" s="73"/>
      <c r="K109" s="95"/>
      <c r="L109" s="95"/>
    </row>
    <row r="110" spans="1:12" ht="27" customHeight="1">
      <c r="A110" s="73"/>
      <c r="B110" s="73"/>
      <c r="C110" s="73"/>
      <c r="D110" s="80"/>
      <c r="E110" s="73"/>
      <c r="F110" s="73"/>
      <c r="G110" s="73"/>
      <c r="H110" s="73"/>
      <c r="I110" s="73"/>
      <c r="J110" s="73"/>
      <c r="K110" s="95"/>
      <c r="L110" s="95"/>
    </row>
    <row r="111" spans="1:12" ht="27" customHeight="1">
      <c r="A111" s="73"/>
      <c r="B111" s="73"/>
      <c r="C111" s="73"/>
      <c r="D111" s="80"/>
      <c r="E111" s="73"/>
      <c r="F111" s="73"/>
      <c r="G111" s="73"/>
      <c r="H111" s="73"/>
      <c r="I111" s="73"/>
      <c r="J111" s="73"/>
      <c r="K111" s="95"/>
      <c r="L111" s="95"/>
    </row>
    <row r="112" spans="1:12" ht="27" customHeight="1">
      <c r="A112" s="73"/>
      <c r="B112" s="73"/>
      <c r="C112" s="73"/>
      <c r="D112" s="80"/>
      <c r="E112" s="73"/>
      <c r="F112" s="73"/>
      <c r="G112" s="73"/>
      <c r="H112" s="73"/>
      <c r="I112" s="73"/>
      <c r="J112" s="73"/>
      <c r="K112" s="95"/>
      <c r="L112" s="95"/>
    </row>
    <row r="113" spans="1:12">
      <c r="A113" s="73"/>
      <c r="B113" s="73"/>
      <c r="C113" s="73"/>
      <c r="D113" s="80"/>
      <c r="E113" s="73"/>
      <c r="F113" s="73"/>
      <c r="G113" s="73"/>
      <c r="H113" s="73"/>
      <c r="I113" s="73"/>
      <c r="J113" s="73"/>
      <c r="K113" s="95"/>
      <c r="L113" s="95"/>
    </row>
    <row r="114" spans="1:12">
      <c r="A114" s="73"/>
      <c r="B114" s="73"/>
      <c r="C114" s="73"/>
      <c r="D114" s="80"/>
      <c r="E114" s="73"/>
      <c r="F114" s="73"/>
      <c r="G114" s="73"/>
      <c r="H114" s="73"/>
      <c r="I114" s="73"/>
      <c r="J114" s="73"/>
      <c r="K114" s="95"/>
      <c r="L114" s="95"/>
    </row>
    <row r="115" spans="1:12">
      <c r="A115" s="73"/>
      <c r="B115" s="73"/>
      <c r="C115" s="73"/>
      <c r="D115" s="80"/>
      <c r="E115" s="73"/>
      <c r="F115" s="73"/>
      <c r="G115" s="73"/>
      <c r="H115" s="73"/>
      <c r="I115" s="73"/>
      <c r="J115" s="73"/>
      <c r="K115" s="95"/>
      <c r="L115" s="95"/>
    </row>
    <row r="116" spans="1:12">
      <c r="A116" s="73"/>
      <c r="B116" s="73"/>
      <c r="C116" s="73"/>
      <c r="D116" s="80"/>
      <c r="E116" s="73"/>
      <c r="F116" s="73"/>
      <c r="G116" s="73"/>
      <c r="H116" s="73"/>
      <c r="I116" s="73"/>
      <c r="J116" s="73"/>
      <c r="K116" s="95"/>
      <c r="L116" s="95"/>
    </row>
    <row r="117" spans="1:12">
      <c r="A117" s="73"/>
      <c r="B117" s="73"/>
      <c r="C117" s="73"/>
      <c r="D117" s="80"/>
      <c r="E117" s="73"/>
      <c r="F117" s="73"/>
      <c r="G117" s="73"/>
      <c r="H117" s="73"/>
      <c r="I117" s="73"/>
      <c r="J117" s="73"/>
      <c r="K117" s="95"/>
      <c r="L117" s="95"/>
    </row>
    <row r="118" spans="1:12">
      <c r="A118" s="73"/>
      <c r="B118" s="73"/>
      <c r="C118" s="73"/>
      <c r="D118" s="80"/>
      <c r="E118" s="73"/>
      <c r="F118" s="73"/>
      <c r="G118" s="73"/>
      <c r="H118" s="73"/>
      <c r="I118" s="73"/>
      <c r="J118" s="73"/>
      <c r="K118" s="95"/>
      <c r="L118" s="95"/>
    </row>
    <row r="119" spans="1:12">
      <c r="A119" s="73"/>
      <c r="B119" s="73"/>
      <c r="C119" s="73"/>
      <c r="D119" s="80"/>
      <c r="E119" s="73"/>
      <c r="F119" s="73"/>
      <c r="G119" s="73"/>
      <c r="H119" s="73"/>
      <c r="I119" s="73"/>
      <c r="J119" s="73"/>
      <c r="K119" s="95"/>
      <c r="L119" s="95"/>
    </row>
    <row r="120" spans="1:12">
      <c r="A120" s="73"/>
      <c r="B120" s="73"/>
      <c r="C120" s="73"/>
      <c r="D120" s="80"/>
      <c r="E120" s="73"/>
      <c r="F120" s="73"/>
      <c r="G120" s="73"/>
      <c r="H120" s="73"/>
      <c r="I120" s="73"/>
      <c r="J120" s="73"/>
      <c r="K120" s="95"/>
      <c r="L120" s="95"/>
    </row>
    <row r="121" spans="1:12">
      <c r="A121" s="73"/>
      <c r="B121" s="73"/>
      <c r="C121" s="73"/>
      <c r="D121" s="80"/>
      <c r="E121" s="73"/>
      <c r="F121" s="73"/>
      <c r="G121" s="73"/>
      <c r="H121" s="73"/>
      <c r="I121" s="73"/>
      <c r="J121" s="73"/>
      <c r="K121" s="95"/>
      <c r="L121" s="95"/>
    </row>
    <row r="122" spans="1:12">
      <c r="A122" s="73"/>
      <c r="B122" s="73"/>
      <c r="C122" s="73"/>
      <c r="D122" s="80"/>
      <c r="E122" s="73"/>
      <c r="F122" s="73"/>
      <c r="G122" s="73"/>
      <c r="H122" s="73"/>
      <c r="I122" s="73"/>
      <c r="J122" s="73"/>
      <c r="K122" s="95"/>
      <c r="L122" s="95"/>
    </row>
    <row r="123" spans="1:12">
      <c r="A123" s="73"/>
      <c r="B123" s="73"/>
      <c r="C123" s="73"/>
      <c r="D123" s="80"/>
      <c r="E123" s="73"/>
      <c r="F123" s="73"/>
      <c r="G123" s="73"/>
      <c r="H123" s="73"/>
      <c r="I123" s="73"/>
      <c r="J123" s="73"/>
      <c r="K123" s="95"/>
      <c r="L123" s="95"/>
    </row>
    <row r="124" spans="1:12">
      <c r="A124" s="73"/>
      <c r="B124" s="73"/>
      <c r="C124" s="73"/>
      <c r="D124" s="80"/>
      <c r="E124" s="73"/>
      <c r="F124" s="73"/>
      <c r="G124" s="73"/>
      <c r="H124" s="73"/>
      <c r="I124" s="73"/>
      <c r="J124" s="73"/>
      <c r="K124" s="95"/>
      <c r="L124" s="95"/>
    </row>
    <row r="125" spans="1:12">
      <c r="A125" s="73"/>
      <c r="B125" s="73"/>
      <c r="C125" s="73"/>
      <c r="D125" s="80"/>
      <c r="E125" s="73"/>
      <c r="F125" s="73"/>
      <c r="G125" s="73"/>
      <c r="H125" s="73"/>
      <c r="I125" s="73"/>
      <c r="J125" s="73"/>
      <c r="K125" s="95"/>
      <c r="L125" s="95"/>
    </row>
    <row r="126" spans="1:12">
      <c r="A126" s="73"/>
      <c r="B126" s="73"/>
      <c r="C126" s="73"/>
      <c r="D126" s="80"/>
      <c r="E126" s="73"/>
      <c r="F126" s="73"/>
      <c r="G126" s="73"/>
      <c r="H126" s="73"/>
      <c r="I126" s="73"/>
      <c r="J126" s="73"/>
      <c r="K126" s="95"/>
    </row>
    <row r="127" spans="1:12">
      <c r="A127" s="73"/>
      <c r="B127" s="73"/>
      <c r="C127" s="73"/>
      <c r="D127" s="73"/>
      <c r="E127" s="73"/>
      <c r="F127" s="73"/>
      <c r="G127" s="73"/>
      <c r="H127" s="73"/>
      <c r="I127" s="73"/>
      <c r="J127" s="73"/>
      <c r="K127" s="95"/>
    </row>
    <row r="128" spans="1:12">
      <c r="A128" s="73"/>
      <c r="B128" s="73"/>
      <c r="C128" s="73"/>
      <c r="D128" s="73"/>
      <c r="E128" s="73"/>
      <c r="F128" s="73"/>
      <c r="G128" s="73"/>
      <c r="H128" s="73"/>
      <c r="I128" s="73"/>
      <c r="J128" s="73"/>
      <c r="K128" s="95"/>
    </row>
    <row r="129" spans="1:11">
      <c r="A129" s="347" t="s">
        <v>107</v>
      </c>
      <c r="B129" s="275"/>
      <c r="C129" s="275"/>
      <c r="D129" s="275"/>
      <c r="E129" s="275"/>
      <c r="F129" s="95"/>
      <c r="G129" s="347" t="s">
        <v>108</v>
      </c>
      <c r="H129" s="275"/>
      <c r="I129" s="275"/>
      <c r="J129" s="275"/>
      <c r="K129" s="275"/>
    </row>
    <row r="130" spans="1:11">
      <c r="A130" s="330" t="s">
        <v>109</v>
      </c>
      <c r="B130" s="275"/>
      <c r="C130" s="275"/>
      <c r="D130" s="275"/>
      <c r="E130" s="275"/>
      <c r="F130" s="95"/>
      <c r="G130" s="330" t="s">
        <v>110</v>
      </c>
      <c r="H130" s="275"/>
      <c r="I130" s="275"/>
      <c r="J130" s="275"/>
      <c r="K130" s="275"/>
    </row>
    <row r="131" spans="1:11">
      <c r="A131" s="330" t="s">
        <v>111</v>
      </c>
      <c r="B131" s="275"/>
      <c r="C131" s="275"/>
      <c r="D131" s="275"/>
      <c r="E131" s="275"/>
      <c r="F131" s="95"/>
      <c r="G131" s="330" t="s">
        <v>112</v>
      </c>
      <c r="H131" s="275"/>
      <c r="I131" s="275"/>
      <c r="J131" s="275"/>
      <c r="K131" s="275"/>
    </row>
    <row r="132" spans="1:11">
      <c r="A132" s="330" t="s">
        <v>113</v>
      </c>
      <c r="B132" s="275"/>
      <c r="C132" s="275"/>
      <c r="D132" s="275"/>
      <c r="E132" s="275"/>
      <c r="F132" s="95"/>
      <c r="G132" s="330" t="s">
        <v>114</v>
      </c>
      <c r="H132" s="275"/>
      <c r="I132" s="275"/>
      <c r="J132" s="275"/>
      <c r="K132" s="275"/>
    </row>
    <row r="133" spans="1:11">
      <c r="A133" s="330" t="s">
        <v>115</v>
      </c>
      <c r="B133" s="275"/>
      <c r="C133" s="275"/>
      <c r="D133" s="275"/>
      <c r="E133" s="275"/>
      <c r="F133" s="95"/>
      <c r="G133" s="330" t="s">
        <v>116</v>
      </c>
      <c r="H133" s="275"/>
      <c r="I133" s="275"/>
      <c r="J133" s="275"/>
      <c r="K133" s="275"/>
    </row>
    <row r="134" spans="1:11">
      <c r="A134" s="330" t="s">
        <v>117</v>
      </c>
      <c r="B134" s="275"/>
      <c r="C134" s="275"/>
      <c r="D134" s="275"/>
      <c r="E134" s="275"/>
      <c r="F134" s="95"/>
      <c r="G134" s="330" t="s">
        <v>118</v>
      </c>
      <c r="H134" s="275"/>
      <c r="I134" s="275"/>
      <c r="J134" s="275"/>
      <c r="K134" s="275"/>
    </row>
    <row r="135" spans="1:11">
      <c r="A135" s="95"/>
      <c r="B135" s="95"/>
      <c r="C135" s="95"/>
      <c r="D135" s="95"/>
      <c r="E135" s="95"/>
      <c r="F135" s="95"/>
      <c r="G135" s="330" t="s">
        <v>119</v>
      </c>
      <c r="H135" s="275"/>
      <c r="I135" s="275"/>
      <c r="J135" s="275"/>
      <c r="K135" s="275"/>
    </row>
  </sheetData>
  <sheetProtection algorithmName="SHA-512" hashValue="iwNFIU4X5tRA/MoUGeVPPzfa6Qlfk4yMrn5xZwR4jupQ8AZjluXguCjsuyu6YPk7PJ9w/xHCtzKiXdyVjkGuqQ==" saltValue="/w28Vj53xi7Q/+4H1kqlGw==" spinCount="100000" sheet="1" formatColumns="0" formatRows="0" autoFilter="0"/>
  <mergeCells count="22">
    <mergeCell ref="A132:E132"/>
    <mergeCell ref="C6:D6"/>
    <mergeCell ref="G129:K129"/>
    <mergeCell ref="G135:K135"/>
    <mergeCell ref="A129:E129"/>
    <mergeCell ref="G132:K132"/>
    <mergeCell ref="A1:K1"/>
    <mergeCell ref="G7:H7"/>
    <mergeCell ref="G131:K131"/>
    <mergeCell ref="A134:E134"/>
    <mergeCell ref="A130:E130"/>
    <mergeCell ref="G130:K130"/>
    <mergeCell ref="G6:H6"/>
    <mergeCell ref="E6:F6"/>
    <mergeCell ref="A2:K2"/>
    <mergeCell ref="C7:D7"/>
    <mergeCell ref="A131:E131"/>
    <mergeCell ref="E7:F7"/>
    <mergeCell ref="A10:K10"/>
    <mergeCell ref="G134:K134"/>
    <mergeCell ref="A133:E133"/>
    <mergeCell ref="G133:K133"/>
  </mergeCells>
  <conditionalFormatting sqref="A12:J500">
    <cfRule type="expression" dxfId="97" priority="1">
      <formula>$F12="Critical"</formula>
    </cfRule>
    <cfRule type="expression" dxfId="96" priority="2">
      <formula>$F12="High"</formula>
    </cfRule>
    <cfRule type="expression" dxfId="95" priority="3">
      <formula>$F12="Medium"</formula>
    </cfRule>
    <cfRule type="expression" dxfId="94" priority="4">
      <formula>$F12&lt;&gt;""</formula>
    </cfRule>
    <cfRule type="expression" dxfId="93" priority="5">
      <formula>$G12="High"</formula>
    </cfRule>
    <cfRule type="expression" dxfId="92" priority="6">
      <formula>$H12="Yes"</formula>
    </cfRule>
  </conditionalFormatting>
  <conditionalFormatting sqref="F12:F500">
    <cfRule type="expression" dxfId="91" priority="7">
      <formula>AND($D12&lt;&gt;"",ISNUMBER($D12),$D12&lt;TODAY())</formula>
    </cfRule>
  </conditionalFormatting>
  <pageMargins left="0.25" right="0.25" top="0.5" bottom="0.5" header="0.5" footer="0.5"/>
  <pageSetup fitToHeight="0" orientation="landscape"/>
  <headerFooter>
    <oddHeader>&amp;C&amp;"Aptos,Bold"&amp;14 Amir Group of Companies - SLT Action Tracker</oddHeader>
    <oddFooter>&amp;CConfidential - 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7365D"/>
    <pageSetUpPr fitToPage="1"/>
  </sheetPr>
  <dimension ref="A1:S44"/>
  <sheetViews>
    <sheetView showGridLines="0" zoomScale="80" zoomScaleNormal="80" workbookViewId="0">
      <pane ySplit="9" topLeftCell="A10" activePane="bottomLeft" state="frozen"/>
      <selection pane="bottomLeft" activeCell="F12" sqref="F12"/>
    </sheetView>
  </sheetViews>
  <sheetFormatPr defaultColWidth="21.54296875" defaultRowHeight="14.5"/>
  <cols>
    <col min="1" max="1" width="14.81640625" style="1" customWidth="1"/>
    <col min="2" max="2" width="9.26953125" customWidth="1"/>
    <col min="3" max="3" width="11.1796875" customWidth="1"/>
    <col min="4" max="4" width="10.81640625" style="1" customWidth="1"/>
    <col min="5" max="5" width="11.7265625" customWidth="1"/>
    <col min="6" max="6" width="11.26953125" customWidth="1"/>
    <col min="7" max="7" width="11.81640625" customWidth="1"/>
    <col min="8" max="8" width="14.26953125" customWidth="1"/>
    <col min="9" max="9" width="14.1796875" customWidth="1"/>
    <col min="10" max="10" width="17.54296875" style="1" customWidth="1"/>
    <col min="11" max="12" width="11.54296875" customWidth="1"/>
    <col min="13" max="13" width="11.81640625" customWidth="1"/>
    <col min="14" max="14" width="12.453125" customWidth="1"/>
    <col min="15" max="15" width="13.453125" customWidth="1"/>
    <col min="16" max="16" width="14.7265625" customWidth="1"/>
  </cols>
  <sheetData>
    <row r="1" spans="1:19" ht="36" customHeight="1">
      <c r="A1" s="273" t="s">
        <v>120</v>
      </c>
      <c r="B1" s="274"/>
      <c r="C1" s="274"/>
      <c r="D1" s="275"/>
      <c r="E1" s="274"/>
      <c r="F1" s="274"/>
      <c r="G1" s="274"/>
      <c r="H1" s="274"/>
      <c r="I1" s="274"/>
      <c r="J1" s="275"/>
      <c r="K1" s="274"/>
      <c r="L1" s="274"/>
      <c r="M1" s="274"/>
      <c r="N1" s="274"/>
      <c r="O1" s="274"/>
      <c r="P1" s="274"/>
      <c r="Q1" s="274"/>
      <c r="R1" s="274"/>
      <c r="S1" s="274"/>
    </row>
    <row r="2" spans="1:19" ht="24" hidden="1" customHeight="1">
      <c r="A2" s="299" t="s">
        <v>121</v>
      </c>
      <c r="B2" s="274"/>
      <c r="C2" s="274"/>
      <c r="D2" s="275"/>
      <c r="E2" s="274"/>
      <c r="F2" s="274"/>
      <c r="G2" s="274"/>
      <c r="H2" s="274"/>
      <c r="I2" s="274"/>
      <c r="J2" s="275"/>
      <c r="K2" s="274"/>
      <c r="L2" s="274"/>
      <c r="M2" s="274"/>
      <c r="N2" s="52"/>
    </row>
    <row r="3" spans="1:19" ht="12" hidden="1" customHeight="1">
      <c r="A3" s="53"/>
      <c r="B3" s="54"/>
      <c r="C3" s="54"/>
      <c r="D3" s="53"/>
      <c r="E3" s="54"/>
      <c r="F3" s="54"/>
      <c r="G3" s="54"/>
      <c r="H3" s="54"/>
      <c r="I3" s="54"/>
      <c r="J3" s="53"/>
      <c r="K3" s="54"/>
      <c r="L3" s="54"/>
      <c r="M3" s="54"/>
      <c r="N3" s="54"/>
    </row>
    <row r="4" spans="1:19" ht="44.25" customHeight="1">
      <c r="A4" s="291" t="s">
        <v>5</v>
      </c>
      <c r="B4" s="292"/>
      <c r="C4" s="298" t="s">
        <v>149</v>
      </c>
      <c r="D4" s="277"/>
      <c r="E4" s="277"/>
      <c r="F4" s="276" t="s">
        <v>7</v>
      </c>
      <c r="G4" s="277"/>
      <c r="H4" s="277"/>
      <c r="I4" s="293" t="s">
        <v>148</v>
      </c>
      <c r="J4" s="294"/>
      <c r="K4" s="295" t="s">
        <v>8</v>
      </c>
      <c r="L4" s="292"/>
      <c r="M4" s="295" t="s">
        <v>13</v>
      </c>
      <c r="N4" s="292"/>
      <c r="O4" s="295" t="s">
        <v>14</v>
      </c>
      <c r="P4" s="292"/>
    </row>
    <row r="5" spans="1:19" ht="30" customHeight="1">
      <c r="A5" s="311">
        <f>COUNTIFS('Action Register'!$T:$T,"ACTIVE",'Action Register'!$B:$B,"&lt;&gt;")</f>
        <v>29</v>
      </c>
      <c r="B5" s="274"/>
      <c r="C5" s="314">
        <f ca="1">COUNTIFS('Action Register'!$T:$T,"ACTIVE",'Action Register'!$F:$F,"&lt;&gt;",'Action Register'!$F:$F,"&lt;"&amp;TODAY(),'Action Register'!$B:$B,"&lt;&gt;")</f>
        <v>10</v>
      </c>
      <c r="D5" s="275"/>
      <c r="E5" s="274"/>
      <c r="F5" s="308">
        <f>COUNTIFS('Action Register'!$T:$T,"ACTIVE",'Action Register'!$H:$H,"Critical",'Action Register'!$B:$B,"&lt;&gt;")</f>
        <v>0</v>
      </c>
      <c r="G5" s="274"/>
      <c r="H5" s="274"/>
      <c r="I5" s="313">
        <f>COUNTIFS('Action Register'!$T:$T,"ACTIVE",'Action Register'!$H:$H,"High",'Action Register'!$B:$B,"&lt;&gt;")</f>
        <v>8</v>
      </c>
      <c r="J5" s="279"/>
      <c r="K5" s="278">
        <f>COUNTIFS('Action Register'!$T:$T,"ACTIVE",'Action Register'!$J:$J,"High",'Action Register'!$B:$B,"&lt;&gt;")</f>
        <v>6</v>
      </c>
      <c r="L5" s="279"/>
      <c r="M5" s="282">
        <f>COUNTIFS('Action Register'!$T:$T,"ACTIVE",'Action Register'!$L:$L,"Yes",'Action Register'!$B:$B,"&lt;&gt;")</f>
        <v>3</v>
      </c>
      <c r="N5" s="274"/>
      <c r="O5" s="288">
        <f>COUNTIFS('Action Register'!$T:$T,"ACTIVE",'Action Register'!$K:$K,"ASP Go-Live",'Action Register'!$B:$B,"&lt;&gt;")</f>
        <v>5</v>
      </c>
      <c r="P5" s="289"/>
    </row>
    <row r="6" spans="1:19" ht="30" customHeight="1" thickBot="1">
      <c r="A6" s="312"/>
      <c r="B6" s="284"/>
      <c r="C6" s="280"/>
      <c r="D6" s="309"/>
      <c r="E6" s="309"/>
      <c r="F6" s="309"/>
      <c r="G6" s="309"/>
      <c r="H6" s="309"/>
      <c r="I6" s="274"/>
      <c r="J6" s="279"/>
      <c r="K6" s="280"/>
      <c r="L6" s="281"/>
      <c r="M6" s="283"/>
      <c r="N6" s="284"/>
      <c r="O6" s="283"/>
      <c r="P6" s="290"/>
    </row>
    <row r="7" spans="1:19" ht="7.9" hidden="1" customHeight="1" thickBot="1">
      <c r="A7" s="53"/>
      <c r="B7" s="54"/>
      <c r="C7" s="54"/>
      <c r="D7" s="53"/>
      <c r="E7" s="54"/>
      <c r="F7" s="54"/>
      <c r="G7" s="54"/>
      <c r="H7" s="54"/>
      <c r="I7" s="54"/>
      <c r="J7" s="53"/>
      <c r="K7" s="54"/>
      <c r="L7" s="54"/>
      <c r="M7" s="54"/>
      <c r="N7" s="54"/>
    </row>
    <row r="8" spans="1:19" ht="7.9" hidden="1" customHeight="1" thickBot="1">
      <c r="A8" s="53"/>
      <c r="B8" s="54"/>
      <c r="C8" s="54"/>
      <c r="D8" s="53"/>
      <c r="E8" s="54"/>
      <c r="F8" s="54"/>
      <c r="G8" s="54"/>
      <c r="H8" s="54"/>
      <c r="I8" s="54"/>
      <c r="J8" s="53"/>
      <c r="K8" s="54"/>
      <c r="L8" s="54"/>
      <c r="M8" s="54"/>
      <c r="N8" s="54"/>
    </row>
    <row r="9" spans="1:19" ht="42" customHeight="1" thickBot="1">
      <c r="A9" s="55" t="s">
        <v>100</v>
      </c>
      <c r="B9" s="56" t="s">
        <v>122</v>
      </c>
      <c r="C9" s="56" t="s">
        <v>6</v>
      </c>
      <c r="D9" s="56" t="s">
        <v>7</v>
      </c>
      <c r="E9" s="56" t="s">
        <v>148</v>
      </c>
      <c r="F9" s="56" t="s">
        <v>8</v>
      </c>
      <c r="G9" s="56" t="s">
        <v>123</v>
      </c>
      <c r="H9" s="57" t="s">
        <v>13</v>
      </c>
      <c r="I9" s="115"/>
      <c r="J9" s="55" t="s">
        <v>105</v>
      </c>
      <c r="K9" s="56" t="s">
        <v>124</v>
      </c>
      <c r="L9" s="56" t="s">
        <v>6</v>
      </c>
      <c r="M9" s="56" t="s">
        <v>150</v>
      </c>
      <c r="N9" s="56" t="s">
        <v>151</v>
      </c>
      <c r="O9" s="56" t="s">
        <v>8</v>
      </c>
      <c r="P9" s="57" t="s">
        <v>13</v>
      </c>
      <c r="Q9" s="59"/>
    </row>
    <row r="10" spans="1:19" ht="22.15" customHeight="1">
      <c r="A10" s="60" t="s">
        <v>125</v>
      </c>
      <c r="B10" s="61">
        <f>COUNTIFS('Action Register'!$D:$D,$A10,'Action Register'!$B:$B,"&lt;&gt;",'Action Register'!$G:$G,"&lt;&gt;Completed",'Action Register'!$G:$G,"&lt;&gt;Cancelled")</f>
        <v>4</v>
      </c>
      <c r="C10" s="61">
        <f ca="1">COUNTIFS('Action Register'!$D:$D,$A10,'Action Register'!$F:$F,"&lt;"&amp;TODAY(),'Action Register'!$B:$B,"&lt;&gt;",'Action Register'!$G:$G,"&lt;&gt;Closed",'Action Register'!$G:$G,"&lt;&gt;Completed",'Action Register'!$G:$G,"&lt;&gt;Cancelled",'Action Register'!$G:$G,"&lt;&gt;Deferred")</f>
        <v>4</v>
      </c>
      <c r="D10" s="61">
        <f>COUNTIFS('Action Register'!$D:$D,$A10,'Action Register'!$H:$H,"Critical",'Action Register'!$G:$G,"&lt;&gt;Closed",'Action Register'!$G:$G,"&lt;&gt;Completed",'Action Register'!$G:$G,"&lt;&gt;Cancelled",'Action Register'!$G:$G,"&lt;&gt;Deferred")</f>
        <v>0</v>
      </c>
      <c r="E10" s="61">
        <f>COUNTIFS('Action Register'!$D:$D,$A10,'Action Register'!$H:$H,"High",'Action Register'!$G:$G,"&lt;&gt;Closed",'Action Register'!$G:$G,"&lt;&gt;Completed",'Action Register'!$G:$G,"&lt;&gt;Cancelled",'Action Register'!$G:$G,"&lt;&gt;Deferred")</f>
        <v>2</v>
      </c>
      <c r="F10" s="61">
        <f>COUNTIFS('Action Register'!$D:$D,$A10,'Action Register'!$J:$J,"High",'Action Register'!$G:$G,"&lt;&gt;Closed",'Action Register'!$G:$G,"&lt;&gt;Completed",'Action Register'!$G:$G,"&lt;&gt;Cancelled",'Action Register'!$G:$G,"&lt;&gt;Deferred")</f>
        <v>0</v>
      </c>
      <c r="G10" s="61">
        <f>COUNTIFS('Action Register'!$D:$D,$A10,'Action Register'!$G:$G,"At Risk")+COUNTIFS('Action Register'!$D:$D,$A10,'Action Register'!$G:$G,"Stuck")</f>
        <v>0</v>
      </c>
      <c r="H10" s="62">
        <f>COUNTIFS('Action Register'!$D:$D,$A10,'Action Register'!$L:$L,"Yes",'Action Register'!$G:$G,"&lt;&gt;Closed",'Action Register'!$G:$G,"&lt;&gt;Completed",'Action Register'!$G:$G,"&lt;&gt;Cancelled",'Action Register'!$G:$G,"&lt;&gt;Deferred")</f>
        <v>0</v>
      </c>
      <c r="I10" s="116"/>
      <c r="J10" s="60" t="s">
        <v>126</v>
      </c>
      <c r="K10" s="61">
        <f>COUNTIFS('Action Register'!$K:$K,$J10,'Action Register'!$B:$B,"&lt;&gt;",'Action Register'!$G:$G,"&lt;&gt;Closed",'Action Register'!$G:$G,"&lt;&gt;Completed",'Action Register'!$G:$G,"&lt;&gt;Cancelled",'Action Register'!$G:$G,"&lt;&gt;Deferred")</f>
        <v>5</v>
      </c>
      <c r="L10" s="61">
        <f ca="1">COUNTIFS('Action Register'!$K:$K,$J10,'Action Register'!$F:$F,"&lt;"&amp;TODAY(),'Action Register'!$B:$B,"&lt;&gt;",'Action Register'!$G:$G,"&lt;&gt;Closed",'Action Register'!$G:$G,"&lt;&gt;Completed",'Action Register'!$G:$G,"&lt;&gt;Cancelled",'Action Register'!$G:$G,"&lt;&gt;Deferred")</f>
        <v>0</v>
      </c>
      <c r="M10" s="61">
        <f>COUNTIFS('Action Register'!$K:$K,$J10,'Action Register'!$H:$H,"Critical",'Action Register'!$G:$G,"&lt;&gt;Closed",'Action Register'!$G:$G,"&lt;&gt;Completed",'Action Register'!$G:$G,"&lt;&gt;Cancelled",'Action Register'!$G:$G,"&lt;&gt;Deferred")</f>
        <v>0</v>
      </c>
      <c r="N10" s="61">
        <f>COUNTIFS('Action Register'!$K:$K,$J10,'Action Register'!$H:$H,"High",'Action Register'!$G:$G,"&lt;&gt;Closed",'Action Register'!$G:$G,"&lt;&gt;Completed",'Action Register'!$G:$G,"&lt;&gt;Cancelled",'Action Register'!$G:$G,"&lt;&gt;Deferred")</f>
        <v>1</v>
      </c>
      <c r="O10" s="61">
        <f>COUNTIFS('Action Register'!$K:$K,$J10,'Action Register'!$J:$J,"High",'Action Register'!$G:$G,"&lt;&gt;Closed",'Action Register'!$G:$G,"&lt;&gt;Completed",'Action Register'!$G:$G,"&lt;&gt;Cancelled",'Action Register'!$G:$G,"&lt;&gt;Deferred")</f>
        <v>2</v>
      </c>
      <c r="P10" s="62">
        <f>COUNTIFS('Action Register'!$K:$K,$J10,'Action Register'!$L:$L,"Yes",'Action Register'!$G:$G,"&lt;&gt;Closed",'Action Register'!$G:$G,"&lt;&gt;Completed",'Action Register'!$G:$G,"&lt;&gt;Cancelled",'Action Register'!$G:$G,"&lt;&gt;Deferred")</f>
        <v>0</v>
      </c>
      <c r="Q10" s="54"/>
    </row>
    <row r="11" spans="1:19" ht="22.15" customHeight="1">
      <c r="A11" s="64" t="s">
        <v>127</v>
      </c>
      <c r="B11" s="65">
        <f>COUNTIFS('Action Register'!$D:$D,$A11,'Action Register'!$B:$B,"&lt;&gt;",'Action Register'!$G:$G,"&lt;&gt;Completed",'Action Register'!$G:$G,"&lt;&gt;Cancelled")</f>
        <v>7</v>
      </c>
      <c r="C11" s="65">
        <f ca="1">COUNTIFS('Action Register'!$D:$D,$A11,'Action Register'!$F:$F,"&lt;"&amp;TODAY(),'Action Register'!$B:$B,"&lt;&gt;",'Action Register'!$G:$G,"&lt;&gt;Closed",'Action Register'!$G:$G,"&lt;&gt;Completed",'Action Register'!$G:$G,"&lt;&gt;Cancelled",'Action Register'!$G:$G,"&lt;&gt;Deferred")</f>
        <v>4</v>
      </c>
      <c r="D11" s="65">
        <f>COUNTIFS('Action Register'!$D:$D,$A11,'Action Register'!$H:$H,"Critical",'Action Register'!$G:$G,"&lt;&gt;Closed",'Action Register'!$G:$G,"&lt;&gt;Completed",'Action Register'!$G:$G,"&lt;&gt;Cancelled",'Action Register'!$G:$G,"&lt;&gt;Deferred")</f>
        <v>0</v>
      </c>
      <c r="E11" s="65">
        <f>COUNTIFS('Action Register'!$D:$D,$A11,'Action Register'!$H:$H,"High",'Action Register'!$G:$G,"&lt;&gt;Closed",'Action Register'!$G:$G,"&lt;&gt;Completed",'Action Register'!$G:$G,"&lt;&gt;Cancelled",'Action Register'!$G:$G,"&lt;&gt;Deferred")</f>
        <v>4</v>
      </c>
      <c r="F11" s="65">
        <f>COUNTIFS('Action Register'!$D:$D,$A11,'Action Register'!$J:$J,"High",'Action Register'!$G:$G,"&lt;&gt;Closed",'Action Register'!$G:$G,"&lt;&gt;Completed",'Action Register'!$G:$G,"&lt;&gt;Cancelled",'Action Register'!$G:$G,"&lt;&gt;Deferred")</f>
        <v>3</v>
      </c>
      <c r="G11" s="65">
        <f>COUNTIFS('Action Register'!$D:$D,$A11,'Action Register'!$G:$G,"At Risk")+COUNTIFS('Action Register'!$D:$D,$A11,'Action Register'!$G:$G,"Stuck")</f>
        <v>0</v>
      </c>
      <c r="H11" s="66">
        <f>COUNTIFS('Action Register'!$D:$D,$A11,'Action Register'!$L:$L,"Yes",'Action Register'!$G:$G,"&lt;&gt;Closed",'Action Register'!$G:$G,"&lt;&gt;Completed",'Action Register'!$G:$G,"&lt;&gt;Cancelled",'Action Register'!$G:$G,"&lt;&gt;Deferred")</f>
        <v>1</v>
      </c>
      <c r="I11" s="117"/>
      <c r="J11" s="64" t="s">
        <v>128</v>
      </c>
      <c r="K11" s="65">
        <f>COUNTIFS('Action Register'!$K:$K,$J11,'Action Register'!$B:$B,"&lt;&gt;",'Action Register'!$G:$G,"&lt;&gt;Closed",'Action Register'!$G:$G,"&lt;&gt;Completed",'Action Register'!$G:$G,"&lt;&gt;Cancelled",'Action Register'!$G:$G,"&lt;&gt;Deferred")</f>
        <v>6</v>
      </c>
      <c r="L11" s="65">
        <f ca="1">COUNTIFS('Action Register'!$K:$K,$J11,'Action Register'!$F:$F,"&lt;"&amp;TODAY(),'Action Register'!$B:$B,"&lt;&gt;",'Action Register'!$G:$G,"&lt;&gt;Closed",'Action Register'!$G:$G,"&lt;&gt;Completed",'Action Register'!$G:$G,"&lt;&gt;Cancelled",'Action Register'!$G:$G,"&lt;&gt;Deferred")</f>
        <v>3</v>
      </c>
      <c r="M11" s="65">
        <f>COUNTIFS('Action Register'!$K:$K,$J11,'Action Register'!$H:$H,"Critical",'Action Register'!$G:$G,"&lt;&gt;Closed",'Action Register'!$G:$G,"&lt;&gt;Completed",'Action Register'!$G:$G,"&lt;&gt;Cancelled",'Action Register'!$G:$G,"&lt;&gt;Deferred")</f>
        <v>0</v>
      </c>
      <c r="N11" s="65">
        <f>COUNTIFS('Action Register'!$K:$K,$J11,'Action Register'!$H:$H,"High",'Action Register'!$G:$G,"&lt;&gt;Closed",'Action Register'!$G:$G,"&lt;&gt;Completed",'Action Register'!$G:$G,"&lt;&gt;Cancelled",'Action Register'!$G:$G,"&lt;&gt;Deferred")</f>
        <v>0</v>
      </c>
      <c r="O11" s="65">
        <f>COUNTIFS('Action Register'!$K:$K,$J11,'Action Register'!$J:$J,"High",'Action Register'!$G:$G,"&lt;&gt;Closed",'Action Register'!$G:$G,"&lt;&gt;Completed",'Action Register'!$G:$G,"&lt;&gt;Cancelled",'Action Register'!$G:$G,"&lt;&gt;Deferred")</f>
        <v>0</v>
      </c>
      <c r="P11" s="66">
        <f>COUNTIFS('Action Register'!$K:$K,$J11,'Action Register'!$L:$L,"Yes",'Action Register'!$G:$G,"&lt;&gt;Closed",'Action Register'!$G:$G,"&lt;&gt;Completed",'Action Register'!$G:$G,"&lt;&gt;Cancelled",'Action Register'!$G:$G,"&lt;&gt;Deferred")</f>
        <v>1</v>
      </c>
      <c r="Q11" s="54"/>
    </row>
    <row r="12" spans="1:19" ht="22.15" customHeight="1">
      <c r="A12" s="67" t="s">
        <v>129</v>
      </c>
      <c r="B12" s="68">
        <f>COUNTIFS('Action Register'!$D:$D,$A12,'Action Register'!$B:$B,"&lt;&gt;",'Action Register'!$G:$G,"&lt;&gt;Completed",'Action Register'!$G:$G,"&lt;&gt;Cancelled")</f>
        <v>1</v>
      </c>
      <c r="C12" s="68">
        <f ca="1">COUNTIFS('Action Register'!$D:$D,$A12,'Action Register'!$F:$F,"&lt;"&amp;TODAY(),'Action Register'!$B:$B,"&lt;&gt;",'Action Register'!$G:$G,"&lt;&gt;Closed",'Action Register'!$G:$G,"&lt;&gt;Completed",'Action Register'!$G:$G,"&lt;&gt;Cancelled",'Action Register'!$G:$G,"&lt;&gt;Deferred")</f>
        <v>0</v>
      </c>
      <c r="D12" s="68">
        <f>COUNTIFS('Action Register'!$D:$D,$A12,'Action Register'!$H:$H,"Critical",'Action Register'!$G:$G,"&lt;&gt;Closed",'Action Register'!$G:$G,"&lt;&gt;Completed",'Action Register'!$G:$G,"&lt;&gt;Cancelled",'Action Register'!$G:$G,"&lt;&gt;Deferred")</f>
        <v>0</v>
      </c>
      <c r="E12" s="68">
        <f>COUNTIFS('Action Register'!$D:$D,$A12,'Action Register'!$H:$H,"High",'Action Register'!$G:$G,"&lt;&gt;Closed",'Action Register'!$G:$G,"&lt;&gt;Completed",'Action Register'!$G:$G,"&lt;&gt;Cancelled",'Action Register'!$G:$G,"&lt;&gt;Deferred")</f>
        <v>0</v>
      </c>
      <c r="F12" s="68">
        <f>COUNTIFS('Action Register'!$D:$D,$A12,'Action Register'!$J:$J,"High",'Action Register'!$G:$G,"&lt;&gt;Closed",'Action Register'!$G:$G,"&lt;&gt;Completed",'Action Register'!$G:$G,"&lt;&gt;Cancelled",'Action Register'!$G:$G,"&lt;&gt;Deferred")</f>
        <v>0</v>
      </c>
      <c r="G12" s="68">
        <f>COUNTIFS('Action Register'!$D:$D,$A12,'Action Register'!$G:$G,"At Risk")+COUNTIFS('Action Register'!$D:$D,$A12,'Action Register'!$G:$G,"Stuck")</f>
        <v>0</v>
      </c>
      <c r="H12" s="69">
        <f>COUNTIFS('Action Register'!$D:$D,$A12,'Action Register'!$L:$L,"Yes",'Action Register'!$G:$G,"&lt;&gt;Closed",'Action Register'!$G:$G,"&lt;&gt;Completed",'Action Register'!$G:$G,"&lt;&gt;Cancelled",'Action Register'!$G:$G,"&lt;&gt;Deferred")</f>
        <v>0</v>
      </c>
      <c r="I12" s="116"/>
      <c r="J12" s="67" t="s">
        <v>130</v>
      </c>
      <c r="K12" s="68">
        <f>COUNTIFS('Action Register'!$K:$K,$J12,'Action Register'!$B:$B,"&lt;&gt;",'Action Register'!$G:$G,"&lt;&gt;Closed",'Action Register'!$G:$G,"&lt;&gt;Completed",'Action Register'!$G:$G,"&lt;&gt;Cancelled",'Action Register'!$G:$G,"&lt;&gt;Deferred")</f>
        <v>2</v>
      </c>
      <c r="L12" s="68">
        <f ca="1">COUNTIFS('Action Register'!$K:$K,$J12,'Action Register'!$F:$F,"&lt;"&amp;TODAY(),'Action Register'!$B:$B,"&lt;&gt;",'Action Register'!$G:$G,"&lt;&gt;Closed",'Action Register'!$G:$G,"&lt;&gt;Completed",'Action Register'!$G:$G,"&lt;&gt;Cancelled",'Action Register'!$G:$G,"&lt;&gt;Deferred")</f>
        <v>1</v>
      </c>
      <c r="M12" s="68">
        <f>COUNTIFS('Action Register'!$K:$K,$J12,'Action Register'!$H:$H,"Critical",'Action Register'!$G:$G,"&lt;&gt;Closed",'Action Register'!$G:$G,"&lt;&gt;Completed",'Action Register'!$G:$G,"&lt;&gt;Cancelled",'Action Register'!$G:$G,"&lt;&gt;Deferred")</f>
        <v>0</v>
      </c>
      <c r="N12" s="68">
        <f>COUNTIFS('Action Register'!$K:$K,$J12,'Action Register'!$H:$H,"High",'Action Register'!$G:$G,"&lt;&gt;Closed",'Action Register'!$G:$G,"&lt;&gt;Completed",'Action Register'!$G:$G,"&lt;&gt;Cancelled",'Action Register'!$G:$G,"&lt;&gt;Deferred")</f>
        <v>1</v>
      </c>
      <c r="O12" s="68">
        <f>COUNTIFS('Action Register'!$K:$K,$J12,'Action Register'!$J:$J,"High",'Action Register'!$G:$G,"&lt;&gt;Closed",'Action Register'!$G:$G,"&lt;&gt;Completed",'Action Register'!$G:$G,"&lt;&gt;Cancelled",'Action Register'!$G:$G,"&lt;&gt;Deferred")</f>
        <v>0</v>
      </c>
      <c r="P12" s="69">
        <f>COUNTIFS('Action Register'!$K:$K,$J12,'Action Register'!$L:$L,"Yes",'Action Register'!$G:$G,"&lt;&gt;Closed",'Action Register'!$G:$G,"&lt;&gt;Completed",'Action Register'!$G:$G,"&lt;&gt;Cancelled",'Action Register'!$G:$G,"&lt;&gt;Deferred")</f>
        <v>1</v>
      </c>
      <c r="Q12" s="54"/>
    </row>
    <row r="13" spans="1:19" ht="22.15" customHeight="1">
      <c r="A13" s="64" t="s">
        <v>131</v>
      </c>
      <c r="B13" s="65">
        <f>COUNTIFS('Action Register'!$D:$D,$A13,'Action Register'!$B:$B,"&lt;&gt;",'Action Register'!$G:$G,"&lt;&gt;Completed",'Action Register'!$G:$G,"&lt;&gt;Cancelled")</f>
        <v>5</v>
      </c>
      <c r="C13" s="65">
        <f ca="1">COUNTIFS('Action Register'!$D:$D,$A13,'Action Register'!$F:$F,"&lt;"&amp;TODAY(),'Action Register'!$B:$B,"&lt;&gt;",'Action Register'!$G:$G,"&lt;&gt;Closed",'Action Register'!$G:$G,"&lt;&gt;Completed",'Action Register'!$G:$G,"&lt;&gt;Cancelled",'Action Register'!$G:$G,"&lt;&gt;Deferred")</f>
        <v>0</v>
      </c>
      <c r="D13" s="65">
        <f>COUNTIFS('Action Register'!$D:$D,$A13,'Action Register'!$H:$H,"Critical",'Action Register'!$G:$G,"&lt;&gt;Closed",'Action Register'!$G:$G,"&lt;&gt;Completed",'Action Register'!$G:$G,"&lt;&gt;Cancelled",'Action Register'!$G:$G,"&lt;&gt;Deferred")</f>
        <v>0</v>
      </c>
      <c r="E13" s="65">
        <f>COUNTIFS('Action Register'!$D:$D,$A13,'Action Register'!$H:$H,"High",'Action Register'!$G:$G,"&lt;&gt;Closed",'Action Register'!$G:$G,"&lt;&gt;Completed",'Action Register'!$G:$G,"&lt;&gt;Cancelled",'Action Register'!$G:$G,"&lt;&gt;Deferred")</f>
        <v>1</v>
      </c>
      <c r="F13" s="65">
        <f>COUNTIFS('Action Register'!$D:$D,$A13,'Action Register'!$J:$J,"High",'Action Register'!$G:$G,"&lt;&gt;Closed",'Action Register'!$G:$G,"&lt;&gt;Completed",'Action Register'!$G:$G,"&lt;&gt;Cancelled",'Action Register'!$G:$G,"&lt;&gt;Deferred")</f>
        <v>1</v>
      </c>
      <c r="G13" s="65">
        <f>COUNTIFS('Action Register'!$D:$D,$A13,'Action Register'!$G:$G,"At Risk")+COUNTIFS('Action Register'!$D:$D,$A13,'Action Register'!$G:$G,"Stuck")</f>
        <v>0</v>
      </c>
      <c r="H13" s="66">
        <f>COUNTIFS('Action Register'!$D:$D,$A13,'Action Register'!$L:$L,"Yes",'Action Register'!$G:$G,"&lt;&gt;Closed",'Action Register'!$G:$G,"&lt;&gt;Completed",'Action Register'!$G:$G,"&lt;&gt;Cancelled",'Action Register'!$G:$G,"&lt;&gt;Deferred")</f>
        <v>0</v>
      </c>
      <c r="I13" s="117"/>
      <c r="J13" s="64" t="s">
        <v>132</v>
      </c>
      <c r="K13" s="65">
        <f>COUNTIFS('Action Register'!$K:$K,$J13,'Action Register'!$B:$B,"&lt;&gt;",'Action Register'!$G:$G,"&lt;&gt;Closed",'Action Register'!$G:$G,"&lt;&gt;Completed",'Action Register'!$G:$G,"&lt;&gt;Cancelled",'Action Register'!$G:$G,"&lt;&gt;Deferred")</f>
        <v>6</v>
      </c>
      <c r="L13" s="65">
        <f ca="1">COUNTIFS('Action Register'!$K:$K,$J13,'Action Register'!$F:$F,"&lt;"&amp;TODAY(),'Action Register'!$B:$B,"&lt;&gt;",'Action Register'!$G:$G,"&lt;&gt;Closed",'Action Register'!$G:$G,"&lt;&gt;Completed",'Action Register'!$G:$G,"&lt;&gt;Cancelled",'Action Register'!$G:$G,"&lt;&gt;Deferred")</f>
        <v>4</v>
      </c>
      <c r="M13" s="65">
        <f>COUNTIFS('Action Register'!$K:$K,$J13,'Action Register'!$H:$H,"Critical",'Action Register'!$G:$G,"&lt;&gt;Closed",'Action Register'!$G:$G,"&lt;&gt;Completed",'Action Register'!$G:$G,"&lt;&gt;Cancelled",'Action Register'!$G:$G,"&lt;&gt;Deferred")</f>
        <v>0</v>
      </c>
      <c r="N13" s="65">
        <f>COUNTIFS('Action Register'!$K:$K,$J13,'Action Register'!$H:$H,"High",'Action Register'!$G:$G,"&lt;&gt;Closed",'Action Register'!$G:$G,"&lt;&gt;Completed",'Action Register'!$G:$G,"&lt;&gt;Cancelled",'Action Register'!$G:$G,"&lt;&gt;Deferred")</f>
        <v>2</v>
      </c>
      <c r="O13" s="65">
        <f>COUNTIFS('Action Register'!$K:$K,$J13,'Action Register'!$J:$J,"High",'Action Register'!$G:$G,"&lt;&gt;Closed",'Action Register'!$G:$G,"&lt;&gt;Completed",'Action Register'!$G:$G,"&lt;&gt;Cancelled",'Action Register'!$G:$G,"&lt;&gt;Deferred")</f>
        <v>0</v>
      </c>
      <c r="P13" s="66">
        <f>COUNTIFS('Action Register'!$K:$K,$J13,'Action Register'!$L:$L,"Yes",'Action Register'!$G:$G,"&lt;&gt;Closed",'Action Register'!$G:$G,"&lt;&gt;Completed",'Action Register'!$G:$G,"&lt;&gt;Cancelled",'Action Register'!$G:$G,"&lt;&gt;Deferred")</f>
        <v>0</v>
      </c>
      <c r="Q13" s="54"/>
    </row>
    <row r="14" spans="1:19" ht="22.15" customHeight="1">
      <c r="A14" s="67" t="s">
        <v>133</v>
      </c>
      <c r="B14" s="68">
        <f>COUNTIFS('Action Register'!$D:$D,$A14,'Action Register'!$B:$B,"&lt;&gt;",'Action Register'!$G:$G,"&lt;&gt;Completed",'Action Register'!$G:$G,"&lt;&gt;Cancelled")</f>
        <v>1</v>
      </c>
      <c r="C14" s="68">
        <f ca="1">COUNTIFS('Action Register'!$D:$D,$A14,'Action Register'!$F:$F,"&lt;"&amp;TODAY(),'Action Register'!$B:$B,"&lt;&gt;",'Action Register'!$G:$G,"&lt;&gt;Closed",'Action Register'!$G:$G,"&lt;&gt;Completed",'Action Register'!$G:$G,"&lt;&gt;Cancelled",'Action Register'!$G:$G,"&lt;&gt;Deferred")</f>
        <v>1</v>
      </c>
      <c r="D14" s="68">
        <f>COUNTIFS('Action Register'!$D:$D,$A14,'Action Register'!$H:$H,"Critical",'Action Register'!$G:$G,"&lt;&gt;Closed",'Action Register'!$G:$G,"&lt;&gt;Completed",'Action Register'!$G:$G,"&lt;&gt;Cancelled",'Action Register'!$G:$G,"&lt;&gt;Deferred")</f>
        <v>0</v>
      </c>
      <c r="E14" s="68">
        <f>COUNTIFS('Action Register'!$D:$D,$A14,'Action Register'!$H:$H,"High",'Action Register'!$G:$G,"&lt;&gt;Closed",'Action Register'!$G:$G,"&lt;&gt;Completed",'Action Register'!$G:$G,"&lt;&gt;Cancelled",'Action Register'!$G:$G,"&lt;&gt;Deferred")</f>
        <v>0</v>
      </c>
      <c r="F14" s="68">
        <f>COUNTIFS('Action Register'!$D:$D,$A14,'Action Register'!$J:$J,"High",'Action Register'!$G:$G,"&lt;&gt;Closed",'Action Register'!$G:$G,"&lt;&gt;Completed",'Action Register'!$G:$G,"&lt;&gt;Cancelled",'Action Register'!$G:$G,"&lt;&gt;Deferred")</f>
        <v>0</v>
      </c>
      <c r="G14" s="68">
        <f>COUNTIFS('Action Register'!$D:$D,$A14,'Action Register'!$G:$G,"At Risk")+COUNTIFS('Action Register'!$D:$D,$A14,'Action Register'!$G:$G,"Stuck")</f>
        <v>0</v>
      </c>
      <c r="H14" s="69">
        <f>COUNTIFS('Action Register'!$D:$D,$A14,'Action Register'!$L:$L,"Yes",'Action Register'!$G:$G,"&lt;&gt;Closed",'Action Register'!$G:$G,"&lt;&gt;Completed",'Action Register'!$G:$G,"&lt;&gt;Cancelled",'Action Register'!$G:$G,"&lt;&gt;Deferred")</f>
        <v>0</v>
      </c>
      <c r="I14" s="116"/>
      <c r="J14" s="67" t="s">
        <v>134</v>
      </c>
      <c r="K14" s="68">
        <f>COUNTIFS('Action Register'!$K:$K,$J14,'Action Register'!$B:$B,"&lt;&gt;",'Action Register'!$G:$G,"&lt;&gt;Closed",'Action Register'!$G:$G,"&lt;&gt;Completed",'Action Register'!$G:$G,"&lt;&gt;Cancelled",'Action Register'!$G:$G,"&lt;&gt;Deferred")</f>
        <v>0</v>
      </c>
      <c r="L14" s="68">
        <f ca="1">COUNTIFS('Action Register'!$K:$K,$J14,'Action Register'!$F:$F,"&lt;"&amp;TODAY(),'Action Register'!$B:$B,"&lt;&gt;",'Action Register'!$G:$G,"&lt;&gt;Closed",'Action Register'!$G:$G,"&lt;&gt;Completed",'Action Register'!$G:$G,"&lt;&gt;Cancelled",'Action Register'!$G:$G,"&lt;&gt;Deferred")</f>
        <v>0</v>
      </c>
      <c r="M14" s="68">
        <f>COUNTIFS('Action Register'!$K:$K,$J14,'Action Register'!$H:$H,"Critical",'Action Register'!$G:$G,"&lt;&gt;Closed",'Action Register'!$G:$G,"&lt;&gt;Completed",'Action Register'!$G:$G,"&lt;&gt;Cancelled",'Action Register'!$G:$G,"&lt;&gt;Deferred")</f>
        <v>0</v>
      </c>
      <c r="N14" s="68">
        <f>COUNTIFS('Action Register'!$K:$K,$J14,'Action Register'!$H:$H,"High",'Action Register'!$G:$G,"&lt;&gt;Closed",'Action Register'!$G:$G,"&lt;&gt;Completed",'Action Register'!$G:$G,"&lt;&gt;Cancelled",'Action Register'!$G:$G,"&lt;&gt;Deferred")</f>
        <v>0</v>
      </c>
      <c r="O14" s="68">
        <f>COUNTIFS('Action Register'!$K:$K,$J14,'Action Register'!$J:$J,"High",'Action Register'!$G:$G,"&lt;&gt;Closed",'Action Register'!$G:$G,"&lt;&gt;Completed",'Action Register'!$G:$G,"&lt;&gt;Cancelled",'Action Register'!$G:$G,"&lt;&gt;Deferred")</f>
        <v>0</v>
      </c>
      <c r="P14" s="69">
        <f>COUNTIFS('Action Register'!$K:$K,$J14,'Action Register'!$L:$L,"Yes",'Action Register'!$G:$G,"&lt;&gt;Closed",'Action Register'!$G:$G,"&lt;&gt;Completed",'Action Register'!$G:$G,"&lt;&gt;Cancelled",'Action Register'!$G:$G,"&lt;&gt;Deferred")</f>
        <v>0</v>
      </c>
      <c r="Q14" s="54"/>
    </row>
    <row r="15" spans="1:19" ht="22.15" customHeight="1">
      <c r="A15" s="64" t="s">
        <v>135</v>
      </c>
      <c r="B15" s="65">
        <f>COUNTIFS('Action Register'!$D:$D,$A15,'Action Register'!$B:$B,"&lt;&gt;",'Action Register'!$G:$G,"&lt;&gt;Completed",'Action Register'!$G:$G,"&lt;&gt;Cancelled")</f>
        <v>3</v>
      </c>
      <c r="C15" s="65">
        <f ca="1">COUNTIFS('Action Register'!$D:$D,$A15,'Action Register'!$F:$F,"&lt;"&amp;TODAY(),'Action Register'!$B:$B,"&lt;&gt;",'Action Register'!$G:$G,"&lt;&gt;Closed",'Action Register'!$G:$G,"&lt;&gt;Completed",'Action Register'!$G:$G,"&lt;&gt;Cancelled",'Action Register'!$G:$G,"&lt;&gt;Deferred")</f>
        <v>0</v>
      </c>
      <c r="D15" s="65">
        <f>COUNTIFS('Action Register'!$D:$D,$A15,'Action Register'!$H:$H,"Critical",'Action Register'!$G:$G,"&lt;&gt;Closed",'Action Register'!$G:$G,"&lt;&gt;Completed",'Action Register'!$G:$G,"&lt;&gt;Cancelled",'Action Register'!$G:$G,"&lt;&gt;Deferred")</f>
        <v>0</v>
      </c>
      <c r="E15" s="65">
        <f>COUNTIFS('Action Register'!$D:$D,$A15,'Action Register'!$H:$H,"High",'Action Register'!$G:$G,"&lt;&gt;Closed",'Action Register'!$G:$G,"&lt;&gt;Completed",'Action Register'!$G:$G,"&lt;&gt;Cancelled",'Action Register'!$G:$G,"&lt;&gt;Deferred")</f>
        <v>0</v>
      </c>
      <c r="F15" s="65">
        <f>COUNTIFS('Action Register'!$D:$D,$A15,'Action Register'!$J:$J,"High",'Action Register'!$G:$G,"&lt;&gt;Closed",'Action Register'!$G:$G,"&lt;&gt;Completed",'Action Register'!$G:$G,"&lt;&gt;Cancelled",'Action Register'!$G:$G,"&lt;&gt;Deferred")</f>
        <v>0</v>
      </c>
      <c r="G15" s="65">
        <f>COUNTIFS('Action Register'!$D:$D,$A15,'Action Register'!$G:$G,"At Risk")+COUNTIFS('Action Register'!$D:$D,$A15,'Action Register'!$G:$G,"Stuck")</f>
        <v>0</v>
      </c>
      <c r="H15" s="66">
        <f>COUNTIFS('Action Register'!$D:$D,$A15,'Action Register'!$L:$L,"Yes",'Action Register'!$G:$G,"&lt;&gt;Closed",'Action Register'!$G:$G,"&lt;&gt;Completed",'Action Register'!$G:$G,"&lt;&gt;Cancelled",'Action Register'!$G:$G,"&lt;&gt;Deferred")</f>
        <v>1</v>
      </c>
      <c r="I15" s="117"/>
      <c r="J15" s="64" t="s">
        <v>136</v>
      </c>
      <c r="K15" s="65">
        <f>COUNTIFS('Action Register'!$K:$K,$J15,'Action Register'!$B:$B,"&lt;&gt;",'Action Register'!$G:$G,"&lt;&gt;Closed",'Action Register'!$G:$G,"&lt;&gt;Completed",'Action Register'!$G:$G,"&lt;&gt;Cancelled",'Action Register'!$G:$G,"&lt;&gt;Deferred")</f>
        <v>0</v>
      </c>
      <c r="L15" s="65">
        <f ca="1">COUNTIFS('Action Register'!$K:$K,$J15,'Action Register'!$F:$F,"&lt;"&amp;TODAY(),'Action Register'!$B:$B,"&lt;&gt;",'Action Register'!$G:$G,"&lt;&gt;Closed",'Action Register'!$G:$G,"&lt;&gt;Completed",'Action Register'!$G:$G,"&lt;&gt;Cancelled",'Action Register'!$G:$G,"&lt;&gt;Deferred")</f>
        <v>0</v>
      </c>
      <c r="M15" s="65">
        <f>COUNTIFS('Action Register'!$K:$K,$J15,'Action Register'!$H:$H,"Critical",'Action Register'!$G:$G,"&lt;&gt;Closed",'Action Register'!$G:$G,"&lt;&gt;Completed",'Action Register'!$G:$G,"&lt;&gt;Cancelled",'Action Register'!$G:$G,"&lt;&gt;Deferred")</f>
        <v>0</v>
      </c>
      <c r="N15" s="65">
        <f>COUNTIFS('Action Register'!$K:$K,$J15,'Action Register'!$H:$H,"High",'Action Register'!$G:$G,"&lt;&gt;Closed",'Action Register'!$G:$G,"&lt;&gt;Completed",'Action Register'!$G:$G,"&lt;&gt;Cancelled",'Action Register'!$G:$G,"&lt;&gt;Deferred")</f>
        <v>0</v>
      </c>
      <c r="O15" s="65">
        <f>COUNTIFS('Action Register'!$K:$K,$J15,'Action Register'!$J:$J,"High",'Action Register'!$G:$G,"&lt;&gt;Closed",'Action Register'!$G:$G,"&lt;&gt;Completed",'Action Register'!$G:$G,"&lt;&gt;Cancelled",'Action Register'!$G:$G,"&lt;&gt;Deferred")</f>
        <v>0</v>
      </c>
      <c r="P15" s="66">
        <f>COUNTIFS('Action Register'!$K:$K,$J15,'Action Register'!$L:$L,"Yes",'Action Register'!$G:$G,"&lt;&gt;Closed",'Action Register'!$G:$G,"&lt;&gt;Completed",'Action Register'!$G:$G,"&lt;&gt;Cancelled",'Action Register'!$G:$G,"&lt;&gt;Deferred")</f>
        <v>0</v>
      </c>
      <c r="Q15" s="54"/>
    </row>
    <row r="16" spans="1:19" ht="22.15" customHeight="1">
      <c r="A16" s="67" t="s">
        <v>137</v>
      </c>
      <c r="B16" s="68">
        <f>COUNTIFS('Action Register'!$D:$D,$A16,'Action Register'!$B:$B,"&lt;&gt;",'Action Register'!$G:$G,"&lt;&gt;Completed",'Action Register'!$G:$G,"&lt;&gt;Cancelled")</f>
        <v>0</v>
      </c>
      <c r="C16" s="68">
        <f ca="1">COUNTIFS('Action Register'!$D:$D,$A16,'Action Register'!$F:$F,"&lt;"&amp;TODAY(),'Action Register'!$B:$B,"&lt;&gt;",'Action Register'!$G:$G,"&lt;&gt;Closed",'Action Register'!$G:$G,"&lt;&gt;Completed",'Action Register'!$G:$G,"&lt;&gt;Cancelled",'Action Register'!$G:$G,"&lt;&gt;Deferred")</f>
        <v>0</v>
      </c>
      <c r="D16" s="68">
        <f>COUNTIFS('Action Register'!$D:$D,$A16,'Action Register'!$H:$H,"Critical",'Action Register'!$G:$G,"&lt;&gt;Closed",'Action Register'!$G:$G,"&lt;&gt;Completed",'Action Register'!$G:$G,"&lt;&gt;Cancelled",'Action Register'!$G:$G,"&lt;&gt;Deferred")</f>
        <v>0</v>
      </c>
      <c r="E16" s="68">
        <f>COUNTIFS('Action Register'!$D:$D,$A16,'Action Register'!$H:$H,"High",'Action Register'!$G:$G,"&lt;&gt;Closed",'Action Register'!$G:$G,"&lt;&gt;Completed",'Action Register'!$G:$G,"&lt;&gt;Cancelled",'Action Register'!$G:$G,"&lt;&gt;Deferred")</f>
        <v>0</v>
      </c>
      <c r="F16" s="68">
        <f>COUNTIFS('Action Register'!$D:$D,$A16,'Action Register'!$J:$J,"High",'Action Register'!$G:$G,"&lt;&gt;Closed",'Action Register'!$G:$G,"&lt;&gt;Completed",'Action Register'!$G:$G,"&lt;&gt;Cancelled",'Action Register'!$G:$G,"&lt;&gt;Deferred")</f>
        <v>0</v>
      </c>
      <c r="G16" s="68">
        <f>COUNTIFS('Action Register'!$D:$D,$A16,'Action Register'!$G:$G,"At Risk")+COUNTIFS('Action Register'!$D:$D,$A16,'Action Register'!$G:$G,"Stuck")</f>
        <v>0</v>
      </c>
      <c r="H16" s="69">
        <f>COUNTIFS('Action Register'!$D:$D,$A16,'Action Register'!$L:$L,"Yes",'Action Register'!$G:$G,"&lt;&gt;Closed",'Action Register'!$G:$G,"&lt;&gt;Completed",'Action Register'!$G:$G,"&lt;&gt;Cancelled",'Action Register'!$G:$G,"&lt;&gt;Deferred")</f>
        <v>0</v>
      </c>
      <c r="I16" s="116"/>
      <c r="J16" s="67" t="s">
        <v>138</v>
      </c>
      <c r="K16" s="68">
        <f>COUNTIFS('Action Register'!$K:$K,$J16,'Action Register'!$B:$B,"&lt;&gt;",'Action Register'!$G:$G,"&lt;&gt;Closed",'Action Register'!$G:$G,"&lt;&gt;Completed",'Action Register'!$G:$G,"&lt;&gt;Cancelled",'Action Register'!$G:$G,"&lt;&gt;Deferred")</f>
        <v>1</v>
      </c>
      <c r="L16" s="68">
        <f ca="1">COUNTIFS('Action Register'!$K:$K,$J16,'Action Register'!$F:$F,"&lt;"&amp;TODAY(),'Action Register'!$B:$B,"&lt;&gt;",'Action Register'!$G:$G,"&lt;&gt;Closed",'Action Register'!$G:$G,"&lt;&gt;Completed",'Action Register'!$G:$G,"&lt;&gt;Cancelled",'Action Register'!$G:$G,"&lt;&gt;Deferred")</f>
        <v>0</v>
      </c>
      <c r="M16" s="68">
        <f>COUNTIFS('Action Register'!$K:$K,$J16,'Action Register'!$H:$H,"Critical",'Action Register'!$G:$G,"&lt;&gt;Closed",'Action Register'!$G:$G,"&lt;&gt;Completed",'Action Register'!$G:$G,"&lt;&gt;Cancelled",'Action Register'!$G:$G,"&lt;&gt;Deferred")</f>
        <v>0</v>
      </c>
      <c r="N16" s="68">
        <f>COUNTIFS('Action Register'!$K:$K,$J16,'Action Register'!$H:$H,"High",'Action Register'!$G:$G,"&lt;&gt;Closed",'Action Register'!$G:$G,"&lt;&gt;Completed",'Action Register'!$G:$G,"&lt;&gt;Cancelled",'Action Register'!$G:$G,"&lt;&gt;Deferred")</f>
        <v>0</v>
      </c>
      <c r="O16" s="68">
        <f>COUNTIFS('Action Register'!$K:$K,$J16,'Action Register'!$J:$J,"High",'Action Register'!$G:$G,"&lt;&gt;Closed",'Action Register'!$G:$G,"&lt;&gt;Completed",'Action Register'!$G:$G,"&lt;&gt;Cancelled",'Action Register'!$G:$G,"&lt;&gt;Deferred")</f>
        <v>0</v>
      </c>
      <c r="P16" s="69">
        <f>COUNTIFS('Action Register'!$K:$K,$J16,'Action Register'!$L:$L,"Yes",'Action Register'!$G:$G,"&lt;&gt;Closed",'Action Register'!$G:$G,"&lt;&gt;Completed",'Action Register'!$G:$G,"&lt;&gt;Cancelled",'Action Register'!$G:$G,"&lt;&gt;Deferred")</f>
        <v>0</v>
      </c>
      <c r="Q16" s="54"/>
    </row>
    <row r="17" spans="1:17" ht="22.15" customHeight="1" thickBot="1">
      <c r="A17" s="70" t="s">
        <v>139</v>
      </c>
      <c r="B17" s="71">
        <f t="array" ref="B17">SUMPRODUCT(--('Action Register'!$B$5:$B$104&lt;&gt;""),--(COUNTIF($A$10:$A$16,'Action Register'!$D$5:$D$104)=0),--('Action Register'!$G$5:$G$104&lt;&gt;"Closed"),--('Action Register'!$G$5:$G$104&lt;&gt;"Completed"),--('Action Register'!$G$5:$G$104&lt;&gt;"Cancelled"),--('Action Register'!$G$5:$G$104&lt;&gt;"Deferred"))</f>
        <v>8</v>
      </c>
      <c r="C17" s="71">
        <f t="array" aca="1" ref="C17" ca="1">SUMPRODUCT(--('Action Register'!$B$5:$B$104&lt;&gt;""),--(COUNTIF($A$10:$A$16,'Action Register'!$D$5:$D$104)=0),--('Action Register'!$F$5:$F$104&lt;&gt;""),--('Action Register'!$F$5:$F$104&lt;TODAY()),--('Action Register'!$G$5:$G$104&lt;&gt;"Closed"),--('Action Register'!$G$5:$G$104&lt;&gt;"Completed"),--('Action Register'!$G$5:$G$104&lt;&gt;"Cancelled"),--('Action Register'!$G$5:$G$104&lt;&gt;"Deferred"))</f>
        <v>1</v>
      </c>
      <c r="D17" s="71">
        <f t="array" ref="D17">SUMPRODUCT(--('Action Register'!$B$5:$B$104&lt;&gt;""),--(COUNTIF($A$10:$A$16,'Action Register'!$D$5:$D$104)=0),--('Action Register'!$H$5:$H$104="Critical"),--('Action Register'!$G$5:$G$104&lt;&gt;"Closed"),--('Action Register'!$G$5:$G$104&lt;&gt;"Completed"),--('Action Register'!$G$5:$G$104&lt;&gt;"Cancelled"),--('Action Register'!$G$5:$G$104&lt;&gt;"Deferred"))</f>
        <v>0</v>
      </c>
      <c r="E17" s="71">
        <f t="array" ref="E17">SUMPRODUCT(--('Action Register'!$B$5:$B$104&lt;&gt;""),--(COUNTIF($A$10:$A$16,'Action Register'!$D$5:$D$104)=0),--('Action Register'!$H$5:$H$104="High"),--('Action Register'!$G$5:$G$104&lt;&gt;"Closed"),--('Action Register'!$G$5:$G$104&lt;&gt;"Completed"),--('Action Register'!$G$5:$G$104&lt;&gt;"Cancelled"),--('Action Register'!$G$5:$G$104&lt;&gt;"Deferred"))</f>
        <v>1</v>
      </c>
      <c r="F17" s="71">
        <f t="array" ref="F17">SUMPRODUCT(--('Action Register'!$B$5:$B$104&lt;&gt;""),--(COUNTIF($A$10:$A$16,'Action Register'!$D$5:$D$104)=0),--('Action Register'!$J$5:$J$104="High"),--('Action Register'!$G$5:$G$104&lt;&gt;"Closed"),--('Action Register'!$G$5:$G$104&lt;&gt;"Completed"),--('Action Register'!$G$5:$G$104&lt;&gt;"Cancelled"),--('Action Register'!$G$5:$G$104&lt;&gt;"Deferred"))</f>
        <v>2</v>
      </c>
      <c r="G17" s="71">
        <f t="array" ref="G17">SUMPRODUCT(--('Action Register'!$B$5:$B$104&lt;&gt;""),--(COUNTIF($A$10:$A$16,'Action Register'!$D$5:$D$104)=0),--((('Action Register'!$G$5:$G$104="At Risk")+('Action Register'!$G$5:$G$104="Stuck"))&gt;0))</f>
        <v>0</v>
      </c>
      <c r="H17" s="72">
        <f t="array" ref="H17">SUMPRODUCT(--('Action Register'!$B$5:$B$104&lt;&gt;""),--(COUNTIF($A$10:$A$16,'Action Register'!$D$5:$D$104)=0),--('Action Register'!$L$5:$L$104="Yes"),--('Action Register'!$G$5:$G$104&lt;&gt;"Closed"),--('Action Register'!$G$5:$G$104&lt;&gt;"Completed"),--('Action Register'!$G$5:$G$104&lt;&gt;"Cancelled"),--('Action Register'!$G$5:$G$104&lt;&gt;"Deferred"))</f>
        <v>1</v>
      </c>
      <c r="I17" s="117"/>
      <c r="J17" s="70" t="s">
        <v>140</v>
      </c>
      <c r="K17" s="71">
        <f>COUNTIFS('Action Register'!$K:$K,$J17,'Action Register'!$B:$B,"&lt;&gt;",'Action Register'!$G:$G,"&lt;&gt;Closed",'Action Register'!$G:$G,"&lt;&gt;Completed",'Action Register'!$G:$G,"&lt;&gt;Cancelled",'Action Register'!$G:$G,"&lt;&gt;Deferred")</f>
        <v>3</v>
      </c>
      <c r="L17" s="71">
        <f ca="1">COUNTIFS('Action Register'!$K:$K,$J17,'Action Register'!$F:$F,"&lt;"&amp;TODAY(),'Action Register'!$B:$B,"&lt;&gt;",'Action Register'!$G:$G,"&lt;&gt;Closed",'Action Register'!$G:$G,"&lt;&gt;Completed",'Action Register'!$G:$G,"&lt;&gt;Cancelled",'Action Register'!$G:$G,"&lt;&gt;Deferred")</f>
        <v>0</v>
      </c>
      <c r="M17" s="71">
        <f>COUNTIFS('Action Register'!$K:$K,$J17,'Action Register'!$H:$H,"Critical",'Action Register'!$G:$G,"&lt;&gt;Closed",'Action Register'!$G:$G,"&lt;&gt;Completed",'Action Register'!$G:$G,"&lt;&gt;Cancelled",'Action Register'!$G:$G,"&lt;&gt;Deferred")</f>
        <v>0</v>
      </c>
      <c r="N17" s="71">
        <f>COUNTIFS('Action Register'!$K:$K,$J17,'Action Register'!$H:$H,"High",'Action Register'!$G:$G,"&lt;&gt;Closed",'Action Register'!$G:$G,"&lt;&gt;Completed",'Action Register'!$G:$G,"&lt;&gt;Cancelled",'Action Register'!$G:$G,"&lt;&gt;Deferred")</f>
        <v>1</v>
      </c>
      <c r="O17" s="71">
        <f>COUNTIFS('Action Register'!$K:$K,$J17,'Action Register'!$J:$J,"High",'Action Register'!$G:$G,"&lt;&gt;Closed",'Action Register'!$G:$G,"&lt;&gt;Completed",'Action Register'!$G:$G,"&lt;&gt;Cancelled",'Action Register'!$G:$G,"&lt;&gt;Deferred")</f>
        <v>1</v>
      </c>
      <c r="P17" s="72">
        <f>COUNTIFS('Action Register'!$K:$K,$J17,'Action Register'!$L:$L,"Yes",'Action Register'!$G:$G,"&lt;&gt;Closed",'Action Register'!$G:$G,"&lt;&gt;Completed",'Action Register'!$G:$G,"&lt;&gt;Cancelled",'Action Register'!$G:$G,"&lt;&gt;Deferred")</f>
        <v>0</v>
      </c>
      <c r="Q17" s="54"/>
    </row>
    <row r="18" spans="1:17" ht="28.15" customHeight="1">
      <c r="A18" s="306" t="s">
        <v>141</v>
      </c>
      <c r="B18" s="307"/>
      <c r="C18" s="307"/>
      <c r="D18" s="307"/>
      <c r="E18" s="307"/>
      <c r="F18" s="307"/>
      <c r="G18" s="307"/>
      <c r="H18" s="307"/>
      <c r="I18" s="307"/>
      <c r="J18" s="307"/>
      <c r="K18" s="307"/>
      <c r="L18" s="307"/>
      <c r="M18" s="307"/>
      <c r="N18" s="307"/>
    </row>
    <row r="19" spans="1:17" ht="18" customHeight="1">
      <c r="A19" s="74"/>
      <c r="B19" s="75"/>
      <c r="C19" s="75"/>
      <c r="D19" s="74"/>
      <c r="E19" s="75"/>
      <c r="F19" s="75"/>
      <c r="G19" s="75"/>
      <c r="H19" s="75"/>
      <c r="I19" s="75"/>
      <c r="J19" s="74"/>
      <c r="K19" s="75"/>
      <c r="L19" s="75"/>
      <c r="M19" s="75"/>
      <c r="N19" s="75"/>
    </row>
    <row r="20" spans="1:17" ht="18" customHeight="1">
      <c r="A20" s="74"/>
      <c r="B20" s="75"/>
      <c r="C20" s="75"/>
      <c r="D20" s="74"/>
      <c r="E20" s="75"/>
      <c r="F20" s="75"/>
      <c r="G20" s="75"/>
      <c r="H20" s="75"/>
      <c r="I20" s="75"/>
      <c r="J20" s="74"/>
      <c r="K20" s="75"/>
      <c r="L20" s="75"/>
      <c r="M20" s="75"/>
      <c r="N20" s="75"/>
    </row>
    <row r="21" spans="1:17" ht="18" customHeight="1">
      <c r="A21" s="74"/>
      <c r="B21" s="75"/>
      <c r="C21" s="75"/>
      <c r="D21" s="74"/>
      <c r="E21" s="75"/>
      <c r="F21" s="75"/>
      <c r="G21" s="75"/>
      <c r="H21" s="75"/>
      <c r="I21" s="75"/>
      <c r="J21" s="74"/>
      <c r="K21" s="75"/>
      <c r="L21" s="75"/>
      <c r="M21" s="75"/>
      <c r="N21" s="75"/>
    </row>
    <row r="22" spans="1:17" ht="18" customHeight="1">
      <c r="A22" s="74"/>
      <c r="B22" s="75"/>
      <c r="C22" s="75"/>
      <c r="D22" s="74"/>
      <c r="E22" s="75"/>
      <c r="F22" s="75"/>
      <c r="G22" s="75"/>
      <c r="H22" s="75"/>
      <c r="I22" s="75"/>
      <c r="J22" s="74"/>
      <c r="K22" s="75"/>
      <c r="L22" s="75"/>
      <c r="M22" s="75"/>
      <c r="N22" s="75"/>
    </row>
    <row r="23" spans="1:17" ht="18" customHeight="1">
      <c r="A23" s="74"/>
      <c r="B23" s="75"/>
      <c r="C23" s="75"/>
      <c r="D23" s="74"/>
      <c r="E23" s="75"/>
      <c r="F23" s="75"/>
      <c r="G23" s="75"/>
      <c r="H23" s="75"/>
      <c r="I23" s="75"/>
      <c r="J23" s="74"/>
      <c r="K23" s="75"/>
      <c r="L23" s="75"/>
      <c r="M23" s="75"/>
      <c r="N23" s="75"/>
    </row>
    <row r="24" spans="1:17" ht="18" customHeight="1">
      <c r="A24" s="74"/>
      <c r="B24" s="75"/>
      <c r="C24" s="75"/>
      <c r="D24" s="74"/>
      <c r="E24" s="75"/>
      <c r="F24" s="75"/>
      <c r="G24" s="75"/>
      <c r="H24" s="75"/>
      <c r="I24" s="75"/>
      <c r="J24" s="74"/>
      <c r="K24" s="75"/>
      <c r="L24" s="75"/>
      <c r="M24" s="75"/>
      <c r="N24" s="75"/>
    </row>
    <row r="25" spans="1:17" ht="18" customHeight="1">
      <c r="A25" s="74"/>
      <c r="B25" s="75"/>
      <c r="C25" s="75"/>
      <c r="D25" s="74"/>
      <c r="E25" s="75"/>
      <c r="F25" s="75"/>
      <c r="G25" s="75"/>
      <c r="H25" s="75"/>
      <c r="I25" s="75"/>
      <c r="J25" s="74"/>
      <c r="K25" s="75"/>
      <c r="L25" s="75"/>
      <c r="M25" s="75"/>
      <c r="N25" s="75"/>
    </row>
    <row r="26" spans="1:17" ht="18" customHeight="1">
      <c r="A26" s="74"/>
      <c r="B26" s="75"/>
      <c r="C26" s="75"/>
      <c r="D26" s="74"/>
      <c r="E26" s="75"/>
      <c r="F26" s="75"/>
      <c r="G26" s="75"/>
      <c r="H26" s="75"/>
      <c r="I26" s="75"/>
      <c r="J26" s="74"/>
      <c r="K26" s="75"/>
      <c r="L26" s="75"/>
      <c r="M26" s="75"/>
      <c r="N26" s="75"/>
    </row>
    <row r="27" spans="1:17" ht="18" customHeight="1">
      <c r="A27" s="74"/>
      <c r="B27" s="75"/>
      <c r="C27" s="75"/>
      <c r="D27" s="74"/>
      <c r="E27" s="75"/>
      <c r="F27" s="75"/>
      <c r="G27" s="75"/>
      <c r="H27" s="75"/>
      <c r="I27" s="75"/>
      <c r="J27" s="74"/>
      <c r="K27" s="75"/>
      <c r="L27" s="75"/>
      <c r="M27" s="75"/>
      <c r="N27" s="75"/>
    </row>
    <row r="28" spans="1:17" ht="18" customHeight="1">
      <c r="A28" s="74"/>
      <c r="B28" s="75"/>
      <c r="C28" s="75"/>
      <c r="D28" s="74"/>
      <c r="E28" s="75"/>
      <c r="F28" s="75"/>
      <c r="G28" s="75"/>
      <c r="H28" s="75"/>
      <c r="I28" s="75"/>
      <c r="J28" s="74"/>
      <c r="K28" s="75"/>
      <c r="L28" s="75"/>
      <c r="M28" s="75"/>
      <c r="N28" s="75"/>
    </row>
    <row r="29" spans="1:17" ht="18" customHeight="1">
      <c r="A29" s="74"/>
      <c r="B29" s="75"/>
      <c r="C29" s="75"/>
      <c r="D29" s="74"/>
      <c r="E29" s="75"/>
      <c r="F29" s="75"/>
      <c r="G29" s="75"/>
      <c r="H29" s="75"/>
      <c r="I29" s="75"/>
      <c r="J29" s="74"/>
      <c r="K29" s="75"/>
      <c r="L29" s="75"/>
      <c r="M29" s="75"/>
      <c r="N29" s="75"/>
    </row>
    <row r="30" spans="1:17" ht="18" customHeight="1">
      <c r="A30" s="74"/>
      <c r="B30" s="75"/>
      <c r="C30" s="75"/>
      <c r="D30" s="74"/>
      <c r="E30" s="75"/>
      <c r="F30" s="75"/>
      <c r="G30" s="75"/>
      <c r="H30" s="75"/>
      <c r="I30" s="75"/>
      <c r="J30" s="74"/>
      <c r="K30" s="75"/>
      <c r="L30" s="75"/>
      <c r="M30" s="75"/>
      <c r="N30" s="75"/>
    </row>
    <row r="31" spans="1:17" ht="18" customHeight="1">
      <c r="A31" s="74"/>
      <c r="B31" s="75"/>
      <c r="C31" s="75"/>
      <c r="D31" s="74"/>
      <c r="E31" s="75"/>
      <c r="F31" s="75"/>
      <c r="G31" s="75"/>
      <c r="H31" s="75"/>
      <c r="I31" s="75"/>
      <c r="J31" s="74"/>
      <c r="K31" s="75"/>
      <c r="L31" s="75"/>
      <c r="M31" s="75"/>
      <c r="N31" s="75"/>
    </row>
    <row r="32" spans="1:17" ht="18" customHeight="1">
      <c r="A32" s="74"/>
      <c r="B32" s="75"/>
      <c r="C32" s="75"/>
      <c r="D32" s="74"/>
      <c r="E32" s="75"/>
      <c r="F32" s="75"/>
      <c r="G32" s="75"/>
      <c r="H32" s="75"/>
      <c r="I32" s="75"/>
      <c r="J32" s="74"/>
      <c r="K32" s="75"/>
      <c r="L32" s="75"/>
      <c r="M32" s="75"/>
      <c r="N32" s="75"/>
    </row>
    <row r="33" spans="1:14" ht="18" customHeight="1">
      <c r="A33" s="74"/>
      <c r="B33" s="75"/>
      <c r="C33" s="75"/>
      <c r="D33" s="74"/>
      <c r="E33" s="75"/>
      <c r="F33" s="75"/>
      <c r="G33" s="75"/>
      <c r="H33" s="75"/>
      <c r="I33" s="75"/>
      <c r="J33" s="74"/>
      <c r="K33" s="75"/>
      <c r="L33" s="75"/>
      <c r="M33" s="75"/>
      <c r="N33" s="75"/>
    </row>
    <row r="34" spans="1:14" ht="18" customHeight="1">
      <c r="A34" s="74"/>
      <c r="B34" s="75"/>
      <c r="C34" s="75"/>
      <c r="D34" s="74"/>
      <c r="E34" s="75"/>
      <c r="F34" s="75"/>
      <c r="G34" s="75"/>
      <c r="H34" s="75"/>
      <c r="I34" s="75"/>
      <c r="J34" s="74"/>
      <c r="K34" s="75"/>
      <c r="L34" s="75"/>
      <c r="M34" s="75"/>
      <c r="N34" s="75"/>
    </row>
    <row r="35" spans="1:14" ht="18" customHeight="1">
      <c r="A35" s="74"/>
      <c r="B35" s="75"/>
      <c r="C35" s="75"/>
      <c r="D35" s="74"/>
      <c r="E35" s="75"/>
      <c r="F35" s="75"/>
      <c r="G35" s="75"/>
      <c r="H35" s="75"/>
      <c r="I35" s="75"/>
      <c r="J35" s="74"/>
      <c r="K35" s="75"/>
      <c r="L35" s="75"/>
      <c r="M35" s="75"/>
      <c r="N35" s="75"/>
    </row>
    <row r="36" spans="1:14" ht="18" customHeight="1" thickBot="1">
      <c r="A36" s="74"/>
      <c r="B36" s="75"/>
      <c r="C36" s="75"/>
      <c r="D36" s="74"/>
      <c r="E36" s="75"/>
      <c r="F36" s="75"/>
      <c r="G36" s="75"/>
      <c r="H36" s="75"/>
      <c r="I36" s="75"/>
      <c r="J36" s="74"/>
      <c r="K36" s="75"/>
      <c r="L36" s="75"/>
      <c r="M36" s="75"/>
      <c r="N36" s="75"/>
    </row>
    <row r="37" spans="1:14" ht="28.15" customHeight="1">
      <c r="A37" s="303" t="s">
        <v>142</v>
      </c>
      <c r="B37" s="304"/>
      <c r="C37" s="304"/>
      <c r="D37" s="304"/>
      <c r="E37" s="304"/>
      <c r="F37" s="304"/>
      <c r="G37" s="304"/>
      <c r="H37" s="304"/>
      <c r="I37" s="304"/>
      <c r="J37" s="304"/>
      <c r="K37" s="304"/>
      <c r="L37" s="304"/>
      <c r="M37" s="304"/>
      <c r="N37" s="305"/>
    </row>
    <row r="38" spans="1:14" ht="22.15" customHeight="1">
      <c r="A38" s="296" t="s">
        <v>143</v>
      </c>
      <c r="B38" s="284"/>
      <c r="C38" s="284"/>
      <c r="D38" s="284"/>
      <c r="E38" s="284"/>
      <c r="F38" s="284"/>
      <c r="G38" s="284"/>
      <c r="H38" s="284"/>
      <c r="I38" s="284"/>
      <c r="J38" s="284"/>
      <c r="K38" s="284"/>
      <c r="L38" s="284"/>
      <c r="M38" s="284"/>
      <c r="N38" s="297"/>
    </row>
    <row r="39" spans="1:14" ht="22.15" customHeight="1">
      <c r="A39" s="300" t="s">
        <v>144</v>
      </c>
      <c r="B39" s="301"/>
      <c r="C39" s="301"/>
      <c r="D39" s="301"/>
      <c r="E39" s="301"/>
      <c r="F39" s="301"/>
      <c r="G39" s="301"/>
      <c r="H39" s="301"/>
      <c r="I39" s="301"/>
      <c r="J39" s="301"/>
      <c r="K39" s="301"/>
      <c r="L39" s="301"/>
      <c r="M39" s="301"/>
      <c r="N39" s="302"/>
    </row>
    <row r="40" spans="1:14" ht="22.15" customHeight="1">
      <c r="A40" s="310" t="s">
        <v>145</v>
      </c>
      <c r="B40" s="301"/>
      <c r="C40" s="301"/>
      <c r="D40" s="301"/>
      <c r="E40" s="301"/>
      <c r="F40" s="301"/>
      <c r="G40" s="301"/>
      <c r="H40" s="301"/>
      <c r="I40" s="301"/>
      <c r="J40" s="301"/>
      <c r="K40" s="301"/>
      <c r="L40" s="301"/>
      <c r="M40" s="301"/>
      <c r="N40" s="302"/>
    </row>
    <row r="41" spans="1:14" ht="22.15" customHeight="1">
      <c r="A41" s="300" t="s">
        <v>146</v>
      </c>
      <c r="B41" s="301"/>
      <c r="C41" s="301"/>
      <c r="D41" s="301"/>
      <c r="E41" s="301"/>
      <c r="F41" s="301"/>
      <c r="G41" s="301"/>
      <c r="H41" s="301"/>
      <c r="I41" s="301"/>
      <c r="J41" s="301"/>
      <c r="K41" s="301"/>
      <c r="L41" s="301"/>
      <c r="M41" s="301"/>
      <c r="N41" s="302"/>
    </row>
    <row r="42" spans="1:14" ht="22.15" customHeight="1">
      <c r="A42" s="285" t="s">
        <v>147</v>
      </c>
      <c r="B42" s="286"/>
      <c r="C42" s="286"/>
      <c r="D42" s="286"/>
      <c r="E42" s="286"/>
      <c r="F42" s="286"/>
      <c r="G42" s="286"/>
      <c r="H42" s="286"/>
      <c r="I42" s="286"/>
      <c r="J42" s="286"/>
      <c r="K42" s="286"/>
      <c r="L42" s="286"/>
      <c r="M42" s="286"/>
      <c r="N42" s="287"/>
    </row>
    <row r="44" spans="1:14">
      <c r="A44" s="186">
        <f ca="1">NOW()</f>
        <v>46317.027585532407</v>
      </c>
      <c r="B44" s="187" t="s">
        <v>152</v>
      </c>
    </row>
  </sheetData>
  <sheetProtection algorithmName="SHA-512" hashValue="ILmQtsFGncTTuFJUeL372G0/GgeDmNktlzwdzrFV4ZOGrGvYw1FeKhGJFR1lJ2CPgKJVXczaX6QQZfcmch33Nw==" saltValue="vw1b6+MlTwutYeu9lfR1Tg==" spinCount="100000" sheet="1" objects="1" scenarios="1" formatColumns="0" formatRows="0" sort="0" autoFilter="0" pivotTables="0"/>
  <mergeCells count="23">
    <mergeCell ref="A18:N18"/>
    <mergeCell ref="F5:H6"/>
    <mergeCell ref="A40:N40"/>
    <mergeCell ref="A39:N39"/>
    <mergeCell ref="A5:B6"/>
    <mergeCell ref="I5:J6"/>
    <mergeCell ref="C5:E6"/>
    <mergeCell ref="A1:S1"/>
    <mergeCell ref="F4:H4"/>
    <mergeCell ref="K5:L6"/>
    <mergeCell ref="M5:N6"/>
    <mergeCell ref="A42:N42"/>
    <mergeCell ref="O5:P6"/>
    <mergeCell ref="A4:B4"/>
    <mergeCell ref="I4:J4"/>
    <mergeCell ref="M4:N4"/>
    <mergeCell ref="A38:N38"/>
    <mergeCell ref="C4:E4"/>
    <mergeCell ref="K4:L4"/>
    <mergeCell ref="A2:M2"/>
    <mergeCell ref="A41:N41"/>
    <mergeCell ref="A37:N37"/>
    <mergeCell ref="O4:P4"/>
  </mergeCells>
  <conditionalFormatting sqref="B10:B17 I10:I17">
    <cfRule type="expression" dxfId="90" priority="24">
      <formula>B10=0</formula>
    </cfRule>
  </conditionalFormatting>
  <conditionalFormatting sqref="B10:B17">
    <cfRule type="expression" dxfId="89" priority="23">
      <formula>B10&gt;0</formula>
    </cfRule>
  </conditionalFormatting>
  <conditionalFormatting sqref="C10:H17">
    <cfRule type="expression" dxfId="88" priority="5">
      <formula>C10&gt;=1</formula>
    </cfRule>
    <cfRule type="expression" dxfId="87" priority="6">
      <formula>C10=0</formula>
    </cfRule>
  </conditionalFormatting>
  <conditionalFormatting sqref="I5 C5 F5">
    <cfRule type="cellIs" dxfId="86" priority="17" operator="greaterThan">
      <formula>0</formula>
    </cfRule>
  </conditionalFormatting>
  <conditionalFormatting sqref="I5 K5:L6">
    <cfRule type="cellIs" dxfId="85" priority="16" operator="greaterThan">
      <formula>0</formula>
    </cfRule>
  </conditionalFormatting>
  <conditionalFormatting sqref="I10:I17">
    <cfRule type="expression" dxfId="84" priority="20">
      <formula>I10&gt;=1</formula>
    </cfRule>
  </conditionalFormatting>
  <conditionalFormatting sqref="K10:P17">
    <cfRule type="expression" dxfId="83" priority="1">
      <formula>K10&gt;=1</formula>
    </cfRule>
    <cfRule type="expression" dxfId="82" priority="2">
      <formula>K10=0</formula>
    </cfRule>
  </conditionalFormatting>
  <conditionalFormatting sqref="M5:N6">
    <cfRule type="cellIs" dxfId="81" priority="15" operator="greaterThan">
      <formula>0</formula>
    </cfRule>
  </conditionalFormatting>
  <pageMargins left="0.25" right="0.25" top="0.5" bottom="0.5" header="0.5" footer="0.5"/>
  <pageSetup fitToHeight="0" orientation="landscape"/>
  <headerFooter>
    <oddHeader>&amp;C&amp;"Aptos,Bold"&amp;14 Amir Group of Companies - SLT Action Tracker</oddHeader>
    <oddFooter>&amp;CConfidential - Page &amp;P of &amp;N</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tabColor theme="9" tint="-0.249977111117893"/>
    <pageSetUpPr fitToPage="1"/>
  </sheetPr>
  <dimension ref="A1:T105"/>
  <sheetViews>
    <sheetView showGridLines="0" zoomScale="70" zoomScaleNormal="70" workbookViewId="0">
      <pane xSplit="1" ySplit="4" topLeftCell="B5" activePane="bottomRight" state="frozen"/>
      <selection pane="topRight" activeCell="B1" sqref="B1"/>
      <selection pane="bottomLeft" activeCell="A5" sqref="A5"/>
      <selection pane="bottomRight" activeCell="B19" sqref="B19"/>
    </sheetView>
  </sheetViews>
  <sheetFormatPr defaultColWidth="8.81640625" defaultRowHeight="14.5"/>
  <cols>
    <col min="1" max="1" width="19.26953125" style="106" customWidth="1"/>
    <col min="2" max="2" width="36" style="108" customWidth="1"/>
    <col min="3" max="3" width="23" style="106" customWidth="1"/>
    <col min="4" max="4" width="12" style="108" customWidth="1"/>
    <col min="5" max="5" width="50.81640625" style="111" customWidth="1"/>
    <col min="6" max="6" width="21" style="86" customWidth="1"/>
    <col min="7" max="7" width="13" style="106" customWidth="1"/>
    <col min="8" max="8" width="12" style="106" customWidth="1"/>
    <col min="9" max="9" width="4.453125" style="106" customWidth="1"/>
    <col min="10" max="10" width="13" style="106" customWidth="1"/>
    <col min="11" max="11" width="21" style="106" customWidth="1"/>
    <col min="12" max="12" width="17.26953125" style="106" customWidth="1"/>
    <col min="13" max="13" width="18" style="106" customWidth="1"/>
    <col min="14" max="14" width="17.7265625" style="106" customWidth="1"/>
    <col min="15" max="15" width="24.26953125" style="106" customWidth="1"/>
    <col min="16" max="16" width="38.453125" style="106" customWidth="1"/>
    <col min="17" max="18" width="21" style="106" customWidth="1"/>
    <col min="19" max="19" width="19" style="106" hidden="1" customWidth="1"/>
    <col min="20" max="20" width="15" style="106" hidden="1" customWidth="1"/>
    <col min="21" max="21" width="8.81640625" style="106" customWidth="1"/>
    <col min="22" max="16384" width="8.81640625" style="106"/>
  </cols>
  <sheetData>
    <row r="1" spans="1:20" ht="30" customHeight="1">
      <c r="A1" s="352" t="s">
        <v>153</v>
      </c>
      <c r="B1" s="349"/>
      <c r="C1" s="350"/>
      <c r="D1" s="349"/>
      <c r="E1" s="351"/>
      <c r="F1" s="350"/>
      <c r="G1" s="350"/>
      <c r="H1" s="350"/>
      <c r="I1" s="350"/>
      <c r="J1" s="350"/>
      <c r="K1" s="350"/>
      <c r="L1" s="350"/>
      <c r="M1" s="350"/>
      <c r="N1" s="350"/>
      <c r="O1" s="350"/>
      <c r="P1" s="350"/>
      <c r="Q1" s="350"/>
      <c r="R1" s="350"/>
      <c r="S1" s="73"/>
      <c r="T1" s="73"/>
    </row>
    <row r="2" spans="1:20" ht="24" hidden="1" customHeight="1">
      <c r="A2" s="348" t="s">
        <v>154</v>
      </c>
      <c r="B2" s="349"/>
      <c r="C2" s="350"/>
      <c r="D2" s="349"/>
      <c r="E2" s="351"/>
      <c r="F2" s="350"/>
      <c r="G2" s="350"/>
      <c r="H2" s="350"/>
      <c r="I2" s="350"/>
      <c r="J2" s="350"/>
      <c r="K2" s="350"/>
      <c r="L2" s="350"/>
      <c r="M2" s="350"/>
      <c r="N2" s="350"/>
      <c r="O2" s="350"/>
      <c r="P2" s="350"/>
      <c r="Q2" s="350"/>
      <c r="R2" s="350"/>
      <c r="S2" s="73"/>
      <c r="T2" s="73"/>
    </row>
    <row r="3" spans="1:20">
      <c r="A3" s="73"/>
      <c r="B3" s="140"/>
      <c r="C3" s="73"/>
      <c r="D3" s="140"/>
      <c r="E3" s="110"/>
      <c r="F3" s="73"/>
      <c r="G3" s="73"/>
      <c r="H3" s="73"/>
      <c r="I3" s="73"/>
      <c r="J3" s="73"/>
      <c r="K3" s="73"/>
      <c r="L3" s="73"/>
      <c r="M3" s="73"/>
      <c r="N3" s="73"/>
      <c r="O3" s="73"/>
      <c r="P3" s="73"/>
      <c r="Q3" s="73"/>
      <c r="R3" s="73"/>
      <c r="S3" s="73"/>
      <c r="T3" s="73"/>
    </row>
    <row r="4" spans="1:20" ht="51.65" customHeight="1">
      <c r="A4" s="5" t="s">
        <v>155</v>
      </c>
      <c r="B4" s="5" t="s">
        <v>99</v>
      </c>
      <c r="C4" s="5" t="s">
        <v>156</v>
      </c>
      <c r="D4" s="5" t="s">
        <v>100</v>
      </c>
      <c r="E4" s="5" t="s">
        <v>157</v>
      </c>
      <c r="F4" s="5" t="s">
        <v>101</v>
      </c>
      <c r="G4" s="5" t="s">
        <v>102</v>
      </c>
      <c r="H4" s="5" t="s">
        <v>55</v>
      </c>
      <c r="I4" s="5" t="s">
        <v>158</v>
      </c>
      <c r="J4" s="5" t="s">
        <v>159</v>
      </c>
      <c r="K4" s="5" t="s">
        <v>105</v>
      </c>
      <c r="L4" s="5" t="s">
        <v>160</v>
      </c>
      <c r="M4" s="5" t="s">
        <v>161</v>
      </c>
      <c r="N4" s="5" t="s">
        <v>162</v>
      </c>
      <c r="O4" s="5" t="s">
        <v>163</v>
      </c>
      <c r="P4" s="5" t="s">
        <v>164</v>
      </c>
      <c r="Q4" s="5" t="s">
        <v>165</v>
      </c>
      <c r="R4" s="5" t="s">
        <v>166</v>
      </c>
      <c r="S4" s="5" t="s">
        <v>167</v>
      </c>
      <c r="T4" s="5" t="s">
        <v>168</v>
      </c>
    </row>
    <row r="5" spans="1:20" ht="57.65" customHeight="1">
      <c r="A5" s="63" t="str">
        <f t="shared" ref="A5:A48" si="0">IF($B5&lt;&gt;"","SLT-"&amp;TEXT(--RIGHT($S5,4),"0000"),"")</f>
        <v>SLT-0001</v>
      </c>
      <c r="B5" s="58" t="s">
        <v>169</v>
      </c>
      <c r="C5" s="63" t="s">
        <v>170</v>
      </c>
      <c r="D5" s="58" t="s">
        <v>125</v>
      </c>
      <c r="E5" s="234" t="s">
        <v>171</v>
      </c>
      <c r="F5" s="79">
        <v>46254</v>
      </c>
      <c r="G5" s="63" t="s">
        <v>172</v>
      </c>
      <c r="H5" s="63" t="s">
        <v>173</v>
      </c>
      <c r="I5" s="102" t="str">
        <f t="shared" ref="I5:I36" si="1">IF($H5="Critical","⚑",IF($H5="High","⚑",""))</f>
        <v/>
      </c>
      <c r="J5" s="63" t="s">
        <v>173</v>
      </c>
      <c r="K5" s="63" t="s">
        <v>128</v>
      </c>
      <c r="L5" s="63" t="s">
        <v>174</v>
      </c>
      <c r="M5" s="63" t="s">
        <v>175</v>
      </c>
      <c r="N5" s="63" t="s">
        <v>176</v>
      </c>
      <c r="O5" s="63"/>
      <c r="P5" s="63" t="s">
        <v>177</v>
      </c>
      <c r="Q5" s="79">
        <v>46219</v>
      </c>
      <c r="R5" s="79">
        <v>46219</v>
      </c>
      <c r="S5" s="63" t="s">
        <v>178</v>
      </c>
      <c r="T5" s="63" t="str">
        <f t="shared" ref="T5:T36" si="2">IF($B5="","",IF(OR($G5="Completed",$G5="Cancelled",$G5="Deferred"),"INACTIVE","ACTIVE"))</f>
        <v>ACTIVE</v>
      </c>
    </row>
    <row r="6" spans="1:20" ht="111.65" hidden="1" customHeight="1">
      <c r="A6" s="63" t="str">
        <f t="shared" si="0"/>
        <v>SLT-0002</v>
      </c>
      <c r="B6" s="131" t="s">
        <v>179</v>
      </c>
      <c r="C6" s="85" t="s">
        <v>180</v>
      </c>
      <c r="D6" s="131" t="s">
        <v>125</v>
      </c>
      <c r="E6" s="105" t="s">
        <v>181</v>
      </c>
      <c r="F6" s="86">
        <v>46273</v>
      </c>
      <c r="G6" s="85" t="s">
        <v>182</v>
      </c>
      <c r="H6" s="85" t="s">
        <v>183</v>
      </c>
      <c r="I6" s="102" t="str">
        <f t="shared" si="1"/>
        <v>⚑</v>
      </c>
      <c r="J6" s="85" t="s">
        <v>173</v>
      </c>
      <c r="K6" s="85" t="s">
        <v>132</v>
      </c>
      <c r="L6" s="85" t="s">
        <v>184</v>
      </c>
      <c r="M6" s="85" t="s">
        <v>175</v>
      </c>
      <c r="N6" s="85" t="s">
        <v>176</v>
      </c>
      <c r="O6" s="85"/>
      <c r="P6" s="85" t="s">
        <v>185</v>
      </c>
      <c r="Q6" s="86">
        <v>46219</v>
      </c>
      <c r="R6" s="86">
        <v>46226</v>
      </c>
      <c r="S6" s="63" t="s">
        <v>186</v>
      </c>
      <c r="T6" s="63" t="str">
        <f t="shared" si="2"/>
        <v>INACTIVE</v>
      </c>
    </row>
    <row r="7" spans="1:20" ht="61.5" hidden="1" customHeight="1">
      <c r="A7" s="63" t="str">
        <f t="shared" si="0"/>
        <v>SLT-0003</v>
      </c>
      <c r="B7" s="131" t="s">
        <v>187</v>
      </c>
      <c r="C7" s="85" t="s">
        <v>126</v>
      </c>
      <c r="D7" s="131" t="s">
        <v>129</v>
      </c>
      <c r="E7" s="105" t="s">
        <v>188</v>
      </c>
      <c r="F7" s="86">
        <v>46227</v>
      </c>
      <c r="G7" s="85" t="s">
        <v>189</v>
      </c>
      <c r="H7" s="85" t="s">
        <v>190</v>
      </c>
      <c r="I7" s="102" t="str">
        <f t="shared" si="1"/>
        <v/>
      </c>
      <c r="J7" s="85" t="s">
        <v>190</v>
      </c>
      <c r="K7" s="85" t="s">
        <v>126</v>
      </c>
      <c r="L7" s="85" t="s">
        <v>184</v>
      </c>
      <c r="M7" s="85" t="s">
        <v>191</v>
      </c>
      <c r="N7" s="85" t="s">
        <v>192</v>
      </c>
      <c r="O7" s="85" t="s">
        <v>193</v>
      </c>
      <c r="P7" s="85" t="s">
        <v>194</v>
      </c>
      <c r="Q7" s="86">
        <v>46219</v>
      </c>
      <c r="R7" s="86">
        <v>46219</v>
      </c>
      <c r="S7" s="63" t="s">
        <v>195</v>
      </c>
      <c r="T7" s="63" t="str">
        <f t="shared" si="2"/>
        <v>INACTIVE</v>
      </c>
    </row>
    <row r="8" spans="1:20" ht="66.75" customHeight="1">
      <c r="A8" s="63" t="str">
        <f>IF($B8&lt;&gt;"","SLT-"&amp;TEXT(--RIGHT($S8,4),"0000"),"")</f>
        <v>SLT-0004</v>
      </c>
      <c r="B8" s="58" t="s">
        <v>196</v>
      </c>
      <c r="C8" s="63" t="s">
        <v>197</v>
      </c>
      <c r="D8" s="58" t="s">
        <v>135</v>
      </c>
      <c r="E8" s="234" t="s">
        <v>198</v>
      </c>
      <c r="F8" s="79">
        <v>46321</v>
      </c>
      <c r="G8" s="63" t="s">
        <v>172</v>
      </c>
      <c r="H8" s="63" t="s">
        <v>173</v>
      </c>
      <c r="I8" s="102" t="str">
        <f t="shared" si="1"/>
        <v/>
      </c>
      <c r="J8" s="63" t="s">
        <v>173</v>
      </c>
      <c r="K8" s="63" t="s">
        <v>128</v>
      </c>
      <c r="L8" s="63" t="s">
        <v>184</v>
      </c>
      <c r="M8" s="63" t="s">
        <v>175</v>
      </c>
      <c r="N8" s="63" t="s">
        <v>176</v>
      </c>
      <c r="O8" s="63"/>
      <c r="P8" s="63" t="s">
        <v>199</v>
      </c>
      <c r="Q8" s="79">
        <v>46219</v>
      </c>
      <c r="R8" s="79">
        <v>46219</v>
      </c>
      <c r="S8" s="63" t="s">
        <v>200</v>
      </c>
      <c r="T8" s="63" t="str">
        <f t="shared" si="2"/>
        <v>ACTIVE</v>
      </c>
    </row>
    <row r="9" spans="1:20" ht="44.5" hidden="1" customHeight="1">
      <c r="A9" s="63" t="str">
        <f t="shared" si="0"/>
        <v>SLT-0005</v>
      </c>
      <c r="B9" s="131" t="s">
        <v>201</v>
      </c>
      <c r="C9" s="85" t="s">
        <v>202</v>
      </c>
      <c r="D9" s="131" t="s">
        <v>127</v>
      </c>
      <c r="E9" s="105" t="s">
        <v>203</v>
      </c>
      <c r="F9" s="86">
        <v>46225</v>
      </c>
      <c r="G9" s="85" t="s">
        <v>182</v>
      </c>
      <c r="H9" s="85" t="s">
        <v>183</v>
      </c>
      <c r="I9" s="102" t="str">
        <f t="shared" si="1"/>
        <v>⚑</v>
      </c>
      <c r="J9" s="85" t="s">
        <v>183</v>
      </c>
      <c r="K9" s="85" t="s">
        <v>130</v>
      </c>
      <c r="L9" s="85" t="s">
        <v>184</v>
      </c>
      <c r="M9" s="85" t="s">
        <v>204</v>
      </c>
      <c r="N9" s="85" t="s">
        <v>176</v>
      </c>
      <c r="O9" s="85"/>
      <c r="P9" s="85" t="s">
        <v>205</v>
      </c>
      <c r="Q9" s="86">
        <v>46219</v>
      </c>
      <c r="R9" s="86">
        <v>46219</v>
      </c>
      <c r="S9" s="63" t="s">
        <v>206</v>
      </c>
      <c r="T9" s="63" t="str">
        <f t="shared" si="2"/>
        <v>INACTIVE</v>
      </c>
    </row>
    <row r="10" spans="1:20" ht="59.5" hidden="1" customHeight="1">
      <c r="A10" s="63" t="str">
        <f t="shared" si="0"/>
        <v>SLT-0006</v>
      </c>
      <c r="B10" s="131" t="s">
        <v>207</v>
      </c>
      <c r="C10" s="85" t="s">
        <v>197</v>
      </c>
      <c r="D10" s="131" t="s">
        <v>137</v>
      </c>
      <c r="E10" s="105" t="s">
        <v>208</v>
      </c>
      <c r="F10" s="86">
        <v>46225</v>
      </c>
      <c r="G10" s="85" t="s">
        <v>182</v>
      </c>
      <c r="H10" s="85" t="s">
        <v>183</v>
      </c>
      <c r="I10" s="102" t="str">
        <f t="shared" si="1"/>
        <v>⚑</v>
      </c>
      <c r="J10" s="85" t="s">
        <v>173</v>
      </c>
      <c r="K10" s="85" t="s">
        <v>128</v>
      </c>
      <c r="L10" s="85" t="s">
        <v>184</v>
      </c>
      <c r="M10" s="85" t="s">
        <v>175</v>
      </c>
      <c r="N10" s="85" t="s">
        <v>176</v>
      </c>
      <c r="O10" s="85"/>
      <c r="P10" s="85" t="s">
        <v>209</v>
      </c>
      <c r="Q10" s="86">
        <v>46219</v>
      </c>
      <c r="R10" s="86">
        <v>46219</v>
      </c>
      <c r="S10" s="63" t="s">
        <v>210</v>
      </c>
      <c r="T10" s="63" t="str">
        <f t="shared" si="2"/>
        <v>INACTIVE</v>
      </c>
    </row>
    <row r="11" spans="1:20" ht="120.65" hidden="1" customHeight="1">
      <c r="A11" s="63" t="str">
        <f t="shared" si="0"/>
        <v>SLT-0007</v>
      </c>
      <c r="B11" s="131" t="s">
        <v>211</v>
      </c>
      <c r="C11" s="85" t="s">
        <v>126</v>
      </c>
      <c r="D11" s="131" t="s">
        <v>131</v>
      </c>
      <c r="E11" s="105" t="s">
        <v>212</v>
      </c>
      <c r="F11" s="86">
        <v>46251</v>
      </c>
      <c r="G11" s="85" t="s">
        <v>182</v>
      </c>
      <c r="H11" s="85" t="s">
        <v>183</v>
      </c>
      <c r="I11" s="107" t="str">
        <f t="shared" si="1"/>
        <v>⚑</v>
      </c>
      <c r="J11" s="85" t="s">
        <v>183</v>
      </c>
      <c r="K11" s="85" t="s">
        <v>126</v>
      </c>
      <c r="L11" s="85" t="s">
        <v>184</v>
      </c>
      <c r="M11" s="85" t="s">
        <v>175</v>
      </c>
      <c r="N11" s="85" t="s">
        <v>192</v>
      </c>
      <c r="O11" s="85"/>
      <c r="P11" s="105" t="s">
        <v>213</v>
      </c>
      <c r="Q11" s="86">
        <v>46225</v>
      </c>
      <c r="R11" s="86">
        <v>46226</v>
      </c>
      <c r="S11" s="63" t="s">
        <v>214</v>
      </c>
      <c r="T11" s="63" t="str">
        <f t="shared" si="2"/>
        <v>INACTIVE</v>
      </c>
    </row>
    <row r="12" spans="1:20" ht="63" customHeight="1">
      <c r="A12" s="63" t="str">
        <f t="shared" si="0"/>
        <v>SLT-0008</v>
      </c>
      <c r="B12" s="58" t="s">
        <v>215</v>
      </c>
      <c r="C12" s="63" t="s">
        <v>132</v>
      </c>
      <c r="D12" s="58" t="s">
        <v>216</v>
      </c>
      <c r="E12" s="234" t="s">
        <v>217</v>
      </c>
      <c r="F12" s="79">
        <v>46314</v>
      </c>
      <c r="G12" s="63" t="s">
        <v>172</v>
      </c>
      <c r="H12" s="63" t="s">
        <v>173</v>
      </c>
      <c r="I12" s="107" t="str">
        <f t="shared" si="1"/>
        <v/>
      </c>
      <c r="J12" s="63" t="s">
        <v>173</v>
      </c>
      <c r="K12" s="63" t="s">
        <v>132</v>
      </c>
      <c r="L12" s="63" t="s">
        <v>174</v>
      </c>
      <c r="M12" s="63" t="s">
        <v>175</v>
      </c>
      <c r="N12" s="63" t="s">
        <v>176</v>
      </c>
      <c r="O12" s="63"/>
      <c r="P12" s="63"/>
      <c r="Q12" s="79">
        <v>46226</v>
      </c>
      <c r="R12" s="79">
        <v>46226</v>
      </c>
      <c r="S12" s="63" t="s">
        <v>218</v>
      </c>
      <c r="T12" s="63" t="str">
        <f t="shared" si="2"/>
        <v>ACTIVE</v>
      </c>
    </row>
    <row r="13" spans="1:20" ht="63" hidden="1" customHeight="1">
      <c r="A13" s="63" t="str">
        <f t="shared" si="0"/>
        <v>SLT-0009</v>
      </c>
      <c r="B13" s="131" t="s">
        <v>219</v>
      </c>
      <c r="C13" s="85" t="s">
        <v>132</v>
      </c>
      <c r="D13" s="131" t="s">
        <v>125</v>
      </c>
      <c r="E13" s="105" t="s">
        <v>220</v>
      </c>
      <c r="F13" s="86">
        <v>46230</v>
      </c>
      <c r="G13" s="85" t="s">
        <v>182</v>
      </c>
      <c r="H13" s="85" t="s">
        <v>183</v>
      </c>
      <c r="I13" s="107" t="str">
        <f t="shared" si="1"/>
        <v>⚑</v>
      </c>
      <c r="J13" s="85" t="s">
        <v>183</v>
      </c>
      <c r="K13" s="85" t="s">
        <v>132</v>
      </c>
      <c r="L13" s="85" t="s">
        <v>184</v>
      </c>
      <c r="M13" s="85" t="s">
        <v>175</v>
      </c>
      <c r="N13" s="85" t="s">
        <v>192</v>
      </c>
      <c r="O13" s="85"/>
      <c r="P13" s="85"/>
      <c r="Q13" s="86">
        <v>46226</v>
      </c>
      <c r="R13" s="86">
        <v>46226</v>
      </c>
      <c r="S13" s="63" t="s">
        <v>221</v>
      </c>
      <c r="T13" s="63" t="str">
        <f t="shared" si="2"/>
        <v>INACTIVE</v>
      </c>
    </row>
    <row r="14" spans="1:20" ht="91.9" hidden="1" customHeight="1">
      <c r="A14" s="63" t="str">
        <f t="shared" si="0"/>
        <v>SLT-0010</v>
      </c>
      <c r="B14" s="131" t="s">
        <v>222</v>
      </c>
      <c r="C14" s="85" t="s">
        <v>132</v>
      </c>
      <c r="D14" s="131" t="s">
        <v>131</v>
      </c>
      <c r="E14" s="105" t="s">
        <v>223</v>
      </c>
      <c r="F14" s="86">
        <v>46262</v>
      </c>
      <c r="G14" s="85" t="s">
        <v>182</v>
      </c>
      <c r="H14" s="85" t="s">
        <v>173</v>
      </c>
      <c r="I14" s="107" t="str">
        <f t="shared" si="1"/>
        <v/>
      </c>
      <c r="J14" s="85" t="s">
        <v>173</v>
      </c>
      <c r="K14" s="85" t="s">
        <v>224</v>
      </c>
      <c r="L14" s="85" t="s">
        <v>174</v>
      </c>
      <c r="M14" s="85" t="s">
        <v>175</v>
      </c>
      <c r="N14" s="85" t="s">
        <v>176</v>
      </c>
      <c r="O14" s="85"/>
      <c r="P14" s="85" t="s">
        <v>225</v>
      </c>
      <c r="Q14" s="86">
        <v>46226</v>
      </c>
      <c r="R14" s="86">
        <v>46226</v>
      </c>
      <c r="S14" s="63" t="s">
        <v>226</v>
      </c>
      <c r="T14" s="63" t="str">
        <f t="shared" si="2"/>
        <v>INACTIVE</v>
      </c>
    </row>
    <row r="15" spans="1:20" ht="94.5" customHeight="1">
      <c r="A15" s="63" t="str">
        <f t="shared" si="0"/>
        <v>SLT-0011</v>
      </c>
      <c r="B15" s="58" t="s">
        <v>227</v>
      </c>
      <c r="C15" s="63" t="s">
        <v>228</v>
      </c>
      <c r="D15" s="58" t="s">
        <v>131</v>
      </c>
      <c r="E15" s="234" t="s">
        <v>229</v>
      </c>
      <c r="F15" s="79">
        <v>46319</v>
      </c>
      <c r="G15" s="63" t="s">
        <v>230</v>
      </c>
      <c r="H15" s="63" t="s">
        <v>173</v>
      </c>
      <c r="I15" s="107" t="str">
        <f t="shared" si="1"/>
        <v/>
      </c>
      <c r="J15" s="63" t="s">
        <v>173</v>
      </c>
      <c r="K15" s="63" t="s">
        <v>138</v>
      </c>
      <c r="L15" s="63" t="s">
        <v>174</v>
      </c>
      <c r="M15" s="63" t="s">
        <v>175</v>
      </c>
      <c r="N15" s="63" t="s">
        <v>192</v>
      </c>
      <c r="O15" s="63"/>
      <c r="P15" s="63" t="s">
        <v>231</v>
      </c>
      <c r="Q15" s="79">
        <v>46226</v>
      </c>
      <c r="R15" s="79">
        <v>46226</v>
      </c>
      <c r="S15" s="63" t="s">
        <v>232</v>
      </c>
      <c r="T15" s="63" t="str">
        <f t="shared" si="2"/>
        <v>ACTIVE</v>
      </c>
    </row>
    <row r="16" spans="1:20" ht="78.75" customHeight="1">
      <c r="A16" s="63" t="str">
        <f t="shared" si="0"/>
        <v>SLT-0012</v>
      </c>
      <c r="B16" s="58" t="s">
        <v>233</v>
      </c>
      <c r="C16" s="63" t="s">
        <v>197</v>
      </c>
      <c r="D16" s="58" t="s">
        <v>127</v>
      </c>
      <c r="E16" s="234" t="s">
        <v>234</v>
      </c>
      <c r="F16" s="79">
        <v>46316</v>
      </c>
      <c r="G16" s="63" t="s">
        <v>172</v>
      </c>
      <c r="H16" s="63" t="s">
        <v>173</v>
      </c>
      <c r="I16" s="107" t="str">
        <f t="shared" si="1"/>
        <v/>
      </c>
      <c r="J16" s="63" t="s">
        <v>173</v>
      </c>
      <c r="K16" s="63" t="s">
        <v>128</v>
      </c>
      <c r="L16" s="63" t="s">
        <v>174</v>
      </c>
      <c r="M16" s="63" t="s">
        <v>175</v>
      </c>
      <c r="N16" s="63" t="s">
        <v>192</v>
      </c>
      <c r="O16" s="63"/>
      <c r="P16" s="63" t="s">
        <v>235</v>
      </c>
      <c r="Q16" s="79">
        <v>46153</v>
      </c>
      <c r="R16" s="79">
        <v>46292</v>
      </c>
      <c r="S16" s="63" t="s">
        <v>236</v>
      </c>
      <c r="T16" s="63" t="str">
        <f t="shared" si="2"/>
        <v>ACTIVE</v>
      </c>
    </row>
    <row r="17" spans="1:20" ht="72" customHeight="1">
      <c r="A17" s="63" t="str">
        <f t="shared" si="0"/>
        <v>SLT-0013</v>
      </c>
      <c r="B17" s="58" t="s">
        <v>237</v>
      </c>
      <c r="C17" s="63" t="s">
        <v>197</v>
      </c>
      <c r="D17" s="58" t="s">
        <v>135</v>
      </c>
      <c r="E17" s="234" t="s">
        <v>238</v>
      </c>
      <c r="F17" s="79">
        <v>46322</v>
      </c>
      <c r="G17" s="63" t="s">
        <v>172</v>
      </c>
      <c r="H17" s="63" t="s">
        <v>173</v>
      </c>
      <c r="I17" s="107" t="str">
        <f t="shared" si="1"/>
        <v/>
      </c>
      <c r="J17" s="63" t="s">
        <v>173</v>
      </c>
      <c r="K17" s="63" t="s">
        <v>128</v>
      </c>
      <c r="L17" s="63" t="s">
        <v>174</v>
      </c>
      <c r="M17" s="63" t="s">
        <v>175</v>
      </c>
      <c r="N17" s="63"/>
      <c r="O17" s="63"/>
      <c r="P17" s="63"/>
      <c r="Q17" s="79">
        <v>46244</v>
      </c>
      <c r="R17" s="79"/>
      <c r="S17" s="63" t="s">
        <v>239</v>
      </c>
      <c r="T17" s="63" t="str">
        <f t="shared" si="2"/>
        <v>ACTIVE</v>
      </c>
    </row>
    <row r="18" spans="1:20" ht="72" customHeight="1">
      <c r="A18" s="63" t="str">
        <f t="shared" si="0"/>
        <v>SLT-0014</v>
      </c>
      <c r="B18" s="58" t="s">
        <v>240</v>
      </c>
      <c r="C18" s="63" t="s">
        <v>132</v>
      </c>
      <c r="D18" s="58" t="s">
        <v>127</v>
      </c>
      <c r="E18" s="234" t="s">
        <v>241</v>
      </c>
      <c r="F18" s="79">
        <v>46451</v>
      </c>
      <c r="G18" s="63" t="s">
        <v>242</v>
      </c>
      <c r="H18" s="63" t="s">
        <v>173</v>
      </c>
      <c r="I18" s="107" t="str">
        <f t="shared" si="1"/>
        <v/>
      </c>
      <c r="J18" s="63" t="s">
        <v>173</v>
      </c>
      <c r="K18" s="63" t="s">
        <v>132</v>
      </c>
      <c r="L18" s="63" t="s">
        <v>174</v>
      </c>
      <c r="M18" s="63" t="s">
        <v>175</v>
      </c>
      <c r="N18" s="63" t="s">
        <v>176</v>
      </c>
      <c r="O18" s="63"/>
      <c r="P18" s="234"/>
      <c r="Q18" s="79">
        <v>46244</v>
      </c>
      <c r="R18" s="79">
        <v>46246</v>
      </c>
      <c r="S18" s="63" t="s">
        <v>243</v>
      </c>
      <c r="T18" s="63" t="str">
        <f t="shared" si="2"/>
        <v>ACTIVE</v>
      </c>
    </row>
    <row r="19" spans="1:20" ht="139.9" customHeight="1">
      <c r="A19" s="63" t="str">
        <f t="shared" si="0"/>
        <v>SLT-0015</v>
      </c>
      <c r="B19" s="58" t="s">
        <v>244</v>
      </c>
      <c r="C19" s="63" t="s">
        <v>245</v>
      </c>
      <c r="D19" s="58" t="s">
        <v>131</v>
      </c>
      <c r="E19" s="234" t="s">
        <v>246</v>
      </c>
      <c r="F19" s="79">
        <v>46322</v>
      </c>
      <c r="G19" s="63" t="s">
        <v>172</v>
      </c>
      <c r="H19" s="63" t="s">
        <v>183</v>
      </c>
      <c r="I19" s="107" t="str">
        <f t="shared" si="1"/>
        <v>⚑</v>
      </c>
      <c r="J19" s="63" t="s">
        <v>183</v>
      </c>
      <c r="K19" s="63" t="s">
        <v>140</v>
      </c>
      <c r="L19" s="63" t="s">
        <v>174</v>
      </c>
      <c r="M19" s="63" t="s">
        <v>175</v>
      </c>
      <c r="N19" s="63" t="s">
        <v>176</v>
      </c>
      <c r="O19" s="63"/>
      <c r="P19" s="234" t="s">
        <v>247</v>
      </c>
      <c r="Q19" s="79">
        <v>46246</v>
      </c>
      <c r="R19" s="79">
        <v>46300</v>
      </c>
      <c r="S19" s="63" t="s">
        <v>248</v>
      </c>
      <c r="T19" s="63" t="str">
        <f t="shared" si="2"/>
        <v>ACTIVE</v>
      </c>
    </row>
    <row r="20" spans="1:20" ht="87" hidden="1" customHeight="1">
      <c r="A20" s="63" t="str">
        <f t="shared" si="0"/>
        <v>SLT-0016</v>
      </c>
      <c r="B20" s="131" t="s">
        <v>249</v>
      </c>
      <c r="C20" s="85" t="s">
        <v>202</v>
      </c>
      <c r="D20" s="131" t="s">
        <v>127</v>
      </c>
      <c r="E20" s="105" t="s">
        <v>250</v>
      </c>
      <c r="F20" s="86">
        <v>46266</v>
      </c>
      <c r="G20" s="85" t="s">
        <v>182</v>
      </c>
      <c r="H20" s="85" t="s">
        <v>183</v>
      </c>
      <c r="I20" s="107" t="str">
        <f t="shared" si="1"/>
        <v>⚑</v>
      </c>
      <c r="J20" s="85" t="s">
        <v>183</v>
      </c>
      <c r="K20" s="85" t="s">
        <v>128</v>
      </c>
      <c r="L20" s="85" t="s">
        <v>174</v>
      </c>
      <c r="M20" s="85" t="s">
        <v>175</v>
      </c>
      <c r="N20" s="85" t="s">
        <v>176</v>
      </c>
      <c r="O20" s="85"/>
      <c r="P20" s="105"/>
      <c r="Q20" s="86">
        <v>46246</v>
      </c>
      <c r="R20" s="86">
        <v>46246</v>
      </c>
      <c r="S20" s="63" t="s">
        <v>251</v>
      </c>
      <c r="T20" s="63" t="str">
        <f t="shared" si="2"/>
        <v>INACTIVE</v>
      </c>
    </row>
    <row r="21" spans="1:20" ht="207" customHeight="1">
      <c r="A21" s="63" t="str">
        <f t="shared" si="0"/>
        <v>SLT-0017</v>
      </c>
      <c r="B21" s="58" t="s">
        <v>252</v>
      </c>
      <c r="C21" s="63" t="s">
        <v>139</v>
      </c>
      <c r="D21" s="58" t="s">
        <v>133</v>
      </c>
      <c r="E21" s="234" t="s">
        <v>253</v>
      </c>
      <c r="F21" s="79">
        <v>46311</v>
      </c>
      <c r="G21" s="63" t="s">
        <v>172</v>
      </c>
      <c r="H21" s="63" t="s">
        <v>173</v>
      </c>
      <c r="I21" s="107" t="str">
        <f t="shared" si="1"/>
        <v/>
      </c>
      <c r="J21" s="63" t="s">
        <v>190</v>
      </c>
      <c r="K21" s="63" t="s">
        <v>139</v>
      </c>
      <c r="L21" s="63" t="s">
        <v>174</v>
      </c>
      <c r="M21" s="63" t="s">
        <v>175</v>
      </c>
      <c r="N21" s="63" t="s">
        <v>176</v>
      </c>
      <c r="O21" s="63"/>
      <c r="P21" s="234"/>
      <c r="Q21" s="79">
        <v>46246</v>
      </c>
      <c r="R21" s="79">
        <v>46246</v>
      </c>
      <c r="S21" s="63" t="s">
        <v>254</v>
      </c>
      <c r="T21" s="63" t="str">
        <f t="shared" si="2"/>
        <v>ACTIVE</v>
      </c>
    </row>
    <row r="22" spans="1:20" ht="66" hidden="1" customHeight="1">
      <c r="A22" s="63" t="str">
        <f t="shared" si="0"/>
        <v>SLT-0018</v>
      </c>
      <c r="B22" s="131" t="s">
        <v>255</v>
      </c>
      <c r="C22" s="85" t="s">
        <v>132</v>
      </c>
      <c r="D22" s="131" t="s">
        <v>129</v>
      </c>
      <c r="E22" s="105" t="s">
        <v>256</v>
      </c>
      <c r="F22" s="86">
        <v>46251</v>
      </c>
      <c r="G22" s="85" t="s">
        <v>182</v>
      </c>
      <c r="H22" s="85" t="s">
        <v>173</v>
      </c>
      <c r="I22" s="107" t="str">
        <f t="shared" si="1"/>
        <v/>
      </c>
      <c r="J22" s="85" t="s">
        <v>173</v>
      </c>
      <c r="K22" s="85" t="s">
        <v>132</v>
      </c>
      <c r="L22" s="85" t="s">
        <v>174</v>
      </c>
      <c r="M22" s="85" t="s">
        <v>175</v>
      </c>
      <c r="N22" s="85" t="s">
        <v>176</v>
      </c>
      <c r="O22" s="85"/>
      <c r="P22" s="105"/>
      <c r="Q22" s="86">
        <v>46246</v>
      </c>
      <c r="R22" s="86">
        <v>46246</v>
      </c>
      <c r="S22" s="63" t="s">
        <v>257</v>
      </c>
      <c r="T22" s="63" t="str">
        <f t="shared" si="2"/>
        <v>INACTIVE</v>
      </c>
    </row>
    <row r="23" spans="1:20" ht="105.75" hidden="1" customHeight="1">
      <c r="A23" s="63" t="str">
        <f t="shared" si="0"/>
        <v>SLT-0019</v>
      </c>
      <c r="B23" s="131" t="s">
        <v>258</v>
      </c>
      <c r="C23" s="85" t="s">
        <v>132</v>
      </c>
      <c r="D23" s="131" t="s">
        <v>129</v>
      </c>
      <c r="E23" s="105" t="s">
        <v>259</v>
      </c>
      <c r="F23" s="86">
        <v>46265</v>
      </c>
      <c r="G23" s="85" t="s">
        <v>189</v>
      </c>
      <c r="H23" s="85" t="s">
        <v>190</v>
      </c>
      <c r="I23" s="107" t="str">
        <f t="shared" si="1"/>
        <v/>
      </c>
      <c r="J23" s="85" t="s">
        <v>190</v>
      </c>
      <c r="K23" s="85" t="s">
        <v>132</v>
      </c>
      <c r="L23" s="85" t="s">
        <v>184</v>
      </c>
      <c r="M23" s="85" t="s">
        <v>175</v>
      </c>
      <c r="N23" s="85" t="s">
        <v>192</v>
      </c>
      <c r="O23" s="85"/>
      <c r="P23" s="105"/>
      <c r="Q23" s="86"/>
      <c r="R23" s="86"/>
      <c r="S23" s="106" t="s">
        <v>260</v>
      </c>
      <c r="T23" s="106" t="str">
        <f t="shared" si="2"/>
        <v>INACTIVE</v>
      </c>
    </row>
    <row r="24" spans="1:20" ht="111" hidden="1" customHeight="1">
      <c r="A24" s="63" t="str">
        <f t="shared" si="0"/>
        <v>SLT-0020</v>
      </c>
      <c r="B24" s="131" t="s">
        <v>261</v>
      </c>
      <c r="C24" s="85" t="s">
        <v>197</v>
      </c>
      <c r="D24" s="131" t="s">
        <v>135</v>
      </c>
      <c r="E24" s="105" t="s">
        <v>262</v>
      </c>
      <c r="F24" s="86">
        <v>46251</v>
      </c>
      <c r="G24" s="85" t="s">
        <v>182</v>
      </c>
      <c r="H24" s="85" t="s">
        <v>173</v>
      </c>
      <c r="I24" s="107" t="str">
        <f>IF($H24="Critical","⚑",IF($H24="High","⚑",""))</f>
        <v/>
      </c>
      <c r="J24" s="85" t="s">
        <v>173</v>
      </c>
      <c r="K24" s="85" t="s">
        <v>128</v>
      </c>
      <c r="L24" s="85" t="s">
        <v>174</v>
      </c>
      <c r="M24" s="85" t="s">
        <v>175</v>
      </c>
      <c r="N24" s="85" t="s">
        <v>176</v>
      </c>
      <c r="O24" s="85"/>
      <c r="P24" s="85" t="s">
        <v>263</v>
      </c>
      <c r="Q24" s="86"/>
      <c r="R24" s="86"/>
      <c r="S24" s="63" t="s">
        <v>264</v>
      </c>
      <c r="T24" s="63" t="str">
        <f t="shared" si="2"/>
        <v>INACTIVE</v>
      </c>
    </row>
    <row r="25" spans="1:20" ht="92.25" customHeight="1">
      <c r="A25" s="63" t="str">
        <f t="shared" si="0"/>
        <v>SLT-0021</v>
      </c>
      <c r="B25" s="58" t="s">
        <v>265</v>
      </c>
      <c r="C25" s="63" t="s">
        <v>197</v>
      </c>
      <c r="D25" s="58" t="s">
        <v>135</v>
      </c>
      <c r="E25" s="234" t="s">
        <v>266</v>
      </c>
      <c r="F25" s="79">
        <v>46321</v>
      </c>
      <c r="G25" s="63" t="s">
        <v>172</v>
      </c>
      <c r="H25" s="63" t="s">
        <v>173</v>
      </c>
      <c r="I25" s="107" t="str">
        <f>IF($H25="Critical","⚑",IF($H25="High","⚑",""))</f>
        <v/>
      </c>
      <c r="J25" s="63" t="s">
        <v>173</v>
      </c>
      <c r="K25" s="63" t="s">
        <v>128</v>
      </c>
      <c r="L25" s="63" t="s">
        <v>174</v>
      </c>
      <c r="M25" s="63" t="s">
        <v>175</v>
      </c>
      <c r="N25" s="63" t="s">
        <v>176</v>
      </c>
      <c r="O25" s="63"/>
      <c r="P25" s="234" t="s">
        <v>267</v>
      </c>
      <c r="Q25" s="79">
        <v>46216</v>
      </c>
      <c r="R25" s="79"/>
      <c r="S25" s="63" t="s">
        <v>268</v>
      </c>
      <c r="T25" s="63" t="str">
        <f t="shared" si="2"/>
        <v>ACTIVE</v>
      </c>
    </row>
    <row r="26" spans="1:20" ht="81.650000000000006" customHeight="1">
      <c r="A26" s="63" t="str">
        <f t="shared" si="0"/>
        <v>SLT-0022</v>
      </c>
      <c r="B26" s="58" t="s">
        <v>269</v>
      </c>
      <c r="C26" s="63" t="s">
        <v>197</v>
      </c>
      <c r="D26" s="58" t="s">
        <v>270</v>
      </c>
      <c r="E26" s="234" t="s">
        <v>271</v>
      </c>
      <c r="F26" s="79">
        <v>46321</v>
      </c>
      <c r="G26" s="63" t="s">
        <v>172</v>
      </c>
      <c r="H26" s="63" t="s">
        <v>173</v>
      </c>
      <c r="I26" s="107" t="str">
        <f t="shared" si="1"/>
        <v/>
      </c>
      <c r="J26" s="63" t="s">
        <v>183</v>
      </c>
      <c r="K26" s="63" t="s">
        <v>126</v>
      </c>
      <c r="L26" s="63" t="s">
        <v>174</v>
      </c>
      <c r="M26" s="63" t="s">
        <v>204</v>
      </c>
      <c r="N26" s="63" t="s">
        <v>272</v>
      </c>
      <c r="O26" s="63"/>
      <c r="P26" s="272" t="s">
        <v>273</v>
      </c>
      <c r="Q26" s="79">
        <v>46258</v>
      </c>
      <c r="R26" s="79">
        <v>46300</v>
      </c>
      <c r="S26" s="63" t="s">
        <v>274</v>
      </c>
      <c r="T26" s="63" t="str">
        <f t="shared" si="2"/>
        <v>ACTIVE</v>
      </c>
    </row>
    <row r="27" spans="1:20" ht="45" hidden="1" customHeight="1">
      <c r="A27" s="63" t="str">
        <f t="shared" si="0"/>
        <v>SLT-0023</v>
      </c>
      <c r="B27" s="131" t="s">
        <v>275</v>
      </c>
      <c r="C27" s="85" t="s">
        <v>276</v>
      </c>
      <c r="D27" s="131" t="s">
        <v>270</v>
      </c>
      <c r="E27" s="105" t="s">
        <v>277</v>
      </c>
      <c r="F27" s="86">
        <v>46293</v>
      </c>
      <c r="G27" s="85" t="s">
        <v>182</v>
      </c>
      <c r="H27" s="85" t="s">
        <v>173</v>
      </c>
      <c r="I27" s="107" t="str">
        <f t="shared" si="1"/>
        <v/>
      </c>
      <c r="J27" s="85" t="s">
        <v>173</v>
      </c>
      <c r="K27" s="85" t="s">
        <v>126</v>
      </c>
      <c r="L27" s="85" t="s">
        <v>174</v>
      </c>
      <c r="M27" s="85" t="s">
        <v>278</v>
      </c>
      <c r="N27" s="85" t="s">
        <v>279</v>
      </c>
      <c r="O27" s="85"/>
      <c r="P27" s="85"/>
      <c r="Q27" s="86"/>
      <c r="R27" s="86"/>
      <c r="S27" s="63" t="s">
        <v>280</v>
      </c>
      <c r="T27" s="63" t="str">
        <f t="shared" si="2"/>
        <v>INACTIVE</v>
      </c>
    </row>
    <row r="28" spans="1:20" ht="112.15" customHeight="1">
      <c r="A28" s="63" t="str">
        <f t="shared" si="0"/>
        <v>SLT-0024</v>
      </c>
      <c r="B28" s="58" t="s">
        <v>281</v>
      </c>
      <c r="C28" s="63" t="s">
        <v>126</v>
      </c>
      <c r="D28" s="58" t="s">
        <v>270</v>
      </c>
      <c r="E28" s="234" t="s">
        <v>282</v>
      </c>
      <c r="F28" s="79">
        <v>46321</v>
      </c>
      <c r="G28" s="63" t="s">
        <v>172</v>
      </c>
      <c r="H28" s="63" t="s">
        <v>190</v>
      </c>
      <c r="I28" s="107" t="str">
        <f t="shared" si="1"/>
        <v/>
      </c>
      <c r="J28" s="63" t="s">
        <v>190</v>
      </c>
      <c r="K28" s="63" t="s">
        <v>126</v>
      </c>
      <c r="L28" s="63" t="s">
        <v>174</v>
      </c>
      <c r="M28" s="63" t="s">
        <v>191</v>
      </c>
      <c r="N28" s="63" t="s">
        <v>272</v>
      </c>
      <c r="O28" s="63"/>
      <c r="P28" s="63" t="s">
        <v>283</v>
      </c>
      <c r="Q28" s="79">
        <v>46258</v>
      </c>
      <c r="R28" s="79"/>
      <c r="S28" s="63" t="s">
        <v>284</v>
      </c>
      <c r="T28" s="63" t="str">
        <f t="shared" si="2"/>
        <v>ACTIVE</v>
      </c>
    </row>
    <row r="29" spans="1:20" ht="91.15" customHeight="1">
      <c r="A29" s="63" t="str">
        <f t="shared" si="0"/>
        <v>SLT-0025</v>
      </c>
      <c r="B29" s="58" t="s">
        <v>285</v>
      </c>
      <c r="C29" s="63" t="s">
        <v>126</v>
      </c>
      <c r="D29" s="58" t="s">
        <v>270</v>
      </c>
      <c r="E29" s="234" t="s">
        <v>286</v>
      </c>
      <c r="F29" s="79">
        <v>46321</v>
      </c>
      <c r="G29" s="63" t="s">
        <v>242</v>
      </c>
      <c r="H29" s="63" t="s">
        <v>183</v>
      </c>
      <c r="I29" s="107" t="str">
        <f t="shared" si="1"/>
        <v>⚑</v>
      </c>
      <c r="J29" s="63" t="s">
        <v>183</v>
      </c>
      <c r="K29" s="63" t="s">
        <v>126</v>
      </c>
      <c r="L29" s="63" t="s">
        <v>174</v>
      </c>
      <c r="M29" s="63" t="s">
        <v>191</v>
      </c>
      <c r="N29" s="63" t="s">
        <v>192</v>
      </c>
      <c r="O29" s="63"/>
      <c r="P29" s="63" t="s">
        <v>287</v>
      </c>
      <c r="Q29" s="79">
        <v>46258</v>
      </c>
      <c r="R29" s="79"/>
      <c r="S29" s="63" t="s">
        <v>288</v>
      </c>
      <c r="T29" s="63" t="str">
        <f t="shared" si="2"/>
        <v>ACTIVE</v>
      </c>
    </row>
    <row r="30" spans="1:20" ht="98.25" customHeight="1">
      <c r="A30" s="63" t="str">
        <f t="shared" si="0"/>
        <v>SLT-0026</v>
      </c>
      <c r="B30" s="58" t="s">
        <v>289</v>
      </c>
      <c r="C30" s="63" t="s">
        <v>126</v>
      </c>
      <c r="D30" s="58" t="s">
        <v>270</v>
      </c>
      <c r="E30" s="234" t="s">
        <v>290</v>
      </c>
      <c r="F30" s="79">
        <v>46321</v>
      </c>
      <c r="G30" s="63" t="s">
        <v>242</v>
      </c>
      <c r="H30" s="63" t="s">
        <v>173</v>
      </c>
      <c r="I30" s="107" t="str">
        <f t="shared" si="1"/>
        <v/>
      </c>
      <c r="J30" s="63" t="s">
        <v>173</v>
      </c>
      <c r="K30" s="63" t="s">
        <v>126</v>
      </c>
      <c r="L30" s="63" t="s">
        <v>174</v>
      </c>
      <c r="M30" s="63" t="s">
        <v>175</v>
      </c>
      <c r="N30" s="63" t="s">
        <v>192</v>
      </c>
      <c r="O30" s="63"/>
      <c r="P30" s="63"/>
      <c r="Q30" s="79">
        <v>46258</v>
      </c>
      <c r="R30" s="79"/>
      <c r="S30" s="63" t="s">
        <v>291</v>
      </c>
      <c r="T30" s="63" t="str">
        <f t="shared" si="2"/>
        <v>ACTIVE</v>
      </c>
    </row>
    <row r="31" spans="1:20" ht="85.15" hidden="1" customHeight="1">
      <c r="A31" s="63" t="str">
        <f t="shared" si="0"/>
        <v>SLT-0027</v>
      </c>
      <c r="B31" s="131" t="s">
        <v>292</v>
      </c>
      <c r="C31" s="85" t="s">
        <v>132</v>
      </c>
      <c r="D31" s="131" t="s">
        <v>125</v>
      </c>
      <c r="E31" s="105" t="s">
        <v>293</v>
      </c>
      <c r="F31" s="86">
        <v>46300</v>
      </c>
      <c r="G31" s="85" t="s">
        <v>182</v>
      </c>
      <c r="H31" s="85" t="s">
        <v>173</v>
      </c>
      <c r="I31" s="107" t="str">
        <f t="shared" si="1"/>
        <v/>
      </c>
      <c r="J31" s="85" t="s">
        <v>173</v>
      </c>
      <c r="K31" s="85" t="s">
        <v>132</v>
      </c>
      <c r="L31" s="85" t="s">
        <v>174</v>
      </c>
      <c r="M31" s="85" t="s">
        <v>175</v>
      </c>
      <c r="N31" s="85" t="s">
        <v>176</v>
      </c>
      <c r="O31" s="85"/>
      <c r="P31" s="85"/>
      <c r="Q31" s="86">
        <v>46251</v>
      </c>
      <c r="R31" s="86">
        <v>46289</v>
      </c>
      <c r="S31" s="63" t="s">
        <v>294</v>
      </c>
      <c r="T31" s="63" t="str">
        <f t="shared" si="2"/>
        <v>INACTIVE</v>
      </c>
    </row>
    <row r="32" spans="1:20" ht="45" hidden="1" customHeight="1">
      <c r="A32" s="63" t="str">
        <f t="shared" si="0"/>
        <v>SLT-0028</v>
      </c>
      <c r="B32" s="131" t="s">
        <v>295</v>
      </c>
      <c r="C32" s="85" t="s">
        <v>132</v>
      </c>
      <c r="D32" s="131" t="s">
        <v>129</v>
      </c>
      <c r="E32" s="105" t="s">
        <v>296</v>
      </c>
      <c r="F32" s="86">
        <v>46258</v>
      </c>
      <c r="G32" s="85" t="s">
        <v>182</v>
      </c>
      <c r="H32" s="85" t="s">
        <v>173</v>
      </c>
      <c r="I32" s="107" t="str">
        <f t="shared" si="1"/>
        <v/>
      </c>
      <c r="J32" s="85" t="s">
        <v>173</v>
      </c>
      <c r="K32" s="85" t="s">
        <v>132</v>
      </c>
      <c r="L32" s="85" t="s">
        <v>174</v>
      </c>
      <c r="M32" s="85" t="s">
        <v>175</v>
      </c>
      <c r="N32" s="85" t="s">
        <v>176</v>
      </c>
      <c r="O32" s="85"/>
      <c r="P32" s="85"/>
      <c r="Q32" s="86"/>
      <c r="R32" s="86"/>
      <c r="S32" s="63" t="s">
        <v>297</v>
      </c>
      <c r="T32" s="63" t="str">
        <f t="shared" si="2"/>
        <v>INACTIVE</v>
      </c>
    </row>
    <row r="33" spans="1:20" ht="43.5" customHeight="1">
      <c r="A33" s="63" t="str">
        <f t="shared" si="0"/>
        <v>SLT-0029</v>
      </c>
      <c r="B33" s="58" t="s">
        <v>298</v>
      </c>
      <c r="C33" s="63" t="s">
        <v>202</v>
      </c>
      <c r="D33" s="58" t="s">
        <v>127</v>
      </c>
      <c r="E33" s="234" t="s">
        <v>299</v>
      </c>
      <c r="F33" s="79">
        <v>46310</v>
      </c>
      <c r="G33" s="79" t="s">
        <v>172</v>
      </c>
      <c r="H33" s="63" t="s">
        <v>173</v>
      </c>
      <c r="I33" s="107"/>
      <c r="J33" s="63" t="s">
        <v>173</v>
      </c>
      <c r="K33" s="63" t="s">
        <v>128</v>
      </c>
      <c r="L33" s="63" t="s">
        <v>174</v>
      </c>
      <c r="M33" s="63" t="s">
        <v>175</v>
      </c>
      <c r="N33" s="63" t="s">
        <v>176</v>
      </c>
      <c r="O33" s="63"/>
      <c r="P33" s="63"/>
      <c r="Q33" s="79">
        <v>46230</v>
      </c>
      <c r="R33" s="79"/>
      <c r="S33" s="63" t="s">
        <v>300</v>
      </c>
      <c r="T33" s="63" t="str">
        <f t="shared" si="2"/>
        <v>ACTIVE</v>
      </c>
    </row>
    <row r="34" spans="1:20" ht="120" hidden="1" customHeight="1">
      <c r="A34" s="63" t="str">
        <f t="shared" si="0"/>
        <v>SLT-0030</v>
      </c>
      <c r="B34" s="131" t="s">
        <v>301</v>
      </c>
      <c r="C34" s="85" t="s">
        <v>302</v>
      </c>
      <c r="D34" s="131" t="s">
        <v>133</v>
      </c>
      <c r="E34" s="105" t="s">
        <v>303</v>
      </c>
      <c r="F34" s="86">
        <v>46279</v>
      </c>
      <c r="G34" s="85" t="s">
        <v>182</v>
      </c>
      <c r="H34" s="85" t="s">
        <v>173</v>
      </c>
      <c r="I34" s="107"/>
      <c r="J34" s="85" t="s">
        <v>173</v>
      </c>
      <c r="K34" s="85" t="s">
        <v>128</v>
      </c>
      <c r="L34" s="85" t="s">
        <v>174</v>
      </c>
      <c r="M34" s="85" t="s">
        <v>191</v>
      </c>
      <c r="N34" s="85"/>
      <c r="O34" s="85"/>
      <c r="P34" s="85" t="s">
        <v>304</v>
      </c>
      <c r="Q34" s="86">
        <v>46258</v>
      </c>
      <c r="R34" s="86">
        <v>46292</v>
      </c>
      <c r="S34" s="63" t="s">
        <v>305</v>
      </c>
      <c r="T34" s="63" t="str">
        <f t="shared" si="2"/>
        <v>INACTIVE</v>
      </c>
    </row>
    <row r="35" spans="1:20" ht="69.75" hidden="1" customHeight="1">
      <c r="A35" s="63" t="str">
        <f t="shared" si="0"/>
        <v>SLT-0031</v>
      </c>
      <c r="B35" s="131" t="s">
        <v>306</v>
      </c>
      <c r="C35" s="85" t="s">
        <v>170</v>
      </c>
      <c r="D35" s="131" t="s">
        <v>129</v>
      </c>
      <c r="E35" s="105" t="s">
        <v>307</v>
      </c>
      <c r="F35" s="86">
        <v>46251</v>
      </c>
      <c r="G35" s="85" t="s">
        <v>182</v>
      </c>
      <c r="H35" s="85" t="s">
        <v>183</v>
      </c>
      <c r="I35" s="107" t="str">
        <f t="shared" si="1"/>
        <v>⚑</v>
      </c>
      <c r="J35" s="85" t="s">
        <v>183</v>
      </c>
      <c r="K35" s="85" t="s">
        <v>126</v>
      </c>
      <c r="L35" s="85" t="s">
        <v>174</v>
      </c>
      <c r="M35" s="85" t="s">
        <v>175</v>
      </c>
      <c r="N35" s="85" t="s">
        <v>308</v>
      </c>
      <c r="O35" s="85"/>
      <c r="P35" s="85" t="s">
        <v>309</v>
      </c>
      <c r="Q35" s="86">
        <v>46244</v>
      </c>
      <c r="R35" s="86">
        <v>46251</v>
      </c>
      <c r="S35" s="63" t="s">
        <v>310</v>
      </c>
      <c r="T35" s="63" t="str">
        <f t="shared" si="2"/>
        <v>INACTIVE</v>
      </c>
    </row>
    <row r="36" spans="1:20" ht="38.25" hidden="1" customHeight="1">
      <c r="A36" s="63" t="str">
        <f t="shared" si="0"/>
        <v>SLT-0032</v>
      </c>
      <c r="B36" s="131" t="s">
        <v>311</v>
      </c>
      <c r="C36" s="85" t="s">
        <v>170</v>
      </c>
      <c r="D36" s="131" t="s">
        <v>129</v>
      </c>
      <c r="E36" s="105" t="s">
        <v>296</v>
      </c>
      <c r="F36" s="86">
        <v>46258</v>
      </c>
      <c r="G36" s="85" t="s">
        <v>182</v>
      </c>
      <c r="H36" s="85" t="s">
        <v>173</v>
      </c>
      <c r="I36" s="107" t="str">
        <f t="shared" si="1"/>
        <v/>
      </c>
      <c r="J36" s="85" t="s">
        <v>173</v>
      </c>
      <c r="K36" s="85" t="s">
        <v>134</v>
      </c>
      <c r="L36" s="85" t="s">
        <v>174</v>
      </c>
      <c r="M36" s="85" t="s">
        <v>175</v>
      </c>
      <c r="N36" s="85" t="s">
        <v>176</v>
      </c>
      <c r="O36" s="85"/>
      <c r="P36" s="85" t="s">
        <v>312</v>
      </c>
      <c r="Q36" s="86">
        <v>46251</v>
      </c>
      <c r="R36" s="86">
        <v>46258</v>
      </c>
      <c r="S36" s="63" t="s">
        <v>313</v>
      </c>
      <c r="T36" s="63" t="str">
        <f t="shared" si="2"/>
        <v>INACTIVE</v>
      </c>
    </row>
    <row r="37" spans="1:20" ht="30.75" hidden="1" customHeight="1">
      <c r="A37" s="63" t="str">
        <f t="shared" si="0"/>
        <v>SLT-0033</v>
      </c>
      <c r="B37" s="131" t="s">
        <v>314</v>
      </c>
      <c r="C37" s="85" t="s">
        <v>132</v>
      </c>
      <c r="D37" s="131"/>
      <c r="E37" s="105" t="s">
        <v>315</v>
      </c>
      <c r="F37" s="86">
        <v>46287</v>
      </c>
      <c r="G37" s="85" t="s">
        <v>182</v>
      </c>
      <c r="H37" s="85" t="s">
        <v>183</v>
      </c>
      <c r="I37" s="107" t="str">
        <f t="shared" ref="I37:I68" si="3">IF($H37="Critical","⚑",IF($H37="High","⚑",""))</f>
        <v>⚑</v>
      </c>
      <c r="J37" s="85" t="s">
        <v>183</v>
      </c>
      <c r="K37" s="85" t="s">
        <v>132</v>
      </c>
      <c r="L37" s="85" t="s">
        <v>174</v>
      </c>
      <c r="M37" s="85"/>
      <c r="N37" s="85"/>
      <c r="O37" s="85"/>
      <c r="P37" s="85" t="s">
        <v>316</v>
      </c>
      <c r="Q37" s="86">
        <v>46265</v>
      </c>
      <c r="R37" s="86">
        <v>46288</v>
      </c>
      <c r="S37" s="63" t="s">
        <v>317</v>
      </c>
      <c r="T37" s="63" t="str">
        <f t="shared" ref="T37:T68" si="4">IF($B37="","",IF(OR($G37="Completed",$G37="Cancelled",$G37="Deferred"),"INACTIVE","ACTIVE"))</f>
        <v>INACTIVE</v>
      </c>
    </row>
    <row r="38" spans="1:20" ht="168.75" hidden="1" customHeight="1">
      <c r="A38" s="63" t="str">
        <f t="shared" si="0"/>
        <v>SLT-0034</v>
      </c>
      <c r="B38" s="131" t="s">
        <v>318</v>
      </c>
      <c r="C38" s="85"/>
      <c r="D38" s="131" t="s">
        <v>127</v>
      </c>
      <c r="E38" s="105" t="s">
        <v>319</v>
      </c>
      <c r="F38" s="86">
        <v>46269</v>
      </c>
      <c r="G38" s="85" t="s">
        <v>182</v>
      </c>
      <c r="H38" s="85" t="s">
        <v>183</v>
      </c>
      <c r="I38" s="107" t="str">
        <f t="shared" si="3"/>
        <v>⚑</v>
      </c>
      <c r="J38" s="85" t="s">
        <v>183</v>
      </c>
      <c r="K38" s="85" t="s">
        <v>132</v>
      </c>
      <c r="L38" s="85" t="s">
        <v>174</v>
      </c>
      <c r="M38" s="85"/>
      <c r="N38" s="85"/>
      <c r="O38" s="85"/>
      <c r="P38" s="85" t="s">
        <v>320</v>
      </c>
      <c r="Q38" s="86">
        <v>46265</v>
      </c>
      <c r="R38" s="86">
        <v>46280</v>
      </c>
      <c r="S38" s="63" t="s">
        <v>321</v>
      </c>
      <c r="T38" s="63" t="str">
        <f t="shared" si="4"/>
        <v>INACTIVE</v>
      </c>
    </row>
    <row r="39" spans="1:20" ht="129.75" customHeight="1">
      <c r="A39" s="63" t="str">
        <f t="shared" si="0"/>
        <v>SLT-0035</v>
      </c>
      <c r="B39" s="58" t="s">
        <v>322</v>
      </c>
      <c r="C39" s="63" t="s">
        <v>170</v>
      </c>
      <c r="D39" s="58" t="s">
        <v>125</v>
      </c>
      <c r="E39" s="234" t="s">
        <v>323</v>
      </c>
      <c r="F39" s="79">
        <v>46308</v>
      </c>
      <c r="G39" s="63" t="s">
        <v>172</v>
      </c>
      <c r="H39" s="63" t="s">
        <v>183</v>
      </c>
      <c r="I39" s="107" t="str">
        <f t="shared" si="3"/>
        <v>⚑</v>
      </c>
      <c r="J39" s="63" t="s">
        <v>173</v>
      </c>
      <c r="K39" s="63" t="s">
        <v>132</v>
      </c>
      <c r="L39" s="63" t="s">
        <v>174</v>
      </c>
      <c r="M39" s="63" t="s">
        <v>278</v>
      </c>
      <c r="N39" s="63" t="s">
        <v>176</v>
      </c>
      <c r="O39" s="63"/>
      <c r="P39" s="63"/>
      <c r="Q39" s="79">
        <v>46223</v>
      </c>
      <c r="R39" s="79">
        <v>46292</v>
      </c>
      <c r="S39" s="63" t="s">
        <v>324</v>
      </c>
      <c r="T39" s="63" t="str">
        <f t="shared" si="4"/>
        <v>ACTIVE</v>
      </c>
    </row>
    <row r="40" spans="1:20" ht="137.25" customHeight="1">
      <c r="A40" s="63" t="str">
        <f t="shared" si="0"/>
        <v>SLT-0036</v>
      </c>
      <c r="B40" s="58" t="s">
        <v>325</v>
      </c>
      <c r="C40" s="63" t="s">
        <v>202</v>
      </c>
      <c r="D40" s="58" t="s">
        <v>127</v>
      </c>
      <c r="E40" s="234" t="s">
        <v>326</v>
      </c>
      <c r="F40" s="79">
        <v>46307</v>
      </c>
      <c r="G40" s="63" t="s">
        <v>172</v>
      </c>
      <c r="H40" s="63" t="s">
        <v>183</v>
      </c>
      <c r="I40" s="107" t="str">
        <f t="shared" si="3"/>
        <v>⚑</v>
      </c>
      <c r="J40" s="63" t="s">
        <v>173</v>
      </c>
      <c r="K40" s="63" t="s">
        <v>130</v>
      </c>
      <c r="L40" s="63" t="s">
        <v>174</v>
      </c>
      <c r="M40" s="63" t="s">
        <v>191</v>
      </c>
      <c r="N40" s="63"/>
      <c r="O40" s="63"/>
      <c r="P40" s="63"/>
      <c r="Q40" s="79">
        <v>46286</v>
      </c>
      <c r="R40" s="79">
        <v>46292</v>
      </c>
      <c r="S40" s="63" t="s">
        <v>327</v>
      </c>
      <c r="T40" s="63" t="str">
        <f t="shared" si="4"/>
        <v>ACTIVE</v>
      </c>
    </row>
    <row r="41" spans="1:20" ht="72.75" hidden="1" customHeight="1">
      <c r="A41" s="63" t="str">
        <f t="shared" si="0"/>
        <v>SLT-0037</v>
      </c>
      <c r="B41" s="131" t="s">
        <v>328</v>
      </c>
      <c r="C41" s="85" t="s">
        <v>202</v>
      </c>
      <c r="D41" s="131" t="s">
        <v>127</v>
      </c>
      <c r="E41" s="105" t="s">
        <v>329</v>
      </c>
      <c r="F41" s="86">
        <v>46296</v>
      </c>
      <c r="G41" s="85" t="s">
        <v>182</v>
      </c>
      <c r="H41" s="85" t="s">
        <v>173</v>
      </c>
      <c r="I41" s="107" t="str">
        <f t="shared" si="3"/>
        <v/>
      </c>
      <c r="J41" s="85" t="s">
        <v>173</v>
      </c>
      <c r="K41" s="85" t="s">
        <v>139</v>
      </c>
      <c r="L41" s="85" t="s">
        <v>174</v>
      </c>
      <c r="M41" s="85"/>
      <c r="N41" s="85"/>
      <c r="O41" s="85"/>
      <c r="P41" s="85" t="s">
        <v>330</v>
      </c>
      <c r="Q41" s="86">
        <v>46286</v>
      </c>
      <c r="R41" s="86">
        <v>46292</v>
      </c>
      <c r="S41" s="63" t="s">
        <v>331</v>
      </c>
      <c r="T41" s="63" t="str">
        <f t="shared" si="4"/>
        <v>INACTIVE</v>
      </c>
    </row>
    <row r="42" spans="1:20" ht="60" hidden="1" customHeight="1">
      <c r="A42" s="63" t="str">
        <f t="shared" si="0"/>
        <v>SLT-0038</v>
      </c>
      <c r="B42" s="131" t="s">
        <v>332</v>
      </c>
      <c r="C42" s="85" t="s">
        <v>139</v>
      </c>
      <c r="D42" s="131" t="s">
        <v>137</v>
      </c>
      <c r="E42" s="105" t="s">
        <v>333</v>
      </c>
      <c r="F42" s="86">
        <v>46296</v>
      </c>
      <c r="G42" s="85" t="s">
        <v>182</v>
      </c>
      <c r="H42" s="85" t="s">
        <v>183</v>
      </c>
      <c r="I42" s="107" t="str">
        <f t="shared" si="3"/>
        <v>⚑</v>
      </c>
      <c r="J42" s="85" t="s">
        <v>173</v>
      </c>
      <c r="K42" s="85" t="s">
        <v>224</v>
      </c>
      <c r="L42" s="85" t="s">
        <v>174</v>
      </c>
      <c r="M42" s="85"/>
      <c r="N42" s="85"/>
      <c r="O42" s="85"/>
      <c r="P42" s="85"/>
      <c r="Q42" s="86">
        <v>46286</v>
      </c>
      <c r="R42" s="86">
        <v>46292</v>
      </c>
      <c r="S42" s="63" t="s">
        <v>334</v>
      </c>
      <c r="T42" s="63" t="str">
        <f t="shared" si="4"/>
        <v>INACTIVE</v>
      </c>
    </row>
    <row r="43" spans="1:20" ht="60.75" hidden="1" customHeight="1">
      <c r="A43" s="63" t="str">
        <f t="shared" si="0"/>
        <v>SLT-0039</v>
      </c>
      <c r="B43" s="131" t="s">
        <v>335</v>
      </c>
      <c r="C43" s="85" t="s">
        <v>245</v>
      </c>
      <c r="D43" s="131" t="s">
        <v>131</v>
      </c>
      <c r="E43" s="105" t="s">
        <v>336</v>
      </c>
      <c r="F43" s="86">
        <v>46293</v>
      </c>
      <c r="G43" s="85" t="s">
        <v>182</v>
      </c>
      <c r="H43" s="85" t="s">
        <v>173</v>
      </c>
      <c r="I43" s="107" t="str">
        <f t="shared" si="3"/>
        <v/>
      </c>
      <c r="J43" s="85" t="s">
        <v>173</v>
      </c>
      <c r="K43" s="85" t="s">
        <v>140</v>
      </c>
      <c r="L43" s="85" t="s">
        <v>174</v>
      </c>
      <c r="M43" s="85"/>
      <c r="N43" s="85"/>
      <c r="O43" s="85"/>
      <c r="P43" s="85"/>
      <c r="Q43" s="86">
        <v>46286</v>
      </c>
      <c r="R43" s="86">
        <v>46292</v>
      </c>
      <c r="S43" s="63" t="s">
        <v>337</v>
      </c>
      <c r="T43" s="63" t="str">
        <f t="shared" si="4"/>
        <v>INACTIVE</v>
      </c>
    </row>
    <row r="44" spans="1:20" ht="70.5" hidden="1" customHeight="1">
      <c r="A44" s="63" t="str">
        <f t="shared" si="0"/>
        <v>SLT-0040</v>
      </c>
      <c r="B44" s="131" t="s">
        <v>338</v>
      </c>
      <c r="C44" s="85" t="s">
        <v>202</v>
      </c>
      <c r="D44" s="131" t="s">
        <v>127</v>
      </c>
      <c r="E44" s="105" t="s">
        <v>339</v>
      </c>
      <c r="F44" s="86">
        <v>46300</v>
      </c>
      <c r="G44" s="85" t="s">
        <v>182</v>
      </c>
      <c r="H44" s="85" t="s">
        <v>173</v>
      </c>
      <c r="I44" s="107" t="str">
        <f t="shared" si="3"/>
        <v/>
      </c>
      <c r="J44" s="85" t="s">
        <v>173</v>
      </c>
      <c r="K44" s="85" t="s">
        <v>140</v>
      </c>
      <c r="L44" s="85" t="s">
        <v>174</v>
      </c>
      <c r="M44" s="85"/>
      <c r="N44" s="85"/>
      <c r="O44" s="85"/>
      <c r="P44" s="85"/>
      <c r="Q44" s="86">
        <v>46286</v>
      </c>
      <c r="R44" s="86">
        <v>46292</v>
      </c>
      <c r="S44" s="63" t="s">
        <v>340</v>
      </c>
      <c r="T44" s="63" t="str">
        <f t="shared" si="4"/>
        <v>INACTIVE</v>
      </c>
    </row>
    <row r="45" spans="1:20" ht="148.5" customHeight="1">
      <c r="A45" s="63" t="str">
        <f t="shared" si="0"/>
        <v>SLT-0041</v>
      </c>
      <c r="B45" s="58" t="s">
        <v>341</v>
      </c>
      <c r="C45" s="63" t="s">
        <v>245</v>
      </c>
      <c r="D45" s="58" t="s">
        <v>131</v>
      </c>
      <c r="E45" s="234" t="s">
        <v>342</v>
      </c>
      <c r="F45" s="79">
        <v>46331</v>
      </c>
      <c r="G45" s="63" t="s">
        <v>242</v>
      </c>
      <c r="H45" s="63" t="s">
        <v>173</v>
      </c>
      <c r="I45" s="107" t="str">
        <f t="shared" si="3"/>
        <v/>
      </c>
      <c r="J45" s="63" t="s">
        <v>173</v>
      </c>
      <c r="K45" s="63" t="s">
        <v>140</v>
      </c>
      <c r="L45" s="63" t="s">
        <v>174</v>
      </c>
      <c r="M45" s="63"/>
      <c r="N45" s="63"/>
      <c r="O45" s="63"/>
      <c r="P45" s="63"/>
      <c r="Q45" s="79">
        <v>46286</v>
      </c>
      <c r="R45" s="79">
        <v>46292</v>
      </c>
      <c r="S45" s="63" t="s">
        <v>343</v>
      </c>
      <c r="T45" s="63" t="str">
        <f t="shared" si="4"/>
        <v>ACTIVE</v>
      </c>
    </row>
    <row r="46" spans="1:20" ht="129.75" customHeight="1">
      <c r="A46" s="63" t="str">
        <f t="shared" si="0"/>
        <v>SLT-0042</v>
      </c>
      <c r="B46" s="58" t="s">
        <v>344</v>
      </c>
      <c r="C46" s="63" t="s">
        <v>228</v>
      </c>
      <c r="D46" s="58" t="s">
        <v>127</v>
      </c>
      <c r="E46" s="234" t="s">
        <v>345</v>
      </c>
      <c r="F46" s="79">
        <v>46321</v>
      </c>
      <c r="G46" s="63" t="s">
        <v>172</v>
      </c>
      <c r="H46" s="63" t="s">
        <v>183</v>
      </c>
      <c r="I46" s="107" t="str">
        <f t="shared" si="3"/>
        <v>⚑</v>
      </c>
      <c r="J46" s="63" t="s">
        <v>183</v>
      </c>
      <c r="K46" s="63" t="s">
        <v>139</v>
      </c>
      <c r="L46" s="63" t="s">
        <v>184</v>
      </c>
      <c r="M46" s="63" t="s">
        <v>191</v>
      </c>
      <c r="N46" s="63"/>
      <c r="O46" s="63"/>
      <c r="P46" s="63"/>
      <c r="Q46" s="79"/>
      <c r="R46" s="79">
        <v>46293</v>
      </c>
      <c r="S46" s="63" t="s">
        <v>346</v>
      </c>
      <c r="T46" s="63" t="str">
        <f t="shared" si="4"/>
        <v>ACTIVE</v>
      </c>
    </row>
    <row r="47" spans="1:20" ht="55.9" customHeight="1">
      <c r="A47" s="63" t="str">
        <f t="shared" si="0"/>
        <v>SLT-0043</v>
      </c>
      <c r="B47" s="58" t="s">
        <v>347</v>
      </c>
      <c r="C47" s="63" t="s">
        <v>139</v>
      </c>
      <c r="D47" s="58" t="s">
        <v>127</v>
      </c>
      <c r="E47" s="234" t="s">
        <v>348</v>
      </c>
      <c r="F47" s="79">
        <v>46321</v>
      </c>
      <c r="G47" s="63" t="s">
        <v>172</v>
      </c>
      <c r="H47" s="63" t="s">
        <v>183</v>
      </c>
      <c r="I47" s="107" t="str">
        <f t="shared" si="3"/>
        <v>⚑</v>
      </c>
      <c r="J47" s="63" t="s">
        <v>183</v>
      </c>
      <c r="K47" s="63" t="s">
        <v>139</v>
      </c>
      <c r="L47" s="63" t="s">
        <v>174</v>
      </c>
      <c r="M47" s="63" t="s">
        <v>204</v>
      </c>
      <c r="N47" s="63"/>
      <c r="O47" s="63"/>
      <c r="P47" s="63" t="s">
        <v>349</v>
      </c>
      <c r="Q47" s="79"/>
      <c r="R47" s="79">
        <v>46300</v>
      </c>
      <c r="S47" s="63" t="s">
        <v>350</v>
      </c>
      <c r="T47" s="63" t="str">
        <f t="shared" si="4"/>
        <v>ACTIVE</v>
      </c>
    </row>
    <row r="48" spans="1:20" ht="55.15" customHeight="1">
      <c r="A48" s="63" t="str">
        <f t="shared" si="0"/>
        <v>SLT-0044</v>
      </c>
      <c r="B48" s="58" t="s">
        <v>351</v>
      </c>
      <c r="C48" s="63" t="s">
        <v>276</v>
      </c>
      <c r="D48" s="58" t="s">
        <v>216</v>
      </c>
      <c r="E48" s="234" t="s">
        <v>352</v>
      </c>
      <c r="F48" s="79">
        <v>46321</v>
      </c>
      <c r="G48" s="63" t="s">
        <v>172</v>
      </c>
      <c r="H48" s="63" t="s">
        <v>173</v>
      </c>
      <c r="I48" s="107" t="str">
        <f t="shared" si="3"/>
        <v/>
      </c>
      <c r="J48" s="63" t="s">
        <v>173</v>
      </c>
      <c r="K48" s="63" t="s">
        <v>130</v>
      </c>
      <c r="L48" s="63" t="s">
        <v>184</v>
      </c>
      <c r="M48" s="63" t="s">
        <v>204</v>
      </c>
      <c r="N48" s="63"/>
      <c r="O48" s="63"/>
      <c r="P48" s="63"/>
      <c r="Q48" s="79"/>
      <c r="R48" s="79"/>
      <c r="S48" s="63" t="s">
        <v>353</v>
      </c>
      <c r="T48" s="63" t="str">
        <f t="shared" si="4"/>
        <v>ACTIVE</v>
      </c>
    </row>
    <row r="49" spans="1:20" ht="27" customHeight="1">
      <c r="A49" s="63" t="str">
        <f t="shared" ref="A49:A68" si="5">IF($B49&lt;&gt;"","SLT-"&amp;TEXT(--RIGHT($S49,4),"0000"),"")</f>
        <v>SLT-0045</v>
      </c>
      <c r="B49" s="58" t="s">
        <v>354</v>
      </c>
      <c r="C49" s="63" t="s">
        <v>276</v>
      </c>
      <c r="D49" s="58" t="s">
        <v>216</v>
      </c>
      <c r="E49" s="234" t="s">
        <v>355</v>
      </c>
      <c r="F49" s="79">
        <v>46321</v>
      </c>
      <c r="G49" s="63"/>
      <c r="H49" s="63" t="s">
        <v>173</v>
      </c>
      <c r="I49" s="107" t="str">
        <f t="shared" si="3"/>
        <v/>
      </c>
      <c r="J49" s="63" t="s">
        <v>173</v>
      </c>
      <c r="K49" s="63"/>
      <c r="L49" s="63"/>
      <c r="M49" s="63"/>
      <c r="N49" s="63"/>
      <c r="O49" s="63"/>
      <c r="P49" s="63"/>
      <c r="Q49" s="79"/>
      <c r="R49" s="79"/>
      <c r="S49" s="63" t="s">
        <v>356</v>
      </c>
      <c r="T49" s="63" t="str">
        <f t="shared" si="4"/>
        <v>ACTIVE</v>
      </c>
    </row>
    <row r="50" spans="1:20" ht="55.15" hidden="1" customHeight="1">
      <c r="A50" s="63" t="str">
        <f>IF($B50&lt;&gt;"","SLT-"&amp;TEXT(--RIGHT($S50,4),"0000"),"")</f>
        <v>SLT-0046</v>
      </c>
      <c r="B50" s="131" t="s">
        <v>357</v>
      </c>
      <c r="C50" s="85" t="s">
        <v>276</v>
      </c>
      <c r="D50" s="131" t="s">
        <v>131</v>
      </c>
      <c r="E50" s="105" t="s">
        <v>358</v>
      </c>
      <c r="F50" s="86">
        <v>46300</v>
      </c>
      <c r="G50" s="85" t="s">
        <v>182</v>
      </c>
      <c r="H50" s="85" t="s">
        <v>173</v>
      </c>
      <c r="I50" s="107" t="str">
        <f t="shared" si="3"/>
        <v/>
      </c>
      <c r="J50" s="85" t="s">
        <v>173</v>
      </c>
      <c r="K50" s="85" t="s">
        <v>130</v>
      </c>
      <c r="L50" s="85" t="s">
        <v>174</v>
      </c>
      <c r="M50" s="85"/>
      <c r="N50" s="85"/>
      <c r="O50" s="85"/>
      <c r="P50" s="85"/>
      <c r="Q50" s="86">
        <v>46293</v>
      </c>
      <c r="R50" s="86">
        <v>46300</v>
      </c>
      <c r="S50" s="63" t="s">
        <v>359</v>
      </c>
      <c r="T50" s="63" t="str">
        <f>IF($B50="","",IF(OR($G50="Completed",$G50="Cancelled",$G50="Deferred"),"INACTIVE","ACTIVE"))</f>
        <v>INACTIVE</v>
      </c>
    </row>
    <row r="51" spans="1:20" ht="147" hidden="1" customHeight="1">
      <c r="A51" s="63" t="str">
        <f>IF($B51&lt;&gt;"","SLT-"&amp;TEXT(--RIGHT($S51,4),"0000"),"")</f>
        <v>SLT-0047</v>
      </c>
      <c r="B51" s="131" t="s">
        <v>360</v>
      </c>
      <c r="C51" s="85" t="s">
        <v>202</v>
      </c>
      <c r="D51" s="131" t="s">
        <v>127</v>
      </c>
      <c r="E51" s="105" t="s">
        <v>361</v>
      </c>
      <c r="F51" s="86">
        <v>46300</v>
      </c>
      <c r="G51" s="85" t="s">
        <v>182</v>
      </c>
      <c r="H51" s="85" t="s">
        <v>183</v>
      </c>
      <c r="I51" s="107" t="str">
        <f t="shared" si="3"/>
        <v>⚑</v>
      </c>
      <c r="J51" s="85" t="s">
        <v>183</v>
      </c>
      <c r="K51" s="85" t="s">
        <v>139</v>
      </c>
      <c r="L51" s="85" t="s">
        <v>174</v>
      </c>
      <c r="M51" s="85" t="s">
        <v>175</v>
      </c>
      <c r="N51" s="85"/>
      <c r="O51" s="85"/>
      <c r="P51" s="85" t="s">
        <v>362</v>
      </c>
      <c r="Q51" s="86">
        <v>46293</v>
      </c>
      <c r="R51" s="86">
        <v>46300</v>
      </c>
      <c r="S51" s="63" t="s">
        <v>363</v>
      </c>
      <c r="T51" s="63" t="str">
        <f>IF($B51="","",IF(OR($G51="Completed",$G51="Cancelled",$G51="Deferred"),"INACTIVE","ACTIVE"))</f>
        <v>INACTIVE</v>
      </c>
    </row>
    <row r="52" spans="1:20" ht="46.15" customHeight="1">
      <c r="A52" s="63" t="str">
        <f t="shared" si="5"/>
        <v>SLT-0048</v>
      </c>
      <c r="B52" s="58" t="s">
        <v>364</v>
      </c>
      <c r="C52" s="63" t="s">
        <v>365</v>
      </c>
      <c r="D52" s="58" t="s">
        <v>125</v>
      </c>
      <c r="E52" s="234" t="s">
        <v>366</v>
      </c>
      <c r="F52" s="79">
        <v>46310</v>
      </c>
      <c r="G52" s="63" t="s">
        <v>172</v>
      </c>
      <c r="H52" s="63" t="s">
        <v>190</v>
      </c>
      <c r="I52" s="107" t="str">
        <f t="shared" si="3"/>
        <v/>
      </c>
      <c r="J52" s="63" t="s">
        <v>190</v>
      </c>
      <c r="K52" s="63" t="s">
        <v>132</v>
      </c>
      <c r="L52" s="63" t="s">
        <v>174</v>
      </c>
      <c r="M52" s="63" t="s">
        <v>175</v>
      </c>
      <c r="N52" s="63"/>
      <c r="O52" s="63"/>
      <c r="P52" s="63"/>
      <c r="Q52" s="79">
        <v>46230</v>
      </c>
      <c r="R52" s="79">
        <v>46300</v>
      </c>
      <c r="S52" s="63" t="s">
        <v>367</v>
      </c>
      <c r="T52" s="63" t="str">
        <f t="shared" si="4"/>
        <v>ACTIVE</v>
      </c>
    </row>
    <row r="53" spans="1:20" ht="76.900000000000006" customHeight="1">
      <c r="A53" s="63" t="str">
        <f t="shared" si="5"/>
        <v>SLT-0049</v>
      </c>
      <c r="B53" s="58" t="s">
        <v>368</v>
      </c>
      <c r="C53" s="63" t="s">
        <v>170</v>
      </c>
      <c r="D53" s="58" t="s">
        <v>129</v>
      </c>
      <c r="E53" s="234" t="s">
        <v>369</v>
      </c>
      <c r="F53" s="79">
        <v>46321</v>
      </c>
      <c r="G53" s="63" t="s">
        <v>370</v>
      </c>
      <c r="H53" s="63" t="s">
        <v>173</v>
      </c>
      <c r="I53" s="107" t="str">
        <f t="shared" si="3"/>
        <v/>
      </c>
      <c r="J53" s="63" t="s">
        <v>173</v>
      </c>
      <c r="K53" s="63" t="s">
        <v>132</v>
      </c>
      <c r="L53" s="63" t="s">
        <v>174</v>
      </c>
      <c r="M53" s="63" t="s">
        <v>204</v>
      </c>
      <c r="N53" s="63" t="s">
        <v>308</v>
      </c>
      <c r="O53" s="63" t="s">
        <v>371</v>
      </c>
      <c r="P53" s="63"/>
      <c r="Q53" s="79">
        <v>46293</v>
      </c>
      <c r="R53" s="79">
        <v>46300</v>
      </c>
      <c r="S53" s="63" t="s">
        <v>372</v>
      </c>
      <c r="T53" s="63" t="str">
        <f t="shared" si="4"/>
        <v>ACTIVE</v>
      </c>
    </row>
    <row r="54" spans="1:20" ht="93.65" customHeight="1">
      <c r="A54" s="63" t="str">
        <f t="shared" si="5"/>
        <v>SLT-0050</v>
      </c>
      <c r="B54" s="58" t="s">
        <v>373</v>
      </c>
      <c r="C54" s="63" t="s">
        <v>276</v>
      </c>
      <c r="D54" s="58" t="s">
        <v>216</v>
      </c>
      <c r="E54" s="234" t="s">
        <v>374</v>
      </c>
      <c r="F54" s="79">
        <v>46321</v>
      </c>
      <c r="G54" s="63" t="s">
        <v>242</v>
      </c>
      <c r="H54" s="63" t="s">
        <v>173</v>
      </c>
      <c r="I54" s="107" t="str">
        <f t="shared" si="3"/>
        <v/>
      </c>
      <c r="J54" s="63" t="s">
        <v>173</v>
      </c>
      <c r="K54" s="63" t="s">
        <v>139</v>
      </c>
      <c r="L54" s="63" t="s">
        <v>174</v>
      </c>
      <c r="M54" s="63" t="s">
        <v>175</v>
      </c>
      <c r="N54" s="63"/>
      <c r="O54" s="63"/>
      <c r="P54" s="63"/>
      <c r="Q54" s="79">
        <v>46286</v>
      </c>
      <c r="R54" s="79">
        <v>46321</v>
      </c>
      <c r="S54" s="63" t="s">
        <v>375</v>
      </c>
      <c r="T54" s="63" t="str">
        <f t="shared" si="4"/>
        <v>ACTIVE</v>
      </c>
    </row>
    <row r="55" spans="1:20" ht="52.5" customHeight="1">
      <c r="A55" s="63" t="str">
        <f t="shared" si="5"/>
        <v>SLT-0051</v>
      </c>
      <c r="B55" s="58" t="s">
        <v>376</v>
      </c>
      <c r="C55" s="63" t="s">
        <v>202</v>
      </c>
      <c r="D55" s="58" t="s">
        <v>127</v>
      </c>
      <c r="E55" s="234" t="s">
        <v>377</v>
      </c>
      <c r="F55" s="79">
        <v>46311</v>
      </c>
      <c r="G55" s="63" t="s">
        <v>172</v>
      </c>
      <c r="H55" s="63" t="s">
        <v>183</v>
      </c>
      <c r="I55" s="107" t="str">
        <f t="shared" si="3"/>
        <v>⚑</v>
      </c>
      <c r="J55" s="63" t="s">
        <v>183</v>
      </c>
      <c r="K55" s="63" t="s">
        <v>139</v>
      </c>
      <c r="L55" s="63" t="s">
        <v>174</v>
      </c>
      <c r="M55" s="63" t="s">
        <v>175</v>
      </c>
      <c r="N55" s="63"/>
      <c r="O55" s="63"/>
      <c r="P55" s="63"/>
      <c r="Q55" s="79">
        <v>46301</v>
      </c>
      <c r="R55" s="79">
        <v>46307</v>
      </c>
      <c r="S55" s="63" t="s">
        <v>378</v>
      </c>
      <c r="T55" s="63" t="str">
        <f t="shared" si="4"/>
        <v>ACTIVE</v>
      </c>
    </row>
    <row r="56" spans="1:20" ht="72" hidden="1" customHeight="1">
      <c r="A56" s="63" t="str">
        <f t="shared" si="5"/>
        <v>SLT-0052</v>
      </c>
      <c r="B56" s="131" t="s">
        <v>379</v>
      </c>
      <c r="C56" s="85" t="s">
        <v>202</v>
      </c>
      <c r="D56" s="131" t="s">
        <v>127</v>
      </c>
      <c r="E56" s="105" t="s">
        <v>380</v>
      </c>
      <c r="F56" s="86">
        <v>46296</v>
      </c>
      <c r="G56" s="85" t="s">
        <v>182</v>
      </c>
      <c r="H56" s="85" t="s">
        <v>173</v>
      </c>
      <c r="I56" s="107" t="str">
        <f t="shared" si="3"/>
        <v/>
      </c>
      <c r="J56" s="85" t="s">
        <v>173</v>
      </c>
      <c r="K56" s="85" t="s">
        <v>128</v>
      </c>
      <c r="L56" s="85" t="s">
        <v>174</v>
      </c>
      <c r="M56" s="85" t="s">
        <v>175</v>
      </c>
      <c r="N56" s="85"/>
      <c r="O56" s="85"/>
      <c r="P56" s="85"/>
      <c r="Q56" s="86">
        <v>46286</v>
      </c>
      <c r="R56" s="86">
        <v>46296</v>
      </c>
      <c r="S56" s="63" t="s">
        <v>381</v>
      </c>
      <c r="T56" s="63" t="str">
        <f t="shared" si="4"/>
        <v>INACTIVE</v>
      </c>
    </row>
    <row r="57" spans="1:20" ht="119.25" customHeight="1">
      <c r="A57" s="63" t="str">
        <f t="shared" si="5"/>
        <v>SLT-0053</v>
      </c>
      <c r="B57" s="58" t="s">
        <v>382</v>
      </c>
      <c r="C57" s="63" t="s">
        <v>245</v>
      </c>
      <c r="D57" s="58" t="s">
        <v>131</v>
      </c>
      <c r="E57" s="234" t="s">
        <v>383</v>
      </c>
      <c r="F57" s="79">
        <v>46377</v>
      </c>
      <c r="G57" s="63" t="s">
        <v>384</v>
      </c>
      <c r="H57" s="63" t="s">
        <v>173</v>
      </c>
      <c r="I57" s="107" t="str">
        <f t="shared" si="3"/>
        <v/>
      </c>
      <c r="J57" s="63" t="s">
        <v>173</v>
      </c>
      <c r="K57" s="63" t="s">
        <v>140</v>
      </c>
      <c r="L57" s="63" t="s">
        <v>174</v>
      </c>
      <c r="M57" s="63" t="s">
        <v>175</v>
      </c>
      <c r="N57" s="63"/>
      <c r="O57" s="63"/>
      <c r="P57" s="63"/>
      <c r="Q57" s="79">
        <v>46265</v>
      </c>
      <c r="R57" s="79">
        <v>46307</v>
      </c>
      <c r="S57" s="63" t="s">
        <v>385</v>
      </c>
      <c r="T57" s="63" t="str">
        <f t="shared" si="4"/>
        <v>ACTIVE</v>
      </c>
    </row>
    <row r="58" spans="1:20" ht="72" customHeight="1">
      <c r="A58" s="63" t="str">
        <f t="shared" si="5"/>
        <v>SLT-0054</v>
      </c>
      <c r="B58" s="58" t="s">
        <v>386</v>
      </c>
      <c r="C58" s="63" t="s">
        <v>170</v>
      </c>
      <c r="D58" s="58" t="s">
        <v>125</v>
      </c>
      <c r="E58" s="234" t="s">
        <v>387</v>
      </c>
      <c r="F58" s="79">
        <v>46304</v>
      </c>
      <c r="G58" s="63" t="s">
        <v>172</v>
      </c>
      <c r="H58" s="63" t="s">
        <v>183</v>
      </c>
      <c r="I58" s="107" t="str">
        <f t="shared" si="3"/>
        <v>⚑</v>
      </c>
      <c r="J58" s="63" t="s">
        <v>173</v>
      </c>
      <c r="K58" s="63" t="s">
        <v>132</v>
      </c>
      <c r="L58" s="63" t="s">
        <v>174</v>
      </c>
      <c r="M58" s="63" t="s">
        <v>175</v>
      </c>
      <c r="N58" s="63"/>
      <c r="O58" s="63"/>
      <c r="P58" s="63"/>
      <c r="Q58" s="79">
        <v>46300</v>
      </c>
      <c r="R58" s="79">
        <v>46300</v>
      </c>
      <c r="S58" s="63" t="s">
        <v>388</v>
      </c>
      <c r="T58" s="63" t="str">
        <f t="shared" si="4"/>
        <v>ACTIVE</v>
      </c>
    </row>
    <row r="59" spans="1:20" ht="57" customHeight="1">
      <c r="A59" s="63" t="str">
        <f t="shared" si="5"/>
        <v>SLT-0055</v>
      </c>
      <c r="B59" s="58" t="s">
        <v>389</v>
      </c>
      <c r="C59" s="63" t="s">
        <v>126</v>
      </c>
      <c r="D59" s="58" t="s">
        <v>131</v>
      </c>
      <c r="E59" s="234" t="s">
        <v>390</v>
      </c>
      <c r="F59" s="79">
        <v>46321</v>
      </c>
      <c r="G59" s="63" t="s">
        <v>242</v>
      </c>
      <c r="H59" s="63" t="s">
        <v>173</v>
      </c>
      <c r="I59" s="107" t="str">
        <f t="shared" si="3"/>
        <v/>
      </c>
      <c r="J59" s="63" t="s">
        <v>173</v>
      </c>
      <c r="K59" s="63" t="s">
        <v>126</v>
      </c>
      <c r="L59" s="63" t="s">
        <v>174</v>
      </c>
      <c r="M59" s="63" t="s">
        <v>175</v>
      </c>
      <c r="N59" s="63"/>
      <c r="O59" s="63"/>
      <c r="P59" s="63"/>
      <c r="Q59" s="79">
        <v>46300</v>
      </c>
      <c r="R59" s="79">
        <v>46307</v>
      </c>
      <c r="S59" s="63" t="s">
        <v>391</v>
      </c>
      <c r="T59" s="63" t="str">
        <f t="shared" si="4"/>
        <v>ACTIVE</v>
      </c>
    </row>
    <row r="60" spans="1:20" ht="15.75" customHeight="1">
      <c r="A60" s="63" t="str">
        <f t="shared" si="5"/>
        <v/>
      </c>
      <c r="B60" s="58"/>
      <c r="C60" s="63"/>
      <c r="D60" s="58"/>
      <c r="E60" s="234"/>
      <c r="F60" s="79"/>
      <c r="G60" s="63"/>
      <c r="H60" s="63"/>
      <c r="I60" s="107" t="str">
        <f t="shared" si="3"/>
        <v/>
      </c>
      <c r="J60" s="63"/>
      <c r="K60" s="63"/>
      <c r="L60" s="63"/>
      <c r="M60" s="63"/>
      <c r="N60" s="63"/>
      <c r="O60" s="63"/>
      <c r="P60" s="63"/>
      <c r="Q60" s="79"/>
      <c r="R60" s="79"/>
      <c r="S60" s="63" t="s">
        <v>392</v>
      </c>
      <c r="T60" s="63" t="str">
        <f t="shared" si="4"/>
        <v/>
      </c>
    </row>
    <row r="61" spans="1:20" ht="15.75" customHeight="1">
      <c r="A61" s="63" t="str">
        <f t="shared" si="5"/>
        <v/>
      </c>
      <c r="B61" s="58"/>
      <c r="C61" s="63"/>
      <c r="D61" s="58"/>
      <c r="E61" s="234"/>
      <c r="F61" s="79"/>
      <c r="G61" s="63"/>
      <c r="H61" s="63"/>
      <c r="I61" s="107" t="str">
        <f t="shared" si="3"/>
        <v/>
      </c>
      <c r="J61" s="63"/>
      <c r="K61" s="63"/>
      <c r="L61" s="63"/>
      <c r="M61" s="63"/>
      <c r="N61" s="63"/>
      <c r="O61" s="63"/>
      <c r="P61" s="63"/>
      <c r="Q61" s="79"/>
      <c r="R61" s="79"/>
      <c r="S61" s="63" t="s">
        <v>393</v>
      </c>
      <c r="T61" s="63" t="str">
        <f t="shared" si="4"/>
        <v/>
      </c>
    </row>
    <row r="62" spans="1:20" ht="15.75" customHeight="1">
      <c r="A62" s="63" t="str">
        <f t="shared" si="5"/>
        <v/>
      </c>
      <c r="B62" s="58"/>
      <c r="C62" s="63"/>
      <c r="D62" s="58"/>
      <c r="E62" s="234"/>
      <c r="F62" s="79"/>
      <c r="G62" s="63"/>
      <c r="H62" s="63"/>
      <c r="I62" s="107" t="str">
        <f t="shared" si="3"/>
        <v/>
      </c>
      <c r="J62" s="63"/>
      <c r="K62" s="63"/>
      <c r="L62" s="63"/>
      <c r="M62" s="63"/>
      <c r="N62" s="63"/>
      <c r="O62" s="63"/>
      <c r="P62" s="63"/>
      <c r="Q62" s="79"/>
      <c r="R62" s="79"/>
      <c r="S62" s="63" t="s">
        <v>394</v>
      </c>
      <c r="T62" s="63" t="str">
        <f t="shared" si="4"/>
        <v/>
      </c>
    </row>
    <row r="63" spans="1:20" ht="15.75" customHeight="1">
      <c r="A63" s="63" t="str">
        <f t="shared" si="5"/>
        <v/>
      </c>
      <c r="B63" s="58"/>
      <c r="C63" s="63"/>
      <c r="D63" s="58"/>
      <c r="E63" s="234"/>
      <c r="F63" s="79"/>
      <c r="G63" s="63"/>
      <c r="H63" s="63"/>
      <c r="I63" s="107" t="str">
        <f t="shared" si="3"/>
        <v/>
      </c>
      <c r="J63" s="63"/>
      <c r="K63" s="63"/>
      <c r="L63" s="63"/>
      <c r="M63" s="63"/>
      <c r="N63" s="63"/>
      <c r="O63" s="63"/>
      <c r="P63" s="63"/>
      <c r="Q63" s="79"/>
      <c r="R63" s="79"/>
      <c r="S63" s="63" t="s">
        <v>395</v>
      </c>
      <c r="T63" s="63" t="str">
        <f t="shared" si="4"/>
        <v/>
      </c>
    </row>
    <row r="64" spans="1:20" ht="15.75" customHeight="1">
      <c r="A64" s="63" t="str">
        <f t="shared" si="5"/>
        <v/>
      </c>
      <c r="B64" s="58"/>
      <c r="C64" s="63"/>
      <c r="D64" s="58"/>
      <c r="E64" s="234"/>
      <c r="F64" s="79"/>
      <c r="G64" s="63"/>
      <c r="H64" s="63"/>
      <c r="I64" s="107" t="str">
        <f t="shared" si="3"/>
        <v/>
      </c>
      <c r="J64" s="63"/>
      <c r="K64" s="63"/>
      <c r="L64" s="63"/>
      <c r="M64" s="63"/>
      <c r="N64" s="63"/>
      <c r="O64" s="63"/>
      <c r="P64" s="63"/>
      <c r="Q64" s="79"/>
      <c r="R64" s="79"/>
      <c r="S64" s="63" t="s">
        <v>396</v>
      </c>
      <c r="T64" s="63" t="str">
        <f t="shared" si="4"/>
        <v/>
      </c>
    </row>
    <row r="65" spans="1:20" ht="15.75" customHeight="1">
      <c r="A65" s="63" t="str">
        <f t="shared" si="5"/>
        <v/>
      </c>
      <c r="B65" s="58"/>
      <c r="C65" s="63"/>
      <c r="D65" s="58"/>
      <c r="E65" s="234"/>
      <c r="F65" s="79"/>
      <c r="G65" s="63"/>
      <c r="H65" s="63"/>
      <c r="I65" s="107" t="str">
        <f t="shared" si="3"/>
        <v/>
      </c>
      <c r="J65" s="63"/>
      <c r="K65" s="63"/>
      <c r="L65" s="63"/>
      <c r="M65" s="63"/>
      <c r="N65" s="63"/>
      <c r="O65" s="63"/>
      <c r="P65" s="63"/>
      <c r="Q65" s="79"/>
      <c r="R65" s="79"/>
      <c r="S65" s="63" t="s">
        <v>397</v>
      </c>
      <c r="T65" s="63" t="str">
        <f t="shared" si="4"/>
        <v/>
      </c>
    </row>
    <row r="66" spans="1:20" ht="15.75" customHeight="1">
      <c r="A66" s="63" t="str">
        <f t="shared" si="5"/>
        <v/>
      </c>
      <c r="B66" s="58"/>
      <c r="C66" s="63"/>
      <c r="D66" s="58"/>
      <c r="E66" s="234"/>
      <c r="F66" s="79"/>
      <c r="G66" s="63"/>
      <c r="H66" s="63"/>
      <c r="I66" s="107" t="str">
        <f t="shared" si="3"/>
        <v/>
      </c>
      <c r="J66" s="63"/>
      <c r="K66" s="63"/>
      <c r="L66" s="63"/>
      <c r="M66" s="63"/>
      <c r="N66" s="63"/>
      <c r="O66" s="63"/>
      <c r="P66" s="63"/>
      <c r="Q66" s="79"/>
      <c r="R66" s="79"/>
      <c r="S66" s="63" t="s">
        <v>398</v>
      </c>
      <c r="T66" s="63" t="str">
        <f t="shared" si="4"/>
        <v/>
      </c>
    </row>
    <row r="67" spans="1:20" ht="15.75" customHeight="1">
      <c r="A67" s="63" t="str">
        <f t="shared" si="5"/>
        <v/>
      </c>
      <c r="B67" s="58"/>
      <c r="C67" s="63"/>
      <c r="D67" s="58"/>
      <c r="E67" s="234"/>
      <c r="F67" s="79"/>
      <c r="G67" s="63"/>
      <c r="H67" s="63"/>
      <c r="I67" s="107" t="str">
        <f t="shared" si="3"/>
        <v/>
      </c>
      <c r="J67" s="63"/>
      <c r="K67" s="63"/>
      <c r="L67" s="63"/>
      <c r="M67" s="63"/>
      <c r="N67" s="63"/>
      <c r="O67" s="63"/>
      <c r="P67" s="63"/>
      <c r="Q67" s="79"/>
      <c r="R67" s="79"/>
      <c r="S67" s="63" t="s">
        <v>399</v>
      </c>
      <c r="T67" s="63" t="str">
        <f t="shared" si="4"/>
        <v/>
      </c>
    </row>
    <row r="68" spans="1:20" ht="15.75" customHeight="1">
      <c r="A68" s="63" t="str">
        <f t="shared" si="5"/>
        <v/>
      </c>
      <c r="B68" s="58"/>
      <c r="C68" s="63"/>
      <c r="D68" s="58"/>
      <c r="E68" s="234"/>
      <c r="F68" s="79"/>
      <c r="G68" s="63"/>
      <c r="H68" s="63"/>
      <c r="I68" s="107" t="str">
        <f t="shared" si="3"/>
        <v/>
      </c>
      <c r="J68" s="63"/>
      <c r="K68" s="63"/>
      <c r="L68" s="63"/>
      <c r="M68" s="63"/>
      <c r="N68" s="63"/>
      <c r="O68" s="63"/>
      <c r="P68" s="63"/>
      <c r="Q68" s="79"/>
      <c r="R68" s="79"/>
      <c r="S68" s="63" t="s">
        <v>400</v>
      </c>
      <c r="T68" s="63" t="str">
        <f t="shared" si="4"/>
        <v/>
      </c>
    </row>
    <row r="69" spans="1:20" ht="15.75" customHeight="1">
      <c r="A69" s="63" t="str">
        <f t="shared" ref="A69:A104" si="6">IF($B69&lt;&gt;"","SLT-"&amp;TEXT(--RIGHT($S69,4),"0000"),"")</f>
        <v/>
      </c>
      <c r="B69" s="58"/>
      <c r="C69" s="63"/>
      <c r="D69" s="58"/>
      <c r="E69" s="234"/>
      <c r="F69" s="79"/>
      <c r="G69" s="63"/>
      <c r="H69" s="63"/>
      <c r="I69" s="107" t="str">
        <f t="shared" ref="I69:I104" si="7">IF($H69="Critical","⚑",IF($H69="High","⚑",""))</f>
        <v/>
      </c>
      <c r="J69" s="63"/>
      <c r="K69" s="63"/>
      <c r="L69" s="63"/>
      <c r="M69" s="63"/>
      <c r="N69" s="63"/>
      <c r="O69" s="63"/>
      <c r="P69" s="63"/>
      <c r="Q69" s="79"/>
      <c r="R69" s="79"/>
      <c r="S69" s="63" t="s">
        <v>401</v>
      </c>
      <c r="T69" s="63" t="str">
        <f t="shared" ref="T69:T104" si="8">IF($B69="","",IF(OR($G69="Completed",$G69="Cancelled",$G69="Deferred"),"INACTIVE","ACTIVE"))</f>
        <v/>
      </c>
    </row>
    <row r="70" spans="1:20" ht="15.75" customHeight="1">
      <c r="A70" s="63" t="str">
        <f t="shared" si="6"/>
        <v/>
      </c>
      <c r="B70" s="58"/>
      <c r="C70" s="63"/>
      <c r="D70" s="58"/>
      <c r="E70" s="234"/>
      <c r="F70" s="79"/>
      <c r="G70" s="63"/>
      <c r="H70" s="63"/>
      <c r="I70" s="107" t="str">
        <f t="shared" si="7"/>
        <v/>
      </c>
      <c r="J70" s="63"/>
      <c r="K70" s="63"/>
      <c r="L70" s="63"/>
      <c r="M70" s="63"/>
      <c r="N70" s="63"/>
      <c r="O70" s="63"/>
      <c r="P70" s="63"/>
      <c r="Q70" s="79"/>
      <c r="R70" s="79"/>
      <c r="S70" s="63" t="s">
        <v>402</v>
      </c>
      <c r="T70" s="63" t="str">
        <f t="shared" si="8"/>
        <v/>
      </c>
    </row>
    <row r="71" spans="1:20" ht="15.75" customHeight="1">
      <c r="A71" s="63" t="str">
        <f t="shared" si="6"/>
        <v/>
      </c>
      <c r="B71" s="58"/>
      <c r="C71" s="63"/>
      <c r="D71" s="58"/>
      <c r="E71" s="234"/>
      <c r="F71" s="79"/>
      <c r="G71" s="63"/>
      <c r="H71" s="63"/>
      <c r="I71" s="107" t="str">
        <f t="shared" si="7"/>
        <v/>
      </c>
      <c r="J71" s="63"/>
      <c r="K71" s="63"/>
      <c r="L71" s="63"/>
      <c r="M71" s="63"/>
      <c r="N71" s="63"/>
      <c r="O71" s="63"/>
      <c r="P71" s="63"/>
      <c r="Q71" s="79"/>
      <c r="R71" s="79"/>
      <c r="S71" s="63" t="s">
        <v>403</v>
      </c>
      <c r="T71" s="63" t="str">
        <f t="shared" si="8"/>
        <v/>
      </c>
    </row>
    <row r="72" spans="1:20" ht="15.75" customHeight="1">
      <c r="A72" s="63" t="str">
        <f t="shared" si="6"/>
        <v/>
      </c>
      <c r="B72" s="58"/>
      <c r="C72" s="63"/>
      <c r="D72" s="58"/>
      <c r="E72" s="234"/>
      <c r="F72" s="79"/>
      <c r="G72" s="63"/>
      <c r="H72" s="63"/>
      <c r="I72" s="107" t="str">
        <f t="shared" si="7"/>
        <v/>
      </c>
      <c r="J72" s="63"/>
      <c r="K72" s="63"/>
      <c r="L72" s="63"/>
      <c r="M72" s="63"/>
      <c r="N72" s="63"/>
      <c r="O72" s="63"/>
      <c r="P72" s="63"/>
      <c r="Q72" s="79"/>
      <c r="R72" s="79"/>
      <c r="S72" s="63" t="s">
        <v>404</v>
      </c>
      <c r="T72" s="63" t="str">
        <f t="shared" si="8"/>
        <v/>
      </c>
    </row>
    <row r="73" spans="1:20" ht="15.75" customHeight="1">
      <c r="A73" s="63" t="str">
        <f t="shared" si="6"/>
        <v/>
      </c>
      <c r="B73" s="58"/>
      <c r="C73" s="63"/>
      <c r="D73" s="58"/>
      <c r="E73" s="234"/>
      <c r="F73" s="79"/>
      <c r="G73" s="63"/>
      <c r="H73" s="63"/>
      <c r="I73" s="107" t="str">
        <f t="shared" si="7"/>
        <v/>
      </c>
      <c r="J73" s="63"/>
      <c r="K73" s="63"/>
      <c r="L73" s="63"/>
      <c r="M73" s="63"/>
      <c r="N73" s="63"/>
      <c r="O73" s="63"/>
      <c r="P73" s="63"/>
      <c r="Q73" s="79"/>
      <c r="R73" s="79"/>
      <c r="S73" s="63" t="s">
        <v>405</v>
      </c>
      <c r="T73" s="63" t="str">
        <f t="shared" si="8"/>
        <v/>
      </c>
    </row>
    <row r="74" spans="1:20" ht="15.75" customHeight="1">
      <c r="A74" s="63" t="str">
        <f t="shared" si="6"/>
        <v/>
      </c>
      <c r="B74" s="58"/>
      <c r="C74" s="63"/>
      <c r="D74" s="58"/>
      <c r="E74" s="234"/>
      <c r="F74" s="79"/>
      <c r="G74" s="63"/>
      <c r="H74" s="63"/>
      <c r="I74" s="107" t="str">
        <f t="shared" si="7"/>
        <v/>
      </c>
      <c r="J74" s="63"/>
      <c r="K74" s="63"/>
      <c r="L74" s="63"/>
      <c r="M74" s="63"/>
      <c r="N74" s="63"/>
      <c r="O74" s="63"/>
      <c r="P74" s="63"/>
      <c r="Q74" s="79"/>
      <c r="R74" s="79"/>
      <c r="S74" s="63" t="s">
        <v>406</v>
      </c>
      <c r="T74" s="63" t="str">
        <f t="shared" si="8"/>
        <v/>
      </c>
    </row>
    <row r="75" spans="1:20" ht="15.75" customHeight="1">
      <c r="A75" s="63" t="str">
        <f t="shared" si="6"/>
        <v/>
      </c>
      <c r="B75" s="58"/>
      <c r="C75" s="63"/>
      <c r="D75" s="58"/>
      <c r="E75" s="234"/>
      <c r="F75" s="79"/>
      <c r="G75" s="63"/>
      <c r="H75" s="63"/>
      <c r="I75" s="107" t="str">
        <f t="shared" si="7"/>
        <v/>
      </c>
      <c r="J75" s="63"/>
      <c r="K75" s="63"/>
      <c r="L75" s="63"/>
      <c r="M75" s="63"/>
      <c r="N75" s="63"/>
      <c r="O75" s="63"/>
      <c r="P75" s="63"/>
      <c r="Q75" s="79"/>
      <c r="R75" s="79"/>
      <c r="S75" s="63" t="s">
        <v>407</v>
      </c>
      <c r="T75" s="63" t="str">
        <f t="shared" si="8"/>
        <v/>
      </c>
    </row>
    <row r="76" spans="1:20" ht="15.75" customHeight="1">
      <c r="A76" s="63" t="str">
        <f t="shared" si="6"/>
        <v/>
      </c>
      <c r="B76" s="58"/>
      <c r="C76" s="63"/>
      <c r="D76" s="58"/>
      <c r="E76" s="234"/>
      <c r="F76" s="79"/>
      <c r="G76" s="63"/>
      <c r="H76" s="63"/>
      <c r="I76" s="107" t="str">
        <f t="shared" si="7"/>
        <v/>
      </c>
      <c r="J76" s="63"/>
      <c r="K76" s="63"/>
      <c r="L76" s="63"/>
      <c r="M76" s="63"/>
      <c r="N76" s="63"/>
      <c r="O76" s="63"/>
      <c r="P76" s="63"/>
      <c r="Q76" s="79"/>
      <c r="R76" s="79"/>
      <c r="S76" s="63" t="s">
        <v>408</v>
      </c>
      <c r="T76" s="63" t="str">
        <f t="shared" si="8"/>
        <v/>
      </c>
    </row>
    <row r="77" spans="1:20" ht="15.75" customHeight="1">
      <c r="A77" s="63" t="str">
        <f t="shared" si="6"/>
        <v/>
      </c>
      <c r="B77" s="58"/>
      <c r="C77" s="63"/>
      <c r="D77" s="58"/>
      <c r="E77" s="234"/>
      <c r="F77" s="79"/>
      <c r="G77" s="63"/>
      <c r="H77" s="63"/>
      <c r="I77" s="107" t="str">
        <f t="shared" si="7"/>
        <v/>
      </c>
      <c r="J77" s="63"/>
      <c r="K77" s="63"/>
      <c r="L77" s="63"/>
      <c r="M77" s="63"/>
      <c r="N77" s="63"/>
      <c r="O77" s="63"/>
      <c r="P77" s="63"/>
      <c r="Q77" s="79"/>
      <c r="R77" s="79"/>
      <c r="S77" s="63" t="s">
        <v>409</v>
      </c>
      <c r="T77" s="63" t="str">
        <f t="shared" si="8"/>
        <v/>
      </c>
    </row>
    <row r="78" spans="1:20" ht="15.75" customHeight="1">
      <c r="A78" s="63" t="str">
        <f t="shared" si="6"/>
        <v/>
      </c>
      <c r="B78" s="58"/>
      <c r="C78" s="63"/>
      <c r="D78" s="58"/>
      <c r="E78" s="234"/>
      <c r="F78" s="79"/>
      <c r="G78" s="63"/>
      <c r="H78" s="63"/>
      <c r="I78" s="107" t="str">
        <f t="shared" si="7"/>
        <v/>
      </c>
      <c r="J78" s="63"/>
      <c r="K78" s="63"/>
      <c r="L78" s="63"/>
      <c r="M78" s="63"/>
      <c r="N78" s="63"/>
      <c r="O78" s="63"/>
      <c r="P78" s="63"/>
      <c r="Q78" s="79"/>
      <c r="R78" s="79"/>
      <c r="S78" s="63" t="s">
        <v>410</v>
      </c>
      <c r="T78" s="63" t="str">
        <f t="shared" si="8"/>
        <v/>
      </c>
    </row>
    <row r="79" spans="1:20" ht="15.75" customHeight="1">
      <c r="A79" s="63" t="str">
        <f t="shared" si="6"/>
        <v/>
      </c>
      <c r="B79" s="58"/>
      <c r="C79" s="63"/>
      <c r="D79" s="58"/>
      <c r="E79" s="234"/>
      <c r="F79" s="79"/>
      <c r="G79" s="63"/>
      <c r="H79" s="63"/>
      <c r="I79" s="107" t="str">
        <f t="shared" si="7"/>
        <v/>
      </c>
      <c r="J79" s="63"/>
      <c r="K79" s="63"/>
      <c r="L79" s="63"/>
      <c r="M79" s="63"/>
      <c r="N79" s="63"/>
      <c r="O79" s="63"/>
      <c r="P79" s="63"/>
      <c r="Q79" s="79"/>
      <c r="R79" s="79"/>
      <c r="S79" s="63" t="s">
        <v>411</v>
      </c>
      <c r="T79" s="63" t="str">
        <f t="shared" si="8"/>
        <v/>
      </c>
    </row>
    <row r="80" spans="1:20" ht="15.75" customHeight="1">
      <c r="A80" s="63" t="str">
        <f t="shared" si="6"/>
        <v/>
      </c>
      <c r="B80" s="58"/>
      <c r="C80" s="63"/>
      <c r="D80" s="58"/>
      <c r="E80" s="234"/>
      <c r="F80" s="79"/>
      <c r="G80" s="63"/>
      <c r="H80" s="63"/>
      <c r="I80" s="107" t="str">
        <f t="shared" si="7"/>
        <v/>
      </c>
      <c r="J80" s="63"/>
      <c r="K80" s="63"/>
      <c r="L80" s="63"/>
      <c r="M80" s="63"/>
      <c r="N80" s="63"/>
      <c r="O80" s="63"/>
      <c r="P80" s="63"/>
      <c r="Q80" s="79"/>
      <c r="R80" s="79"/>
      <c r="S80" s="63" t="s">
        <v>412</v>
      </c>
      <c r="T80" s="63" t="str">
        <f t="shared" si="8"/>
        <v/>
      </c>
    </row>
    <row r="81" spans="1:20" ht="15.75" customHeight="1">
      <c r="A81" s="63" t="str">
        <f t="shared" si="6"/>
        <v/>
      </c>
      <c r="B81" s="58"/>
      <c r="C81" s="63"/>
      <c r="D81" s="58"/>
      <c r="E81" s="234"/>
      <c r="F81" s="79"/>
      <c r="G81" s="63"/>
      <c r="H81" s="63"/>
      <c r="I81" s="107" t="str">
        <f t="shared" si="7"/>
        <v/>
      </c>
      <c r="J81" s="63"/>
      <c r="K81" s="63"/>
      <c r="L81" s="63"/>
      <c r="M81" s="63"/>
      <c r="N81" s="63"/>
      <c r="O81" s="63"/>
      <c r="P81" s="63"/>
      <c r="Q81" s="79"/>
      <c r="R81" s="79"/>
      <c r="S81" s="63" t="s">
        <v>413</v>
      </c>
      <c r="T81" s="63" t="str">
        <f t="shared" si="8"/>
        <v/>
      </c>
    </row>
    <row r="82" spans="1:20" ht="15.75" customHeight="1">
      <c r="A82" s="63" t="str">
        <f t="shared" si="6"/>
        <v/>
      </c>
      <c r="B82" s="58"/>
      <c r="C82" s="63"/>
      <c r="D82" s="58"/>
      <c r="E82" s="234"/>
      <c r="F82" s="79"/>
      <c r="G82" s="63"/>
      <c r="H82" s="63"/>
      <c r="I82" s="107" t="str">
        <f t="shared" si="7"/>
        <v/>
      </c>
      <c r="J82" s="63"/>
      <c r="K82" s="63"/>
      <c r="L82" s="63"/>
      <c r="M82" s="63"/>
      <c r="N82" s="63"/>
      <c r="O82" s="63"/>
      <c r="P82" s="63"/>
      <c r="Q82" s="79"/>
      <c r="R82" s="79"/>
      <c r="S82" s="63" t="s">
        <v>414</v>
      </c>
      <c r="T82" s="63" t="str">
        <f t="shared" si="8"/>
        <v/>
      </c>
    </row>
    <row r="83" spans="1:20" ht="15.75" customHeight="1">
      <c r="A83" s="63" t="str">
        <f t="shared" si="6"/>
        <v/>
      </c>
      <c r="B83" s="58"/>
      <c r="C83" s="63"/>
      <c r="D83" s="58"/>
      <c r="E83" s="234"/>
      <c r="F83" s="79"/>
      <c r="G83" s="63"/>
      <c r="H83" s="63"/>
      <c r="I83" s="107" t="str">
        <f t="shared" si="7"/>
        <v/>
      </c>
      <c r="J83" s="63"/>
      <c r="K83" s="63"/>
      <c r="L83" s="63"/>
      <c r="M83" s="63"/>
      <c r="N83" s="63"/>
      <c r="O83" s="63"/>
      <c r="P83" s="63"/>
      <c r="Q83" s="79"/>
      <c r="R83" s="79"/>
      <c r="S83" s="63" t="s">
        <v>415</v>
      </c>
      <c r="T83" s="63" t="str">
        <f t="shared" si="8"/>
        <v/>
      </c>
    </row>
    <row r="84" spans="1:20" ht="15.75" customHeight="1">
      <c r="A84" s="63" t="str">
        <f t="shared" si="6"/>
        <v/>
      </c>
      <c r="B84" s="58"/>
      <c r="C84" s="63"/>
      <c r="D84" s="58"/>
      <c r="E84" s="234"/>
      <c r="F84" s="79"/>
      <c r="G84" s="63"/>
      <c r="H84" s="63"/>
      <c r="I84" s="107" t="str">
        <f t="shared" si="7"/>
        <v/>
      </c>
      <c r="J84" s="63"/>
      <c r="K84" s="63"/>
      <c r="L84" s="63"/>
      <c r="M84" s="63"/>
      <c r="N84" s="63"/>
      <c r="O84" s="63"/>
      <c r="P84" s="63"/>
      <c r="Q84" s="79"/>
      <c r="R84" s="79"/>
      <c r="S84" s="63" t="s">
        <v>416</v>
      </c>
      <c r="T84" s="63" t="str">
        <f t="shared" si="8"/>
        <v/>
      </c>
    </row>
    <row r="85" spans="1:20" ht="15.75" customHeight="1">
      <c r="A85" s="63" t="str">
        <f t="shared" si="6"/>
        <v/>
      </c>
      <c r="B85" s="58"/>
      <c r="C85" s="63"/>
      <c r="D85" s="58"/>
      <c r="E85" s="234"/>
      <c r="F85" s="79"/>
      <c r="G85" s="63"/>
      <c r="H85" s="63"/>
      <c r="I85" s="107" t="str">
        <f t="shared" si="7"/>
        <v/>
      </c>
      <c r="J85" s="63"/>
      <c r="K85" s="63"/>
      <c r="L85" s="63"/>
      <c r="M85" s="63"/>
      <c r="N85" s="63"/>
      <c r="O85" s="63"/>
      <c r="P85" s="63"/>
      <c r="Q85" s="79"/>
      <c r="R85" s="79"/>
      <c r="S85" s="63" t="s">
        <v>417</v>
      </c>
      <c r="T85" s="63" t="str">
        <f t="shared" si="8"/>
        <v/>
      </c>
    </row>
    <row r="86" spans="1:20" ht="15.75" customHeight="1">
      <c r="A86" s="63" t="str">
        <f t="shared" si="6"/>
        <v/>
      </c>
      <c r="B86" s="58"/>
      <c r="C86" s="63"/>
      <c r="D86" s="58"/>
      <c r="E86" s="234"/>
      <c r="F86" s="79"/>
      <c r="G86" s="63"/>
      <c r="H86" s="63"/>
      <c r="I86" s="107" t="str">
        <f t="shared" si="7"/>
        <v/>
      </c>
      <c r="J86" s="63"/>
      <c r="K86" s="63"/>
      <c r="L86" s="63"/>
      <c r="M86" s="63"/>
      <c r="N86" s="63"/>
      <c r="O86" s="63"/>
      <c r="P86" s="63"/>
      <c r="Q86" s="79"/>
      <c r="R86" s="79"/>
      <c r="S86" s="63" t="s">
        <v>418</v>
      </c>
      <c r="T86" s="63" t="str">
        <f t="shared" si="8"/>
        <v/>
      </c>
    </row>
    <row r="87" spans="1:20" ht="15.75" customHeight="1">
      <c r="A87" s="63" t="str">
        <f t="shared" si="6"/>
        <v/>
      </c>
      <c r="B87" s="58"/>
      <c r="C87" s="63"/>
      <c r="D87" s="58"/>
      <c r="E87" s="234"/>
      <c r="F87" s="79"/>
      <c r="G87" s="63"/>
      <c r="H87" s="63"/>
      <c r="I87" s="107" t="str">
        <f t="shared" si="7"/>
        <v/>
      </c>
      <c r="J87" s="63"/>
      <c r="K87" s="63"/>
      <c r="L87" s="63"/>
      <c r="M87" s="63"/>
      <c r="N87" s="63"/>
      <c r="O87" s="63"/>
      <c r="P87" s="63"/>
      <c r="Q87" s="79"/>
      <c r="R87" s="79"/>
      <c r="S87" s="63" t="s">
        <v>419</v>
      </c>
      <c r="T87" s="63" t="str">
        <f t="shared" si="8"/>
        <v/>
      </c>
    </row>
    <row r="88" spans="1:20" ht="15.75" customHeight="1">
      <c r="A88" s="63" t="str">
        <f t="shared" si="6"/>
        <v/>
      </c>
      <c r="B88" s="58"/>
      <c r="C88" s="63"/>
      <c r="D88" s="58"/>
      <c r="E88" s="234"/>
      <c r="F88" s="79"/>
      <c r="G88" s="63"/>
      <c r="H88" s="63"/>
      <c r="I88" s="107" t="str">
        <f t="shared" si="7"/>
        <v/>
      </c>
      <c r="J88" s="63"/>
      <c r="K88" s="63"/>
      <c r="L88" s="63"/>
      <c r="M88" s="63"/>
      <c r="N88" s="63"/>
      <c r="O88" s="63"/>
      <c r="P88" s="63"/>
      <c r="Q88" s="79"/>
      <c r="R88" s="79"/>
      <c r="S88" s="63" t="s">
        <v>420</v>
      </c>
      <c r="T88" s="63" t="str">
        <f t="shared" si="8"/>
        <v/>
      </c>
    </row>
    <row r="89" spans="1:20" ht="15.75" customHeight="1">
      <c r="A89" s="63" t="str">
        <f t="shared" si="6"/>
        <v/>
      </c>
      <c r="B89" s="58"/>
      <c r="C89" s="63"/>
      <c r="D89" s="58"/>
      <c r="E89" s="234"/>
      <c r="F89" s="79"/>
      <c r="G89" s="63"/>
      <c r="H89" s="63"/>
      <c r="I89" s="107" t="str">
        <f t="shared" si="7"/>
        <v/>
      </c>
      <c r="J89" s="63"/>
      <c r="K89" s="63"/>
      <c r="L89" s="63"/>
      <c r="M89" s="63"/>
      <c r="N89" s="63"/>
      <c r="O89" s="63"/>
      <c r="P89" s="63"/>
      <c r="Q89" s="79"/>
      <c r="R89" s="79"/>
      <c r="S89" s="63" t="s">
        <v>421</v>
      </c>
      <c r="T89" s="63" t="str">
        <f t="shared" si="8"/>
        <v/>
      </c>
    </row>
    <row r="90" spans="1:20" ht="15.75" customHeight="1">
      <c r="A90" s="63" t="str">
        <f t="shared" si="6"/>
        <v/>
      </c>
      <c r="B90" s="58"/>
      <c r="C90" s="63"/>
      <c r="D90" s="58"/>
      <c r="E90" s="234"/>
      <c r="F90" s="79"/>
      <c r="G90" s="63"/>
      <c r="H90" s="63"/>
      <c r="I90" s="107" t="str">
        <f t="shared" si="7"/>
        <v/>
      </c>
      <c r="J90" s="63"/>
      <c r="K90" s="63"/>
      <c r="L90" s="63"/>
      <c r="M90" s="63"/>
      <c r="N90" s="63"/>
      <c r="O90" s="63"/>
      <c r="P90" s="63"/>
      <c r="Q90" s="79"/>
      <c r="R90" s="79"/>
      <c r="S90" s="63" t="s">
        <v>422</v>
      </c>
      <c r="T90" s="63" t="str">
        <f t="shared" si="8"/>
        <v/>
      </c>
    </row>
    <row r="91" spans="1:20" ht="15.75" customHeight="1">
      <c r="A91" s="63" t="str">
        <f t="shared" si="6"/>
        <v/>
      </c>
      <c r="B91" s="58"/>
      <c r="C91" s="63"/>
      <c r="D91" s="58"/>
      <c r="E91" s="234"/>
      <c r="F91" s="79"/>
      <c r="G91" s="63"/>
      <c r="H91" s="63"/>
      <c r="I91" s="107" t="str">
        <f t="shared" si="7"/>
        <v/>
      </c>
      <c r="J91" s="63"/>
      <c r="K91" s="63"/>
      <c r="L91" s="63"/>
      <c r="M91" s="63"/>
      <c r="N91" s="63"/>
      <c r="O91" s="63"/>
      <c r="P91" s="63"/>
      <c r="Q91" s="79"/>
      <c r="R91" s="79"/>
      <c r="S91" s="63" t="s">
        <v>423</v>
      </c>
      <c r="T91" s="63" t="str">
        <f t="shared" si="8"/>
        <v/>
      </c>
    </row>
    <row r="92" spans="1:20" ht="15.75" customHeight="1">
      <c r="A92" s="63" t="str">
        <f t="shared" si="6"/>
        <v/>
      </c>
      <c r="B92" s="58"/>
      <c r="C92" s="63"/>
      <c r="D92" s="58"/>
      <c r="E92" s="234"/>
      <c r="F92" s="79"/>
      <c r="G92" s="63"/>
      <c r="H92" s="63"/>
      <c r="I92" s="107" t="str">
        <f t="shared" si="7"/>
        <v/>
      </c>
      <c r="J92" s="63"/>
      <c r="K92" s="63"/>
      <c r="L92" s="63"/>
      <c r="M92" s="63"/>
      <c r="N92" s="63"/>
      <c r="O92" s="63"/>
      <c r="P92" s="63"/>
      <c r="Q92" s="79"/>
      <c r="R92" s="79"/>
      <c r="S92" s="63" t="s">
        <v>424</v>
      </c>
      <c r="T92" s="63" t="str">
        <f t="shared" si="8"/>
        <v/>
      </c>
    </row>
    <row r="93" spans="1:20" ht="15.75" customHeight="1">
      <c r="A93" s="63" t="str">
        <f t="shared" si="6"/>
        <v/>
      </c>
      <c r="B93" s="58"/>
      <c r="C93" s="63"/>
      <c r="D93" s="58"/>
      <c r="E93" s="234"/>
      <c r="F93" s="79"/>
      <c r="G93" s="63"/>
      <c r="H93" s="63"/>
      <c r="I93" s="107" t="str">
        <f t="shared" si="7"/>
        <v/>
      </c>
      <c r="J93" s="63"/>
      <c r="K93" s="63"/>
      <c r="L93" s="63"/>
      <c r="M93" s="63"/>
      <c r="N93" s="63"/>
      <c r="O93" s="63"/>
      <c r="P93" s="63"/>
      <c r="Q93" s="79"/>
      <c r="R93" s="79"/>
      <c r="S93" s="63" t="s">
        <v>425</v>
      </c>
      <c r="T93" s="63" t="str">
        <f t="shared" si="8"/>
        <v/>
      </c>
    </row>
    <row r="94" spans="1:20" ht="15.75" customHeight="1">
      <c r="A94" s="63" t="str">
        <f t="shared" si="6"/>
        <v/>
      </c>
      <c r="B94" s="58"/>
      <c r="C94" s="63"/>
      <c r="D94" s="58"/>
      <c r="E94" s="234"/>
      <c r="F94" s="79"/>
      <c r="G94" s="63"/>
      <c r="H94" s="63"/>
      <c r="I94" s="107" t="str">
        <f t="shared" si="7"/>
        <v/>
      </c>
      <c r="J94" s="63"/>
      <c r="K94" s="63"/>
      <c r="L94" s="63"/>
      <c r="M94" s="63"/>
      <c r="N94" s="63"/>
      <c r="O94" s="63"/>
      <c r="P94" s="63"/>
      <c r="Q94" s="79"/>
      <c r="R94" s="79"/>
      <c r="S94" s="63" t="s">
        <v>426</v>
      </c>
      <c r="T94" s="63" t="str">
        <f t="shared" si="8"/>
        <v/>
      </c>
    </row>
    <row r="95" spans="1:20" ht="15.75" customHeight="1">
      <c r="A95" s="63" t="str">
        <f t="shared" si="6"/>
        <v/>
      </c>
      <c r="B95" s="58"/>
      <c r="C95" s="63"/>
      <c r="D95" s="58"/>
      <c r="E95" s="234"/>
      <c r="F95" s="79"/>
      <c r="G95" s="63"/>
      <c r="H95" s="63"/>
      <c r="I95" s="102" t="str">
        <f t="shared" si="7"/>
        <v/>
      </c>
      <c r="J95" s="63"/>
      <c r="K95" s="63"/>
      <c r="L95" s="63"/>
      <c r="M95" s="63"/>
      <c r="N95" s="63"/>
      <c r="O95" s="63"/>
      <c r="P95" s="63"/>
      <c r="Q95" s="79"/>
      <c r="R95" s="79"/>
      <c r="S95" s="63" t="s">
        <v>427</v>
      </c>
      <c r="T95" s="63" t="str">
        <f t="shared" si="8"/>
        <v/>
      </c>
    </row>
    <row r="96" spans="1:20" ht="15.75" customHeight="1">
      <c r="A96" s="63" t="str">
        <f t="shared" si="6"/>
        <v/>
      </c>
      <c r="B96" s="58"/>
      <c r="C96" s="63"/>
      <c r="D96" s="58"/>
      <c r="E96" s="234"/>
      <c r="F96" s="79"/>
      <c r="G96" s="63"/>
      <c r="H96" s="63"/>
      <c r="I96" s="102" t="str">
        <f t="shared" si="7"/>
        <v/>
      </c>
      <c r="J96" s="63"/>
      <c r="K96" s="63"/>
      <c r="L96" s="63"/>
      <c r="M96" s="63"/>
      <c r="N96" s="63"/>
      <c r="O96" s="63"/>
      <c r="P96" s="63"/>
      <c r="Q96" s="79"/>
      <c r="R96" s="79"/>
      <c r="S96" s="63" t="s">
        <v>428</v>
      </c>
      <c r="T96" s="63" t="str">
        <f t="shared" si="8"/>
        <v/>
      </c>
    </row>
    <row r="97" spans="1:20" ht="15.75" customHeight="1">
      <c r="A97" s="63" t="str">
        <f t="shared" si="6"/>
        <v/>
      </c>
      <c r="B97" s="58"/>
      <c r="C97" s="63"/>
      <c r="D97" s="58"/>
      <c r="E97" s="234"/>
      <c r="F97" s="79"/>
      <c r="G97" s="63"/>
      <c r="H97" s="63"/>
      <c r="I97" s="102" t="str">
        <f t="shared" si="7"/>
        <v/>
      </c>
      <c r="J97" s="63"/>
      <c r="K97" s="63"/>
      <c r="L97" s="63"/>
      <c r="M97" s="63"/>
      <c r="N97" s="63"/>
      <c r="O97" s="63"/>
      <c r="P97" s="63"/>
      <c r="Q97" s="79"/>
      <c r="R97" s="79"/>
      <c r="S97" s="63" t="s">
        <v>429</v>
      </c>
      <c r="T97" s="63" t="str">
        <f t="shared" si="8"/>
        <v/>
      </c>
    </row>
    <row r="98" spans="1:20" ht="15.75" customHeight="1">
      <c r="A98" s="63" t="str">
        <f t="shared" si="6"/>
        <v/>
      </c>
      <c r="B98" s="58"/>
      <c r="C98" s="63"/>
      <c r="D98" s="58"/>
      <c r="E98" s="234"/>
      <c r="F98" s="79"/>
      <c r="G98" s="63"/>
      <c r="H98" s="63"/>
      <c r="I98" s="102" t="str">
        <f t="shared" si="7"/>
        <v/>
      </c>
      <c r="J98" s="63"/>
      <c r="K98" s="63"/>
      <c r="L98" s="63"/>
      <c r="M98" s="63"/>
      <c r="N98" s="63"/>
      <c r="O98" s="63"/>
      <c r="P98" s="63"/>
      <c r="Q98" s="79"/>
      <c r="R98" s="79"/>
      <c r="S98" s="63" t="s">
        <v>430</v>
      </c>
      <c r="T98" s="63" t="str">
        <f t="shared" si="8"/>
        <v/>
      </c>
    </row>
    <row r="99" spans="1:20" ht="15.75" customHeight="1">
      <c r="A99" s="63" t="str">
        <f t="shared" si="6"/>
        <v/>
      </c>
      <c r="B99" s="58"/>
      <c r="C99" s="63"/>
      <c r="D99" s="58"/>
      <c r="E99" s="234"/>
      <c r="F99" s="79"/>
      <c r="G99" s="63"/>
      <c r="H99" s="63"/>
      <c r="I99" s="102" t="str">
        <f t="shared" si="7"/>
        <v/>
      </c>
      <c r="J99" s="63"/>
      <c r="K99" s="63"/>
      <c r="L99" s="63"/>
      <c r="M99" s="63"/>
      <c r="N99" s="63"/>
      <c r="O99" s="63"/>
      <c r="P99" s="63"/>
      <c r="Q99" s="79"/>
      <c r="R99" s="79"/>
      <c r="S99" s="63" t="s">
        <v>431</v>
      </c>
      <c r="T99" s="63" t="str">
        <f t="shared" si="8"/>
        <v/>
      </c>
    </row>
    <row r="100" spans="1:20" ht="15.75" customHeight="1">
      <c r="A100" s="63" t="str">
        <f t="shared" si="6"/>
        <v/>
      </c>
      <c r="B100" s="58"/>
      <c r="C100" s="63"/>
      <c r="D100" s="58"/>
      <c r="E100" s="234"/>
      <c r="F100" s="79"/>
      <c r="G100" s="63"/>
      <c r="H100" s="63"/>
      <c r="I100" s="102" t="str">
        <f t="shared" si="7"/>
        <v/>
      </c>
      <c r="J100" s="63"/>
      <c r="K100" s="63"/>
      <c r="L100" s="63"/>
      <c r="M100" s="63"/>
      <c r="N100" s="63"/>
      <c r="O100" s="63"/>
      <c r="P100" s="63"/>
      <c r="Q100" s="79"/>
      <c r="R100" s="79"/>
      <c r="S100" s="63" t="s">
        <v>432</v>
      </c>
      <c r="T100" s="63" t="str">
        <f t="shared" si="8"/>
        <v/>
      </c>
    </row>
    <row r="101" spans="1:20" ht="15.75" customHeight="1">
      <c r="A101" s="63" t="str">
        <f t="shared" si="6"/>
        <v/>
      </c>
      <c r="B101" s="58"/>
      <c r="C101" s="63"/>
      <c r="D101" s="58"/>
      <c r="E101" s="234"/>
      <c r="F101" s="79"/>
      <c r="G101" s="63"/>
      <c r="H101" s="63"/>
      <c r="I101" s="102" t="str">
        <f t="shared" si="7"/>
        <v/>
      </c>
      <c r="J101" s="63"/>
      <c r="K101" s="63"/>
      <c r="L101" s="63"/>
      <c r="M101" s="63"/>
      <c r="N101" s="63"/>
      <c r="O101" s="63"/>
      <c r="P101" s="63"/>
      <c r="Q101" s="79"/>
      <c r="R101" s="79"/>
      <c r="S101" s="63" t="s">
        <v>433</v>
      </c>
      <c r="T101" s="63" t="str">
        <f t="shared" si="8"/>
        <v/>
      </c>
    </row>
    <row r="102" spans="1:20" ht="15.75" customHeight="1">
      <c r="A102" s="63" t="str">
        <f t="shared" si="6"/>
        <v/>
      </c>
      <c r="B102" s="58"/>
      <c r="C102" s="63"/>
      <c r="D102" s="58"/>
      <c r="E102" s="234"/>
      <c r="F102" s="79"/>
      <c r="G102" s="63"/>
      <c r="H102" s="63"/>
      <c r="I102" s="102" t="str">
        <f t="shared" si="7"/>
        <v/>
      </c>
      <c r="J102" s="63"/>
      <c r="K102" s="63"/>
      <c r="L102" s="63"/>
      <c r="M102" s="63"/>
      <c r="N102" s="63"/>
      <c r="O102" s="63"/>
      <c r="P102" s="63"/>
      <c r="Q102" s="79"/>
      <c r="R102" s="79"/>
      <c r="S102" s="63" t="s">
        <v>434</v>
      </c>
      <c r="T102" s="63" t="str">
        <f t="shared" si="8"/>
        <v/>
      </c>
    </row>
    <row r="103" spans="1:20" ht="15.75" customHeight="1">
      <c r="A103" s="63" t="str">
        <f t="shared" si="6"/>
        <v/>
      </c>
      <c r="B103" s="58"/>
      <c r="C103" s="63"/>
      <c r="D103" s="58"/>
      <c r="E103" s="234"/>
      <c r="F103" s="79"/>
      <c r="G103" s="63"/>
      <c r="H103" s="63"/>
      <c r="I103" s="102" t="str">
        <f t="shared" si="7"/>
        <v/>
      </c>
      <c r="J103" s="63"/>
      <c r="K103" s="63"/>
      <c r="L103" s="63"/>
      <c r="M103" s="63"/>
      <c r="N103" s="63"/>
      <c r="O103" s="63"/>
      <c r="P103" s="63"/>
      <c r="Q103" s="79"/>
      <c r="R103" s="79"/>
      <c r="S103" s="63" t="s">
        <v>435</v>
      </c>
      <c r="T103" s="63" t="str">
        <f t="shared" si="8"/>
        <v/>
      </c>
    </row>
    <row r="104" spans="1:20" ht="15.75" customHeight="1">
      <c r="A104" s="63" t="str">
        <f t="shared" si="6"/>
        <v/>
      </c>
      <c r="B104" s="58"/>
      <c r="C104" s="63"/>
      <c r="D104" s="58"/>
      <c r="E104" s="234"/>
      <c r="F104" s="79"/>
      <c r="G104" s="63"/>
      <c r="H104" s="63"/>
      <c r="I104" s="102" t="str">
        <f t="shared" si="7"/>
        <v/>
      </c>
      <c r="J104" s="63"/>
      <c r="K104" s="63"/>
      <c r="L104" s="63"/>
      <c r="M104" s="63"/>
      <c r="N104" s="63"/>
      <c r="O104" s="63"/>
      <c r="P104" s="63"/>
      <c r="Q104" s="79"/>
      <c r="R104" s="79"/>
      <c r="S104" s="63" t="s">
        <v>436</v>
      </c>
      <c r="T104" s="63" t="str">
        <f t="shared" si="8"/>
        <v/>
      </c>
    </row>
    <row r="105" spans="1:20">
      <c r="Q105" s="188"/>
    </row>
  </sheetData>
  <sheetProtection algorithmName="SHA-512" hashValue="cIHSD45kBJwx2ykiBq3jgMCruSUdPlO52/4/55KaORO8jGGP7XUPw9s66FkfCABmqwBJGiu7uaqDp/dh9df5xA==" saltValue="j/g2dK3+dPdFtor8C69sMg==" spinCount="100000" sheet="1"/>
  <autoFilter ref="A4:R105" xr:uid="{00000000-0009-0000-0000-000005000000}">
    <filterColumn colId="6">
      <filters blank="1">
        <filter val="Assigned"/>
        <filter val="Gathering Info"/>
        <filter val="In Progress"/>
        <filter val="Visibility Only"/>
        <filter val="Waiting on Information"/>
      </filters>
    </filterColumn>
    <sortState xmlns:xlrd2="http://schemas.microsoft.com/office/spreadsheetml/2017/richdata2" ref="A5:R10">
      <sortCondition ref="A4:A10"/>
    </sortState>
  </autoFilter>
  <mergeCells count="2">
    <mergeCell ref="A2:R2"/>
    <mergeCell ref="A1:R1"/>
  </mergeCells>
  <conditionalFormatting sqref="A18:H22">
    <cfRule type="expression" dxfId="80" priority="17">
      <formula>$H18="Critical"</formula>
    </cfRule>
    <cfRule type="expression" dxfId="79" priority="18">
      <formula>$H18="High"</formula>
    </cfRule>
    <cfRule type="expression" dxfId="78" priority="19">
      <formula>$H18="Medium"</formula>
    </cfRule>
  </conditionalFormatting>
  <conditionalFormatting sqref="A23:R23 A24:T104 A5:T17 I18:I22 F5:F1048576">
    <cfRule type="expression" dxfId="77" priority="36">
      <formula>$H5="Critical"</formula>
    </cfRule>
  </conditionalFormatting>
  <conditionalFormatting sqref="A5:T17 F5:F1048576 I18:I22 A23:R23 A24:T104">
    <cfRule type="expression" dxfId="76" priority="37">
      <formula>$H5="High"</formula>
    </cfRule>
    <cfRule type="expression" dxfId="75" priority="38">
      <formula>$H5="Medium"</formula>
    </cfRule>
  </conditionalFormatting>
  <conditionalFormatting sqref="A5:T22">
    <cfRule type="expression" dxfId="74" priority="4">
      <formula>$G5="Completed"</formula>
    </cfRule>
  </conditionalFormatting>
  <conditionalFormatting sqref="B33:E33 G33 B37 B41 B45 B49 B51 B55 B59 B63">
    <cfRule type="expression" dxfId="73" priority="59">
      <formula>#REF!="Completed"</formula>
    </cfRule>
  </conditionalFormatting>
  <conditionalFormatting sqref="F5:F1048576 A23:R23 A24:T32 H33:T33 A33:A34 B34:E34 G34:T41 A35:E36 C37:E41 A37:A65 B38:B40 B42:B44 C42:T65 B46:B48 B50 B52:B54 B56:B58 B60:B62 B64:B65 A66:T104">
    <cfRule type="expression" dxfId="72" priority="26">
      <formula>$G5="Completed"</formula>
    </cfRule>
  </conditionalFormatting>
  <conditionalFormatting sqref="F5:F1048576">
    <cfRule type="expression" dxfId="71" priority="46">
      <formula>AND($F5&lt;&gt;"",ISNUMBER($F5),$F5&gt;=TODAY(),$F5&lt;=TODAY()+1,$T5="ACTIVE")</formula>
    </cfRule>
    <cfRule type="expression" dxfId="70" priority="45">
      <formula>AND($F5&lt;&gt;"",ISNUMBER($F5),$F5&lt;TODAY(),$T5="ACTIVE")</formula>
    </cfRule>
  </conditionalFormatting>
  <conditionalFormatting sqref="F18:F22">
    <cfRule type="expression" dxfId="69" priority="20">
      <formula>AND($F18&lt;&gt;"",ISNUMBER($F18),$F18&lt;TODAY(),$T18="ACTIVE")</formula>
    </cfRule>
    <cfRule type="expression" dxfId="68" priority="21">
      <formula>AND($F18&lt;&gt;"",ISNUMBER($F18),$F18&gt;=TODAY(),$F18&lt;=TODAY()+1,$T18="ACTIVE")</formula>
    </cfRule>
  </conditionalFormatting>
  <conditionalFormatting sqref="G18">
    <cfRule type="expression" dxfId="67" priority="2">
      <formula>$H18="High"</formula>
    </cfRule>
    <cfRule type="expression" dxfId="66" priority="3">
      <formula>$H18="Medium"</formula>
    </cfRule>
    <cfRule type="expression" dxfId="65" priority="1">
      <formula>$H18="Critical"</formula>
    </cfRule>
  </conditionalFormatting>
  <conditionalFormatting sqref="G33">
    <cfRule type="expression" dxfId="64" priority="67">
      <formula>AND($G33&lt;&gt;"",ISNUMBER($G33),$G33&lt;TODAY(),$T33="ACTIVE")</formula>
    </cfRule>
    <cfRule type="expression" dxfId="63" priority="68">
      <formula>AND($G33&lt;&gt;"",ISNUMBER($G33),$G33&gt;=TODAY(),$G33&lt;=TODAY()+1,$T33="ACTIVE")</formula>
    </cfRule>
  </conditionalFormatting>
  <conditionalFormatting sqref="H5:H22">
    <cfRule type="expression" dxfId="62" priority="16">
      <formula>$H5="Medium"</formula>
    </cfRule>
    <cfRule type="expression" dxfId="61" priority="15">
      <formula>$H5="Critical"</formula>
    </cfRule>
    <cfRule type="expression" dxfId="60" priority="14">
      <formula>$H5="High"</formula>
    </cfRule>
  </conditionalFormatting>
  <conditionalFormatting sqref="H23:H104">
    <cfRule type="expression" dxfId="59" priority="30">
      <formula>$H23="High"</formula>
    </cfRule>
    <cfRule type="expression" dxfId="58" priority="31">
      <formula>$H23="Critical"</formula>
    </cfRule>
    <cfRule type="expression" dxfId="57" priority="32">
      <formula>$H23="Medium"</formula>
    </cfRule>
  </conditionalFormatting>
  <conditionalFormatting sqref="I5:I104">
    <cfRule type="expression" dxfId="56" priority="33">
      <formula>$H5="Medium"</formula>
    </cfRule>
    <cfRule type="expression" dxfId="55" priority="39">
      <formula>$H5="Critical"</formula>
    </cfRule>
    <cfRule type="expression" dxfId="54" priority="43">
      <formula>$H5="High"</formula>
    </cfRule>
    <cfRule type="expression" dxfId="53" priority="48">
      <formula>$H5="Critical"</formula>
    </cfRule>
    <cfRule type="expression" dxfId="52" priority="49">
      <formula>$H5="High"</formula>
    </cfRule>
  </conditionalFormatting>
  <conditionalFormatting sqref="J5:J17 J23:J104">
    <cfRule type="expression" dxfId="51" priority="44">
      <formula>$J5="Low"</formula>
    </cfRule>
  </conditionalFormatting>
  <conditionalFormatting sqref="J5:J22">
    <cfRule type="expression" dxfId="50" priority="5">
      <formula>$J5="Critical"</formula>
    </cfRule>
    <cfRule type="expression" dxfId="49" priority="6">
      <formula>$J5="High"</formula>
    </cfRule>
    <cfRule type="expression" dxfId="48" priority="7">
      <formula>$J5="Medium"</formula>
    </cfRule>
  </conditionalFormatting>
  <conditionalFormatting sqref="J18:J22">
    <cfRule type="expression" dxfId="47" priority="11">
      <formula>$J18="Low"</formula>
    </cfRule>
  </conditionalFormatting>
  <conditionalFormatting sqref="J23:J104">
    <cfRule type="expression" dxfId="46" priority="29">
      <formula>$J23="Critical"</formula>
    </cfRule>
    <cfRule type="expression" dxfId="45" priority="34">
      <formula>$J23="High"</formula>
    </cfRule>
    <cfRule type="expression" dxfId="44" priority="35">
      <formula>$J23="Medium"</formula>
    </cfRule>
  </conditionalFormatting>
  <conditionalFormatting sqref="J18:T22">
    <cfRule type="expression" dxfId="43" priority="8">
      <formula>$H18="Critical"</formula>
    </cfRule>
    <cfRule type="expression" dxfId="42" priority="9">
      <formula>$H18="High"</formula>
    </cfRule>
    <cfRule type="expression" dxfId="41" priority="10">
      <formula>$H18="Medium"</formula>
    </cfRule>
  </conditionalFormatting>
  <conditionalFormatting sqref="L5:L104">
    <cfRule type="expression" dxfId="40" priority="12">
      <formula>$L5="Yes"</formula>
    </cfRule>
  </conditionalFormatting>
  <pageMargins left="0.25" right="0.25" top="0.5" bottom="0.5" header="0.5" footer="0.5"/>
  <pageSetup fitToHeight="0" orientation="landscape" r:id="rId1"/>
  <headerFooter>
    <oddHeader>&amp;C&amp;"Aptos,Bold"&amp;14 Amir Group of Companies - SLT Action Tracker</oddHeader>
    <oddFooter>&amp;CConfidential - Page &amp;P of &amp;N</oddFooter>
  </headerFooter>
  <extLst>
    <ext xmlns:x14="http://schemas.microsoft.com/office/spreadsheetml/2009/9/main" uri="{CCE6A557-97BC-4b89-ADB6-D9C93CAAB3DF}">
      <x14:dataValidations xmlns:xm="http://schemas.microsoft.com/office/excel/2006/main" count="9">
        <x14:dataValidation type="list" allowBlank="1" showInputMessage="1" showErrorMessage="1" xr:uid="{AE0A2D47-5CFC-4140-89BC-180D216C8D55}">
          <x14:formula1>
            <xm:f>'Lists &amp; Controls'!$B$5:$B$8</xm:f>
          </x14:formula1>
          <xm:sqref>H1:I2 I95:I1048576 H5:H1048576</xm:sqref>
        </x14:dataValidation>
        <x14:dataValidation type="list" allowBlank="1" showInputMessage="1" showErrorMessage="1" xr:uid="{08F190BD-5D7D-4811-8EBE-C4A2DACF6346}">
          <x14:formula1>
            <xm:f>'Lists &amp; Controls'!$C$5:$C$7</xm:f>
          </x14:formula1>
          <xm:sqref>J5:J1048576</xm:sqref>
        </x14:dataValidation>
        <x14:dataValidation type="list" allowBlank="1" showInputMessage="1" showErrorMessage="1" xr:uid="{A10126AC-2F02-48AE-A193-3225116B982D}">
          <x14:formula1>
            <xm:f>'Lists &amp; Controls'!$G$5:$G$6</xm:f>
          </x14:formula1>
          <xm:sqref>L5:L1048576</xm:sqref>
        </x14:dataValidation>
        <x14:dataValidation type="list" errorStyle="information" allowBlank="1" showInputMessage="1" xr:uid="{CE13AFE3-ED6A-4899-9608-A97C2FA03764}">
          <x14:formula1>
            <xm:f>'Lists &amp; Controls'!$F$5:$F$100</xm:f>
          </x14:formula1>
          <xm:sqref>K5:K1048576</xm:sqref>
        </x14:dataValidation>
        <x14:dataValidation type="list" errorStyle="information" allowBlank="1" showInputMessage="1" xr:uid="{D92CA06C-E593-4EA3-8043-26234FF1494B}">
          <x14:formula1>
            <xm:f>'Lists &amp; Controls'!$A$5:$A$40</xm:f>
          </x14:formula1>
          <xm:sqref>G5:G1048576</xm:sqref>
        </x14:dataValidation>
        <x14:dataValidation type="list" errorStyle="information" allowBlank="1" showInputMessage="1" xr:uid="{A1865A82-71DA-48A7-B539-38485FA4AF9F}">
          <x14:formula1>
            <xm:f>'Lists &amp; Controls'!$H$5:$H$100</xm:f>
          </x14:formula1>
          <xm:sqref>M5:M1048576</xm:sqref>
        </x14:dataValidation>
        <x14:dataValidation type="list" errorStyle="information" allowBlank="1" showInputMessage="1" xr:uid="{58854D48-22B5-466A-B0B5-07C41BAC7E0E}">
          <x14:formula1>
            <xm:f>'Lists &amp; Controls'!$M$5:$M$100</xm:f>
          </x14:formula1>
          <xm:sqref>C5:C1048576</xm:sqref>
        </x14:dataValidation>
        <x14:dataValidation type="list" allowBlank="1" xr:uid="{38858515-45CC-48F1-A54B-E740E00F1F56}">
          <x14:formula1>
            <xm:f>'Lists &amp; Controls'!$N$5:$N$28</xm:f>
          </x14:formula1>
          <xm:sqref>D5:D1048576</xm:sqref>
        </x14:dataValidation>
        <x14:dataValidation type="list" allowBlank="1" showInputMessage="1" showErrorMessage="1" xr:uid="{BCD420D6-727A-4EC5-9B7E-FABCE35D276C}">
          <x14:formula1>
            <xm:f>'Lists &amp; Controls'!$L$5:$L$93</xm:f>
          </x14:formula1>
          <xm:sqref>N5:N1048576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N204"/>
  <sheetViews>
    <sheetView showGridLines="0" zoomScaleNormal="100" workbookViewId="0">
      <selection activeCell="D9" sqref="D9"/>
    </sheetView>
  </sheetViews>
  <sheetFormatPr defaultRowHeight="14.5"/>
  <cols>
    <col min="1" max="1" width="15" customWidth="1"/>
    <col min="2" max="2" width="38" customWidth="1"/>
    <col min="3" max="3" width="20" customWidth="1"/>
    <col min="4" max="4" width="16" customWidth="1"/>
    <col min="5" max="5" width="16" style="7" customWidth="1"/>
    <col min="6" max="6" width="44" customWidth="1"/>
    <col min="7" max="7" width="21" customWidth="1"/>
    <col min="8" max="8" width="23" customWidth="1"/>
    <col min="9" max="10" width="18" style="132" customWidth="1"/>
    <col min="11" max="11" width="14" style="132" customWidth="1"/>
    <col min="12" max="12" width="22" style="132" customWidth="1"/>
    <col min="13" max="13" width="15" customWidth="1"/>
    <col min="14" max="14" width="17" style="132" customWidth="1"/>
    <col min="15" max="15" width="42" customWidth="1"/>
    <col min="16" max="16" width="16" style="7" customWidth="1"/>
    <col min="17" max="17" width="16" style="132" customWidth="1"/>
    <col min="18" max="18" width="15" customWidth="1"/>
    <col min="19" max="19" width="42" customWidth="1"/>
    <col min="20" max="20" width="32" customWidth="1"/>
    <col min="21" max="21" width="38" customWidth="1"/>
    <col min="22" max="22" width="20" hidden="1" customWidth="1"/>
    <col min="23" max="23" width="15" hidden="1" customWidth="1"/>
    <col min="24" max="25" width="18" hidden="1" customWidth="1"/>
    <col min="26" max="26" width="38" hidden="1" customWidth="1"/>
    <col min="27" max="27" width="18" hidden="1" customWidth="1"/>
    <col min="28" max="28" width="34" hidden="1" customWidth="1"/>
    <col min="29" max="30" width="42" hidden="1" customWidth="1"/>
    <col min="31" max="31" width="18" hidden="1" customWidth="1"/>
    <col min="32" max="32" width="16" hidden="1" customWidth="1"/>
    <col min="33" max="34" width="15" hidden="1" customWidth="1"/>
    <col min="35" max="36" width="22" hidden="1" customWidth="1"/>
    <col min="37" max="39" width="18" hidden="1" customWidth="1"/>
    <col min="40" max="40" width="16" hidden="1" customWidth="1"/>
  </cols>
  <sheetData>
    <row r="1" spans="1:40" ht="28" customHeight="1">
      <c r="A1" s="355" t="s">
        <v>81</v>
      </c>
      <c r="B1" s="356"/>
      <c r="C1" s="356"/>
      <c r="D1" s="356"/>
      <c r="E1" s="356"/>
      <c r="F1" s="356"/>
      <c r="G1" s="356"/>
      <c r="H1" s="356"/>
      <c r="I1" s="356"/>
      <c r="J1" s="356"/>
      <c r="K1" s="356"/>
      <c r="L1" s="356"/>
      <c r="M1" s="356"/>
      <c r="N1" s="356"/>
      <c r="O1" s="356"/>
      <c r="P1" s="356"/>
      <c r="Q1" s="356"/>
      <c r="R1" s="356"/>
      <c r="S1" s="356"/>
      <c r="T1" s="356"/>
      <c r="U1" s="356"/>
      <c r="V1" s="356"/>
      <c r="W1" s="356"/>
      <c r="X1" s="356"/>
      <c r="Y1" s="356"/>
      <c r="Z1" s="356"/>
      <c r="AA1" s="356"/>
      <c r="AB1" s="356"/>
      <c r="AC1" s="356"/>
      <c r="AD1" s="356"/>
      <c r="AE1" s="356"/>
      <c r="AF1" s="356"/>
      <c r="AG1" s="356"/>
      <c r="AH1" s="356"/>
      <c r="AI1" s="356"/>
      <c r="AJ1" s="356"/>
      <c r="AK1" s="356"/>
      <c r="AL1" s="356"/>
      <c r="AM1" s="356"/>
      <c r="AN1" s="356"/>
    </row>
    <row r="2" spans="1:40" ht="28" customHeight="1">
      <c r="A2" s="354" t="s">
        <v>437</v>
      </c>
      <c r="B2" s="274"/>
      <c r="C2" s="274"/>
      <c r="D2" s="274"/>
      <c r="E2" s="274"/>
      <c r="F2" s="274"/>
      <c r="G2" s="274"/>
      <c r="H2" s="274"/>
      <c r="I2" s="274"/>
      <c r="J2" s="274"/>
      <c r="K2" s="274"/>
      <c r="L2" s="274"/>
      <c r="M2" s="274"/>
      <c r="N2" s="274"/>
      <c r="O2" s="274"/>
      <c r="P2" s="274"/>
      <c r="Q2" s="274"/>
      <c r="R2" s="274"/>
      <c r="S2" s="274"/>
      <c r="T2" s="274"/>
      <c r="U2" s="274"/>
      <c r="V2" s="274"/>
      <c r="W2" s="274"/>
      <c r="X2" s="274"/>
      <c r="Y2" s="274"/>
      <c r="Z2" s="274"/>
      <c r="AA2" s="274"/>
      <c r="AB2" s="274"/>
      <c r="AC2" s="274"/>
      <c r="AD2" s="274"/>
      <c r="AE2" s="274"/>
      <c r="AF2" s="274"/>
      <c r="AG2" s="274"/>
      <c r="AH2" s="274"/>
      <c r="AI2" s="274"/>
      <c r="AJ2" s="274"/>
      <c r="AK2" s="274"/>
      <c r="AL2" s="274"/>
      <c r="AM2" s="274"/>
      <c r="AN2" s="274"/>
    </row>
    <row r="3" spans="1:40" ht="36" customHeight="1">
      <c r="A3" s="353" t="s">
        <v>438</v>
      </c>
      <c r="B3" s="274"/>
      <c r="C3" s="274"/>
      <c r="D3" s="274"/>
      <c r="E3" s="274"/>
      <c r="F3" s="274"/>
      <c r="G3" s="274"/>
      <c r="H3" s="274"/>
      <c r="I3" s="274"/>
      <c r="J3" s="274"/>
      <c r="K3" s="274"/>
      <c r="L3" s="274"/>
      <c r="M3" s="274"/>
      <c r="N3" s="274"/>
      <c r="O3" s="274"/>
      <c r="P3" s="274"/>
      <c r="Q3" s="274"/>
      <c r="R3" s="274"/>
      <c r="S3" s="274"/>
      <c r="T3" s="274"/>
      <c r="U3" s="274"/>
      <c r="V3" s="274"/>
      <c r="W3" s="274"/>
      <c r="X3" s="274"/>
      <c r="Y3" s="274"/>
      <c r="Z3" s="274"/>
      <c r="AA3" s="274"/>
      <c r="AB3" s="274"/>
      <c r="AC3" s="274"/>
      <c r="AD3" s="274"/>
      <c r="AE3" s="274"/>
      <c r="AF3" s="274"/>
      <c r="AG3" s="274"/>
      <c r="AH3" s="274"/>
      <c r="AI3" s="274"/>
      <c r="AJ3" s="274"/>
      <c r="AK3" s="274"/>
      <c r="AL3" s="274"/>
      <c r="AM3" s="274"/>
      <c r="AN3" s="274"/>
    </row>
    <row r="4" spans="1:40" s="128" customFormat="1" ht="34" customHeight="1">
      <c r="A4" s="127" t="s">
        <v>439</v>
      </c>
      <c r="B4" s="127" t="s">
        <v>440</v>
      </c>
      <c r="C4" s="127" t="s">
        <v>441</v>
      </c>
      <c r="D4" s="127" t="s">
        <v>442</v>
      </c>
      <c r="E4" s="127" t="s">
        <v>443</v>
      </c>
      <c r="F4" s="127" t="s">
        <v>444</v>
      </c>
      <c r="G4" s="127" t="s">
        <v>102</v>
      </c>
      <c r="H4" s="127" t="s">
        <v>445</v>
      </c>
      <c r="I4" s="127" t="s">
        <v>446</v>
      </c>
      <c r="J4" s="127" t="s">
        <v>161</v>
      </c>
      <c r="K4" s="127" t="s">
        <v>159</v>
      </c>
      <c r="L4" s="127" t="s">
        <v>105</v>
      </c>
      <c r="M4" s="127" t="s">
        <v>447</v>
      </c>
      <c r="N4" s="127" t="s">
        <v>448</v>
      </c>
      <c r="O4" s="127" t="s">
        <v>449</v>
      </c>
      <c r="P4" s="127" t="s">
        <v>450</v>
      </c>
      <c r="Q4" s="127" t="s">
        <v>451</v>
      </c>
      <c r="R4" s="127" t="s">
        <v>452</v>
      </c>
      <c r="S4" s="127" t="s">
        <v>453</v>
      </c>
      <c r="T4" s="127" t="s">
        <v>163</v>
      </c>
      <c r="U4" s="127" t="s">
        <v>164</v>
      </c>
      <c r="V4" s="127" t="s">
        <v>454</v>
      </c>
      <c r="W4" s="127" t="s">
        <v>168</v>
      </c>
      <c r="X4" s="127" t="s">
        <v>455</v>
      </c>
      <c r="Y4" s="127" t="s">
        <v>456</v>
      </c>
      <c r="Z4" s="127" t="s">
        <v>457</v>
      </c>
      <c r="AA4" s="127" t="s">
        <v>458</v>
      </c>
      <c r="AB4" s="127" t="s">
        <v>157</v>
      </c>
      <c r="AC4" s="127" t="s">
        <v>459</v>
      </c>
      <c r="AD4" s="127" t="s">
        <v>460</v>
      </c>
      <c r="AE4" s="127" t="s">
        <v>461</v>
      </c>
      <c r="AF4" s="127" t="s">
        <v>462</v>
      </c>
      <c r="AG4" s="127" t="s">
        <v>101</v>
      </c>
      <c r="AH4" s="127" t="s">
        <v>463</v>
      </c>
      <c r="AI4" s="127" t="s">
        <v>464</v>
      </c>
      <c r="AJ4" s="127" t="s">
        <v>465</v>
      </c>
      <c r="AK4" s="127" t="s">
        <v>466</v>
      </c>
      <c r="AL4" s="127" t="s">
        <v>467</v>
      </c>
      <c r="AM4" s="127" t="s">
        <v>468</v>
      </c>
      <c r="AN4" s="127" t="s">
        <v>469</v>
      </c>
    </row>
    <row r="5" spans="1:40" ht="42" customHeight="1">
      <c r="A5" s="264" t="s">
        <v>470</v>
      </c>
      <c r="B5" s="265" t="s">
        <v>471</v>
      </c>
      <c r="C5" s="265" t="s">
        <v>128</v>
      </c>
      <c r="D5" s="265" t="s">
        <v>137</v>
      </c>
      <c r="E5" s="271">
        <v>46225</v>
      </c>
      <c r="F5" s="265" t="s">
        <v>472</v>
      </c>
      <c r="G5" s="265" t="s">
        <v>182</v>
      </c>
      <c r="H5" s="265" t="s">
        <v>473</v>
      </c>
      <c r="I5" s="264" t="s">
        <v>474</v>
      </c>
      <c r="J5" s="264" t="s">
        <v>175</v>
      </c>
      <c r="K5" s="264" t="s">
        <v>173</v>
      </c>
      <c r="L5" s="264" t="s">
        <v>128</v>
      </c>
      <c r="M5" s="267"/>
      <c r="N5" s="264" t="s">
        <v>184</v>
      </c>
      <c r="O5" s="265" t="s">
        <v>475</v>
      </c>
      <c r="P5" s="264" t="s">
        <v>137</v>
      </c>
      <c r="Q5" s="264" t="s">
        <v>135</v>
      </c>
      <c r="R5" s="267">
        <v>46219</v>
      </c>
      <c r="S5" s="265" t="s">
        <v>476</v>
      </c>
      <c r="T5" s="265"/>
      <c r="U5" s="265" t="s">
        <v>477</v>
      </c>
      <c r="V5" s="265" t="s">
        <v>478</v>
      </c>
      <c r="W5" s="264" t="str">
        <f t="shared" ref="W5:W36" si="0">IF($B5="","",IF(OR($G5="Completed",$G5="Cancelled"),"INACTIVE","ACTIVE"))</f>
        <v>INACTIVE</v>
      </c>
      <c r="X5" s="265"/>
      <c r="Y5" s="265"/>
      <c r="Z5" s="265"/>
      <c r="AA5" s="265"/>
      <c r="AB5" s="265"/>
      <c r="AC5" s="265"/>
      <c r="AD5" s="265"/>
      <c r="AE5" s="265"/>
      <c r="AF5" s="265"/>
      <c r="AG5" s="267"/>
      <c r="AH5" s="267"/>
      <c r="AI5" s="265"/>
      <c r="AJ5" s="265"/>
      <c r="AK5" s="265"/>
      <c r="AL5" s="265"/>
      <c r="AM5" s="264" t="s">
        <v>479</v>
      </c>
      <c r="AN5" s="264" t="str">
        <f>IF($A5="","",IF(COUNTIF('Decision Queue'!$A$5:$A$204,$A5)+COUNTIF('Decision Register'!$A$5:$A$304,$A5)&gt;1,"DUPLICATE ID","OK"))</f>
        <v>OK</v>
      </c>
    </row>
    <row r="6" spans="1:40" ht="42" customHeight="1">
      <c r="A6" s="191" t="s">
        <v>480</v>
      </c>
      <c r="B6" s="189" t="s">
        <v>481</v>
      </c>
      <c r="C6" s="189" t="s">
        <v>126</v>
      </c>
      <c r="D6" s="189" t="s">
        <v>129</v>
      </c>
      <c r="E6" s="190">
        <v>46227</v>
      </c>
      <c r="F6" s="189" t="s">
        <v>482</v>
      </c>
      <c r="G6" s="189" t="s">
        <v>483</v>
      </c>
      <c r="H6" s="189" t="s">
        <v>484</v>
      </c>
      <c r="I6" s="191" t="s">
        <v>474</v>
      </c>
      <c r="J6" s="191" t="s">
        <v>191</v>
      </c>
      <c r="K6" s="191" t="s">
        <v>183</v>
      </c>
      <c r="L6" s="191" t="s">
        <v>126</v>
      </c>
      <c r="M6" s="192"/>
      <c r="N6" s="191" t="s">
        <v>184</v>
      </c>
      <c r="O6" s="189" t="s">
        <v>485</v>
      </c>
      <c r="P6" s="191" t="s">
        <v>129</v>
      </c>
      <c r="Q6" s="191" t="s">
        <v>135</v>
      </c>
      <c r="R6" s="192">
        <v>46219</v>
      </c>
      <c r="S6" s="189" t="s">
        <v>486</v>
      </c>
      <c r="T6" s="189"/>
      <c r="U6" s="189" t="s">
        <v>487</v>
      </c>
      <c r="V6" s="189" t="s">
        <v>488</v>
      </c>
      <c r="W6" s="191" t="str">
        <f t="shared" si="0"/>
        <v>ACTIVE</v>
      </c>
      <c r="X6" s="189"/>
      <c r="Y6" s="189"/>
      <c r="Z6" s="189"/>
      <c r="AA6" s="189"/>
      <c r="AB6" s="189"/>
      <c r="AC6" s="189"/>
      <c r="AD6" s="189"/>
      <c r="AE6" s="189"/>
      <c r="AF6" s="189"/>
      <c r="AG6" s="192"/>
      <c r="AH6" s="192"/>
      <c r="AI6" s="189"/>
      <c r="AJ6" s="189"/>
      <c r="AK6" s="189"/>
      <c r="AL6" s="189"/>
      <c r="AM6" s="191" t="s">
        <v>479</v>
      </c>
      <c r="AN6" s="191" t="str">
        <f>IF($A6="","",IF(COUNTIF('Decision Queue'!$A$5:$A$204,$A6)+COUNTIF('Decision Register'!$A$5:$A$304,$A6)&gt;1,"DUPLICATE ID","OK"))</f>
        <v>OK</v>
      </c>
    </row>
    <row r="7" spans="1:40" ht="112.5" customHeight="1">
      <c r="A7" s="191" t="s">
        <v>489</v>
      </c>
      <c r="B7" s="189" t="s">
        <v>490</v>
      </c>
      <c r="C7" s="189" t="s">
        <v>228</v>
      </c>
      <c r="D7" s="189" t="s">
        <v>131</v>
      </c>
      <c r="E7" s="190">
        <v>46251</v>
      </c>
      <c r="F7" s="189" t="s">
        <v>491</v>
      </c>
      <c r="G7" s="189" t="s">
        <v>242</v>
      </c>
      <c r="H7" s="189" t="s">
        <v>492</v>
      </c>
      <c r="I7" s="191" t="s">
        <v>493</v>
      </c>
      <c r="J7" s="191" t="s">
        <v>175</v>
      </c>
      <c r="K7" s="191" t="s">
        <v>173</v>
      </c>
      <c r="L7" s="191" t="s">
        <v>138</v>
      </c>
      <c r="M7" s="192"/>
      <c r="N7" s="191" t="s">
        <v>184</v>
      </c>
      <c r="O7" s="189" t="s">
        <v>494</v>
      </c>
      <c r="P7" s="191" t="s">
        <v>131</v>
      </c>
      <c r="Q7" s="191" t="s">
        <v>131</v>
      </c>
      <c r="R7" s="192">
        <v>46223</v>
      </c>
      <c r="S7" s="189" t="s">
        <v>495</v>
      </c>
      <c r="T7" s="189"/>
      <c r="U7" s="189"/>
      <c r="V7" s="189" t="s">
        <v>496</v>
      </c>
      <c r="W7" s="191" t="str">
        <f t="shared" si="0"/>
        <v>ACTIVE</v>
      </c>
      <c r="X7" s="189"/>
      <c r="Y7" s="189"/>
      <c r="Z7" s="189"/>
      <c r="AA7" s="189"/>
      <c r="AB7" s="189"/>
      <c r="AC7" s="189"/>
      <c r="AD7" s="189"/>
      <c r="AE7" s="189"/>
      <c r="AF7" s="189"/>
      <c r="AG7" s="192"/>
      <c r="AH7" s="192"/>
      <c r="AI7" s="189"/>
      <c r="AJ7" s="189"/>
      <c r="AK7" s="189"/>
      <c r="AL7" s="189"/>
      <c r="AM7" s="191" t="s">
        <v>479</v>
      </c>
      <c r="AN7" s="191" t="str">
        <f>IF($A7="","",IF(COUNTIF('Decision Queue'!$A$5:$A$204,$A7)+COUNTIF('Decision Register'!$A$5:$A$304,$A7)&gt;1,"DUPLICATE ID","OK"))</f>
        <v>OK</v>
      </c>
    </row>
    <row r="8" spans="1:40" ht="138" customHeight="1">
      <c r="A8" s="191" t="s">
        <v>497</v>
      </c>
      <c r="B8" s="189" t="s">
        <v>498</v>
      </c>
      <c r="C8" s="193" t="s">
        <v>132</v>
      </c>
      <c r="D8" s="193" t="s">
        <v>127</v>
      </c>
      <c r="E8" s="190">
        <v>46451</v>
      </c>
      <c r="F8" s="189" t="s">
        <v>499</v>
      </c>
      <c r="G8" s="193" t="s">
        <v>370</v>
      </c>
      <c r="H8" s="193" t="s">
        <v>492</v>
      </c>
      <c r="I8" s="191" t="s">
        <v>474</v>
      </c>
      <c r="J8" s="191" t="s">
        <v>175</v>
      </c>
      <c r="K8" s="191" t="s">
        <v>190</v>
      </c>
      <c r="L8" s="191" t="s">
        <v>132</v>
      </c>
      <c r="M8" s="192">
        <v>46310</v>
      </c>
      <c r="N8" s="191" t="s">
        <v>184</v>
      </c>
      <c r="O8" s="189" t="s">
        <v>500</v>
      </c>
      <c r="P8" s="191" t="s">
        <v>127</v>
      </c>
      <c r="Q8" s="191" t="s">
        <v>135</v>
      </c>
      <c r="R8" s="268">
        <v>46244</v>
      </c>
      <c r="S8" s="189" t="s">
        <v>501</v>
      </c>
      <c r="T8" s="189"/>
      <c r="U8" s="189" t="s">
        <v>502</v>
      </c>
      <c r="V8" s="189"/>
      <c r="W8" s="191" t="str">
        <f t="shared" si="0"/>
        <v>ACTIVE</v>
      </c>
      <c r="X8" s="189"/>
      <c r="Y8" s="189"/>
      <c r="Z8" s="189"/>
      <c r="AA8" s="189"/>
      <c r="AB8" s="189"/>
      <c r="AC8" s="189"/>
      <c r="AD8" s="189"/>
      <c r="AE8" s="189"/>
      <c r="AF8" s="189"/>
      <c r="AG8" s="192"/>
      <c r="AH8" s="192"/>
      <c r="AI8" s="189"/>
      <c r="AJ8" s="189"/>
      <c r="AK8" s="189"/>
      <c r="AL8" s="189"/>
      <c r="AM8" s="191"/>
      <c r="AN8" s="191" t="str">
        <f>IF($A8="","",IF(COUNTIF('Decision Queue'!$A$5:$A$204,$A8)+COUNTIF('Decision Register'!$A$5:$A$304,$A8)&gt;1,"DUPLICATE ID","OK"))</f>
        <v>OK</v>
      </c>
    </row>
    <row r="9" spans="1:40" ht="111" customHeight="1">
      <c r="A9" s="191" t="s">
        <v>503</v>
      </c>
      <c r="B9" s="189" t="s">
        <v>504</v>
      </c>
      <c r="C9" s="193" t="s">
        <v>132</v>
      </c>
      <c r="D9" s="193" t="s">
        <v>129</v>
      </c>
      <c r="E9" s="190">
        <v>46300</v>
      </c>
      <c r="F9" s="189" t="s">
        <v>505</v>
      </c>
      <c r="G9" s="193" t="s">
        <v>483</v>
      </c>
      <c r="H9" s="193" t="s">
        <v>492</v>
      </c>
      <c r="I9" s="191" t="s">
        <v>493</v>
      </c>
      <c r="J9" s="191"/>
      <c r="K9" s="191" t="s">
        <v>173</v>
      </c>
      <c r="L9" s="191" t="s">
        <v>132</v>
      </c>
      <c r="M9" s="192">
        <v>46300</v>
      </c>
      <c r="N9" s="191"/>
      <c r="O9" s="189" t="s">
        <v>506</v>
      </c>
      <c r="P9" s="194" t="s">
        <v>129</v>
      </c>
      <c r="Q9" s="194" t="s">
        <v>129</v>
      </c>
      <c r="R9" s="190">
        <v>46293</v>
      </c>
      <c r="S9" s="189" t="s">
        <v>507</v>
      </c>
      <c r="T9" s="189" t="s">
        <v>508</v>
      </c>
      <c r="U9" s="189"/>
      <c r="V9" s="189"/>
      <c r="W9" s="191" t="str">
        <f t="shared" si="0"/>
        <v>ACTIVE</v>
      </c>
      <c r="X9" s="189"/>
      <c r="Y9" s="189"/>
      <c r="Z9" s="189"/>
      <c r="AA9" s="189"/>
      <c r="AB9" s="189"/>
      <c r="AC9" s="189"/>
      <c r="AD9" s="189"/>
      <c r="AE9" s="189"/>
      <c r="AF9" s="189"/>
      <c r="AG9" s="192"/>
      <c r="AH9" s="192"/>
      <c r="AI9" s="189"/>
      <c r="AJ9" s="189"/>
      <c r="AK9" s="189"/>
      <c r="AL9" s="189"/>
      <c r="AM9" s="191"/>
      <c r="AN9" s="191" t="str">
        <f>IF($A9="","",IF(COUNTIF('Decision Queue'!$A$5:$A$204,$A9)+COUNTIF('Decision Register'!$A$5:$A$304,$A9)&gt;1,"DUPLICATE ID","OK"))</f>
        <v>OK</v>
      </c>
    </row>
    <row r="10" spans="1:40" ht="42" customHeight="1">
      <c r="A10" s="191" t="s">
        <v>509</v>
      </c>
      <c r="B10" s="189"/>
      <c r="C10" s="189"/>
      <c r="D10" s="189"/>
      <c r="E10" s="190"/>
      <c r="F10" s="189"/>
      <c r="G10" s="189"/>
      <c r="H10" s="189"/>
      <c r="I10" s="191"/>
      <c r="J10" s="191"/>
      <c r="K10" s="191"/>
      <c r="L10" s="191"/>
      <c r="M10" s="192"/>
      <c r="N10" s="191"/>
      <c r="O10" s="189"/>
      <c r="P10" s="194"/>
      <c r="Q10" s="191"/>
      <c r="R10" s="268"/>
      <c r="S10" s="189"/>
      <c r="T10" s="189"/>
      <c r="U10" s="189"/>
      <c r="V10" s="189"/>
      <c r="W10" s="191" t="str">
        <f t="shared" si="0"/>
        <v/>
      </c>
      <c r="X10" s="189"/>
      <c r="Y10" s="189"/>
      <c r="Z10" s="189"/>
      <c r="AA10" s="189"/>
      <c r="AB10" s="189"/>
      <c r="AC10" s="189"/>
      <c r="AD10" s="189"/>
      <c r="AE10" s="189"/>
      <c r="AF10" s="189"/>
      <c r="AG10" s="192"/>
      <c r="AH10" s="192"/>
      <c r="AI10" s="189"/>
      <c r="AJ10" s="189"/>
      <c r="AK10" s="189"/>
      <c r="AL10" s="189"/>
      <c r="AM10" s="191"/>
      <c r="AN10" s="191" t="str">
        <f>IF($A10="","",IF(COUNTIF('Decision Queue'!$A$5:$A$204,$A10)+COUNTIF('Decision Register'!$A$5:$A$304,$A10)&gt;1,"DUPLICATE ID","OK"))</f>
        <v>OK</v>
      </c>
    </row>
    <row r="11" spans="1:40" ht="42" customHeight="1">
      <c r="A11" s="191"/>
      <c r="B11" s="189"/>
      <c r="C11" s="189"/>
      <c r="D11" s="189"/>
      <c r="E11" s="190"/>
      <c r="F11" s="189"/>
      <c r="G11" s="189"/>
      <c r="H11" s="189"/>
      <c r="I11" s="191"/>
      <c r="J11" s="191"/>
      <c r="K11" s="191"/>
      <c r="L11" s="191"/>
      <c r="M11" s="192"/>
      <c r="N11" s="191"/>
      <c r="O11" s="189"/>
      <c r="P11" s="194"/>
      <c r="Q11" s="191"/>
      <c r="R11" s="192"/>
      <c r="S11" s="189"/>
      <c r="T11" s="189"/>
      <c r="U11" s="189"/>
      <c r="V11" s="189"/>
      <c r="W11" s="191" t="str">
        <f t="shared" si="0"/>
        <v/>
      </c>
      <c r="X11" s="189"/>
      <c r="Y11" s="189"/>
      <c r="Z11" s="189"/>
      <c r="AA11" s="189"/>
      <c r="AB11" s="189"/>
      <c r="AC11" s="189"/>
      <c r="AD11" s="189"/>
      <c r="AE11" s="189"/>
      <c r="AF11" s="189"/>
      <c r="AG11" s="192"/>
      <c r="AH11" s="192"/>
      <c r="AI11" s="189"/>
      <c r="AJ11" s="189"/>
      <c r="AK11" s="189"/>
      <c r="AL11" s="189"/>
      <c r="AM11" s="191"/>
      <c r="AN11" s="191" t="str">
        <f>IF($A11="","",IF(COUNTIF('Decision Queue'!$A$5:$A$204,$A11)+COUNTIF('Decision Register'!$A$5:$A$304,$A11)&gt;1,"DUPLICATE ID","OK"))</f>
        <v/>
      </c>
    </row>
    <row r="12" spans="1:40" ht="42" customHeight="1">
      <c r="A12" s="191"/>
      <c r="B12" s="189"/>
      <c r="C12" s="189"/>
      <c r="D12" s="189"/>
      <c r="E12" s="190"/>
      <c r="F12" s="189"/>
      <c r="G12" s="189"/>
      <c r="H12" s="189"/>
      <c r="I12" s="191"/>
      <c r="J12" s="191"/>
      <c r="K12" s="191"/>
      <c r="L12" s="191"/>
      <c r="M12" s="192"/>
      <c r="N12" s="191"/>
      <c r="O12" s="189"/>
      <c r="P12" s="194"/>
      <c r="Q12" s="191"/>
      <c r="R12" s="192"/>
      <c r="S12" s="189"/>
      <c r="T12" s="189"/>
      <c r="U12" s="189"/>
      <c r="V12" s="189"/>
      <c r="W12" s="191" t="str">
        <f t="shared" si="0"/>
        <v/>
      </c>
      <c r="X12" s="189"/>
      <c r="Y12" s="189"/>
      <c r="Z12" s="189"/>
      <c r="AA12" s="189"/>
      <c r="AB12" s="189"/>
      <c r="AC12" s="189"/>
      <c r="AD12" s="189"/>
      <c r="AE12" s="189"/>
      <c r="AF12" s="189"/>
      <c r="AG12" s="192"/>
      <c r="AH12" s="192"/>
      <c r="AI12" s="189"/>
      <c r="AJ12" s="189"/>
      <c r="AK12" s="189"/>
      <c r="AL12" s="189"/>
      <c r="AM12" s="191"/>
      <c r="AN12" s="191" t="str">
        <f>IF($A12="","",IF(COUNTIF('Decision Queue'!$A$5:$A$204,$A12)+COUNTIF('Decision Register'!$A$5:$A$304,$A12)&gt;1,"DUPLICATE ID","OK"))</f>
        <v/>
      </c>
    </row>
    <row r="13" spans="1:40" ht="42" customHeight="1">
      <c r="A13" s="191"/>
      <c r="B13" s="189"/>
      <c r="C13" s="189"/>
      <c r="D13" s="189"/>
      <c r="E13" s="190"/>
      <c r="F13" s="189"/>
      <c r="G13" s="189"/>
      <c r="H13" s="189"/>
      <c r="I13" s="191"/>
      <c r="J13" s="191"/>
      <c r="K13" s="191"/>
      <c r="L13" s="191"/>
      <c r="M13" s="192"/>
      <c r="N13" s="191"/>
      <c r="O13" s="189"/>
      <c r="P13" s="194"/>
      <c r="Q13" s="191"/>
      <c r="R13" s="192"/>
      <c r="S13" s="189"/>
      <c r="T13" s="189"/>
      <c r="U13" s="189"/>
      <c r="V13" s="189"/>
      <c r="W13" s="191" t="str">
        <f t="shared" si="0"/>
        <v/>
      </c>
      <c r="X13" s="189"/>
      <c r="Y13" s="189"/>
      <c r="Z13" s="189"/>
      <c r="AA13" s="189"/>
      <c r="AB13" s="189"/>
      <c r="AC13" s="189"/>
      <c r="AD13" s="189"/>
      <c r="AE13" s="189"/>
      <c r="AF13" s="189"/>
      <c r="AG13" s="192"/>
      <c r="AH13" s="192"/>
      <c r="AI13" s="189"/>
      <c r="AJ13" s="189"/>
      <c r="AK13" s="189"/>
      <c r="AL13" s="189"/>
      <c r="AM13" s="191"/>
      <c r="AN13" s="191" t="str">
        <f>IF($A13="","",IF(COUNTIF('Decision Queue'!$A$5:$A$204,$A13)+COUNTIF('Decision Register'!$A$5:$A$304,$A13)&gt;1,"DUPLICATE ID","OK"))</f>
        <v/>
      </c>
    </row>
    <row r="14" spans="1:40" ht="42" customHeight="1">
      <c r="A14" s="191"/>
      <c r="B14" s="189"/>
      <c r="C14" s="189"/>
      <c r="D14" s="189"/>
      <c r="E14" s="190"/>
      <c r="F14" s="189"/>
      <c r="G14" s="189"/>
      <c r="H14" s="189"/>
      <c r="I14" s="191"/>
      <c r="J14" s="191"/>
      <c r="K14" s="191"/>
      <c r="L14" s="191"/>
      <c r="M14" s="192"/>
      <c r="N14" s="191"/>
      <c r="O14" s="189"/>
      <c r="P14" s="194"/>
      <c r="Q14" s="191"/>
      <c r="R14" s="192"/>
      <c r="S14" s="189"/>
      <c r="T14" s="189"/>
      <c r="U14" s="189"/>
      <c r="V14" s="189"/>
      <c r="W14" s="191" t="str">
        <f t="shared" si="0"/>
        <v/>
      </c>
      <c r="X14" s="189"/>
      <c r="Y14" s="189"/>
      <c r="Z14" s="189"/>
      <c r="AA14" s="189"/>
      <c r="AB14" s="189"/>
      <c r="AC14" s="189"/>
      <c r="AD14" s="189"/>
      <c r="AE14" s="189"/>
      <c r="AF14" s="189"/>
      <c r="AG14" s="192"/>
      <c r="AH14" s="192"/>
      <c r="AI14" s="189"/>
      <c r="AJ14" s="189"/>
      <c r="AK14" s="189"/>
      <c r="AL14" s="189"/>
      <c r="AM14" s="191"/>
      <c r="AN14" s="191" t="str">
        <f>IF($A14="","",IF(COUNTIF('Decision Queue'!$A$5:$A$204,$A14)+COUNTIF('Decision Register'!$A$5:$A$304,$A14)&gt;1,"DUPLICATE ID","OK"))</f>
        <v/>
      </c>
    </row>
    <row r="15" spans="1:40" ht="42" customHeight="1">
      <c r="A15" s="191"/>
      <c r="B15" s="189"/>
      <c r="C15" s="189"/>
      <c r="D15" s="189"/>
      <c r="E15" s="190"/>
      <c r="F15" s="189"/>
      <c r="G15" s="189"/>
      <c r="H15" s="189"/>
      <c r="I15" s="191"/>
      <c r="J15" s="191"/>
      <c r="K15" s="191"/>
      <c r="L15" s="191"/>
      <c r="M15" s="192"/>
      <c r="N15" s="191"/>
      <c r="O15" s="189"/>
      <c r="P15" s="194"/>
      <c r="Q15" s="191"/>
      <c r="R15" s="192"/>
      <c r="S15" s="189"/>
      <c r="T15" s="189"/>
      <c r="U15" s="189"/>
      <c r="V15" s="189"/>
      <c r="W15" s="191" t="str">
        <f t="shared" si="0"/>
        <v/>
      </c>
      <c r="X15" s="189"/>
      <c r="Y15" s="189"/>
      <c r="Z15" s="189"/>
      <c r="AA15" s="189"/>
      <c r="AB15" s="189"/>
      <c r="AC15" s="189"/>
      <c r="AD15" s="189"/>
      <c r="AE15" s="189"/>
      <c r="AF15" s="189"/>
      <c r="AG15" s="192"/>
      <c r="AH15" s="192"/>
      <c r="AI15" s="189"/>
      <c r="AJ15" s="189"/>
      <c r="AK15" s="189"/>
      <c r="AL15" s="189"/>
      <c r="AM15" s="191"/>
      <c r="AN15" s="191" t="str">
        <f>IF($A15="","",IF(COUNTIF('Decision Queue'!$A$5:$A$204,$A15)+COUNTIF('Decision Register'!$A$5:$A$304,$A15)&gt;1,"DUPLICATE ID","OK"))</f>
        <v/>
      </c>
    </row>
    <row r="16" spans="1:40" ht="42" customHeight="1">
      <c r="A16" s="191"/>
      <c r="B16" s="189"/>
      <c r="C16" s="189"/>
      <c r="D16" s="189"/>
      <c r="E16" s="190"/>
      <c r="F16" s="189"/>
      <c r="G16" s="189"/>
      <c r="H16" s="189"/>
      <c r="I16" s="191"/>
      <c r="J16" s="191"/>
      <c r="K16" s="191"/>
      <c r="L16" s="191"/>
      <c r="M16" s="192"/>
      <c r="N16" s="191"/>
      <c r="O16" s="189"/>
      <c r="P16" s="194"/>
      <c r="Q16" s="191"/>
      <c r="R16" s="192"/>
      <c r="S16" s="189"/>
      <c r="T16" s="189"/>
      <c r="U16" s="189"/>
      <c r="V16" s="189"/>
      <c r="W16" s="191" t="str">
        <f t="shared" si="0"/>
        <v/>
      </c>
      <c r="X16" s="189"/>
      <c r="Y16" s="189"/>
      <c r="Z16" s="189"/>
      <c r="AA16" s="189"/>
      <c r="AB16" s="189"/>
      <c r="AC16" s="189"/>
      <c r="AD16" s="189"/>
      <c r="AE16" s="189"/>
      <c r="AF16" s="189"/>
      <c r="AG16" s="192"/>
      <c r="AH16" s="192"/>
      <c r="AI16" s="189"/>
      <c r="AJ16" s="189"/>
      <c r="AK16" s="189"/>
      <c r="AL16" s="189"/>
      <c r="AM16" s="191"/>
      <c r="AN16" s="191" t="str">
        <f>IF($A16="","",IF(COUNTIF('Decision Queue'!$A$5:$A$204,$A16)+COUNTIF('Decision Register'!$A$5:$A$304,$A16)&gt;1,"DUPLICATE ID","OK"))</f>
        <v/>
      </c>
    </row>
    <row r="17" spans="1:40" ht="42" customHeight="1">
      <c r="A17" s="191"/>
      <c r="B17" s="189"/>
      <c r="C17" s="189"/>
      <c r="D17" s="189"/>
      <c r="E17" s="190"/>
      <c r="F17" s="189"/>
      <c r="G17" s="189"/>
      <c r="H17" s="189"/>
      <c r="I17" s="191"/>
      <c r="J17" s="191"/>
      <c r="K17" s="191"/>
      <c r="L17" s="191"/>
      <c r="M17" s="192"/>
      <c r="N17" s="191"/>
      <c r="O17" s="189"/>
      <c r="P17" s="194"/>
      <c r="Q17" s="191"/>
      <c r="R17" s="192"/>
      <c r="S17" s="189"/>
      <c r="T17" s="189"/>
      <c r="U17" s="189"/>
      <c r="V17" s="189"/>
      <c r="W17" s="191" t="str">
        <f t="shared" si="0"/>
        <v/>
      </c>
      <c r="X17" s="189"/>
      <c r="Y17" s="189"/>
      <c r="Z17" s="189"/>
      <c r="AA17" s="189"/>
      <c r="AB17" s="189"/>
      <c r="AC17" s="189"/>
      <c r="AD17" s="189"/>
      <c r="AE17" s="189"/>
      <c r="AF17" s="189"/>
      <c r="AG17" s="192"/>
      <c r="AH17" s="192"/>
      <c r="AI17" s="189"/>
      <c r="AJ17" s="189"/>
      <c r="AK17" s="189"/>
      <c r="AL17" s="189"/>
      <c r="AM17" s="191"/>
      <c r="AN17" s="191" t="str">
        <f>IF($A17="","",IF(COUNTIF('Decision Queue'!$A$5:$A$204,$A17)+COUNTIF('Decision Register'!$A$5:$A$304,$A17)&gt;1,"DUPLICATE ID","OK"))</f>
        <v/>
      </c>
    </row>
    <row r="18" spans="1:40" ht="42" customHeight="1">
      <c r="A18" s="191"/>
      <c r="B18" s="189"/>
      <c r="C18" s="189"/>
      <c r="D18" s="189"/>
      <c r="E18" s="190"/>
      <c r="F18" s="189"/>
      <c r="G18" s="189"/>
      <c r="H18" s="189"/>
      <c r="I18" s="191"/>
      <c r="J18" s="191"/>
      <c r="K18" s="191"/>
      <c r="L18" s="191"/>
      <c r="M18" s="192"/>
      <c r="N18" s="191"/>
      <c r="O18" s="189"/>
      <c r="P18" s="194"/>
      <c r="Q18" s="191"/>
      <c r="R18" s="192"/>
      <c r="S18" s="189"/>
      <c r="T18" s="189"/>
      <c r="U18" s="189"/>
      <c r="V18" s="189"/>
      <c r="W18" s="191" t="str">
        <f t="shared" si="0"/>
        <v/>
      </c>
      <c r="X18" s="189"/>
      <c r="Y18" s="189"/>
      <c r="Z18" s="189"/>
      <c r="AA18" s="189"/>
      <c r="AB18" s="189"/>
      <c r="AC18" s="189"/>
      <c r="AD18" s="189"/>
      <c r="AE18" s="189"/>
      <c r="AF18" s="189"/>
      <c r="AG18" s="192"/>
      <c r="AH18" s="192"/>
      <c r="AI18" s="189"/>
      <c r="AJ18" s="189"/>
      <c r="AK18" s="189"/>
      <c r="AL18" s="189"/>
      <c r="AM18" s="191"/>
      <c r="AN18" s="191" t="str">
        <f>IF($A18="","",IF(COUNTIF('Decision Queue'!$A$5:$A$204,$A18)+COUNTIF('Decision Register'!$A$5:$A$304,$A18)&gt;1,"DUPLICATE ID","OK"))</f>
        <v/>
      </c>
    </row>
    <row r="19" spans="1:40" ht="42" customHeight="1">
      <c r="A19" s="191"/>
      <c r="B19" s="189"/>
      <c r="C19" s="189"/>
      <c r="D19" s="189"/>
      <c r="E19" s="190"/>
      <c r="F19" s="189"/>
      <c r="G19" s="189"/>
      <c r="H19" s="189"/>
      <c r="I19" s="191"/>
      <c r="J19" s="191"/>
      <c r="K19" s="191"/>
      <c r="L19" s="191"/>
      <c r="M19" s="192"/>
      <c r="N19" s="191"/>
      <c r="O19" s="189"/>
      <c r="P19" s="194"/>
      <c r="Q19" s="191"/>
      <c r="R19" s="192"/>
      <c r="S19" s="189"/>
      <c r="T19" s="189"/>
      <c r="U19" s="189"/>
      <c r="V19" s="189"/>
      <c r="W19" s="191" t="str">
        <f t="shared" si="0"/>
        <v/>
      </c>
      <c r="X19" s="189"/>
      <c r="Y19" s="189"/>
      <c r="Z19" s="189"/>
      <c r="AA19" s="189"/>
      <c r="AB19" s="189"/>
      <c r="AC19" s="189"/>
      <c r="AD19" s="189"/>
      <c r="AE19" s="189"/>
      <c r="AF19" s="189"/>
      <c r="AG19" s="192"/>
      <c r="AH19" s="192"/>
      <c r="AI19" s="189"/>
      <c r="AJ19" s="189"/>
      <c r="AK19" s="189"/>
      <c r="AL19" s="189"/>
      <c r="AM19" s="191"/>
      <c r="AN19" s="191" t="str">
        <f>IF($A19="","",IF(COUNTIF('Decision Queue'!$A$5:$A$204,$A19)+COUNTIF('Decision Register'!$A$5:$A$304,$A19)&gt;1,"DUPLICATE ID","OK"))</f>
        <v/>
      </c>
    </row>
    <row r="20" spans="1:40" ht="42" customHeight="1">
      <c r="A20" s="191"/>
      <c r="B20" s="189"/>
      <c r="C20" s="189"/>
      <c r="D20" s="189"/>
      <c r="E20" s="190"/>
      <c r="F20" s="189"/>
      <c r="G20" s="189"/>
      <c r="H20" s="189"/>
      <c r="I20" s="191"/>
      <c r="J20" s="191"/>
      <c r="K20" s="191"/>
      <c r="L20" s="191"/>
      <c r="M20" s="192"/>
      <c r="N20" s="191"/>
      <c r="O20" s="189"/>
      <c r="P20" s="194"/>
      <c r="Q20" s="191"/>
      <c r="R20" s="192"/>
      <c r="S20" s="189"/>
      <c r="T20" s="189"/>
      <c r="U20" s="189"/>
      <c r="V20" s="189"/>
      <c r="W20" s="191" t="str">
        <f t="shared" si="0"/>
        <v/>
      </c>
      <c r="X20" s="189"/>
      <c r="Y20" s="189"/>
      <c r="Z20" s="189"/>
      <c r="AA20" s="189"/>
      <c r="AB20" s="189"/>
      <c r="AC20" s="189"/>
      <c r="AD20" s="189"/>
      <c r="AE20" s="189"/>
      <c r="AF20" s="189"/>
      <c r="AG20" s="192"/>
      <c r="AH20" s="192"/>
      <c r="AI20" s="189"/>
      <c r="AJ20" s="189"/>
      <c r="AK20" s="189"/>
      <c r="AL20" s="189"/>
      <c r="AM20" s="191"/>
      <c r="AN20" s="191" t="str">
        <f>IF($A20="","",IF(COUNTIF('Decision Queue'!$A$5:$A$204,$A20)+COUNTIF('Decision Register'!$A$5:$A$304,$A20)&gt;1,"DUPLICATE ID","OK"))</f>
        <v/>
      </c>
    </row>
    <row r="21" spans="1:40" ht="42" customHeight="1">
      <c r="A21" s="191"/>
      <c r="B21" s="189"/>
      <c r="C21" s="189"/>
      <c r="D21" s="189"/>
      <c r="E21" s="190"/>
      <c r="F21" s="189"/>
      <c r="G21" s="189"/>
      <c r="H21" s="189"/>
      <c r="I21" s="191"/>
      <c r="J21" s="191"/>
      <c r="K21" s="191"/>
      <c r="L21" s="191"/>
      <c r="M21" s="192"/>
      <c r="N21" s="191"/>
      <c r="O21" s="189"/>
      <c r="P21" s="194"/>
      <c r="Q21" s="191"/>
      <c r="R21" s="192"/>
      <c r="S21" s="189"/>
      <c r="T21" s="189"/>
      <c r="U21" s="189"/>
      <c r="V21" s="189"/>
      <c r="W21" s="191" t="str">
        <f t="shared" si="0"/>
        <v/>
      </c>
      <c r="X21" s="189"/>
      <c r="Y21" s="189"/>
      <c r="Z21" s="189"/>
      <c r="AA21" s="189"/>
      <c r="AB21" s="189"/>
      <c r="AC21" s="189"/>
      <c r="AD21" s="189"/>
      <c r="AE21" s="189"/>
      <c r="AF21" s="189"/>
      <c r="AG21" s="192"/>
      <c r="AH21" s="192"/>
      <c r="AI21" s="189"/>
      <c r="AJ21" s="189"/>
      <c r="AK21" s="189"/>
      <c r="AL21" s="189"/>
      <c r="AM21" s="191"/>
      <c r="AN21" s="191" t="str">
        <f>IF($A21="","",IF(COUNTIF('Decision Queue'!$A$5:$A$204,$A21)+COUNTIF('Decision Register'!$A$5:$A$304,$A21)&gt;1,"DUPLICATE ID","OK"))</f>
        <v/>
      </c>
    </row>
    <row r="22" spans="1:40" ht="42" customHeight="1">
      <c r="A22" s="191"/>
      <c r="B22" s="189"/>
      <c r="C22" s="189"/>
      <c r="D22" s="189"/>
      <c r="E22" s="190"/>
      <c r="F22" s="189"/>
      <c r="G22" s="189"/>
      <c r="H22" s="189"/>
      <c r="I22" s="191"/>
      <c r="J22" s="191"/>
      <c r="K22" s="191"/>
      <c r="L22" s="191"/>
      <c r="M22" s="192"/>
      <c r="N22" s="191"/>
      <c r="O22" s="189"/>
      <c r="P22" s="194"/>
      <c r="Q22" s="191"/>
      <c r="R22" s="192"/>
      <c r="S22" s="189"/>
      <c r="T22" s="189"/>
      <c r="U22" s="189"/>
      <c r="V22" s="189"/>
      <c r="W22" s="191" t="str">
        <f t="shared" si="0"/>
        <v/>
      </c>
      <c r="X22" s="189"/>
      <c r="Y22" s="189"/>
      <c r="Z22" s="189"/>
      <c r="AA22" s="189"/>
      <c r="AB22" s="189"/>
      <c r="AC22" s="189"/>
      <c r="AD22" s="189"/>
      <c r="AE22" s="189"/>
      <c r="AF22" s="189"/>
      <c r="AG22" s="192"/>
      <c r="AH22" s="192"/>
      <c r="AI22" s="189"/>
      <c r="AJ22" s="189"/>
      <c r="AK22" s="189"/>
      <c r="AL22" s="189"/>
      <c r="AM22" s="191"/>
      <c r="AN22" s="191" t="str">
        <f>IF($A22="","",IF(COUNTIF('Decision Queue'!$A$5:$A$204,$A22)+COUNTIF('Decision Register'!$A$5:$A$304,$A22)&gt;1,"DUPLICATE ID","OK"))</f>
        <v/>
      </c>
    </row>
    <row r="23" spans="1:40" ht="42" customHeight="1">
      <c r="A23" s="191"/>
      <c r="B23" s="189"/>
      <c r="C23" s="189"/>
      <c r="D23" s="189"/>
      <c r="E23" s="190"/>
      <c r="F23" s="189"/>
      <c r="G23" s="189"/>
      <c r="H23" s="189"/>
      <c r="I23" s="191"/>
      <c r="J23" s="191"/>
      <c r="K23" s="191"/>
      <c r="L23" s="191"/>
      <c r="M23" s="192"/>
      <c r="N23" s="191"/>
      <c r="O23" s="189"/>
      <c r="P23" s="194"/>
      <c r="Q23" s="191"/>
      <c r="R23" s="192"/>
      <c r="S23" s="189"/>
      <c r="T23" s="189"/>
      <c r="U23" s="189"/>
      <c r="V23" s="189"/>
      <c r="W23" s="191" t="str">
        <f t="shared" si="0"/>
        <v/>
      </c>
      <c r="X23" s="189"/>
      <c r="Y23" s="189"/>
      <c r="Z23" s="189"/>
      <c r="AA23" s="189"/>
      <c r="AB23" s="189"/>
      <c r="AC23" s="189"/>
      <c r="AD23" s="189"/>
      <c r="AE23" s="189"/>
      <c r="AF23" s="189"/>
      <c r="AG23" s="192"/>
      <c r="AH23" s="192"/>
      <c r="AI23" s="189"/>
      <c r="AJ23" s="189"/>
      <c r="AK23" s="189"/>
      <c r="AL23" s="189"/>
      <c r="AM23" s="191"/>
      <c r="AN23" s="191" t="str">
        <f>IF($A23="","",IF(COUNTIF('Decision Queue'!$A$5:$A$204,$A23)+COUNTIF('Decision Register'!$A$5:$A$304,$A23)&gt;1,"DUPLICATE ID","OK"))</f>
        <v/>
      </c>
    </row>
    <row r="24" spans="1:40" ht="42" customHeight="1">
      <c r="A24" s="191"/>
      <c r="B24" s="189"/>
      <c r="C24" s="189"/>
      <c r="D24" s="189"/>
      <c r="E24" s="190"/>
      <c r="F24" s="189"/>
      <c r="G24" s="189"/>
      <c r="H24" s="189"/>
      <c r="I24" s="191"/>
      <c r="J24" s="191"/>
      <c r="K24" s="191"/>
      <c r="L24" s="191"/>
      <c r="M24" s="192"/>
      <c r="N24" s="191"/>
      <c r="O24" s="189"/>
      <c r="P24" s="194"/>
      <c r="Q24" s="191"/>
      <c r="R24" s="192"/>
      <c r="S24" s="189"/>
      <c r="T24" s="189"/>
      <c r="U24" s="189"/>
      <c r="V24" s="189"/>
      <c r="W24" s="191" t="str">
        <f t="shared" si="0"/>
        <v/>
      </c>
      <c r="X24" s="189"/>
      <c r="Y24" s="189"/>
      <c r="Z24" s="189"/>
      <c r="AA24" s="189"/>
      <c r="AB24" s="189"/>
      <c r="AC24" s="189"/>
      <c r="AD24" s="189"/>
      <c r="AE24" s="189"/>
      <c r="AF24" s="189"/>
      <c r="AG24" s="192"/>
      <c r="AH24" s="192"/>
      <c r="AI24" s="189"/>
      <c r="AJ24" s="189"/>
      <c r="AK24" s="189"/>
      <c r="AL24" s="189"/>
      <c r="AM24" s="191"/>
      <c r="AN24" s="191" t="str">
        <f>IF($A24="","",IF(COUNTIF('Decision Queue'!$A$5:$A$204,$A24)+COUNTIF('Decision Register'!$A$5:$A$304,$A24)&gt;1,"DUPLICATE ID","OK"))</f>
        <v/>
      </c>
    </row>
    <row r="25" spans="1:40" ht="42" customHeight="1">
      <c r="A25" s="191"/>
      <c r="B25" s="189"/>
      <c r="C25" s="189"/>
      <c r="D25" s="189"/>
      <c r="E25" s="190"/>
      <c r="F25" s="189"/>
      <c r="G25" s="189"/>
      <c r="H25" s="189"/>
      <c r="I25" s="191"/>
      <c r="J25" s="191"/>
      <c r="K25" s="191"/>
      <c r="L25" s="191"/>
      <c r="M25" s="192"/>
      <c r="N25" s="191"/>
      <c r="O25" s="189"/>
      <c r="P25" s="194"/>
      <c r="Q25" s="191"/>
      <c r="R25" s="192"/>
      <c r="S25" s="189"/>
      <c r="T25" s="189"/>
      <c r="U25" s="189"/>
      <c r="V25" s="189"/>
      <c r="W25" s="191" t="str">
        <f t="shared" si="0"/>
        <v/>
      </c>
      <c r="X25" s="189"/>
      <c r="Y25" s="189"/>
      <c r="Z25" s="189"/>
      <c r="AA25" s="189"/>
      <c r="AB25" s="189"/>
      <c r="AC25" s="189"/>
      <c r="AD25" s="189"/>
      <c r="AE25" s="189"/>
      <c r="AF25" s="189"/>
      <c r="AG25" s="192"/>
      <c r="AH25" s="192"/>
      <c r="AI25" s="189"/>
      <c r="AJ25" s="189"/>
      <c r="AK25" s="189"/>
      <c r="AL25" s="189"/>
      <c r="AM25" s="191"/>
      <c r="AN25" s="191" t="str">
        <f>IF($A25="","",IF(COUNTIF('Decision Queue'!$A$5:$A$204,$A25)+COUNTIF('Decision Register'!$A$5:$A$304,$A25)&gt;1,"DUPLICATE ID","OK"))</f>
        <v/>
      </c>
    </row>
    <row r="26" spans="1:40" ht="42" customHeight="1">
      <c r="A26" s="191"/>
      <c r="B26" s="189"/>
      <c r="C26" s="189"/>
      <c r="D26" s="189"/>
      <c r="E26" s="190"/>
      <c r="F26" s="189"/>
      <c r="G26" s="189"/>
      <c r="H26" s="189"/>
      <c r="I26" s="191"/>
      <c r="J26" s="191"/>
      <c r="K26" s="191"/>
      <c r="L26" s="191"/>
      <c r="M26" s="192"/>
      <c r="N26" s="191"/>
      <c r="O26" s="189"/>
      <c r="P26" s="194"/>
      <c r="Q26" s="191"/>
      <c r="R26" s="192"/>
      <c r="S26" s="189"/>
      <c r="T26" s="189"/>
      <c r="U26" s="189"/>
      <c r="V26" s="189"/>
      <c r="W26" s="191" t="str">
        <f t="shared" si="0"/>
        <v/>
      </c>
      <c r="X26" s="189"/>
      <c r="Y26" s="189"/>
      <c r="Z26" s="189"/>
      <c r="AA26" s="189"/>
      <c r="AB26" s="189"/>
      <c r="AC26" s="189"/>
      <c r="AD26" s="189"/>
      <c r="AE26" s="189"/>
      <c r="AF26" s="189"/>
      <c r="AG26" s="192"/>
      <c r="AH26" s="192"/>
      <c r="AI26" s="189"/>
      <c r="AJ26" s="189"/>
      <c r="AK26" s="189"/>
      <c r="AL26" s="189"/>
      <c r="AM26" s="191"/>
      <c r="AN26" s="191" t="str">
        <f>IF($A26="","",IF(COUNTIF('Decision Queue'!$A$5:$A$204,$A26)+COUNTIF('Decision Register'!$A$5:$A$304,$A26)&gt;1,"DUPLICATE ID","OK"))</f>
        <v/>
      </c>
    </row>
    <row r="27" spans="1:40" ht="42" customHeight="1">
      <c r="A27" s="191"/>
      <c r="B27" s="189"/>
      <c r="C27" s="189"/>
      <c r="D27" s="189"/>
      <c r="E27" s="190"/>
      <c r="F27" s="189"/>
      <c r="G27" s="189"/>
      <c r="H27" s="189"/>
      <c r="I27" s="191"/>
      <c r="J27" s="191"/>
      <c r="K27" s="191"/>
      <c r="L27" s="191"/>
      <c r="M27" s="192"/>
      <c r="N27" s="191"/>
      <c r="O27" s="189"/>
      <c r="P27" s="194"/>
      <c r="Q27" s="191"/>
      <c r="R27" s="192"/>
      <c r="S27" s="189"/>
      <c r="T27" s="189"/>
      <c r="U27" s="189"/>
      <c r="V27" s="189"/>
      <c r="W27" s="191" t="str">
        <f t="shared" si="0"/>
        <v/>
      </c>
      <c r="X27" s="189"/>
      <c r="Y27" s="189"/>
      <c r="Z27" s="189"/>
      <c r="AA27" s="189"/>
      <c r="AB27" s="189"/>
      <c r="AC27" s="189"/>
      <c r="AD27" s="189"/>
      <c r="AE27" s="189"/>
      <c r="AF27" s="189"/>
      <c r="AG27" s="192"/>
      <c r="AH27" s="192"/>
      <c r="AI27" s="189"/>
      <c r="AJ27" s="189"/>
      <c r="AK27" s="189"/>
      <c r="AL27" s="189"/>
      <c r="AM27" s="191"/>
      <c r="AN27" s="191" t="str">
        <f>IF($A27="","",IF(COUNTIF('Decision Queue'!$A$5:$A$204,$A27)+COUNTIF('Decision Register'!$A$5:$A$304,$A27)&gt;1,"DUPLICATE ID","OK"))</f>
        <v/>
      </c>
    </row>
    <row r="28" spans="1:40" ht="42" customHeight="1">
      <c r="A28" s="191"/>
      <c r="B28" s="189"/>
      <c r="C28" s="189"/>
      <c r="D28" s="189"/>
      <c r="E28" s="190"/>
      <c r="F28" s="189"/>
      <c r="G28" s="189"/>
      <c r="H28" s="189"/>
      <c r="I28" s="191"/>
      <c r="J28" s="191"/>
      <c r="K28" s="191"/>
      <c r="L28" s="191"/>
      <c r="M28" s="192"/>
      <c r="N28" s="191"/>
      <c r="O28" s="189"/>
      <c r="P28" s="194"/>
      <c r="Q28" s="191"/>
      <c r="R28" s="192"/>
      <c r="S28" s="189"/>
      <c r="T28" s="189"/>
      <c r="U28" s="189"/>
      <c r="V28" s="189"/>
      <c r="W28" s="191" t="str">
        <f t="shared" si="0"/>
        <v/>
      </c>
      <c r="X28" s="189"/>
      <c r="Y28" s="189"/>
      <c r="Z28" s="189"/>
      <c r="AA28" s="189"/>
      <c r="AB28" s="189"/>
      <c r="AC28" s="189"/>
      <c r="AD28" s="189"/>
      <c r="AE28" s="189"/>
      <c r="AF28" s="189"/>
      <c r="AG28" s="192"/>
      <c r="AH28" s="192"/>
      <c r="AI28" s="189"/>
      <c r="AJ28" s="189"/>
      <c r="AK28" s="189"/>
      <c r="AL28" s="189"/>
      <c r="AM28" s="191"/>
      <c r="AN28" s="191" t="str">
        <f>IF($A28="","",IF(COUNTIF('Decision Queue'!$A$5:$A$204,$A28)+COUNTIF('Decision Register'!$A$5:$A$304,$A28)&gt;1,"DUPLICATE ID","OK"))</f>
        <v/>
      </c>
    </row>
    <row r="29" spans="1:40" ht="42" customHeight="1">
      <c r="A29" s="191"/>
      <c r="B29" s="189"/>
      <c r="C29" s="189"/>
      <c r="D29" s="189"/>
      <c r="E29" s="190"/>
      <c r="F29" s="189"/>
      <c r="G29" s="189"/>
      <c r="H29" s="189"/>
      <c r="I29" s="191"/>
      <c r="J29" s="191"/>
      <c r="K29" s="191"/>
      <c r="L29" s="191"/>
      <c r="M29" s="192"/>
      <c r="N29" s="191"/>
      <c r="O29" s="189"/>
      <c r="P29" s="194"/>
      <c r="Q29" s="191"/>
      <c r="R29" s="192"/>
      <c r="S29" s="189"/>
      <c r="T29" s="189"/>
      <c r="U29" s="189"/>
      <c r="V29" s="189"/>
      <c r="W29" s="191" t="str">
        <f t="shared" si="0"/>
        <v/>
      </c>
      <c r="X29" s="189"/>
      <c r="Y29" s="189"/>
      <c r="Z29" s="189"/>
      <c r="AA29" s="189"/>
      <c r="AB29" s="189"/>
      <c r="AC29" s="189"/>
      <c r="AD29" s="189"/>
      <c r="AE29" s="189"/>
      <c r="AF29" s="189"/>
      <c r="AG29" s="192"/>
      <c r="AH29" s="192"/>
      <c r="AI29" s="189"/>
      <c r="AJ29" s="189"/>
      <c r="AK29" s="189"/>
      <c r="AL29" s="189"/>
      <c r="AM29" s="191"/>
      <c r="AN29" s="191" t="str">
        <f>IF($A29="","",IF(COUNTIF('Decision Queue'!$A$5:$A$204,$A29)+COUNTIF('Decision Register'!$A$5:$A$304,$A29)&gt;1,"DUPLICATE ID","OK"))</f>
        <v/>
      </c>
    </row>
    <row r="30" spans="1:40" ht="42" customHeight="1">
      <c r="A30" s="191"/>
      <c r="B30" s="189"/>
      <c r="C30" s="189"/>
      <c r="D30" s="189"/>
      <c r="E30" s="190"/>
      <c r="F30" s="189"/>
      <c r="G30" s="189"/>
      <c r="H30" s="189"/>
      <c r="I30" s="191"/>
      <c r="J30" s="191"/>
      <c r="K30" s="191"/>
      <c r="L30" s="191"/>
      <c r="M30" s="192"/>
      <c r="N30" s="191"/>
      <c r="O30" s="189"/>
      <c r="P30" s="194"/>
      <c r="Q30" s="191"/>
      <c r="R30" s="192"/>
      <c r="S30" s="189"/>
      <c r="T30" s="189"/>
      <c r="U30" s="189"/>
      <c r="V30" s="189"/>
      <c r="W30" s="191" t="str">
        <f t="shared" si="0"/>
        <v/>
      </c>
      <c r="X30" s="189"/>
      <c r="Y30" s="189"/>
      <c r="Z30" s="189"/>
      <c r="AA30" s="189"/>
      <c r="AB30" s="189"/>
      <c r="AC30" s="189"/>
      <c r="AD30" s="189"/>
      <c r="AE30" s="189"/>
      <c r="AF30" s="189"/>
      <c r="AG30" s="192"/>
      <c r="AH30" s="192"/>
      <c r="AI30" s="189"/>
      <c r="AJ30" s="189"/>
      <c r="AK30" s="189"/>
      <c r="AL30" s="189"/>
      <c r="AM30" s="191"/>
      <c r="AN30" s="191" t="str">
        <f>IF($A30="","",IF(COUNTIF('Decision Queue'!$A$5:$A$204,$A30)+COUNTIF('Decision Register'!$A$5:$A$304,$A30)&gt;1,"DUPLICATE ID","OK"))</f>
        <v/>
      </c>
    </row>
    <row r="31" spans="1:40" ht="42" customHeight="1">
      <c r="A31" s="191"/>
      <c r="B31" s="189"/>
      <c r="C31" s="189"/>
      <c r="D31" s="189"/>
      <c r="E31" s="190"/>
      <c r="F31" s="189"/>
      <c r="G31" s="189"/>
      <c r="H31" s="189"/>
      <c r="I31" s="191"/>
      <c r="J31" s="191"/>
      <c r="K31" s="191"/>
      <c r="L31" s="191"/>
      <c r="M31" s="192"/>
      <c r="N31" s="191"/>
      <c r="O31" s="189"/>
      <c r="P31" s="194"/>
      <c r="Q31" s="191"/>
      <c r="R31" s="192"/>
      <c r="S31" s="189"/>
      <c r="T31" s="189"/>
      <c r="U31" s="189"/>
      <c r="V31" s="189"/>
      <c r="W31" s="191" t="str">
        <f t="shared" si="0"/>
        <v/>
      </c>
      <c r="X31" s="189"/>
      <c r="Y31" s="189"/>
      <c r="Z31" s="189"/>
      <c r="AA31" s="189"/>
      <c r="AB31" s="189"/>
      <c r="AC31" s="189"/>
      <c r="AD31" s="189"/>
      <c r="AE31" s="189"/>
      <c r="AF31" s="189"/>
      <c r="AG31" s="192"/>
      <c r="AH31" s="192"/>
      <c r="AI31" s="189"/>
      <c r="AJ31" s="189"/>
      <c r="AK31" s="189"/>
      <c r="AL31" s="189"/>
      <c r="AM31" s="191"/>
      <c r="AN31" s="191" t="str">
        <f>IF($A31="","",IF(COUNTIF('Decision Queue'!$A$5:$A$204,$A31)+COUNTIF('Decision Register'!$A$5:$A$304,$A31)&gt;1,"DUPLICATE ID","OK"))</f>
        <v/>
      </c>
    </row>
    <row r="32" spans="1:40" ht="42" customHeight="1">
      <c r="A32" s="191"/>
      <c r="B32" s="189"/>
      <c r="C32" s="189"/>
      <c r="D32" s="189"/>
      <c r="E32" s="190"/>
      <c r="F32" s="189"/>
      <c r="G32" s="189"/>
      <c r="H32" s="189"/>
      <c r="I32" s="191"/>
      <c r="J32" s="191"/>
      <c r="K32" s="191"/>
      <c r="L32" s="191"/>
      <c r="M32" s="192"/>
      <c r="N32" s="191"/>
      <c r="O32" s="189"/>
      <c r="P32" s="194"/>
      <c r="Q32" s="191"/>
      <c r="R32" s="192"/>
      <c r="S32" s="189"/>
      <c r="T32" s="189"/>
      <c r="U32" s="189"/>
      <c r="V32" s="189"/>
      <c r="W32" s="191" t="str">
        <f t="shared" si="0"/>
        <v/>
      </c>
      <c r="X32" s="189"/>
      <c r="Y32" s="189"/>
      <c r="Z32" s="189"/>
      <c r="AA32" s="189"/>
      <c r="AB32" s="189"/>
      <c r="AC32" s="189"/>
      <c r="AD32" s="189"/>
      <c r="AE32" s="189"/>
      <c r="AF32" s="189"/>
      <c r="AG32" s="192"/>
      <c r="AH32" s="192"/>
      <c r="AI32" s="189"/>
      <c r="AJ32" s="189"/>
      <c r="AK32" s="189"/>
      <c r="AL32" s="189"/>
      <c r="AM32" s="191"/>
      <c r="AN32" s="191" t="str">
        <f>IF($A32="","",IF(COUNTIF('Decision Queue'!$A$5:$A$204,$A32)+COUNTIF('Decision Register'!$A$5:$A$304,$A32)&gt;1,"DUPLICATE ID","OK"))</f>
        <v/>
      </c>
    </row>
    <row r="33" spans="1:40" ht="42" customHeight="1">
      <c r="A33" s="191"/>
      <c r="B33" s="189"/>
      <c r="C33" s="189"/>
      <c r="D33" s="189"/>
      <c r="E33" s="190"/>
      <c r="F33" s="189"/>
      <c r="G33" s="189"/>
      <c r="H33" s="189"/>
      <c r="I33" s="191"/>
      <c r="J33" s="191"/>
      <c r="K33" s="191"/>
      <c r="L33" s="191"/>
      <c r="M33" s="192"/>
      <c r="N33" s="191"/>
      <c r="O33" s="189"/>
      <c r="P33" s="194"/>
      <c r="Q33" s="191"/>
      <c r="R33" s="192"/>
      <c r="S33" s="189"/>
      <c r="T33" s="189"/>
      <c r="U33" s="189"/>
      <c r="V33" s="189"/>
      <c r="W33" s="191" t="str">
        <f t="shared" si="0"/>
        <v/>
      </c>
      <c r="X33" s="189"/>
      <c r="Y33" s="189"/>
      <c r="Z33" s="189"/>
      <c r="AA33" s="189"/>
      <c r="AB33" s="189"/>
      <c r="AC33" s="189"/>
      <c r="AD33" s="189"/>
      <c r="AE33" s="189"/>
      <c r="AF33" s="189"/>
      <c r="AG33" s="192"/>
      <c r="AH33" s="192"/>
      <c r="AI33" s="189"/>
      <c r="AJ33" s="189"/>
      <c r="AK33" s="189"/>
      <c r="AL33" s="189"/>
      <c r="AM33" s="191"/>
      <c r="AN33" s="191" t="str">
        <f>IF($A33="","",IF(COUNTIF('Decision Queue'!$A$5:$A$204,$A33)+COUNTIF('Decision Register'!$A$5:$A$304,$A33)&gt;1,"DUPLICATE ID","OK"))</f>
        <v/>
      </c>
    </row>
    <row r="34" spans="1:40" ht="42" customHeight="1">
      <c r="A34" s="191"/>
      <c r="B34" s="189"/>
      <c r="C34" s="189"/>
      <c r="D34" s="189"/>
      <c r="E34" s="190"/>
      <c r="F34" s="189"/>
      <c r="G34" s="189"/>
      <c r="H34" s="189"/>
      <c r="I34" s="191"/>
      <c r="J34" s="191"/>
      <c r="K34" s="191"/>
      <c r="L34" s="191"/>
      <c r="M34" s="192"/>
      <c r="N34" s="191"/>
      <c r="O34" s="189"/>
      <c r="P34" s="194"/>
      <c r="Q34" s="191"/>
      <c r="R34" s="192"/>
      <c r="S34" s="189"/>
      <c r="T34" s="189"/>
      <c r="U34" s="189"/>
      <c r="V34" s="189"/>
      <c r="W34" s="191" t="str">
        <f t="shared" si="0"/>
        <v/>
      </c>
      <c r="X34" s="189"/>
      <c r="Y34" s="189"/>
      <c r="Z34" s="189"/>
      <c r="AA34" s="189"/>
      <c r="AB34" s="189"/>
      <c r="AC34" s="189"/>
      <c r="AD34" s="189"/>
      <c r="AE34" s="189"/>
      <c r="AF34" s="189"/>
      <c r="AG34" s="192"/>
      <c r="AH34" s="192"/>
      <c r="AI34" s="189"/>
      <c r="AJ34" s="189"/>
      <c r="AK34" s="189"/>
      <c r="AL34" s="189"/>
      <c r="AM34" s="191"/>
      <c r="AN34" s="191" t="str">
        <f>IF($A34="","",IF(COUNTIF('Decision Queue'!$A$5:$A$204,$A34)+COUNTIF('Decision Register'!$A$5:$A$304,$A34)&gt;1,"DUPLICATE ID","OK"))</f>
        <v/>
      </c>
    </row>
    <row r="35" spans="1:40" ht="42" customHeight="1">
      <c r="A35" s="191"/>
      <c r="B35" s="189"/>
      <c r="C35" s="189"/>
      <c r="D35" s="189"/>
      <c r="E35" s="190"/>
      <c r="F35" s="189"/>
      <c r="G35" s="189"/>
      <c r="H35" s="189"/>
      <c r="I35" s="191"/>
      <c r="J35" s="191"/>
      <c r="K35" s="191"/>
      <c r="L35" s="191"/>
      <c r="M35" s="192"/>
      <c r="N35" s="191"/>
      <c r="O35" s="189"/>
      <c r="P35" s="194"/>
      <c r="Q35" s="191"/>
      <c r="R35" s="192"/>
      <c r="S35" s="189"/>
      <c r="T35" s="189"/>
      <c r="U35" s="189"/>
      <c r="V35" s="189"/>
      <c r="W35" s="191" t="str">
        <f t="shared" si="0"/>
        <v/>
      </c>
      <c r="X35" s="189"/>
      <c r="Y35" s="189"/>
      <c r="Z35" s="189"/>
      <c r="AA35" s="189"/>
      <c r="AB35" s="189"/>
      <c r="AC35" s="189"/>
      <c r="AD35" s="189"/>
      <c r="AE35" s="189"/>
      <c r="AF35" s="189"/>
      <c r="AG35" s="192"/>
      <c r="AH35" s="192"/>
      <c r="AI35" s="189"/>
      <c r="AJ35" s="189"/>
      <c r="AK35" s="189"/>
      <c r="AL35" s="189"/>
      <c r="AM35" s="191"/>
      <c r="AN35" s="191" t="str">
        <f>IF($A35="","",IF(COUNTIF('Decision Queue'!$A$5:$A$204,$A35)+COUNTIF('Decision Register'!$A$5:$A$304,$A35)&gt;1,"DUPLICATE ID","OK"))</f>
        <v/>
      </c>
    </row>
    <row r="36" spans="1:40" ht="42" customHeight="1">
      <c r="A36" s="191"/>
      <c r="B36" s="189"/>
      <c r="C36" s="189"/>
      <c r="D36" s="189"/>
      <c r="E36" s="190"/>
      <c r="F36" s="189"/>
      <c r="G36" s="189"/>
      <c r="H36" s="189"/>
      <c r="I36" s="191"/>
      <c r="J36" s="191"/>
      <c r="K36" s="191"/>
      <c r="L36" s="191"/>
      <c r="M36" s="192"/>
      <c r="N36" s="191"/>
      <c r="O36" s="189"/>
      <c r="P36" s="194"/>
      <c r="Q36" s="191"/>
      <c r="R36" s="192"/>
      <c r="S36" s="189"/>
      <c r="T36" s="189"/>
      <c r="U36" s="189"/>
      <c r="V36" s="189"/>
      <c r="W36" s="191" t="str">
        <f t="shared" si="0"/>
        <v/>
      </c>
      <c r="X36" s="189"/>
      <c r="Y36" s="189"/>
      <c r="Z36" s="189"/>
      <c r="AA36" s="189"/>
      <c r="AB36" s="189"/>
      <c r="AC36" s="189"/>
      <c r="AD36" s="189"/>
      <c r="AE36" s="189"/>
      <c r="AF36" s="189"/>
      <c r="AG36" s="192"/>
      <c r="AH36" s="192"/>
      <c r="AI36" s="189"/>
      <c r="AJ36" s="189"/>
      <c r="AK36" s="189"/>
      <c r="AL36" s="189"/>
      <c r="AM36" s="191"/>
      <c r="AN36" s="191" t="str">
        <f>IF($A36="","",IF(COUNTIF('Decision Queue'!$A$5:$A$204,$A36)+COUNTIF('Decision Register'!$A$5:$A$304,$A36)&gt;1,"DUPLICATE ID","OK"))</f>
        <v/>
      </c>
    </row>
    <row r="37" spans="1:40" ht="42" customHeight="1">
      <c r="A37" s="191"/>
      <c r="B37" s="189"/>
      <c r="C37" s="189"/>
      <c r="D37" s="189"/>
      <c r="E37" s="190"/>
      <c r="F37" s="189"/>
      <c r="G37" s="189"/>
      <c r="H37" s="189"/>
      <c r="I37" s="191"/>
      <c r="J37" s="191"/>
      <c r="K37" s="191"/>
      <c r="L37" s="191"/>
      <c r="M37" s="192"/>
      <c r="N37" s="191"/>
      <c r="O37" s="189"/>
      <c r="P37" s="194"/>
      <c r="Q37" s="191"/>
      <c r="R37" s="192"/>
      <c r="S37" s="189"/>
      <c r="T37" s="189"/>
      <c r="U37" s="189"/>
      <c r="V37" s="189"/>
      <c r="W37" s="191" t="str">
        <f t="shared" ref="W37:W68" si="1">IF($B37="","",IF(OR($G37="Completed",$G37="Cancelled"),"INACTIVE","ACTIVE"))</f>
        <v/>
      </c>
      <c r="X37" s="189"/>
      <c r="Y37" s="189"/>
      <c r="Z37" s="189"/>
      <c r="AA37" s="189"/>
      <c r="AB37" s="189"/>
      <c r="AC37" s="189"/>
      <c r="AD37" s="189"/>
      <c r="AE37" s="189"/>
      <c r="AF37" s="189"/>
      <c r="AG37" s="192"/>
      <c r="AH37" s="192"/>
      <c r="AI37" s="189"/>
      <c r="AJ37" s="189"/>
      <c r="AK37" s="189"/>
      <c r="AL37" s="189"/>
      <c r="AM37" s="191"/>
      <c r="AN37" s="191" t="str">
        <f>IF($A37="","",IF(COUNTIF('Decision Queue'!$A$5:$A$204,$A37)+COUNTIF('Decision Register'!$A$5:$A$304,$A37)&gt;1,"DUPLICATE ID","OK"))</f>
        <v/>
      </c>
    </row>
    <row r="38" spans="1:40" ht="42" customHeight="1">
      <c r="A38" s="191"/>
      <c r="B38" s="189"/>
      <c r="C38" s="189"/>
      <c r="D38" s="189"/>
      <c r="E38" s="190"/>
      <c r="F38" s="189"/>
      <c r="G38" s="189"/>
      <c r="H38" s="189"/>
      <c r="I38" s="191"/>
      <c r="J38" s="191"/>
      <c r="K38" s="191"/>
      <c r="L38" s="191"/>
      <c r="M38" s="192"/>
      <c r="N38" s="191"/>
      <c r="O38" s="189"/>
      <c r="P38" s="194"/>
      <c r="Q38" s="191"/>
      <c r="R38" s="192"/>
      <c r="S38" s="189"/>
      <c r="T38" s="189"/>
      <c r="U38" s="189"/>
      <c r="V38" s="189"/>
      <c r="W38" s="191" t="str">
        <f t="shared" si="1"/>
        <v/>
      </c>
      <c r="X38" s="189"/>
      <c r="Y38" s="189"/>
      <c r="Z38" s="189"/>
      <c r="AA38" s="189"/>
      <c r="AB38" s="189"/>
      <c r="AC38" s="189"/>
      <c r="AD38" s="189"/>
      <c r="AE38" s="189"/>
      <c r="AF38" s="189"/>
      <c r="AG38" s="192"/>
      <c r="AH38" s="192"/>
      <c r="AI38" s="189"/>
      <c r="AJ38" s="189"/>
      <c r="AK38" s="189"/>
      <c r="AL38" s="189"/>
      <c r="AM38" s="191"/>
      <c r="AN38" s="191" t="str">
        <f>IF($A38="","",IF(COUNTIF('Decision Queue'!$A$5:$A$204,$A38)+COUNTIF('Decision Register'!$A$5:$A$304,$A38)&gt;1,"DUPLICATE ID","OK"))</f>
        <v/>
      </c>
    </row>
    <row r="39" spans="1:40" ht="42" customHeight="1">
      <c r="A39" s="191"/>
      <c r="B39" s="189"/>
      <c r="C39" s="189"/>
      <c r="D39" s="189"/>
      <c r="E39" s="190"/>
      <c r="F39" s="189"/>
      <c r="G39" s="189"/>
      <c r="H39" s="189"/>
      <c r="I39" s="191"/>
      <c r="J39" s="191"/>
      <c r="K39" s="191"/>
      <c r="L39" s="191"/>
      <c r="M39" s="192"/>
      <c r="N39" s="191"/>
      <c r="O39" s="189"/>
      <c r="P39" s="194"/>
      <c r="Q39" s="191"/>
      <c r="R39" s="192"/>
      <c r="S39" s="189"/>
      <c r="T39" s="189"/>
      <c r="U39" s="189"/>
      <c r="V39" s="189"/>
      <c r="W39" s="191" t="str">
        <f t="shared" si="1"/>
        <v/>
      </c>
      <c r="X39" s="189"/>
      <c r="Y39" s="189"/>
      <c r="Z39" s="189"/>
      <c r="AA39" s="189"/>
      <c r="AB39" s="189"/>
      <c r="AC39" s="189"/>
      <c r="AD39" s="189"/>
      <c r="AE39" s="189"/>
      <c r="AF39" s="189"/>
      <c r="AG39" s="192"/>
      <c r="AH39" s="192"/>
      <c r="AI39" s="189"/>
      <c r="AJ39" s="189"/>
      <c r="AK39" s="189"/>
      <c r="AL39" s="189"/>
      <c r="AM39" s="191"/>
      <c r="AN39" s="191" t="str">
        <f>IF($A39="","",IF(COUNTIF('Decision Queue'!$A$5:$A$204,$A39)+COUNTIF('Decision Register'!$A$5:$A$304,$A39)&gt;1,"DUPLICATE ID","OK"))</f>
        <v/>
      </c>
    </row>
    <row r="40" spans="1:40" ht="42" customHeight="1">
      <c r="A40" s="191"/>
      <c r="B40" s="189"/>
      <c r="C40" s="189"/>
      <c r="D40" s="189"/>
      <c r="E40" s="190"/>
      <c r="F40" s="189"/>
      <c r="G40" s="189"/>
      <c r="H40" s="189"/>
      <c r="I40" s="191"/>
      <c r="J40" s="191"/>
      <c r="K40" s="191"/>
      <c r="L40" s="191"/>
      <c r="M40" s="192"/>
      <c r="N40" s="191"/>
      <c r="O40" s="189"/>
      <c r="P40" s="194"/>
      <c r="Q40" s="191"/>
      <c r="R40" s="192"/>
      <c r="S40" s="189"/>
      <c r="T40" s="189"/>
      <c r="U40" s="189"/>
      <c r="V40" s="189"/>
      <c r="W40" s="191" t="str">
        <f t="shared" si="1"/>
        <v/>
      </c>
      <c r="X40" s="189"/>
      <c r="Y40" s="189"/>
      <c r="Z40" s="189"/>
      <c r="AA40" s="189"/>
      <c r="AB40" s="189"/>
      <c r="AC40" s="189"/>
      <c r="AD40" s="189"/>
      <c r="AE40" s="189"/>
      <c r="AF40" s="189"/>
      <c r="AG40" s="192"/>
      <c r="AH40" s="192"/>
      <c r="AI40" s="189"/>
      <c r="AJ40" s="189"/>
      <c r="AK40" s="189"/>
      <c r="AL40" s="189"/>
      <c r="AM40" s="191"/>
      <c r="AN40" s="191" t="str">
        <f>IF($A40="","",IF(COUNTIF('Decision Queue'!$A$5:$A$204,$A40)+COUNTIF('Decision Register'!$A$5:$A$304,$A40)&gt;1,"DUPLICATE ID","OK"))</f>
        <v/>
      </c>
    </row>
    <row r="41" spans="1:40" ht="42" customHeight="1">
      <c r="A41" s="191"/>
      <c r="B41" s="189"/>
      <c r="C41" s="189"/>
      <c r="D41" s="189"/>
      <c r="E41" s="190"/>
      <c r="F41" s="189"/>
      <c r="G41" s="189"/>
      <c r="H41" s="189"/>
      <c r="I41" s="191"/>
      <c r="J41" s="191"/>
      <c r="K41" s="191"/>
      <c r="L41" s="191"/>
      <c r="M41" s="192"/>
      <c r="N41" s="191"/>
      <c r="O41" s="189"/>
      <c r="P41" s="194"/>
      <c r="Q41" s="191"/>
      <c r="R41" s="192"/>
      <c r="S41" s="189"/>
      <c r="T41" s="189"/>
      <c r="U41" s="189"/>
      <c r="V41" s="189"/>
      <c r="W41" s="191" t="str">
        <f t="shared" si="1"/>
        <v/>
      </c>
      <c r="X41" s="189"/>
      <c r="Y41" s="189"/>
      <c r="Z41" s="189"/>
      <c r="AA41" s="189"/>
      <c r="AB41" s="189"/>
      <c r="AC41" s="189"/>
      <c r="AD41" s="189"/>
      <c r="AE41" s="189"/>
      <c r="AF41" s="189"/>
      <c r="AG41" s="192"/>
      <c r="AH41" s="192"/>
      <c r="AI41" s="189"/>
      <c r="AJ41" s="189"/>
      <c r="AK41" s="189"/>
      <c r="AL41" s="189"/>
      <c r="AM41" s="191"/>
      <c r="AN41" s="191" t="str">
        <f>IF($A41="","",IF(COUNTIF('Decision Queue'!$A$5:$A$204,$A41)+COUNTIF('Decision Register'!$A$5:$A$304,$A41)&gt;1,"DUPLICATE ID","OK"))</f>
        <v/>
      </c>
    </row>
    <row r="42" spans="1:40" ht="42" customHeight="1">
      <c r="A42" s="191"/>
      <c r="B42" s="189"/>
      <c r="C42" s="189"/>
      <c r="D42" s="189"/>
      <c r="E42" s="190"/>
      <c r="F42" s="189"/>
      <c r="G42" s="189"/>
      <c r="H42" s="189"/>
      <c r="I42" s="191"/>
      <c r="J42" s="191"/>
      <c r="K42" s="191"/>
      <c r="L42" s="191"/>
      <c r="M42" s="192"/>
      <c r="N42" s="191"/>
      <c r="O42" s="189"/>
      <c r="P42" s="194"/>
      <c r="Q42" s="191"/>
      <c r="R42" s="192"/>
      <c r="S42" s="189"/>
      <c r="T42" s="189"/>
      <c r="U42" s="189"/>
      <c r="V42" s="189"/>
      <c r="W42" s="191" t="str">
        <f t="shared" si="1"/>
        <v/>
      </c>
      <c r="X42" s="189"/>
      <c r="Y42" s="189"/>
      <c r="Z42" s="189"/>
      <c r="AA42" s="189"/>
      <c r="AB42" s="189"/>
      <c r="AC42" s="189"/>
      <c r="AD42" s="189"/>
      <c r="AE42" s="189"/>
      <c r="AF42" s="189"/>
      <c r="AG42" s="192"/>
      <c r="AH42" s="192"/>
      <c r="AI42" s="189"/>
      <c r="AJ42" s="189"/>
      <c r="AK42" s="189"/>
      <c r="AL42" s="189"/>
      <c r="AM42" s="191"/>
      <c r="AN42" s="191" t="str">
        <f>IF($A42="","",IF(COUNTIF('Decision Queue'!$A$5:$A$204,$A42)+COUNTIF('Decision Register'!$A$5:$A$304,$A42)&gt;1,"DUPLICATE ID","OK"))</f>
        <v/>
      </c>
    </row>
    <row r="43" spans="1:40" ht="42" customHeight="1">
      <c r="A43" s="191"/>
      <c r="B43" s="189"/>
      <c r="C43" s="189"/>
      <c r="D43" s="189"/>
      <c r="E43" s="190"/>
      <c r="F43" s="189"/>
      <c r="G43" s="189"/>
      <c r="H43" s="189"/>
      <c r="I43" s="191"/>
      <c r="J43" s="191"/>
      <c r="K43" s="191"/>
      <c r="L43" s="191"/>
      <c r="M43" s="192"/>
      <c r="N43" s="191"/>
      <c r="O43" s="189"/>
      <c r="P43" s="194"/>
      <c r="Q43" s="191"/>
      <c r="R43" s="192"/>
      <c r="S43" s="189"/>
      <c r="T43" s="189"/>
      <c r="U43" s="189"/>
      <c r="V43" s="189"/>
      <c r="W43" s="191" t="str">
        <f t="shared" si="1"/>
        <v/>
      </c>
      <c r="X43" s="189"/>
      <c r="Y43" s="189"/>
      <c r="Z43" s="189"/>
      <c r="AA43" s="189"/>
      <c r="AB43" s="189"/>
      <c r="AC43" s="189"/>
      <c r="AD43" s="189"/>
      <c r="AE43" s="189"/>
      <c r="AF43" s="189"/>
      <c r="AG43" s="192"/>
      <c r="AH43" s="192"/>
      <c r="AI43" s="189"/>
      <c r="AJ43" s="189"/>
      <c r="AK43" s="189"/>
      <c r="AL43" s="189"/>
      <c r="AM43" s="191"/>
      <c r="AN43" s="191" t="str">
        <f>IF($A43="","",IF(COUNTIF('Decision Queue'!$A$5:$A$204,$A43)+COUNTIF('Decision Register'!$A$5:$A$304,$A43)&gt;1,"DUPLICATE ID","OK"))</f>
        <v/>
      </c>
    </row>
    <row r="44" spans="1:40" ht="42" customHeight="1">
      <c r="A44" s="191"/>
      <c r="B44" s="189"/>
      <c r="C44" s="189"/>
      <c r="D44" s="189"/>
      <c r="E44" s="190"/>
      <c r="F44" s="189"/>
      <c r="G44" s="189"/>
      <c r="H44" s="189"/>
      <c r="I44" s="191"/>
      <c r="J44" s="191"/>
      <c r="K44" s="191"/>
      <c r="L44" s="191"/>
      <c r="M44" s="192"/>
      <c r="N44" s="191"/>
      <c r="O44" s="189"/>
      <c r="P44" s="194"/>
      <c r="Q44" s="191"/>
      <c r="R44" s="192"/>
      <c r="S44" s="189"/>
      <c r="T44" s="189"/>
      <c r="U44" s="189"/>
      <c r="V44" s="189"/>
      <c r="W44" s="191" t="str">
        <f t="shared" si="1"/>
        <v/>
      </c>
      <c r="X44" s="189"/>
      <c r="Y44" s="189"/>
      <c r="Z44" s="189"/>
      <c r="AA44" s="189"/>
      <c r="AB44" s="189"/>
      <c r="AC44" s="189"/>
      <c r="AD44" s="189"/>
      <c r="AE44" s="189"/>
      <c r="AF44" s="189"/>
      <c r="AG44" s="192"/>
      <c r="AH44" s="192"/>
      <c r="AI44" s="189"/>
      <c r="AJ44" s="189"/>
      <c r="AK44" s="189"/>
      <c r="AL44" s="189"/>
      <c r="AM44" s="191"/>
      <c r="AN44" s="191" t="str">
        <f>IF($A44="","",IF(COUNTIF('Decision Queue'!$A$5:$A$204,$A44)+COUNTIF('Decision Register'!$A$5:$A$304,$A44)&gt;1,"DUPLICATE ID","OK"))</f>
        <v/>
      </c>
    </row>
    <row r="45" spans="1:40" ht="42" customHeight="1">
      <c r="A45" s="191"/>
      <c r="B45" s="189"/>
      <c r="C45" s="189"/>
      <c r="D45" s="189"/>
      <c r="E45" s="190"/>
      <c r="F45" s="189"/>
      <c r="G45" s="189"/>
      <c r="H45" s="189"/>
      <c r="I45" s="191"/>
      <c r="J45" s="191"/>
      <c r="K45" s="191"/>
      <c r="L45" s="191"/>
      <c r="M45" s="192"/>
      <c r="N45" s="191"/>
      <c r="O45" s="189"/>
      <c r="P45" s="194"/>
      <c r="Q45" s="191"/>
      <c r="R45" s="192"/>
      <c r="S45" s="189"/>
      <c r="T45" s="189"/>
      <c r="U45" s="189"/>
      <c r="V45" s="189"/>
      <c r="W45" s="191" t="str">
        <f t="shared" si="1"/>
        <v/>
      </c>
      <c r="X45" s="189"/>
      <c r="Y45" s="189"/>
      <c r="Z45" s="189"/>
      <c r="AA45" s="189"/>
      <c r="AB45" s="189"/>
      <c r="AC45" s="189"/>
      <c r="AD45" s="189"/>
      <c r="AE45" s="189"/>
      <c r="AF45" s="189"/>
      <c r="AG45" s="192"/>
      <c r="AH45" s="192"/>
      <c r="AI45" s="189"/>
      <c r="AJ45" s="189"/>
      <c r="AK45" s="189"/>
      <c r="AL45" s="189"/>
      <c r="AM45" s="191"/>
      <c r="AN45" s="191" t="str">
        <f>IF($A45="","",IF(COUNTIF('Decision Queue'!$A$5:$A$204,$A45)+COUNTIF('Decision Register'!$A$5:$A$304,$A45)&gt;1,"DUPLICATE ID","OK"))</f>
        <v/>
      </c>
    </row>
    <row r="46" spans="1:40" ht="42" customHeight="1">
      <c r="A46" s="191"/>
      <c r="B46" s="189"/>
      <c r="C46" s="189"/>
      <c r="D46" s="189"/>
      <c r="E46" s="190"/>
      <c r="F46" s="189"/>
      <c r="G46" s="189"/>
      <c r="H46" s="189"/>
      <c r="I46" s="191"/>
      <c r="J46" s="191"/>
      <c r="K46" s="191"/>
      <c r="L46" s="191"/>
      <c r="M46" s="192"/>
      <c r="N46" s="191"/>
      <c r="O46" s="189"/>
      <c r="P46" s="194"/>
      <c r="Q46" s="191"/>
      <c r="R46" s="192"/>
      <c r="S46" s="189"/>
      <c r="T46" s="189"/>
      <c r="U46" s="189"/>
      <c r="V46" s="189"/>
      <c r="W46" s="191" t="str">
        <f t="shared" si="1"/>
        <v/>
      </c>
      <c r="X46" s="189"/>
      <c r="Y46" s="189"/>
      <c r="Z46" s="189"/>
      <c r="AA46" s="189"/>
      <c r="AB46" s="189"/>
      <c r="AC46" s="189"/>
      <c r="AD46" s="189"/>
      <c r="AE46" s="189"/>
      <c r="AF46" s="189"/>
      <c r="AG46" s="192"/>
      <c r="AH46" s="192"/>
      <c r="AI46" s="189"/>
      <c r="AJ46" s="189"/>
      <c r="AK46" s="189"/>
      <c r="AL46" s="189"/>
      <c r="AM46" s="191"/>
      <c r="AN46" s="191" t="str">
        <f>IF($A46="","",IF(COUNTIF('Decision Queue'!$A$5:$A$204,$A46)+COUNTIF('Decision Register'!$A$5:$A$304,$A46)&gt;1,"DUPLICATE ID","OK"))</f>
        <v/>
      </c>
    </row>
    <row r="47" spans="1:40" ht="42" customHeight="1">
      <c r="A47" s="191"/>
      <c r="B47" s="189"/>
      <c r="C47" s="189"/>
      <c r="D47" s="189"/>
      <c r="E47" s="190"/>
      <c r="F47" s="189"/>
      <c r="G47" s="189"/>
      <c r="H47" s="189"/>
      <c r="I47" s="191"/>
      <c r="J47" s="191"/>
      <c r="K47" s="191"/>
      <c r="L47" s="191"/>
      <c r="M47" s="192"/>
      <c r="N47" s="191"/>
      <c r="O47" s="189"/>
      <c r="P47" s="194"/>
      <c r="Q47" s="191"/>
      <c r="R47" s="192"/>
      <c r="S47" s="189"/>
      <c r="T47" s="189"/>
      <c r="U47" s="189"/>
      <c r="V47" s="189"/>
      <c r="W47" s="191" t="str">
        <f t="shared" si="1"/>
        <v/>
      </c>
      <c r="X47" s="189"/>
      <c r="Y47" s="189"/>
      <c r="Z47" s="189"/>
      <c r="AA47" s="189"/>
      <c r="AB47" s="189"/>
      <c r="AC47" s="189"/>
      <c r="AD47" s="189"/>
      <c r="AE47" s="189"/>
      <c r="AF47" s="189"/>
      <c r="AG47" s="192"/>
      <c r="AH47" s="192"/>
      <c r="AI47" s="189"/>
      <c r="AJ47" s="189"/>
      <c r="AK47" s="189"/>
      <c r="AL47" s="189"/>
      <c r="AM47" s="191"/>
      <c r="AN47" s="191" t="str">
        <f>IF($A47="","",IF(COUNTIF('Decision Queue'!$A$5:$A$204,$A47)+COUNTIF('Decision Register'!$A$5:$A$304,$A47)&gt;1,"DUPLICATE ID","OK"))</f>
        <v/>
      </c>
    </row>
    <row r="48" spans="1:40" ht="42" customHeight="1">
      <c r="A48" s="191"/>
      <c r="B48" s="189"/>
      <c r="C48" s="189"/>
      <c r="D48" s="189"/>
      <c r="E48" s="190"/>
      <c r="F48" s="189"/>
      <c r="G48" s="189"/>
      <c r="H48" s="189"/>
      <c r="I48" s="191"/>
      <c r="J48" s="191"/>
      <c r="K48" s="191"/>
      <c r="L48" s="191"/>
      <c r="M48" s="192"/>
      <c r="N48" s="191"/>
      <c r="O48" s="189"/>
      <c r="P48" s="194"/>
      <c r="Q48" s="191"/>
      <c r="R48" s="192"/>
      <c r="S48" s="189"/>
      <c r="T48" s="189"/>
      <c r="U48" s="189"/>
      <c r="V48" s="189"/>
      <c r="W48" s="191" t="str">
        <f t="shared" si="1"/>
        <v/>
      </c>
      <c r="X48" s="189"/>
      <c r="Y48" s="189"/>
      <c r="Z48" s="189"/>
      <c r="AA48" s="189"/>
      <c r="AB48" s="189"/>
      <c r="AC48" s="189"/>
      <c r="AD48" s="189"/>
      <c r="AE48" s="189"/>
      <c r="AF48" s="189"/>
      <c r="AG48" s="192"/>
      <c r="AH48" s="192"/>
      <c r="AI48" s="189"/>
      <c r="AJ48" s="189"/>
      <c r="AK48" s="189"/>
      <c r="AL48" s="189"/>
      <c r="AM48" s="191"/>
      <c r="AN48" s="191" t="str">
        <f>IF($A48="","",IF(COUNTIF('Decision Queue'!$A$5:$A$204,$A48)+COUNTIF('Decision Register'!$A$5:$A$304,$A48)&gt;1,"DUPLICATE ID","OK"))</f>
        <v/>
      </c>
    </row>
    <row r="49" spans="1:40" ht="42" customHeight="1">
      <c r="A49" s="191"/>
      <c r="B49" s="189"/>
      <c r="C49" s="189"/>
      <c r="D49" s="189"/>
      <c r="E49" s="190"/>
      <c r="F49" s="189"/>
      <c r="G49" s="189"/>
      <c r="H49" s="189"/>
      <c r="I49" s="191"/>
      <c r="J49" s="191"/>
      <c r="K49" s="191"/>
      <c r="L49" s="191"/>
      <c r="M49" s="192"/>
      <c r="N49" s="191"/>
      <c r="O49" s="189"/>
      <c r="P49" s="194"/>
      <c r="Q49" s="191"/>
      <c r="R49" s="192"/>
      <c r="S49" s="189"/>
      <c r="T49" s="189"/>
      <c r="U49" s="189"/>
      <c r="V49" s="189"/>
      <c r="W49" s="191" t="str">
        <f t="shared" si="1"/>
        <v/>
      </c>
      <c r="X49" s="189"/>
      <c r="Y49" s="189"/>
      <c r="Z49" s="189"/>
      <c r="AA49" s="189"/>
      <c r="AB49" s="189"/>
      <c r="AC49" s="189"/>
      <c r="AD49" s="189"/>
      <c r="AE49" s="189"/>
      <c r="AF49" s="189"/>
      <c r="AG49" s="192"/>
      <c r="AH49" s="192"/>
      <c r="AI49" s="189"/>
      <c r="AJ49" s="189"/>
      <c r="AK49" s="189"/>
      <c r="AL49" s="189"/>
      <c r="AM49" s="191"/>
      <c r="AN49" s="191" t="str">
        <f>IF($A49="","",IF(COUNTIF('Decision Queue'!$A$5:$A$204,$A49)+COUNTIF('Decision Register'!$A$5:$A$304,$A49)&gt;1,"DUPLICATE ID","OK"))</f>
        <v/>
      </c>
    </row>
    <row r="50" spans="1:40" ht="42" customHeight="1">
      <c r="A50" s="191"/>
      <c r="B50" s="189"/>
      <c r="C50" s="189"/>
      <c r="D50" s="189"/>
      <c r="E50" s="190"/>
      <c r="F50" s="189"/>
      <c r="G50" s="189"/>
      <c r="H50" s="189"/>
      <c r="I50" s="191"/>
      <c r="J50" s="191"/>
      <c r="K50" s="191"/>
      <c r="L50" s="191"/>
      <c r="M50" s="192"/>
      <c r="N50" s="191"/>
      <c r="O50" s="189"/>
      <c r="P50" s="194"/>
      <c r="Q50" s="191"/>
      <c r="R50" s="192"/>
      <c r="S50" s="189"/>
      <c r="T50" s="189"/>
      <c r="U50" s="189"/>
      <c r="V50" s="189"/>
      <c r="W50" s="191" t="str">
        <f t="shared" si="1"/>
        <v/>
      </c>
      <c r="X50" s="189"/>
      <c r="Y50" s="189"/>
      <c r="Z50" s="189"/>
      <c r="AA50" s="189"/>
      <c r="AB50" s="189"/>
      <c r="AC50" s="189"/>
      <c r="AD50" s="189"/>
      <c r="AE50" s="189"/>
      <c r="AF50" s="189"/>
      <c r="AG50" s="192"/>
      <c r="AH50" s="192"/>
      <c r="AI50" s="189"/>
      <c r="AJ50" s="189"/>
      <c r="AK50" s="189"/>
      <c r="AL50" s="189"/>
      <c r="AM50" s="191"/>
      <c r="AN50" s="191" t="str">
        <f>IF($A50="","",IF(COUNTIF('Decision Queue'!$A$5:$A$204,$A50)+COUNTIF('Decision Register'!$A$5:$A$304,$A50)&gt;1,"DUPLICATE ID","OK"))</f>
        <v/>
      </c>
    </row>
    <row r="51" spans="1:40" ht="42" customHeight="1">
      <c r="A51" s="191"/>
      <c r="B51" s="189"/>
      <c r="C51" s="189"/>
      <c r="D51" s="189"/>
      <c r="E51" s="190"/>
      <c r="F51" s="189"/>
      <c r="G51" s="189"/>
      <c r="H51" s="189"/>
      <c r="I51" s="191"/>
      <c r="J51" s="191"/>
      <c r="K51" s="191"/>
      <c r="L51" s="191"/>
      <c r="M51" s="192"/>
      <c r="N51" s="191"/>
      <c r="O51" s="189"/>
      <c r="P51" s="194"/>
      <c r="Q51" s="191"/>
      <c r="R51" s="192"/>
      <c r="S51" s="189"/>
      <c r="T51" s="189"/>
      <c r="U51" s="189"/>
      <c r="V51" s="189"/>
      <c r="W51" s="191" t="str">
        <f t="shared" si="1"/>
        <v/>
      </c>
      <c r="X51" s="189"/>
      <c r="Y51" s="189"/>
      <c r="Z51" s="189"/>
      <c r="AA51" s="189"/>
      <c r="AB51" s="189"/>
      <c r="AC51" s="189"/>
      <c r="AD51" s="189"/>
      <c r="AE51" s="189"/>
      <c r="AF51" s="189"/>
      <c r="AG51" s="192"/>
      <c r="AH51" s="192"/>
      <c r="AI51" s="189"/>
      <c r="AJ51" s="189"/>
      <c r="AK51" s="189"/>
      <c r="AL51" s="189"/>
      <c r="AM51" s="191"/>
      <c r="AN51" s="191" t="str">
        <f>IF($A51="","",IF(COUNTIF('Decision Queue'!$A$5:$A$204,$A51)+COUNTIF('Decision Register'!$A$5:$A$304,$A51)&gt;1,"DUPLICATE ID","OK"))</f>
        <v/>
      </c>
    </row>
    <row r="52" spans="1:40" ht="42" customHeight="1">
      <c r="A52" s="191"/>
      <c r="B52" s="189"/>
      <c r="C52" s="189"/>
      <c r="D52" s="189"/>
      <c r="E52" s="190"/>
      <c r="F52" s="189"/>
      <c r="G52" s="189"/>
      <c r="H52" s="189"/>
      <c r="I52" s="191"/>
      <c r="J52" s="191"/>
      <c r="K52" s="191"/>
      <c r="L52" s="191"/>
      <c r="M52" s="192"/>
      <c r="N52" s="191"/>
      <c r="O52" s="189"/>
      <c r="P52" s="194"/>
      <c r="Q52" s="191"/>
      <c r="R52" s="192"/>
      <c r="S52" s="189"/>
      <c r="T52" s="189"/>
      <c r="U52" s="189"/>
      <c r="V52" s="189"/>
      <c r="W52" s="191" t="str">
        <f t="shared" si="1"/>
        <v/>
      </c>
      <c r="X52" s="189"/>
      <c r="Y52" s="189"/>
      <c r="Z52" s="189"/>
      <c r="AA52" s="189"/>
      <c r="AB52" s="189"/>
      <c r="AC52" s="189"/>
      <c r="AD52" s="189"/>
      <c r="AE52" s="189"/>
      <c r="AF52" s="189"/>
      <c r="AG52" s="192"/>
      <c r="AH52" s="192"/>
      <c r="AI52" s="189"/>
      <c r="AJ52" s="189"/>
      <c r="AK52" s="189"/>
      <c r="AL52" s="189"/>
      <c r="AM52" s="191"/>
      <c r="AN52" s="191" t="str">
        <f>IF($A52="","",IF(COUNTIF('Decision Queue'!$A$5:$A$204,$A52)+COUNTIF('Decision Register'!$A$5:$A$304,$A52)&gt;1,"DUPLICATE ID","OK"))</f>
        <v/>
      </c>
    </row>
    <row r="53" spans="1:40" ht="42" customHeight="1">
      <c r="A53" s="191"/>
      <c r="B53" s="189"/>
      <c r="C53" s="189"/>
      <c r="D53" s="189"/>
      <c r="E53" s="190"/>
      <c r="F53" s="189"/>
      <c r="G53" s="189"/>
      <c r="H53" s="189"/>
      <c r="I53" s="191"/>
      <c r="J53" s="191"/>
      <c r="K53" s="191"/>
      <c r="L53" s="191"/>
      <c r="M53" s="192"/>
      <c r="N53" s="191"/>
      <c r="O53" s="189"/>
      <c r="P53" s="194"/>
      <c r="Q53" s="191"/>
      <c r="R53" s="192"/>
      <c r="S53" s="189"/>
      <c r="T53" s="189"/>
      <c r="U53" s="189"/>
      <c r="V53" s="189"/>
      <c r="W53" s="191" t="str">
        <f t="shared" si="1"/>
        <v/>
      </c>
      <c r="X53" s="189"/>
      <c r="Y53" s="189"/>
      <c r="Z53" s="189"/>
      <c r="AA53" s="189"/>
      <c r="AB53" s="189"/>
      <c r="AC53" s="189"/>
      <c r="AD53" s="189"/>
      <c r="AE53" s="189"/>
      <c r="AF53" s="189"/>
      <c r="AG53" s="192"/>
      <c r="AH53" s="192"/>
      <c r="AI53" s="189"/>
      <c r="AJ53" s="189"/>
      <c r="AK53" s="189"/>
      <c r="AL53" s="189"/>
      <c r="AM53" s="191"/>
      <c r="AN53" s="191" t="str">
        <f>IF($A53="","",IF(COUNTIF('Decision Queue'!$A$5:$A$204,$A53)+COUNTIF('Decision Register'!$A$5:$A$304,$A53)&gt;1,"DUPLICATE ID","OK"))</f>
        <v/>
      </c>
    </row>
    <row r="54" spans="1:40" ht="42" customHeight="1">
      <c r="A54" s="191"/>
      <c r="B54" s="189"/>
      <c r="C54" s="189"/>
      <c r="D54" s="189"/>
      <c r="E54" s="190"/>
      <c r="F54" s="189"/>
      <c r="G54" s="189"/>
      <c r="H54" s="189"/>
      <c r="I54" s="191"/>
      <c r="J54" s="191"/>
      <c r="K54" s="191"/>
      <c r="L54" s="191"/>
      <c r="M54" s="192"/>
      <c r="N54" s="191"/>
      <c r="O54" s="189"/>
      <c r="P54" s="194"/>
      <c r="Q54" s="191"/>
      <c r="R54" s="192"/>
      <c r="S54" s="189"/>
      <c r="T54" s="189"/>
      <c r="U54" s="189"/>
      <c r="V54" s="189"/>
      <c r="W54" s="191" t="str">
        <f t="shared" si="1"/>
        <v/>
      </c>
      <c r="X54" s="189"/>
      <c r="Y54" s="189"/>
      <c r="Z54" s="189"/>
      <c r="AA54" s="189"/>
      <c r="AB54" s="189"/>
      <c r="AC54" s="189"/>
      <c r="AD54" s="189"/>
      <c r="AE54" s="189"/>
      <c r="AF54" s="189"/>
      <c r="AG54" s="192"/>
      <c r="AH54" s="192"/>
      <c r="AI54" s="189"/>
      <c r="AJ54" s="189"/>
      <c r="AK54" s="189"/>
      <c r="AL54" s="189"/>
      <c r="AM54" s="191"/>
      <c r="AN54" s="191" t="str">
        <f>IF($A54="","",IF(COUNTIF('Decision Queue'!$A$5:$A$204,$A54)+COUNTIF('Decision Register'!$A$5:$A$304,$A54)&gt;1,"DUPLICATE ID","OK"))</f>
        <v/>
      </c>
    </row>
    <row r="55" spans="1:40" ht="42" customHeight="1">
      <c r="A55" s="191"/>
      <c r="B55" s="189"/>
      <c r="C55" s="189"/>
      <c r="D55" s="189"/>
      <c r="E55" s="190"/>
      <c r="F55" s="189"/>
      <c r="G55" s="189"/>
      <c r="H55" s="189"/>
      <c r="I55" s="191"/>
      <c r="J55" s="191"/>
      <c r="K55" s="191"/>
      <c r="L55" s="191"/>
      <c r="M55" s="192"/>
      <c r="N55" s="191"/>
      <c r="O55" s="189"/>
      <c r="P55" s="194"/>
      <c r="Q55" s="191"/>
      <c r="R55" s="192"/>
      <c r="S55" s="189"/>
      <c r="T55" s="189"/>
      <c r="U55" s="189"/>
      <c r="V55" s="189"/>
      <c r="W55" s="191" t="str">
        <f t="shared" si="1"/>
        <v/>
      </c>
      <c r="X55" s="189"/>
      <c r="Y55" s="189"/>
      <c r="Z55" s="189"/>
      <c r="AA55" s="189"/>
      <c r="AB55" s="189"/>
      <c r="AC55" s="189"/>
      <c r="AD55" s="189"/>
      <c r="AE55" s="189"/>
      <c r="AF55" s="189"/>
      <c r="AG55" s="192"/>
      <c r="AH55" s="192"/>
      <c r="AI55" s="189"/>
      <c r="AJ55" s="189"/>
      <c r="AK55" s="189"/>
      <c r="AL55" s="189"/>
      <c r="AM55" s="191"/>
      <c r="AN55" s="191" t="str">
        <f>IF($A55="","",IF(COUNTIF('Decision Queue'!$A$5:$A$204,$A55)+COUNTIF('Decision Register'!$A$5:$A$304,$A55)&gt;1,"DUPLICATE ID","OK"))</f>
        <v/>
      </c>
    </row>
    <row r="56" spans="1:40" ht="42" customHeight="1">
      <c r="A56" s="191"/>
      <c r="B56" s="189"/>
      <c r="C56" s="189"/>
      <c r="D56" s="189"/>
      <c r="E56" s="190"/>
      <c r="F56" s="189"/>
      <c r="G56" s="189"/>
      <c r="H56" s="189"/>
      <c r="I56" s="191"/>
      <c r="J56" s="191"/>
      <c r="K56" s="191"/>
      <c r="L56" s="191"/>
      <c r="M56" s="192"/>
      <c r="N56" s="191"/>
      <c r="O56" s="189"/>
      <c r="P56" s="194"/>
      <c r="Q56" s="191"/>
      <c r="R56" s="192"/>
      <c r="S56" s="189"/>
      <c r="T56" s="189"/>
      <c r="U56" s="189"/>
      <c r="V56" s="189"/>
      <c r="W56" s="191" t="str">
        <f t="shared" si="1"/>
        <v/>
      </c>
      <c r="X56" s="189"/>
      <c r="Y56" s="189"/>
      <c r="Z56" s="189"/>
      <c r="AA56" s="189"/>
      <c r="AB56" s="189"/>
      <c r="AC56" s="189"/>
      <c r="AD56" s="189"/>
      <c r="AE56" s="189"/>
      <c r="AF56" s="189"/>
      <c r="AG56" s="192"/>
      <c r="AH56" s="192"/>
      <c r="AI56" s="189"/>
      <c r="AJ56" s="189"/>
      <c r="AK56" s="189"/>
      <c r="AL56" s="189"/>
      <c r="AM56" s="191"/>
      <c r="AN56" s="191" t="str">
        <f>IF($A56="","",IF(COUNTIF('Decision Queue'!$A$5:$A$204,$A56)+COUNTIF('Decision Register'!$A$5:$A$304,$A56)&gt;1,"DUPLICATE ID","OK"))</f>
        <v/>
      </c>
    </row>
    <row r="57" spans="1:40" ht="42" customHeight="1">
      <c r="A57" s="191"/>
      <c r="B57" s="189"/>
      <c r="C57" s="189"/>
      <c r="D57" s="189"/>
      <c r="E57" s="190"/>
      <c r="F57" s="189"/>
      <c r="G57" s="189"/>
      <c r="H57" s="189"/>
      <c r="I57" s="191"/>
      <c r="J57" s="191"/>
      <c r="K57" s="191"/>
      <c r="L57" s="191"/>
      <c r="M57" s="192"/>
      <c r="N57" s="191"/>
      <c r="O57" s="189"/>
      <c r="P57" s="194"/>
      <c r="Q57" s="191"/>
      <c r="R57" s="192"/>
      <c r="S57" s="189"/>
      <c r="T57" s="189"/>
      <c r="U57" s="189"/>
      <c r="V57" s="189"/>
      <c r="W57" s="191" t="str">
        <f t="shared" si="1"/>
        <v/>
      </c>
      <c r="X57" s="189"/>
      <c r="Y57" s="189"/>
      <c r="Z57" s="189"/>
      <c r="AA57" s="189"/>
      <c r="AB57" s="189"/>
      <c r="AC57" s="189"/>
      <c r="AD57" s="189"/>
      <c r="AE57" s="189"/>
      <c r="AF57" s="189"/>
      <c r="AG57" s="192"/>
      <c r="AH57" s="192"/>
      <c r="AI57" s="189"/>
      <c r="AJ57" s="189"/>
      <c r="AK57" s="189"/>
      <c r="AL57" s="189"/>
      <c r="AM57" s="191"/>
      <c r="AN57" s="191" t="str">
        <f>IF($A57="","",IF(COUNTIF('Decision Queue'!$A$5:$A$204,$A57)+COUNTIF('Decision Register'!$A$5:$A$304,$A57)&gt;1,"DUPLICATE ID","OK"))</f>
        <v/>
      </c>
    </row>
    <row r="58" spans="1:40" ht="42" customHeight="1">
      <c r="A58" s="191"/>
      <c r="B58" s="189"/>
      <c r="C58" s="189"/>
      <c r="D58" s="189"/>
      <c r="E58" s="190"/>
      <c r="F58" s="189"/>
      <c r="G58" s="189"/>
      <c r="H58" s="189"/>
      <c r="I58" s="191"/>
      <c r="J58" s="191"/>
      <c r="K58" s="191"/>
      <c r="L58" s="191"/>
      <c r="M58" s="192"/>
      <c r="N58" s="191"/>
      <c r="O58" s="189"/>
      <c r="P58" s="194"/>
      <c r="Q58" s="191"/>
      <c r="R58" s="192"/>
      <c r="S58" s="189"/>
      <c r="T58" s="189"/>
      <c r="U58" s="189"/>
      <c r="V58" s="189"/>
      <c r="W58" s="191" t="str">
        <f t="shared" si="1"/>
        <v/>
      </c>
      <c r="X58" s="189"/>
      <c r="Y58" s="189"/>
      <c r="Z58" s="189"/>
      <c r="AA58" s="189"/>
      <c r="AB58" s="189"/>
      <c r="AC58" s="189"/>
      <c r="AD58" s="189"/>
      <c r="AE58" s="189"/>
      <c r="AF58" s="189"/>
      <c r="AG58" s="192"/>
      <c r="AH58" s="192"/>
      <c r="AI58" s="189"/>
      <c r="AJ58" s="189"/>
      <c r="AK58" s="189"/>
      <c r="AL58" s="189"/>
      <c r="AM58" s="191"/>
      <c r="AN58" s="191" t="str">
        <f>IF($A58="","",IF(COUNTIF('Decision Queue'!$A$5:$A$204,$A58)+COUNTIF('Decision Register'!$A$5:$A$304,$A58)&gt;1,"DUPLICATE ID","OK"))</f>
        <v/>
      </c>
    </row>
    <row r="59" spans="1:40" ht="42" customHeight="1">
      <c r="A59" s="191"/>
      <c r="B59" s="189"/>
      <c r="C59" s="189"/>
      <c r="D59" s="189"/>
      <c r="E59" s="190"/>
      <c r="F59" s="189"/>
      <c r="G59" s="189"/>
      <c r="H59" s="189"/>
      <c r="I59" s="191"/>
      <c r="J59" s="191"/>
      <c r="K59" s="191"/>
      <c r="L59" s="191"/>
      <c r="M59" s="192"/>
      <c r="N59" s="191"/>
      <c r="O59" s="189"/>
      <c r="P59" s="194"/>
      <c r="Q59" s="191"/>
      <c r="R59" s="192"/>
      <c r="S59" s="189"/>
      <c r="T59" s="189"/>
      <c r="U59" s="189"/>
      <c r="V59" s="189"/>
      <c r="W59" s="191" t="str">
        <f t="shared" si="1"/>
        <v/>
      </c>
      <c r="X59" s="189"/>
      <c r="Y59" s="189"/>
      <c r="Z59" s="189"/>
      <c r="AA59" s="189"/>
      <c r="AB59" s="189"/>
      <c r="AC59" s="189"/>
      <c r="AD59" s="189"/>
      <c r="AE59" s="189"/>
      <c r="AF59" s="189"/>
      <c r="AG59" s="192"/>
      <c r="AH59" s="192"/>
      <c r="AI59" s="189"/>
      <c r="AJ59" s="189"/>
      <c r="AK59" s="189"/>
      <c r="AL59" s="189"/>
      <c r="AM59" s="191"/>
      <c r="AN59" s="191" t="str">
        <f>IF($A59="","",IF(COUNTIF('Decision Queue'!$A$5:$A$204,$A59)+COUNTIF('Decision Register'!$A$5:$A$304,$A59)&gt;1,"DUPLICATE ID","OK"))</f>
        <v/>
      </c>
    </row>
    <row r="60" spans="1:40" ht="42" customHeight="1">
      <c r="A60" s="191"/>
      <c r="B60" s="189"/>
      <c r="C60" s="189"/>
      <c r="D60" s="189"/>
      <c r="E60" s="190"/>
      <c r="F60" s="189"/>
      <c r="G60" s="189"/>
      <c r="H60" s="189"/>
      <c r="I60" s="191"/>
      <c r="J60" s="191"/>
      <c r="K60" s="191"/>
      <c r="L60" s="191"/>
      <c r="M60" s="192"/>
      <c r="N60" s="191"/>
      <c r="O60" s="189"/>
      <c r="P60" s="194"/>
      <c r="Q60" s="191"/>
      <c r="R60" s="192"/>
      <c r="S60" s="189"/>
      <c r="T60" s="189"/>
      <c r="U60" s="189"/>
      <c r="V60" s="189"/>
      <c r="W60" s="191" t="str">
        <f t="shared" si="1"/>
        <v/>
      </c>
      <c r="X60" s="189"/>
      <c r="Y60" s="189"/>
      <c r="Z60" s="189"/>
      <c r="AA60" s="189"/>
      <c r="AB60" s="189"/>
      <c r="AC60" s="189"/>
      <c r="AD60" s="189"/>
      <c r="AE60" s="189"/>
      <c r="AF60" s="189"/>
      <c r="AG60" s="192"/>
      <c r="AH60" s="192"/>
      <c r="AI60" s="189"/>
      <c r="AJ60" s="189"/>
      <c r="AK60" s="189"/>
      <c r="AL60" s="189"/>
      <c r="AM60" s="191"/>
      <c r="AN60" s="191" t="str">
        <f>IF($A60="","",IF(COUNTIF('Decision Queue'!$A$5:$A$204,$A60)+COUNTIF('Decision Register'!$A$5:$A$304,$A60)&gt;1,"DUPLICATE ID","OK"))</f>
        <v/>
      </c>
    </row>
    <row r="61" spans="1:40" ht="42" customHeight="1">
      <c r="A61" s="191"/>
      <c r="B61" s="189"/>
      <c r="C61" s="189"/>
      <c r="D61" s="189"/>
      <c r="E61" s="190"/>
      <c r="F61" s="189"/>
      <c r="G61" s="189"/>
      <c r="H61" s="189"/>
      <c r="I61" s="191"/>
      <c r="J61" s="191"/>
      <c r="K61" s="191"/>
      <c r="L61" s="191"/>
      <c r="M61" s="192"/>
      <c r="N61" s="191"/>
      <c r="O61" s="189"/>
      <c r="P61" s="194"/>
      <c r="Q61" s="191"/>
      <c r="R61" s="192"/>
      <c r="S61" s="189"/>
      <c r="T61" s="189"/>
      <c r="U61" s="189"/>
      <c r="V61" s="189"/>
      <c r="W61" s="191" t="str">
        <f t="shared" si="1"/>
        <v/>
      </c>
      <c r="X61" s="189"/>
      <c r="Y61" s="189"/>
      <c r="Z61" s="189"/>
      <c r="AA61" s="189"/>
      <c r="AB61" s="189"/>
      <c r="AC61" s="189"/>
      <c r="AD61" s="189"/>
      <c r="AE61" s="189"/>
      <c r="AF61" s="189"/>
      <c r="AG61" s="192"/>
      <c r="AH61" s="192"/>
      <c r="AI61" s="189"/>
      <c r="AJ61" s="189"/>
      <c r="AK61" s="189"/>
      <c r="AL61" s="189"/>
      <c r="AM61" s="191"/>
      <c r="AN61" s="191" t="str">
        <f>IF($A61="","",IF(COUNTIF('Decision Queue'!$A$5:$A$204,$A61)+COUNTIF('Decision Register'!$A$5:$A$304,$A61)&gt;1,"DUPLICATE ID","OK"))</f>
        <v/>
      </c>
    </row>
    <row r="62" spans="1:40" ht="42" customHeight="1">
      <c r="A62" s="191"/>
      <c r="B62" s="189"/>
      <c r="C62" s="189"/>
      <c r="D62" s="189"/>
      <c r="E62" s="190"/>
      <c r="F62" s="189"/>
      <c r="G62" s="189"/>
      <c r="H62" s="189"/>
      <c r="I62" s="191"/>
      <c r="J62" s="191"/>
      <c r="K62" s="191"/>
      <c r="L62" s="191"/>
      <c r="M62" s="192"/>
      <c r="N62" s="191"/>
      <c r="O62" s="189"/>
      <c r="P62" s="194"/>
      <c r="Q62" s="191"/>
      <c r="R62" s="192"/>
      <c r="S62" s="189"/>
      <c r="T62" s="189"/>
      <c r="U62" s="189"/>
      <c r="V62" s="189"/>
      <c r="W62" s="191" t="str">
        <f t="shared" si="1"/>
        <v/>
      </c>
      <c r="X62" s="189"/>
      <c r="Y62" s="189"/>
      <c r="Z62" s="189"/>
      <c r="AA62" s="189"/>
      <c r="AB62" s="189"/>
      <c r="AC62" s="189"/>
      <c r="AD62" s="189"/>
      <c r="AE62" s="189"/>
      <c r="AF62" s="189"/>
      <c r="AG62" s="192"/>
      <c r="AH62" s="192"/>
      <c r="AI62" s="189"/>
      <c r="AJ62" s="189"/>
      <c r="AK62" s="189"/>
      <c r="AL62" s="189"/>
      <c r="AM62" s="191"/>
      <c r="AN62" s="191" t="str">
        <f>IF($A62="","",IF(COUNTIF('Decision Queue'!$A$5:$A$204,$A62)+COUNTIF('Decision Register'!$A$5:$A$304,$A62)&gt;1,"DUPLICATE ID","OK"))</f>
        <v/>
      </c>
    </row>
    <row r="63" spans="1:40" ht="42" customHeight="1">
      <c r="A63" s="191"/>
      <c r="B63" s="189"/>
      <c r="C63" s="189"/>
      <c r="D63" s="189"/>
      <c r="E63" s="190"/>
      <c r="F63" s="189"/>
      <c r="G63" s="189"/>
      <c r="H63" s="189"/>
      <c r="I63" s="191"/>
      <c r="J63" s="191"/>
      <c r="K63" s="191"/>
      <c r="L63" s="191"/>
      <c r="M63" s="192"/>
      <c r="N63" s="191"/>
      <c r="O63" s="189"/>
      <c r="P63" s="194"/>
      <c r="Q63" s="191"/>
      <c r="R63" s="192"/>
      <c r="S63" s="189"/>
      <c r="T63" s="189"/>
      <c r="U63" s="189"/>
      <c r="V63" s="189"/>
      <c r="W63" s="191" t="str">
        <f t="shared" si="1"/>
        <v/>
      </c>
      <c r="X63" s="189"/>
      <c r="Y63" s="189"/>
      <c r="Z63" s="189"/>
      <c r="AA63" s="189"/>
      <c r="AB63" s="189"/>
      <c r="AC63" s="189"/>
      <c r="AD63" s="189"/>
      <c r="AE63" s="189"/>
      <c r="AF63" s="189"/>
      <c r="AG63" s="192"/>
      <c r="AH63" s="192"/>
      <c r="AI63" s="189"/>
      <c r="AJ63" s="189"/>
      <c r="AK63" s="189"/>
      <c r="AL63" s="189"/>
      <c r="AM63" s="191"/>
      <c r="AN63" s="191" t="str">
        <f>IF($A63="","",IF(COUNTIF('Decision Queue'!$A$5:$A$204,$A63)+COUNTIF('Decision Register'!$A$5:$A$304,$A63)&gt;1,"DUPLICATE ID","OK"))</f>
        <v/>
      </c>
    </row>
    <row r="64" spans="1:40" ht="42" customHeight="1">
      <c r="A64" s="191"/>
      <c r="B64" s="189"/>
      <c r="C64" s="189"/>
      <c r="D64" s="189"/>
      <c r="E64" s="190"/>
      <c r="F64" s="189"/>
      <c r="G64" s="189"/>
      <c r="H64" s="189"/>
      <c r="I64" s="191"/>
      <c r="J64" s="191"/>
      <c r="K64" s="191"/>
      <c r="L64" s="191"/>
      <c r="M64" s="192"/>
      <c r="N64" s="191"/>
      <c r="O64" s="189"/>
      <c r="P64" s="194"/>
      <c r="Q64" s="191"/>
      <c r="R64" s="192"/>
      <c r="S64" s="189"/>
      <c r="T64" s="189"/>
      <c r="U64" s="189"/>
      <c r="V64" s="189"/>
      <c r="W64" s="191" t="str">
        <f t="shared" si="1"/>
        <v/>
      </c>
      <c r="X64" s="189"/>
      <c r="Y64" s="189"/>
      <c r="Z64" s="189"/>
      <c r="AA64" s="189"/>
      <c r="AB64" s="189"/>
      <c r="AC64" s="189"/>
      <c r="AD64" s="189"/>
      <c r="AE64" s="189"/>
      <c r="AF64" s="189"/>
      <c r="AG64" s="192"/>
      <c r="AH64" s="192"/>
      <c r="AI64" s="189"/>
      <c r="AJ64" s="189"/>
      <c r="AK64" s="189"/>
      <c r="AL64" s="189"/>
      <c r="AM64" s="191"/>
      <c r="AN64" s="191" t="str">
        <f>IF($A64="","",IF(COUNTIF('Decision Queue'!$A$5:$A$204,$A64)+COUNTIF('Decision Register'!$A$5:$A$304,$A64)&gt;1,"DUPLICATE ID","OK"))</f>
        <v/>
      </c>
    </row>
    <row r="65" spans="1:40" ht="42" customHeight="1">
      <c r="A65" s="191"/>
      <c r="B65" s="189"/>
      <c r="C65" s="189"/>
      <c r="D65" s="189"/>
      <c r="E65" s="190"/>
      <c r="F65" s="189"/>
      <c r="G65" s="189"/>
      <c r="H65" s="189"/>
      <c r="I65" s="191"/>
      <c r="J65" s="191"/>
      <c r="K65" s="191"/>
      <c r="L65" s="191"/>
      <c r="M65" s="192"/>
      <c r="N65" s="191"/>
      <c r="O65" s="189"/>
      <c r="P65" s="194"/>
      <c r="Q65" s="191"/>
      <c r="R65" s="192"/>
      <c r="S65" s="189"/>
      <c r="T65" s="189"/>
      <c r="U65" s="189"/>
      <c r="V65" s="189"/>
      <c r="W65" s="191" t="str">
        <f t="shared" si="1"/>
        <v/>
      </c>
      <c r="X65" s="189"/>
      <c r="Y65" s="189"/>
      <c r="Z65" s="189"/>
      <c r="AA65" s="189"/>
      <c r="AB65" s="189"/>
      <c r="AC65" s="189"/>
      <c r="AD65" s="189"/>
      <c r="AE65" s="189"/>
      <c r="AF65" s="189"/>
      <c r="AG65" s="192"/>
      <c r="AH65" s="192"/>
      <c r="AI65" s="189"/>
      <c r="AJ65" s="189"/>
      <c r="AK65" s="189"/>
      <c r="AL65" s="189"/>
      <c r="AM65" s="191"/>
      <c r="AN65" s="191" t="str">
        <f>IF($A65="","",IF(COUNTIF('Decision Queue'!$A$5:$A$204,$A65)+COUNTIF('Decision Register'!$A$5:$A$304,$A65)&gt;1,"DUPLICATE ID","OK"))</f>
        <v/>
      </c>
    </row>
    <row r="66" spans="1:40" ht="42" customHeight="1">
      <c r="A66" s="191"/>
      <c r="B66" s="189"/>
      <c r="C66" s="189"/>
      <c r="D66" s="189"/>
      <c r="E66" s="190"/>
      <c r="F66" s="189"/>
      <c r="G66" s="189"/>
      <c r="H66" s="189"/>
      <c r="I66" s="191"/>
      <c r="J66" s="191"/>
      <c r="K66" s="191"/>
      <c r="L66" s="191"/>
      <c r="M66" s="192"/>
      <c r="N66" s="191"/>
      <c r="O66" s="189"/>
      <c r="P66" s="194"/>
      <c r="Q66" s="191"/>
      <c r="R66" s="192"/>
      <c r="S66" s="189"/>
      <c r="T66" s="189"/>
      <c r="U66" s="189"/>
      <c r="V66" s="189"/>
      <c r="W66" s="191" t="str">
        <f t="shared" si="1"/>
        <v/>
      </c>
      <c r="X66" s="189"/>
      <c r="Y66" s="189"/>
      <c r="Z66" s="189"/>
      <c r="AA66" s="189"/>
      <c r="AB66" s="189"/>
      <c r="AC66" s="189"/>
      <c r="AD66" s="189"/>
      <c r="AE66" s="189"/>
      <c r="AF66" s="189"/>
      <c r="AG66" s="192"/>
      <c r="AH66" s="192"/>
      <c r="AI66" s="189"/>
      <c r="AJ66" s="189"/>
      <c r="AK66" s="189"/>
      <c r="AL66" s="189"/>
      <c r="AM66" s="191"/>
      <c r="AN66" s="191" t="str">
        <f>IF($A66="","",IF(COUNTIF('Decision Queue'!$A$5:$A$204,$A66)+COUNTIF('Decision Register'!$A$5:$A$304,$A66)&gt;1,"DUPLICATE ID","OK"))</f>
        <v/>
      </c>
    </row>
    <row r="67" spans="1:40" ht="42" customHeight="1">
      <c r="A67" s="191"/>
      <c r="B67" s="189"/>
      <c r="C67" s="189"/>
      <c r="D67" s="189"/>
      <c r="E67" s="190"/>
      <c r="F67" s="189"/>
      <c r="G67" s="189"/>
      <c r="H67" s="189"/>
      <c r="I67" s="191"/>
      <c r="J67" s="191"/>
      <c r="K67" s="191"/>
      <c r="L67" s="191"/>
      <c r="M67" s="192"/>
      <c r="N67" s="191"/>
      <c r="O67" s="189"/>
      <c r="P67" s="194"/>
      <c r="Q67" s="191"/>
      <c r="R67" s="192"/>
      <c r="S67" s="189"/>
      <c r="T67" s="189"/>
      <c r="U67" s="189"/>
      <c r="V67" s="189"/>
      <c r="W67" s="191" t="str">
        <f t="shared" si="1"/>
        <v/>
      </c>
      <c r="X67" s="189"/>
      <c r="Y67" s="189"/>
      <c r="Z67" s="189"/>
      <c r="AA67" s="189"/>
      <c r="AB67" s="189"/>
      <c r="AC67" s="189"/>
      <c r="AD67" s="189"/>
      <c r="AE67" s="189"/>
      <c r="AF67" s="189"/>
      <c r="AG67" s="192"/>
      <c r="AH67" s="192"/>
      <c r="AI67" s="189"/>
      <c r="AJ67" s="189"/>
      <c r="AK67" s="189"/>
      <c r="AL67" s="189"/>
      <c r="AM67" s="191"/>
      <c r="AN67" s="191" t="str">
        <f>IF($A67="","",IF(COUNTIF('Decision Queue'!$A$5:$A$204,$A67)+COUNTIF('Decision Register'!$A$5:$A$304,$A67)&gt;1,"DUPLICATE ID","OK"))</f>
        <v/>
      </c>
    </row>
    <row r="68" spans="1:40" ht="42" customHeight="1">
      <c r="A68" s="191"/>
      <c r="B68" s="189"/>
      <c r="C68" s="189"/>
      <c r="D68" s="189"/>
      <c r="E68" s="190"/>
      <c r="F68" s="189"/>
      <c r="G68" s="189"/>
      <c r="H68" s="189"/>
      <c r="I68" s="191"/>
      <c r="J68" s="191"/>
      <c r="K68" s="191"/>
      <c r="L68" s="191"/>
      <c r="M68" s="192"/>
      <c r="N68" s="191"/>
      <c r="O68" s="189"/>
      <c r="P68" s="194"/>
      <c r="Q68" s="191"/>
      <c r="R68" s="192"/>
      <c r="S68" s="189"/>
      <c r="T68" s="189"/>
      <c r="U68" s="189"/>
      <c r="V68" s="189"/>
      <c r="W68" s="191" t="str">
        <f t="shared" si="1"/>
        <v/>
      </c>
      <c r="X68" s="189"/>
      <c r="Y68" s="189"/>
      <c r="Z68" s="189"/>
      <c r="AA68" s="189"/>
      <c r="AB68" s="189"/>
      <c r="AC68" s="189"/>
      <c r="AD68" s="189"/>
      <c r="AE68" s="189"/>
      <c r="AF68" s="189"/>
      <c r="AG68" s="192"/>
      <c r="AH68" s="192"/>
      <c r="AI68" s="189"/>
      <c r="AJ68" s="189"/>
      <c r="AK68" s="189"/>
      <c r="AL68" s="189"/>
      <c r="AM68" s="191"/>
      <c r="AN68" s="191" t="str">
        <f>IF($A68="","",IF(COUNTIF('Decision Queue'!$A$5:$A$204,$A68)+COUNTIF('Decision Register'!$A$5:$A$304,$A68)&gt;1,"DUPLICATE ID","OK"))</f>
        <v/>
      </c>
    </row>
    <row r="69" spans="1:40" ht="42" customHeight="1">
      <c r="A69" s="191"/>
      <c r="B69" s="189"/>
      <c r="C69" s="189"/>
      <c r="D69" s="189"/>
      <c r="E69" s="190"/>
      <c r="F69" s="189"/>
      <c r="G69" s="189"/>
      <c r="H69" s="189"/>
      <c r="I69" s="191"/>
      <c r="J69" s="191"/>
      <c r="K69" s="191"/>
      <c r="L69" s="191"/>
      <c r="M69" s="192"/>
      <c r="N69" s="191"/>
      <c r="O69" s="189"/>
      <c r="P69" s="194"/>
      <c r="Q69" s="191"/>
      <c r="R69" s="192"/>
      <c r="S69" s="189"/>
      <c r="T69" s="189"/>
      <c r="U69" s="189"/>
      <c r="V69" s="189"/>
      <c r="W69" s="191" t="str">
        <f t="shared" ref="W69:W100" si="2">IF($B69="","",IF(OR($G69="Completed",$G69="Cancelled"),"INACTIVE","ACTIVE"))</f>
        <v/>
      </c>
      <c r="X69" s="189"/>
      <c r="Y69" s="189"/>
      <c r="Z69" s="189"/>
      <c r="AA69" s="189"/>
      <c r="AB69" s="189"/>
      <c r="AC69" s="189"/>
      <c r="AD69" s="189"/>
      <c r="AE69" s="189"/>
      <c r="AF69" s="189"/>
      <c r="AG69" s="192"/>
      <c r="AH69" s="192"/>
      <c r="AI69" s="189"/>
      <c r="AJ69" s="189"/>
      <c r="AK69" s="189"/>
      <c r="AL69" s="189"/>
      <c r="AM69" s="191"/>
      <c r="AN69" s="191" t="str">
        <f>IF($A69="","",IF(COUNTIF('Decision Queue'!$A$5:$A$204,$A69)+COUNTIF('Decision Register'!$A$5:$A$304,$A69)&gt;1,"DUPLICATE ID","OK"))</f>
        <v/>
      </c>
    </row>
    <row r="70" spans="1:40" ht="42" customHeight="1">
      <c r="A70" s="191"/>
      <c r="B70" s="189"/>
      <c r="C70" s="189"/>
      <c r="D70" s="189"/>
      <c r="E70" s="190"/>
      <c r="F70" s="189"/>
      <c r="G70" s="189"/>
      <c r="H70" s="189"/>
      <c r="I70" s="191"/>
      <c r="J70" s="191"/>
      <c r="K70" s="191"/>
      <c r="L70" s="191"/>
      <c r="M70" s="192"/>
      <c r="N70" s="191"/>
      <c r="O70" s="189"/>
      <c r="P70" s="194"/>
      <c r="Q70" s="191"/>
      <c r="R70" s="192"/>
      <c r="S70" s="189"/>
      <c r="T70" s="189"/>
      <c r="U70" s="189"/>
      <c r="V70" s="189"/>
      <c r="W70" s="191" t="str">
        <f t="shared" si="2"/>
        <v/>
      </c>
      <c r="X70" s="189"/>
      <c r="Y70" s="189"/>
      <c r="Z70" s="189"/>
      <c r="AA70" s="189"/>
      <c r="AB70" s="189"/>
      <c r="AC70" s="189"/>
      <c r="AD70" s="189"/>
      <c r="AE70" s="189"/>
      <c r="AF70" s="189"/>
      <c r="AG70" s="192"/>
      <c r="AH70" s="192"/>
      <c r="AI70" s="189"/>
      <c r="AJ70" s="189"/>
      <c r="AK70" s="189"/>
      <c r="AL70" s="189"/>
      <c r="AM70" s="191"/>
      <c r="AN70" s="191" t="str">
        <f>IF($A70="","",IF(COUNTIF('Decision Queue'!$A$5:$A$204,$A70)+COUNTIF('Decision Register'!$A$5:$A$304,$A70)&gt;1,"DUPLICATE ID","OK"))</f>
        <v/>
      </c>
    </row>
    <row r="71" spans="1:40" ht="42" customHeight="1">
      <c r="A71" s="191"/>
      <c r="B71" s="189"/>
      <c r="C71" s="189"/>
      <c r="D71" s="189"/>
      <c r="E71" s="190"/>
      <c r="F71" s="189"/>
      <c r="G71" s="189"/>
      <c r="H71" s="189"/>
      <c r="I71" s="191"/>
      <c r="J71" s="191"/>
      <c r="K71" s="191"/>
      <c r="L71" s="191"/>
      <c r="M71" s="192"/>
      <c r="N71" s="191"/>
      <c r="O71" s="189"/>
      <c r="P71" s="194"/>
      <c r="Q71" s="191"/>
      <c r="R71" s="192"/>
      <c r="S71" s="189"/>
      <c r="T71" s="189"/>
      <c r="U71" s="189"/>
      <c r="V71" s="189"/>
      <c r="W71" s="191" t="str">
        <f t="shared" si="2"/>
        <v/>
      </c>
      <c r="X71" s="189"/>
      <c r="Y71" s="189"/>
      <c r="Z71" s="189"/>
      <c r="AA71" s="189"/>
      <c r="AB71" s="189"/>
      <c r="AC71" s="189"/>
      <c r="AD71" s="189"/>
      <c r="AE71" s="189"/>
      <c r="AF71" s="189"/>
      <c r="AG71" s="192"/>
      <c r="AH71" s="192"/>
      <c r="AI71" s="189"/>
      <c r="AJ71" s="189"/>
      <c r="AK71" s="189"/>
      <c r="AL71" s="189"/>
      <c r="AM71" s="191"/>
      <c r="AN71" s="191" t="str">
        <f>IF($A71="","",IF(COUNTIF('Decision Queue'!$A$5:$A$204,$A71)+COUNTIF('Decision Register'!$A$5:$A$304,$A71)&gt;1,"DUPLICATE ID","OK"))</f>
        <v/>
      </c>
    </row>
    <row r="72" spans="1:40" ht="42" customHeight="1">
      <c r="A72" s="191"/>
      <c r="B72" s="189"/>
      <c r="C72" s="189"/>
      <c r="D72" s="189"/>
      <c r="E72" s="190"/>
      <c r="F72" s="189"/>
      <c r="G72" s="189"/>
      <c r="H72" s="189"/>
      <c r="I72" s="191"/>
      <c r="J72" s="191"/>
      <c r="K72" s="191"/>
      <c r="L72" s="191"/>
      <c r="M72" s="192"/>
      <c r="N72" s="191"/>
      <c r="O72" s="189"/>
      <c r="P72" s="194"/>
      <c r="Q72" s="191"/>
      <c r="R72" s="192"/>
      <c r="S72" s="189"/>
      <c r="T72" s="189"/>
      <c r="U72" s="189"/>
      <c r="V72" s="189"/>
      <c r="W72" s="191" t="str">
        <f t="shared" si="2"/>
        <v/>
      </c>
      <c r="X72" s="189"/>
      <c r="Y72" s="189"/>
      <c r="Z72" s="189"/>
      <c r="AA72" s="189"/>
      <c r="AB72" s="189"/>
      <c r="AC72" s="189"/>
      <c r="AD72" s="189"/>
      <c r="AE72" s="189"/>
      <c r="AF72" s="189"/>
      <c r="AG72" s="192"/>
      <c r="AH72" s="192"/>
      <c r="AI72" s="189"/>
      <c r="AJ72" s="189"/>
      <c r="AK72" s="189"/>
      <c r="AL72" s="189"/>
      <c r="AM72" s="191"/>
      <c r="AN72" s="191" t="str">
        <f>IF($A72="","",IF(COUNTIF('Decision Queue'!$A$5:$A$204,$A72)+COUNTIF('Decision Register'!$A$5:$A$304,$A72)&gt;1,"DUPLICATE ID","OK"))</f>
        <v/>
      </c>
    </row>
    <row r="73" spans="1:40" ht="42" customHeight="1">
      <c r="A73" s="191"/>
      <c r="B73" s="189"/>
      <c r="C73" s="189"/>
      <c r="D73" s="189"/>
      <c r="E73" s="190"/>
      <c r="F73" s="189"/>
      <c r="G73" s="189"/>
      <c r="H73" s="189"/>
      <c r="I73" s="191"/>
      <c r="J73" s="191"/>
      <c r="K73" s="191"/>
      <c r="L73" s="191"/>
      <c r="M73" s="192"/>
      <c r="N73" s="191"/>
      <c r="O73" s="189"/>
      <c r="P73" s="194"/>
      <c r="Q73" s="191"/>
      <c r="R73" s="192"/>
      <c r="S73" s="189"/>
      <c r="T73" s="189"/>
      <c r="U73" s="189"/>
      <c r="V73" s="189"/>
      <c r="W73" s="191" t="str">
        <f t="shared" si="2"/>
        <v/>
      </c>
      <c r="X73" s="189"/>
      <c r="Y73" s="189"/>
      <c r="Z73" s="189"/>
      <c r="AA73" s="189"/>
      <c r="AB73" s="189"/>
      <c r="AC73" s="189"/>
      <c r="AD73" s="189"/>
      <c r="AE73" s="189"/>
      <c r="AF73" s="189"/>
      <c r="AG73" s="192"/>
      <c r="AH73" s="192"/>
      <c r="AI73" s="189"/>
      <c r="AJ73" s="189"/>
      <c r="AK73" s="189"/>
      <c r="AL73" s="189"/>
      <c r="AM73" s="191"/>
      <c r="AN73" s="191" t="str">
        <f>IF($A73="","",IF(COUNTIF('Decision Queue'!$A$5:$A$204,$A73)+COUNTIF('Decision Register'!$A$5:$A$304,$A73)&gt;1,"DUPLICATE ID","OK"))</f>
        <v/>
      </c>
    </row>
    <row r="74" spans="1:40" ht="42" customHeight="1">
      <c r="A74" s="191"/>
      <c r="B74" s="189"/>
      <c r="C74" s="189"/>
      <c r="D74" s="189"/>
      <c r="E74" s="190"/>
      <c r="F74" s="189"/>
      <c r="G74" s="189"/>
      <c r="H74" s="189"/>
      <c r="I74" s="191"/>
      <c r="J74" s="191"/>
      <c r="K74" s="191"/>
      <c r="L74" s="191"/>
      <c r="M74" s="192"/>
      <c r="N74" s="191"/>
      <c r="O74" s="189"/>
      <c r="P74" s="194"/>
      <c r="Q74" s="191"/>
      <c r="R74" s="192"/>
      <c r="S74" s="189"/>
      <c r="T74" s="189"/>
      <c r="U74" s="189"/>
      <c r="V74" s="189"/>
      <c r="W74" s="191" t="str">
        <f t="shared" si="2"/>
        <v/>
      </c>
      <c r="X74" s="189"/>
      <c r="Y74" s="189"/>
      <c r="Z74" s="189"/>
      <c r="AA74" s="189"/>
      <c r="AB74" s="189"/>
      <c r="AC74" s="189"/>
      <c r="AD74" s="189"/>
      <c r="AE74" s="189"/>
      <c r="AF74" s="189"/>
      <c r="AG74" s="192"/>
      <c r="AH74" s="192"/>
      <c r="AI74" s="189"/>
      <c r="AJ74" s="189"/>
      <c r="AK74" s="189"/>
      <c r="AL74" s="189"/>
      <c r="AM74" s="191"/>
      <c r="AN74" s="191" t="str">
        <f>IF($A74="","",IF(COUNTIF('Decision Queue'!$A$5:$A$204,$A74)+COUNTIF('Decision Register'!$A$5:$A$304,$A74)&gt;1,"DUPLICATE ID","OK"))</f>
        <v/>
      </c>
    </row>
    <row r="75" spans="1:40" ht="42" customHeight="1">
      <c r="A75" s="191"/>
      <c r="B75" s="189"/>
      <c r="C75" s="189"/>
      <c r="D75" s="189"/>
      <c r="E75" s="190"/>
      <c r="F75" s="189"/>
      <c r="G75" s="189"/>
      <c r="H75" s="189"/>
      <c r="I75" s="191"/>
      <c r="J75" s="191"/>
      <c r="K75" s="191"/>
      <c r="L75" s="191"/>
      <c r="M75" s="192"/>
      <c r="N75" s="191"/>
      <c r="O75" s="189"/>
      <c r="P75" s="194"/>
      <c r="Q75" s="191"/>
      <c r="R75" s="192"/>
      <c r="S75" s="189"/>
      <c r="T75" s="189"/>
      <c r="U75" s="189"/>
      <c r="V75" s="189"/>
      <c r="W75" s="191" t="str">
        <f t="shared" si="2"/>
        <v/>
      </c>
      <c r="X75" s="189"/>
      <c r="Y75" s="189"/>
      <c r="Z75" s="189"/>
      <c r="AA75" s="189"/>
      <c r="AB75" s="189"/>
      <c r="AC75" s="189"/>
      <c r="AD75" s="189"/>
      <c r="AE75" s="189"/>
      <c r="AF75" s="189"/>
      <c r="AG75" s="192"/>
      <c r="AH75" s="192"/>
      <c r="AI75" s="189"/>
      <c r="AJ75" s="189"/>
      <c r="AK75" s="189"/>
      <c r="AL75" s="189"/>
      <c r="AM75" s="191"/>
      <c r="AN75" s="191" t="str">
        <f>IF($A75="","",IF(COUNTIF('Decision Queue'!$A$5:$A$204,$A75)+COUNTIF('Decision Register'!$A$5:$A$304,$A75)&gt;1,"DUPLICATE ID","OK"))</f>
        <v/>
      </c>
    </row>
    <row r="76" spans="1:40" ht="42" customHeight="1">
      <c r="A76" s="191"/>
      <c r="B76" s="189"/>
      <c r="C76" s="189"/>
      <c r="D76" s="189"/>
      <c r="E76" s="190"/>
      <c r="F76" s="189"/>
      <c r="G76" s="189"/>
      <c r="H76" s="189"/>
      <c r="I76" s="191"/>
      <c r="J76" s="191"/>
      <c r="K76" s="191"/>
      <c r="L76" s="191"/>
      <c r="M76" s="192"/>
      <c r="N76" s="191"/>
      <c r="O76" s="189"/>
      <c r="P76" s="194"/>
      <c r="Q76" s="191"/>
      <c r="R76" s="192"/>
      <c r="S76" s="189"/>
      <c r="T76" s="189"/>
      <c r="U76" s="189"/>
      <c r="V76" s="189"/>
      <c r="W76" s="191" t="str">
        <f t="shared" si="2"/>
        <v/>
      </c>
      <c r="X76" s="189"/>
      <c r="Y76" s="189"/>
      <c r="Z76" s="189"/>
      <c r="AA76" s="189"/>
      <c r="AB76" s="189"/>
      <c r="AC76" s="189"/>
      <c r="AD76" s="189"/>
      <c r="AE76" s="189"/>
      <c r="AF76" s="189"/>
      <c r="AG76" s="192"/>
      <c r="AH76" s="192"/>
      <c r="AI76" s="189"/>
      <c r="AJ76" s="189"/>
      <c r="AK76" s="189"/>
      <c r="AL76" s="189"/>
      <c r="AM76" s="191"/>
      <c r="AN76" s="191" t="str">
        <f>IF($A76="","",IF(COUNTIF('Decision Queue'!$A$5:$A$204,$A76)+COUNTIF('Decision Register'!$A$5:$A$304,$A76)&gt;1,"DUPLICATE ID","OK"))</f>
        <v/>
      </c>
    </row>
    <row r="77" spans="1:40" ht="42" customHeight="1">
      <c r="A77" s="191"/>
      <c r="B77" s="189"/>
      <c r="C77" s="189"/>
      <c r="D77" s="189"/>
      <c r="E77" s="190"/>
      <c r="F77" s="189"/>
      <c r="G77" s="189"/>
      <c r="H77" s="189"/>
      <c r="I77" s="191"/>
      <c r="J77" s="191"/>
      <c r="K77" s="191"/>
      <c r="L77" s="191"/>
      <c r="M77" s="192"/>
      <c r="N77" s="191"/>
      <c r="O77" s="189"/>
      <c r="P77" s="194"/>
      <c r="Q77" s="191"/>
      <c r="R77" s="192"/>
      <c r="S77" s="189"/>
      <c r="T77" s="189"/>
      <c r="U77" s="189"/>
      <c r="V77" s="189"/>
      <c r="W77" s="191" t="str">
        <f t="shared" si="2"/>
        <v/>
      </c>
      <c r="X77" s="189"/>
      <c r="Y77" s="189"/>
      <c r="Z77" s="189"/>
      <c r="AA77" s="189"/>
      <c r="AB77" s="189"/>
      <c r="AC77" s="189"/>
      <c r="AD77" s="189"/>
      <c r="AE77" s="189"/>
      <c r="AF77" s="189"/>
      <c r="AG77" s="192"/>
      <c r="AH77" s="192"/>
      <c r="AI77" s="189"/>
      <c r="AJ77" s="189"/>
      <c r="AK77" s="189"/>
      <c r="AL77" s="189"/>
      <c r="AM77" s="191"/>
      <c r="AN77" s="191" t="str">
        <f>IF($A77="","",IF(COUNTIF('Decision Queue'!$A$5:$A$204,$A77)+COUNTIF('Decision Register'!$A$5:$A$304,$A77)&gt;1,"DUPLICATE ID","OK"))</f>
        <v/>
      </c>
    </row>
    <row r="78" spans="1:40" ht="42" customHeight="1">
      <c r="A78" s="191"/>
      <c r="B78" s="189"/>
      <c r="C78" s="189"/>
      <c r="D78" s="189"/>
      <c r="E78" s="190"/>
      <c r="F78" s="189"/>
      <c r="G78" s="189"/>
      <c r="H78" s="189"/>
      <c r="I78" s="191"/>
      <c r="J78" s="191"/>
      <c r="K78" s="191"/>
      <c r="L78" s="191"/>
      <c r="M78" s="192"/>
      <c r="N78" s="191"/>
      <c r="O78" s="189"/>
      <c r="P78" s="194"/>
      <c r="Q78" s="191"/>
      <c r="R78" s="192"/>
      <c r="S78" s="189"/>
      <c r="T78" s="189"/>
      <c r="U78" s="189"/>
      <c r="V78" s="189"/>
      <c r="W78" s="191" t="str">
        <f t="shared" si="2"/>
        <v/>
      </c>
      <c r="X78" s="189"/>
      <c r="Y78" s="189"/>
      <c r="Z78" s="189"/>
      <c r="AA78" s="189"/>
      <c r="AB78" s="189"/>
      <c r="AC78" s="189"/>
      <c r="AD78" s="189"/>
      <c r="AE78" s="189"/>
      <c r="AF78" s="189"/>
      <c r="AG78" s="192"/>
      <c r="AH78" s="192"/>
      <c r="AI78" s="189"/>
      <c r="AJ78" s="189"/>
      <c r="AK78" s="189"/>
      <c r="AL78" s="189"/>
      <c r="AM78" s="191"/>
      <c r="AN78" s="191" t="str">
        <f>IF($A78="","",IF(COUNTIF('Decision Queue'!$A$5:$A$204,$A78)+COUNTIF('Decision Register'!$A$5:$A$304,$A78)&gt;1,"DUPLICATE ID","OK"))</f>
        <v/>
      </c>
    </row>
    <row r="79" spans="1:40" ht="42" customHeight="1">
      <c r="A79" s="191"/>
      <c r="B79" s="189"/>
      <c r="C79" s="189"/>
      <c r="D79" s="189"/>
      <c r="E79" s="190"/>
      <c r="F79" s="189"/>
      <c r="G79" s="189"/>
      <c r="H79" s="189"/>
      <c r="I79" s="191"/>
      <c r="J79" s="191"/>
      <c r="K79" s="191"/>
      <c r="L79" s="191"/>
      <c r="M79" s="192"/>
      <c r="N79" s="191"/>
      <c r="O79" s="189"/>
      <c r="P79" s="194"/>
      <c r="Q79" s="191"/>
      <c r="R79" s="192"/>
      <c r="S79" s="189"/>
      <c r="T79" s="189"/>
      <c r="U79" s="189"/>
      <c r="V79" s="189"/>
      <c r="W79" s="191" t="str">
        <f t="shared" si="2"/>
        <v/>
      </c>
      <c r="X79" s="189"/>
      <c r="Y79" s="189"/>
      <c r="Z79" s="189"/>
      <c r="AA79" s="189"/>
      <c r="AB79" s="189"/>
      <c r="AC79" s="189"/>
      <c r="AD79" s="189"/>
      <c r="AE79" s="189"/>
      <c r="AF79" s="189"/>
      <c r="AG79" s="192"/>
      <c r="AH79" s="192"/>
      <c r="AI79" s="189"/>
      <c r="AJ79" s="189"/>
      <c r="AK79" s="189"/>
      <c r="AL79" s="189"/>
      <c r="AM79" s="191"/>
      <c r="AN79" s="191" t="str">
        <f>IF($A79="","",IF(COUNTIF('Decision Queue'!$A$5:$A$204,$A79)+COUNTIF('Decision Register'!$A$5:$A$304,$A79)&gt;1,"DUPLICATE ID","OK"))</f>
        <v/>
      </c>
    </row>
    <row r="80" spans="1:40" ht="42" customHeight="1">
      <c r="A80" s="191"/>
      <c r="B80" s="189"/>
      <c r="C80" s="189"/>
      <c r="D80" s="189"/>
      <c r="E80" s="190"/>
      <c r="F80" s="189"/>
      <c r="G80" s="189"/>
      <c r="H80" s="189"/>
      <c r="I80" s="191"/>
      <c r="J80" s="191"/>
      <c r="K80" s="191"/>
      <c r="L80" s="191"/>
      <c r="M80" s="192"/>
      <c r="N80" s="191"/>
      <c r="O80" s="189"/>
      <c r="P80" s="194"/>
      <c r="Q80" s="191"/>
      <c r="R80" s="192"/>
      <c r="S80" s="189"/>
      <c r="T80" s="189"/>
      <c r="U80" s="189"/>
      <c r="V80" s="189"/>
      <c r="W80" s="191" t="str">
        <f t="shared" si="2"/>
        <v/>
      </c>
      <c r="X80" s="189"/>
      <c r="Y80" s="189"/>
      <c r="Z80" s="189"/>
      <c r="AA80" s="189"/>
      <c r="AB80" s="189"/>
      <c r="AC80" s="189"/>
      <c r="AD80" s="189"/>
      <c r="AE80" s="189"/>
      <c r="AF80" s="189"/>
      <c r="AG80" s="192"/>
      <c r="AH80" s="192"/>
      <c r="AI80" s="189"/>
      <c r="AJ80" s="189"/>
      <c r="AK80" s="189"/>
      <c r="AL80" s="189"/>
      <c r="AM80" s="191"/>
      <c r="AN80" s="191" t="str">
        <f>IF($A80="","",IF(COUNTIF('Decision Queue'!$A$5:$A$204,$A80)+COUNTIF('Decision Register'!$A$5:$A$304,$A80)&gt;1,"DUPLICATE ID","OK"))</f>
        <v/>
      </c>
    </row>
    <row r="81" spans="1:40" ht="42" customHeight="1">
      <c r="A81" s="191"/>
      <c r="B81" s="189"/>
      <c r="C81" s="189"/>
      <c r="D81" s="189"/>
      <c r="E81" s="190"/>
      <c r="F81" s="189"/>
      <c r="G81" s="189"/>
      <c r="H81" s="189"/>
      <c r="I81" s="191"/>
      <c r="J81" s="191"/>
      <c r="K81" s="191"/>
      <c r="L81" s="191"/>
      <c r="M81" s="192"/>
      <c r="N81" s="191"/>
      <c r="O81" s="189"/>
      <c r="P81" s="194"/>
      <c r="Q81" s="191"/>
      <c r="R81" s="192"/>
      <c r="S81" s="189"/>
      <c r="T81" s="189"/>
      <c r="U81" s="189"/>
      <c r="V81" s="189"/>
      <c r="W81" s="191" t="str">
        <f t="shared" si="2"/>
        <v/>
      </c>
      <c r="X81" s="189"/>
      <c r="Y81" s="189"/>
      <c r="Z81" s="189"/>
      <c r="AA81" s="189"/>
      <c r="AB81" s="189"/>
      <c r="AC81" s="189"/>
      <c r="AD81" s="189"/>
      <c r="AE81" s="189"/>
      <c r="AF81" s="189"/>
      <c r="AG81" s="192"/>
      <c r="AH81" s="192"/>
      <c r="AI81" s="189"/>
      <c r="AJ81" s="189"/>
      <c r="AK81" s="189"/>
      <c r="AL81" s="189"/>
      <c r="AM81" s="191"/>
      <c r="AN81" s="191" t="str">
        <f>IF($A81="","",IF(COUNTIF('Decision Queue'!$A$5:$A$204,$A81)+COUNTIF('Decision Register'!$A$5:$A$304,$A81)&gt;1,"DUPLICATE ID","OK"))</f>
        <v/>
      </c>
    </row>
    <row r="82" spans="1:40" ht="42" customHeight="1">
      <c r="A82" s="191"/>
      <c r="B82" s="189"/>
      <c r="C82" s="189"/>
      <c r="D82" s="189"/>
      <c r="E82" s="190"/>
      <c r="F82" s="189"/>
      <c r="G82" s="189"/>
      <c r="H82" s="189"/>
      <c r="I82" s="191"/>
      <c r="J82" s="191"/>
      <c r="K82" s="191"/>
      <c r="L82" s="191"/>
      <c r="M82" s="192"/>
      <c r="N82" s="191"/>
      <c r="O82" s="189"/>
      <c r="P82" s="194"/>
      <c r="Q82" s="191"/>
      <c r="R82" s="192"/>
      <c r="S82" s="189"/>
      <c r="T82" s="189"/>
      <c r="U82" s="189"/>
      <c r="V82" s="189"/>
      <c r="W82" s="191" t="str">
        <f t="shared" si="2"/>
        <v/>
      </c>
      <c r="X82" s="189"/>
      <c r="Y82" s="189"/>
      <c r="Z82" s="189"/>
      <c r="AA82" s="189"/>
      <c r="AB82" s="189"/>
      <c r="AC82" s="189"/>
      <c r="AD82" s="189"/>
      <c r="AE82" s="189"/>
      <c r="AF82" s="189"/>
      <c r="AG82" s="192"/>
      <c r="AH82" s="192"/>
      <c r="AI82" s="189"/>
      <c r="AJ82" s="189"/>
      <c r="AK82" s="189"/>
      <c r="AL82" s="189"/>
      <c r="AM82" s="191"/>
      <c r="AN82" s="191" t="str">
        <f>IF($A82="","",IF(COUNTIF('Decision Queue'!$A$5:$A$204,$A82)+COUNTIF('Decision Register'!$A$5:$A$304,$A82)&gt;1,"DUPLICATE ID","OK"))</f>
        <v/>
      </c>
    </row>
    <row r="83" spans="1:40" ht="42" customHeight="1">
      <c r="A83" s="191"/>
      <c r="B83" s="189"/>
      <c r="C83" s="189"/>
      <c r="D83" s="189"/>
      <c r="E83" s="190"/>
      <c r="F83" s="189"/>
      <c r="G83" s="189"/>
      <c r="H83" s="189"/>
      <c r="I83" s="191"/>
      <c r="J83" s="191"/>
      <c r="K83" s="191"/>
      <c r="L83" s="191"/>
      <c r="M83" s="192"/>
      <c r="N83" s="191"/>
      <c r="O83" s="189"/>
      <c r="P83" s="194"/>
      <c r="Q83" s="191"/>
      <c r="R83" s="192"/>
      <c r="S83" s="189"/>
      <c r="T83" s="189"/>
      <c r="U83" s="189"/>
      <c r="V83" s="189"/>
      <c r="W83" s="191" t="str">
        <f t="shared" si="2"/>
        <v/>
      </c>
      <c r="X83" s="189"/>
      <c r="Y83" s="189"/>
      <c r="Z83" s="189"/>
      <c r="AA83" s="189"/>
      <c r="AB83" s="189"/>
      <c r="AC83" s="189"/>
      <c r="AD83" s="189"/>
      <c r="AE83" s="189"/>
      <c r="AF83" s="189"/>
      <c r="AG83" s="192"/>
      <c r="AH83" s="192"/>
      <c r="AI83" s="189"/>
      <c r="AJ83" s="189"/>
      <c r="AK83" s="189"/>
      <c r="AL83" s="189"/>
      <c r="AM83" s="191"/>
      <c r="AN83" s="191" t="str">
        <f>IF($A83="","",IF(COUNTIF('Decision Queue'!$A$5:$A$204,$A83)+COUNTIF('Decision Register'!$A$5:$A$304,$A83)&gt;1,"DUPLICATE ID","OK"))</f>
        <v/>
      </c>
    </row>
    <row r="84" spans="1:40" ht="42" customHeight="1">
      <c r="A84" s="191"/>
      <c r="B84" s="189"/>
      <c r="C84" s="189"/>
      <c r="D84" s="189"/>
      <c r="E84" s="190"/>
      <c r="F84" s="189"/>
      <c r="G84" s="189"/>
      <c r="H84" s="189"/>
      <c r="I84" s="191"/>
      <c r="J84" s="191"/>
      <c r="K84" s="191"/>
      <c r="L84" s="191"/>
      <c r="M84" s="192"/>
      <c r="N84" s="191"/>
      <c r="O84" s="189"/>
      <c r="P84" s="194"/>
      <c r="Q84" s="191"/>
      <c r="R84" s="192"/>
      <c r="S84" s="189"/>
      <c r="T84" s="189"/>
      <c r="U84" s="189"/>
      <c r="V84" s="189"/>
      <c r="W84" s="191" t="str">
        <f t="shared" si="2"/>
        <v/>
      </c>
      <c r="X84" s="189"/>
      <c r="Y84" s="189"/>
      <c r="Z84" s="189"/>
      <c r="AA84" s="189"/>
      <c r="AB84" s="189"/>
      <c r="AC84" s="189"/>
      <c r="AD84" s="189"/>
      <c r="AE84" s="189"/>
      <c r="AF84" s="189"/>
      <c r="AG84" s="192"/>
      <c r="AH84" s="192"/>
      <c r="AI84" s="189"/>
      <c r="AJ84" s="189"/>
      <c r="AK84" s="189"/>
      <c r="AL84" s="189"/>
      <c r="AM84" s="191"/>
      <c r="AN84" s="191" t="str">
        <f>IF($A84="","",IF(COUNTIF('Decision Queue'!$A$5:$A$204,$A84)+COUNTIF('Decision Register'!$A$5:$A$304,$A84)&gt;1,"DUPLICATE ID","OK"))</f>
        <v/>
      </c>
    </row>
    <row r="85" spans="1:40" ht="42" customHeight="1">
      <c r="A85" s="191"/>
      <c r="B85" s="189"/>
      <c r="C85" s="189"/>
      <c r="D85" s="189"/>
      <c r="E85" s="190"/>
      <c r="F85" s="189"/>
      <c r="G85" s="189"/>
      <c r="H85" s="189"/>
      <c r="I85" s="191"/>
      <c r="J85" s="191"/>
      <c r="K85" s="191"/>
      <c r="L85" s="191"/>
      <c r="M85" s="192"/>
      <c r="N85" s="191"/>
      <c r="O85" s="189"/>
      <c r="P85" s="194"/>
      <c r="Q85" s="191"/>
      <c r="R85" s="192"/>
      <c r="S85" s="189"/>
      <c r="T85" s="189"/>
      <c r="U85" s="189"/>
      <c r="V85" s="189"/>
      <c r="W85" s="191" t="str">
        <f t="shared" si="2"/>
        <v/>
      </c>
      <c r="X85" s="189"/>
      <c r="Y85" s="189"/>
      <c r="Z85" s="189"/>
      <c r="AA85" s="189"/>
      <c r="AB85" s="189"/>
      <c r="AC85" s="189"/>
      <c r="AD85" s="189"/>
      <c r="AE85" s="189"/>
      <c r="AF85" s="189"/>
      <c r="AG85" s="192"/>
      <c r="AH85" s="192"/>
      <c r="AI85" s="189"/>
      <c r="AJ85" s="189"/>
      <c r="AK85" s="189"/>
      <c r="AL85" s="189"/>
      <c r="AM85" s="191"/>
      <c r="AN85" s="191" t="str">
        <f>IF($A85="","",IF(COUNTIF('Decision Queue'!$A$5:$A$204,$A85)+COUNTIF('Decision Register'!$A$5:$A$304,$A85)&gt;1,"DUPLICATE ID","OK"))</f>
        <v/>
      </c>
    </row>
    <row r="86" spans="1:40" ht="42" customHeight="1">
      <c r="A86" s="191"/>
      <c r="B86" s="189"/>
      <c r="C86" s="189"/>
      <c r="D86" s="189"/>
      <c r="E86" s="190"/>
      <c r="F86" s="189"/>
      <c r="G86" s="189"/>
      <c r="H86" s="189"/>
      <c r="I86" s="191"/>
      <c r="J86" s="191"/>
      <c r="K86" s="191"/>
      <c r="L86" s="191"/>
      <c r="M86" s="192"/>
      <c r="N86" s="191"/>
      <c r="O86" s="189"/>
      <c r="P86" s="194"/>
      <c r="Q86" s="191"/>
      <c r="R86" s="192"/>
      <c r="S86" s="189"/>
      <c r="T86" s="189"/>
      <c r="U86" s="189"/>
      <c r="V86" s="189"/>
      <c r="W86" s="191" t="str">
        <f t="shared" si="2"/>
        <v/>
      </c>
      <c r="X86" s="189"/>
      <c r="Y86" s="189"/>
      <c r="Z86" s="189"/>
      <c r="AA86" s="189"/>
      <c r="AB86" s="189"/>
      <c r="AC86" s="189"/>
      <c r="AD86" s="189"/>
      <c r="AE86" s="189"/>
      <c r="AF86" s="189"/>
      <c r="AG86" s="192"/>
      <c r="AH86" s="192"/>
      <c r="AI86" s="189"/>
      <c r="AJ86" s="189"/>
      <c r="AK86" s="189"/>
      <c r="AL86" s="189"/>
      <c r="AM86" s="191"/>
      <c r="AN86" s="191" t="str">
        <f>IF($A86="","",IF(COUNTIF('Decision Queue'!$A$5:$A$204,$A86)+COUNTIF('Decision Register'!$A$5:$A$304,$A86)&gt;1,"DUPLICATE ID","OK"))</f>
        <v/>
      </c>
    </row>
    <row r="87" spans="1:40" ht="42" customHeight="1">
      <c r="A87" s="191"/>
      <c r="B87" s="189"/>
      <c r="C87" s="189"/>
      <c r="D87" s="189"/>
      <c r="E87" s="190"/>
      <c r="F87" s="189"/>
      <c r="G87" s="189"/>
      <c r="H87" s="189"/>
      <c r="I87" s="191"/>
      <c r="J87" s="191"/>
      <c r="K87" s="191"/>
      <c r="L87" s="191"/>
      <c r="M87" s="192"/>
      <c r="N87" s="191"/>
      <c r="O87" s="189"/>
      <c r="P87" s="194"/>
      <c r="Q87" s="191"/>
      <c r="R87" s="192"/>
      <c r="S87" s="189"/>
      <c r="T87" s="189"/>
      <c r="U87" s="189"/>
      <c r="V87" s="189"/>
      <c r="W87" s="191" t="str">
        <f t="shared" si="2"/>
        <v/>
      </c>
      <c r="X87" s="189"/>
      <c r="Y87" s="189"/>
      <c r="Z87" s="189"/>
      <c r="AA87" s="189"/>
      <c r="AB87" s="189"/>
      <c r="AC87" s="189"/>
      <c r="AD87" s="189"/>
      <c r="AE87" s="189"/>
      <c r="AF87" s="189"/>
      <c r="AG87" s="192"/>
      <c r="AH87" s="192"/>
      <c r="AI87" s="189"/>
      <c r="AJ87" s="189"/>
      <c r="AK87" s="189"/>
      <c r="AL87" s="189"/>
      <c r="AM87" s="191"/>
      <c r="AN87" s="191" t="str">
        <f>IF($A87="","",IF(COUNTIF('Decision Queue'!$A$5:$A$204,$A87)+COUNTIF('Decision Register'!$A$5:$A$304,$A87)&gt;1,"DUPLICATE ID","OK"))</f>
        <v/>
      </c>
    </row>
    <row r="88" spans="1:40" ht="42" customHeight="1">
      <c r="A88" s="191"/>
      <c r="B88" s="189"/>
      <c r="C88" s="189"/>
      <c r="D88" s="189"/>
      <c r="E88" s="190"/>
      <c r="F88" s="189"/>
      <c r="G88" s="189"/>
      <c r="H88" s="189"/>
      <c r="I88" s="191"/>
      <c r="J88" s="191"/>
      <c r="K88" s="191"/>
      <c r="L88" s="191"/>
      <c r="M88" s="192"/>
      <c r="N88" s="191"/>
      <c r="O88" s="189"/>
      <c r="P88" s="194"/>
      <c r="Q88" s="191"/>
      <c r="R88" s="192"/>
      <c r="S88" s="189"/>
      <c r="T88" s="189"/>
      <c r="U88" s="189"/>
      <c r="V88" s="189"/>
      <c r="W88" s="191" t="str">
        <f t="shared" si="2"/>
        <v/>
      </c>
      <c r="X88" s="189"/>
      <c r="Y88" s="189"/>
      <c r="Z88" s="189"/>
      <c r="AA88" s="189"/>
      <c r="AB88" s="189"/>
      <c r="AC88" s="189"/>
      <c r="AD88" s="189"/>
      <c r="AE88" s="189"/>
      <c r="AF88" s="189"/>
      <c r="AG88" s="192"/>
      <c r="AH88" s="192"/>
      <c r="AI88" s="189"/>
      <c r="AJ88" s="189"/>
      <c r="AK88" s="189"/>
      <c r="AL88" s="189"/>
      <c r="AM88" s="191"/>
      <c r="AN88" s="191" t="str">
        <f>IF($A88="","",IF(COUNTIF('Decision Queue'!$A$5:$A$204,$A88)+COUNTIF('Decision Register'!$A$5:$A$304,$A88)&gt;1,"DUPLICATE ID","OK"))</f>
        <v/>
      </c>
    </row>
    <row r="89" spans="1:40" ht="42" customHeight="1">
      <c r="A89" s="191"/>
      <c r="B89" s="189"/>
      <c r="C89" s="189"/>
      <c r="D89" s="189"/>
      <c r="E89" s="190"/>
      <c r="F89" s="189"/>
      <c r="G89" s="189"/>
      <c r="H89" s="189"/>
      <c r="I89" s="191"/>
      <c r="J89" s="191"/>
      <c r="K89" s="191"/>
      <c r="L89" s="191"/>
      <c r="M89" s="192"/>
      <c r="N89" s="191"/>
      <c r="O89" s="189"/>
      <c r="P89" s="194"/>
      <c r="Q89" s="191"/>
      <c r="R89" s="192"/>
      <c r="S89" s="189"/>
      <c r="T89" s="189"/>
      <c r="U89" s="189"/>
      <c r="V89" s="189"/>
      <c r="W89" s="191" t="str">
        <f t="shared" si="2"/>
        <v/>
      </c>
      <c r="X89" s="189"/>
      <c r="Y89" s="189"/>
      <c r="Z89" s="189"/>
      <c r="AA89" s="189"/>
      <c r="AB89" s="189"/>
      <c r="AC89" s="189"/>
      <c r="AD89" s="189"/>
      <c r="AE89" s="189"/>
      <c r="AF89" s="189"/>
      <c r="AG89" s="192"/>
      <c r="AH89" s="192"/>
      <c r="AI89" s="189"/>
      <c r="AJ89" s="189"/>
      <c r="AK89" s="189"/>
      <c r="AL89" s="189"/>
      <c r="AM89" s="191"/>
      <c r="AN89" s="191" t="str">
        <f>IF($A89="","",IF(COUNTIF('Decision Queue'!$A$5:$A$204,$A89)+COUNTIF('Decision Register'!$A$5:$A$304,$A89)&gt;1,"DUPLICATE ID","OK"))</f>
        <v/>
      </c>
    </row>
    <row r="90" spans="1:40" ht="42" customHeight="1">
      <c r="A90" s="191"/>
      <c r="B90" s="189"/>
      <c r="C90" s="189"/>
      <c r="D90" s="189"/>
      <c r="E90" s="190"/>
      <c r="F90" s="189"/>
      <c r="G90" s="189"/>
      <c r="H90" s="189"/>
      <c r="I90" s="191"/>
      <c r="J90" s="191"/>
      <c r="K90" s="191"/>
      <c r="L90" s="191"/>
      <c r="M90" s="192"/>
      <c r="N90" s="191"/>
      <c r="O90" s="189"/>
      <c r="P90" s="194"/>
      <c r="Q90" s="191"/>
      <c r="R90" s="192"/>
      <c r="S90" s="189"/>
      <c r="T90" s="189"/>
      <c r="U90" s="189"/>
      <c r="V90" s="189"/>
      <c r="W90" s="191" t="str">
        <f t="shared" si="2"/>
        <v/>
      </c>
      <c r="X90" s="189"/>
      <c r="Y90" s="189"/>
      <c r="Z90" s="189"/>
      <c r="AA90" s="189"/>
      <c r="AB90" s="189"/>
      <c r="AC90" s="189"/>
      <c r="AD90" s="189"/>
      <c r="AE90" s="189"/>
      <c r="AF90" s="189"/>
      <c r="AG90" s="192"/>
      <c r="AH90" s="192"/>
      <c r="AI90" s="189"/>
      <c r="AJ90" s="189"/>
      <c r="AK90" s="189"/>
      <c r="AL90" s="189"/>
      <c r="AM90" s="191"/>
      <c r="AN90" s="191" t="str">
        <f>IF($A90="","",IF(COUNTIF('Decision Queue'!$A$5:$A$204,$A90)+COUNTIF('Decision Register'!$A$5:$A$304,$A90)&gt;1,"DUPLICATE ID","OK"))</f>
        <v/>
      </c>
    </row>
    <row r="91" spans="1:40" ht="42" customHeight="1">
      <c r="A91" s="191"/>
      <c r="B91" s="189"/>
      <c r="C91" s="189"/>
      <c r="D91" s="189"/>
      <c r="E91" s="190"/>
      <c r="F91" s="189"/>
      <c r="G91" s="189"/>
      <c r="H91" s="189"/>
      <c r="I91" s="191"/>
      <c r="J91" s="191"/>
      <c r="K91" s="191"/>
      <c r="L91" s="191"/>
      <c r="M91" s="192"/>
      <c r="N91" s="191"/>
      <c r="O91" s="189"/>
      <c r="P91" s="194"/>
      <c r="Q91" s="191"/>
      <c r="R91" s="192"/>
      <c r="S91" s="189"/>
      <c r="T91" s="189"/>
      <c r="U91" s="189"/>
      <c r="V91" s="189"/>
      <c r="W91" s="191" t="str">
        <f t="shared" si="2"/>
        <v/>
      </c>
      <c r="X91" s="189"/>
      <c r="Y91" s="189"/>
      <c r="Z91" s="189"/>
      <c r="AA91" s="189"/>
      <c r="AB91" s="189"/>
      <c r="AC91" s="189"/>
      <c r="AD91" s="189"/>
      <c r="AE91" s="189"/>
      <c r="AF91" s="189"/>
      <c r="AG91" s="192"/>
      <c r="AH91" s="192"/>
      <c r="AI91" s="189"/>
      <c r="AJ91" s="189"/>
      <c r="AK91" s="189"/>
      <c r="AL91" s="189"/>
      <c r="AM91" s="191"/>
      <c r="AN91" s="191" t="str">
        <f>IF($A91="","",IF(COUNTIF('Decision Queue'!$A$5:$A$204,$A91)+COUNTIF('Decision Register'!$A$5:$A$304,$A91)&gt;1,"DUPLICATE ID","OK"))</f>
        <v/>
      </c>
    </row>
    <row r="92" spans="1:40" ht="42" customHeight="1">
      <c r="A92" s="191"/>
      <c r="B92" s="189"/>
      <c r="C92" s="189"/>
      <c r="D92" s="189"/>
      <c r="E92" s="190"/>
      <c r="F92" s="189"/>
      <c r="G92" s="189"/>
      <c r="H92" s="189"/>
      <c r="I92" s="191"/>
      <c r="J92" s="191"/>
      <c r="K92" s="191"/>
      <c r="L92" s="191"/>
      <c r="M92" s="192"/>
      <c r="N92" s="191"/>
      <c r="O92" s="189"/>
      <c r="P92" s="194"/>
      <c r="Q92" s="191"/>
      <c r="R92" s="192"/>
      <c r="S92" s="189"/>
      <c r="T92" s="189"/>
      <c r="U92" s="189"/>
      <c r="V92" s="189"/>
      <c r="W92" s="191" t="str">
        <f t="shared" si="2"/>
        <v/>
      </c>
      <c r="X92" s="189"/>
      <c r="Y92" s="189"/>
      <c r="Z92" s="189"/>
      <c r="AA92" s="189"/>
      <c r="AB92" s="189"/>
      <c r="AC92" s="189"/>
      <c r="AD92" s="189"/>
      <c r="AE92" s="189"/>
      <c r="AF92" s="189"/>
      <c r="AG92" s="192"/>
      <c r="AH92" s="192"/>
      <c r="AI92" s="189"/>
      <c r="AJ92" s="189"/>
      <c r="AK92" s="189"/>
      <c r="AL92" s="189"/>
      <c r="AM92" s="191"/>
      <c r="AN92" s="191" t="str">
        <f>IF($A92="","",IF(COUNTIF('Decision Queue'!$A$5:$A$204,$A92)+COUNTIF('Decision Register'!$A$5:$A$304,$A92)&gt;1,"DUPLICATE ID","OK"))</f>
        <v/>
      </c>
    </row>
    <row r="93" spans="1:40" ht="42" customHeight="1">
      <c r="A93" s="191"/>
      <c r="B93" s="189"/>
      <c r="C93" s="189"/>
      <c r="D93" s="189"/>
      <c r="E93" s="190"/>
      <c r="F93" s="189"/>
      <c r="G93" s="189"/>
      <c r="H93" s="189"/>
      <c r="I93" s="191"/>
      <c r="J93" s="191"/>
      <c r="K93" s="191"/>
      <c r="L93" s="191"/>
      <c r="M93" s="192"/>
      <c r="N93" s="191"/>
      <c r="O93" s="189"/>
      <c r="P93" s="194"/>
      <c r="Q93" s="191"/>
      <c r="R93" s="192"/>
      <c r="S93" s="189"/>
      <c r="T93" s="189"/>
      <c r="U93" s="189"/>
      <c r="V93" s="189"/>
      <c r="W93" s="191" t="str">
        <f t="shared" si="2"/>
        <v/>
      </c>
      <c r="X93" s="189"/>
      <c r="Y93" s="189"/>
      <c r="Z93" s="189"/>
      <c r="AA93" s="189"/>
      <c r="AB93" s="189"/>
      <c r="AC93" s="189"/>
      <c r="AD93" s="189"/>
      <c r="AE93" s="189"/>
      <c r="AF93" s="189"/>
      <c r="AG93" s="192"/>
      <c r="AH93" s="192"/>
      <c r="AI93" s="189"/>
      <c r="AJ93" s="189"/>
      <c r="AK93" s="189"/>
      <c r="AL93" s="189"/>
      <c r="AM93" s="191"/>
      <c r="AN93" s="191" t="str">
        <f>IF($A93="","",IF(COUNTIF('Decision Queue'!$A$5:$A$204,$A93)+COUNTIF('Decision Register'!$A$5:$A$304,$A93)&gt;1,"DUPLICATE ID","OK"))</f>
        <v/>
      </c>
    </row>
    <row r="94" spans="1:40" ht="42" customHeight="1">
      <c r="A94" s="191"/>
      <c r="B94" s="189"/>
      <c r="C94" s="189"/>
      <c r="D94" s="189"/>
      <c r="E94" s="190"/>
      <c r="F94" s="189"/>
      <c r="G94" s="189"/>
      <c r="H94" s="189"/>
      <c r="I94" s="191"/>
      <c r="J94" s="191"/>
      <c r="K94" s="191"/>
      <c r="L94" s="191"/>
      <c r="M94" s="192"/>
      <c r="N94" s="191"/>
      <c r="O94" s="189"/>
      <c r="P94" s="194"/>
      <c r="Q94" s="191"/>
      <c r="R94" s="192"/>
      <c r="S94" s="189"/>
      <c r="T94" s="189"/>
      <c r="U94" s="189"/>
      <c r="V94" s="189"/>
      <c r="W94" s="191" t="str">
        <f t="shared" si="2"/>
        <v/>
      </c>
      <c r="X94" s="189"/>
      <c r="Y94" s="189"/>
      <c r="Z94" s="189"/>
      <c r="AA94" s="189"/>
      <c r="AB94" s="189"/>
      <c r="AC94" s="189"/>
      <c r="AD94" s="189"/>
      <c r="AE94" s="189"/>
      <c r="AF94" s="189"/>
      <c r="AG94" s="192"/>
      <c r="AH94" s="192"/>
      <c r="AI94" s="189"/>
      <c r="AJ94" s="189"/>
      <c r="AK94" s="189"/>
      <c r="AL94" s="189"/>
      <c r="AM94" s="191"/>
      <c r="AN94" s="191" t="str">
        <f>IF($A94="","",IF(COUNTIF('Decision Queue'!$A$5:$A$204,$A94)+COUNTIF('Decision Register'!$A$5:$A$304,$A94)&gt;1,"DUPLICATE ID","OK"))</f>
        <v/>
      </c>
    </row>
    <row r="95" spans="1:40" ht="42" customHeight="1">
      <c r="A95" s="191"/>
      <c r="B95" s="189"/>
      <c r="C95" s="189"/>
      <c r="D95" s="189"/>
      <c r="E95" s="190"/>
      <c r="F95" s="189"/>
      <c r="G95" s="189"/>
      <c r="H95" s="189"/>
      <c r="I95" s="191"/>
      <c r="J95" s="191"/>
      <c r="K95" s="191"/>
      <c r="L95" s="191"/>
      <c r="M95" s="192"/>
      <c r="N95" s="191"/>
      <c r="O95" s="189"/>
      <c r="P95" s="194"/>
      <c r="Q95" s="191"/>
      <c r="R95" s="192"/>
      <c r="S95" s="189"/>
      <c r="T95" s="189"/>
      <c r="U95" s="189"/>
      <c r="V95" s="189"/>
      <c r="W95" s="191" t="str">
        <f t="shared" si="2"/>
        <v/>
      </c>
      <c r="X95" s="189"/>
      <c r="Y95" s="189"/>
      <c r="Z95" s="189"/>
      <c r="AA95" s="189"/>
      <c r="AB95" s="189"/>
      <c r="AC95" s="189"/>
      <c r="AD95" s="189"/>
      <c r="AE95" s="189"/>
      <c r="AF95" s="189"/>
      <c r="AG95" s="192"/>
      <c r="AH95" s="192"/>
      <c r="AI95" s="189"/>
      <c r="AJ95" s="189"/>
      <c r="AK95" s="189"/>
      <c r="AL95" s="189"/>
      <c r="AM95" s="191"/>
      <c r="AN95" s="191" t="str">
        <f>IF($A95="","",IF(COUNTIF('Decision Queue'!$A$5:$A$204,$A95)+COUNTIF('Decision Register'!$A$5:$A$304,$A95)&gt;1,"DUPLICATE ID","OK"))</f>
        <v/>
      </c>
    </row>
    <row r="96" spans="1:40" ht="42" customHeight="1">
      <c r="A96" s="191"/>
      <c r="B96" s="189"/>
      <c r="C96" s="189"/>
      <c r="D96" s="189"/>
      <c r="E96" s="190"/>
      <c r="F96" s="189"/>
      <c r="G96" s="189"/>
      <c r="H96" s="189"/>
      <c r="I96" s="191"/>
      <c r="J96" s="191"/>
      <c r="K96" s="191"/>
      <c r="L96" s="191"/>
      <c r="M96" s="192"/>
      <c r="N96" s="191"/>
      <c r="O96" s="189"/>
      <c r="P96" s="194"/>
      <c r="Q96" s="191"/>
      <c r="R96" s="192"/>
      <c r="S96" s="189"/>
      <c r="T96" s="189"/>
      <c r="U96" s="189"/>
      <c r="V96" s="189"/>
      <c r="W96" s="191" t="str">
        <f t="shared" si="2"/>
        <v/>
      </c>
      <c r="X96" s="189"/>
      <c r="Y96" s="189"/>
      <c r="Z96" s="189"/>
      <c r="AA96" s="189"/>
      <c r="AB96" s="189"/>
      <c r="AC96" s="189"/>
      <c r="AD96" s="189"/>
      <c r="AE96" s="189"/>
      <c r="AF96" s="189"/>
      <c r="AG96" s="192"/>
      <c r="AH96" s="192"/>
      <c r="AI96" s="189"/>
      <c r="AJ96" s="189"/>
      <c r="AK96" s="189"/>
      <c r="AL96" s="189"/>
      <c r="AM96" s="191"/>
      <c r="AN96" s="191" t="str">
        <f>IF($A96="","",IF(COUNTIF('Decision Queue'!$A$5:$A$204,$A96)+COUNTIF('Decision Register'!$A$5:$A$304,$A96)&gt;1,"DUPLICATE ID","OK"))</f>
        <v/>
      </c>
    </row>
    <row r="97" spans="1:40" ht="42" customHeight="1">
      <c r="A97" s="191"/>
      <c r="B97" s="189"/>
      <c r="C97" s="189"/>
      <c r="D97" s="189"/>
      <c r="E97" s="190"/>
      <c r="F97" s="189"/>
      <c r="G97" s="189"/>
      <c r="H97" s="189"/>
      <c r="I97" s="191"/>
      <c r="J97" s="191"/>
      <c r="K97" s="191"/>
      <c r="L97" s="191"/>
      <c r="M97" s="192"/>
      <c r="N97" s="191"/>
      <c r="O97" s="189"/>
      <c r="P97" s="194"/>
      <c r="Q97" s="191"/>
      <c r="R97" s="192"/>
      <c r="S97" s="189"/>
      <c r="T97" s="189"/>
      <c r="U97" s="189"/>
      <c r="V97" s="189"/>
      <c r="W97" s="191" t="str">
        <f t="shared" si="2"/>
        <v/>
      </c>
      <c r="X97" s="189"/>
      <c r="Y97" s="189"/>
      <c r="Z97" s="189"/>
      <c r="AA97" s="189"/>
      <c r="AB97" s="189"/>
      <c r="AC97" s="189"/>
      <c r="AD97" s="189"/>
      <c r="AE97" s="189"/>
      <c r="AF97" s="189"/>
      <c r="AG97" s="192"/>
      <c r="AH97" s="192"/>
      <c r="AI97" s="189"/>
      <c r="AJ97" s="189"/>
      <c r="AK97" s="189"/>
      <c r="AL97" s="189"/>
      <c r="AM97" s="191"/>
      <c r="AN97" s="191" t="str">
        <f>IF($A97="","",IF(COUNTIF('Decision Queue'!$A$5:$A$204,$A97)+COUNTIF('Decision Register'!$A$5:$A$304,$A97)&gt;1,"DUPLICATE ID","OK"))</f>
        <v/>
      </c>
    </row>
    <row r="98" spans="1:40" ht="42" customHeight="1">
      <c r="A98" s="191"/>
      <c r="B98" s="189"/>
      <c r="C98" s="189"/>
      <c r="D98" s="189"/>
      <c r="E98" s="190"/>
      <c r="F98" s="189"/>
      <c r="G98" s="189"/>
      <c r="H98" s="189"/>
      <c r="I98" s="191"/>
      <c r="J98" s="191"/>
      <c r="K98" s="191"/>
      <c r="L98" s="191"/>
      <c r="M98" s="192"/>
      <c r="N98" s="191"/>
      <c r="O98" s="189"/>
      <c r="P98" s="194"/>
      <c r="Q98" s="191"/>
      <c r="R98" s="192"/>
      <c r="S98" s="189"/>
      <c r="T98" s="189"/>
      <c r="U98" s="189"/>
      <c r="V98" s="189"/>
      <c r="W98" s="191" t="str">
        <f t="shared" si="2"/>
        <v/>
      </c>
      <c r="X98" s="189"/>
      <c r="Y98" s="189"/>
      <c r="Z98" s="189"/>
      <c r="AA98" s="189"/>
      <c r="AB98" s="189"/>
      <c r="AC98" s="189"/>
      <c r="AD98" s="189"/>
      <c r="AE98" s="189"/>
      <c r="AF98" s="189"/>
      <c r="AG98" s="192"/>
      <c r="AH98" s="192"/>
      <c r="AI98" s="189"/>
      <c r="AJ98" s="189"/>
      <c r="AK98" s="189"/>
      <c r="AL98" s="189"/>
      <c r="AM98" s="191"/>
      <c r="AN98" s="191" t="str">
        <f>IF($A98="","",IF(COUNTIF('Decision Queue'!$A$5:$A$204,$A98)+COUNTIF('Decision Register'!$A$5:$A$304,$A98)&gt;1,"DUPLICATE ID","OK"))</f>
        <v/>
      </c>
    </row>
    <row r="99" spans="1:40" ht="42" customHeight="1">
      <c r="A99" s="191"/>
      <c r="B99" s="189"/>
      <c r="C99" s="189"/>
      <c r="D99" s="189"/>
      <c r="E99" s="190"/>
      <c r="F99" s="189"/>
      <c r="G99" s="189"/>
      <c r="H99" s="189"/>
      <c r="I99" s="191"/>
      <c r="J99" s="191"/>
      <c r="K99" s="191"/>
      <c r="L99" s="191"/>
      <c r="M99" s="192"/>
      <c r="N99" s="191"/>
      <c r="O99" s="189"/>
      <c r="P99" s="194"/>
      <c r="Q99" s="191"/>
      <c r="R99" s="192"/>
      <c r="S99" s="189"/>
      <c r="T99" s="189"/>
      <c r="U99" s="189"/>
      <c r="V99" s="189"/>
      <c r="W99" s="191" t="str">
        <f t="shared" si="2"/>
        <v/>
      </c>
      <c r="X99" s="189"/>
      <c r="Y99" s="189"/>
      <c r="Z99" s="189"/>
      <c r="AA99" s="189"/>
      <c r="AB99" s="189"/>
      <c r="AC99" s="189"/>
      <c r="AD99" s="189"/>
      <c r="AE99" s="189"/>
      <c r="AF99" s="189"/>
      <c r="AG99" s="192"/>
      <c r="AH99" s="192"/>
      <c r="AI99" s="189"/>
      <c r="AJ99" s="189"/>
      <c r="AK99" s="189"/>
      <c r="AL99" s="189"/>
      <c r="AM99" s="191"/>
      <c r="AN99" s="191" t="str">
        <f>IF($A99="","",IF(COUNTIF('Decision Queue'!$A$5:$A$204,$A99)+COUNTIF('Decision Register'!$A$5:$A$304,$A99)&gt;1,"DUPLICATE ID","OK"))</f>
        <v/>
      </c>
    </row>
    <row r="100" spans="1:40" ht="42" customHeight="1">
      <c r="A100" s="191"/>
      <c r="B100" s="189"/>
      <c r="C100" s="189"/>
      <c r="D100" s="189"/>
      <c r="E100" s="190"/>
      <c r="F100" s="189"/>
      <c r="G100" s="189"/>
      <c r="H100" s="189"/>
      <c r="I100" s="191"/>
      <c r="J100" s="191"/>
      <c r="K100" s="191"/>
      <c r="L100" s="191"/>
      <c r="M100" s="192"/>
      <c r="N100" s="191"/>
      <c r="O100" s="189"/>
      <c r="P100" s="194"/>
      <c r="Q100" s="191"/>
      <c r="R100" s="192"/>
      <c r="S100" s="189"/>
      <c r="T100" s="189"/>
      <c r="U100" s="189"/>
      <c r="V100" s="189"/>
      <c r="W100" s="191" t="str">
        <f t="shared" si="2"/>
        <v/>
      </c>
      <c r="X100" s="189"/>
      <c r="Y100" s="189"/>
      <c r="Z100" s="189"/>
      <c r="AA100" s="189"/>
      <c r="AB100" s="189"/>
      <c r="AC100" s="189"/>
      <c r="AD100" s="189"/>
      <c r="AE100" s="189"/>
      <c r="AF100" s="189"/>
      <c r="AG100" s="192"/>
      <c r="AH100" s="192"/>
      <c r="AI100" s="189"/>
      <c r="AJ100" s="189"/>
      <c r="AK100" s="189"/>
      <c r="AL100" s="189"/>
      <c r="AM100" s="191"/>
      <c r="AN100" s="191" t="str">
        <f>IF($A100="","",IF(COUNTIF('Decision Queue'!$A$5:$A$204,$A100)+COUNTIF('Decision Register'!$A$5:$A$304,$A100)&gt;1,"DUPLICATE ID","OK"))</f>
        <v/>
      </c>
    </row>
    <row r="101" spans="1:40" ht="42" customHeight="1">
      <c r="A101" s="191"/>
      <c r="B101" s="189"/>
      <c r="C101" s="189"/>
      <c r="D101" s="189"/>
      <c r="E101" s="190"/>
      <c r="F101" s="189"/>
      <c r="G101" s="189"/>
      <c r="H101" s="189"/>
      <c r="I101" s="191"/>
      <c r="J101" s="191"/>
      <c r="K101" s="191"/>
      <c r="L101" s="191"/>
      <c r="M101" s="192"/>
      <c r="N101" s="191"/>
      <c r="O101" s="189"/>
      <c r="P101" s="194"/>
      <c r="Q101" s="191"/>
      <c r="R101" s="192"/>
      <c r="S101" s="189"/>
      <c r="T101" s="189"/>
      <c r="U101" s="189"/>
      <c r="V101" s="189"/>
      <c r="W101" s="191" t="str">
        <f t="shared" ref="W101:W132" si="3">IF($B101="","",IF(OR($G101="Completed",$G101="Cancelled"),"INACTIVE","ACTIVE"))</f>
        <v/>
      </c>
      <c r="X101" s="189"/>
      <c r="Y101" s="189"/>
      <c r="Z101" s="189"/>
      <c r="AA101" s="189"/>
      <c r="AB101" s="189"/>
      <c r="AC101" s="189"/>
      <c r="AD101" s="189"/>
      <c r="AE101" s="189"/>
      <c r="AF101" s="189"/>
      <c r="AG101" s="192"/>
      <c r="AH101" s="192"/>
      <c r="AI101" s="189"/>
      <c r="AJ101" s="189"/>
      <c r="AK101" s="189"/>
      <c r="AL101" s="189"/>
      <c r="AM101" s="191"/>
      <c r="AN101" s="191" t="str">
        <f>IF($A101="","",IF(COUNTIF('Decision Queue'!$A$5:$A$204,$A101)+COUNTIF('Decision Register'!$A$5:$A$304,$A101)&gt;1,"DUPLICATE ID","OK"))</f>
        <v/>
      </c>
    </row>
    <row r="102" spans="1:40" ht="42" customHeight="1">
      <c r="A102" s="191"/>
      <c r="B102" s="189"/>
      <c r="C102" s="189"/>
      <c r="D102" s="189"/>
      <c r="E102" s="190"/>
      <c r="F102" s="189"/>
      <c r="G102" s="189"/>
      <c r="H102" s="189"/>
      <c r="I102" s="191"/>
      <c r="J102" s="191"/>
      <c r="K102" s="191"/>
      <c r="L102" s="191"/>
      <c r="M102" s="192"/>
      <c r="N102" s="191"/>
      <c r="O102" s="189"/>
      <c r="P102" s="194"/>
      <c r="Q102" s="191"/>
      <c r="R102" s="192"/>
      <c r="S102" s="189"/>
      <c r="T102" s="189"/>
      <c r="U102" s="189"/>
      <c r="V102" s="189"/>
      <c r="W102" s="191" t="str">
        <f t="shared" si="3"/>
        <v/>
      </c>
      <c r="X102" s="189"/>
      <c r="Y102" s="189"/>
      <c r="Z102" s="189"/>
      <c r="AA102" s="189"/>
      <c r="AB102" s="189"/>
      <c r="AC102" s="189"/>
      <c r="AD102" s="189"/>
      <c r="AE102" s="189"/>
      <c r="AF102" s="189"/>
      <c r="AG102" s="192"/>
      <c r="AH102" s="192"/>
      <c r="AI102" s="189"/>
      <c r="AJ102" s="189"/>
      <c r="AK102" s="189"/>
      <c r="AL102" s="189"/>
      <c r="AM102" s="191"/>
      <c r="AN102" s="191" t="str">
        <f>IF($A102="","",IF(COUNTIF('Decision Queue'!$A$5:$A$204,$A102)+COUNTIF('Decision Register'!$A$5:$A$304,$A102)&gt;1,"DUPLICATE ID","OK"))</f>
        <v/>
      </c>
    </row>
    <row r="103" spans="1:40" ht="42" customHeight="1">
      <c r="A103" s="191"/>
      <c r="B103" s="189"/>
      <c r="C103" s="189"/>
      <c r="D103" s="189"/>
      <c r="E103" s="190"/>
      <c r="F103" s="189"/>
      <c r="G103" s="189"/>
      <c r="H103" s="189"/>
      <c r="I103" s="191"/>
      <c r="J103" s="191"/>
      <c r="K103" s="191"/>
      <c r="L103" s="191"/>
      <c r="M103" s="192"/>
      <c r="N103" s="191"/>
      <c r="O103" s="189"/>
      <c r="P103" s="194"/>
      <c r="Q103" s="191"/>
      <c r="R103" s="192"/>
      <c r="S103" s="189"/>
      <c r="T103" s="189"/>
      <c r="U103" s="189"/>
      <c r="V103" s="189"/>
      <c r="W103" s="191" t="str">
        <f t="shared" si="3"/>
        <v/>
      </c>
      <c r="X103" s="189"/>
      <c r="Y103" s="189"/>
      <c r="Z103" s="189"/>
      <c r="AA103" s="189"/>
      <c r="AB103" s="189"/>
      <c r="AC103" s="189"/>
      <c r="AD103" s="189"/>
      <c r="AE103" s="189"/>
      <c r="AF103" s="189"/>
      <c r="AG103" s="192"/>
      <c r="AH103" s="192"/>
      <c r="AI103" s="189"/>
      <c r="AJ103" s="189"/>
      <c r="AK103" s="189"/>
      <c r="AL103" s="189"/>
      <c r="AM103" s="191"/>
      <c r="AN103" s="191" t="str">
        <f>IF($A103="","",IF(COUNTIF('Decision Queue'!$A$5:$A$204,$A103)+COUNTIF('Decision Register'!$A$5:$A$304,$A103)&gt;1,"DUPLICATE ID","OK"))</f>
        <v/>
      </c>
    </row>
    <row r="104" spans="1:40" ht="42" customHeight="1">
      <c r="A104" s="191"/>
      <c r="B104" s="189"/>
      <c r="C104" s="189"/>
      <c r="D104" s="189"/>
      <c r="E104" s="190"/>
      <c r="F104" s="189"/>
      <c r="G104" s="189"/>
      <c r="H104" s="189"/>
      <c r="I104" s="191"/>
      <c r="J104" s="191"/>
      <c r="K104" s="191"/>
      <c r="L104" s="191"/>
      <c r="M104" s="192"/>
      <c r="N104" s="191"/>
      <c r="O104" s="189"/>
      <c r="P104" s="194"/>
      <c r="Q104" s="191"/>
      <c r="R104" s="192"/>
      <c r="S104" s="189"/>
      <c r="T104" s="189"/>
      <c r="U104" s="189"/>
      <c r="V104" s="189"/>
      <c r="W104" s="191" t="str">
        <f t="shared" si="3"/>
        <v/>
      </c>
      <c r="X104" s="189"/>
      <c r="Y104" s="189"/>
      <c r="Z104" s="189"/>
      <c r="AA104" s="189"/>
      <c r="AB104" s="189"/>
      <c r="AC104" s="189"/>
      <c r="AD104" s="189"/>
      <c r="AE104" s="189"/>
      <c r="AF104" s="189"/>
      <c r="AG104" s="192"/>
      <c r="AH104" s="192"/>
      <c r="AI104" s="189"/>
      <c r="AJ104" s="189"/>
      <c r="AK104" s="189"/>
      <c r="AL104" s="189"/>
      <c r="AM104" s="191"/>
      <c r="AN104" s="191" t="str">
        <f>IF($A104="","",IF(COUNTIF('Decision Queue'!$A$5:$A$204,$A104)+COUNTIF('Decision Register'!$A$5:$A$304,$A104)&gt;1,"DUPLICATE ID","OK"))</f>
        <v/>
      </c>
    </row>
    <row r="105" spans="1:40" ht="42" customHeight="1">
      <c r="A105" s="191"/>
      <c r="B105" s="189"/>
      <c r="C105" s="189"/>
      <c r="D105" s="189"/>
      <c r="E105" s="190"/>
      <c r="F105" s="189"/>
      <c r="G105" s="189"/>
      <c r="H105" s="189"/>
      <c r="I105" s="191"/>
      <c r="J105" s="191"/>
      <c r="K105" s="191"/>
      <c r="L105" s="191"/>
      <c r="M105" s="192"/>
      <c r="N105" s="191"/>
      <c r="O105" s="189"/>
      <c r="P105" s="194"/>
      <c r="Q105" s="191"/>
      <c r="R105" s="192"/>
      <c r="S105" s="189"/>
      <c r="T105" s="189"/>
      <c r="U105" s="189"/>
      <c r="V105" s="189"/>
      <c r="W105" s="191" t="str">
        <f t="shared" si="3"/>
        <v/>
      </c>
      <c r="X105" s="189"/>
      <c r="Y105" s="189"/>
      <c r="Z105" s="189"/>
      <c r="AA105" s="189"/>
      <c r="AB105" s="189"/>
      <c r="AC105" s="189"/>
      <c r="AD105" s="189"/>
      <c r="AE105" s="189"/>
      <c r="AF105" s="189"/>
      <c r="AG105" s="192"/>
      <c r="AH105" s="192"/>
      <c r="AI105" s="189"/>
      <c r="AJ105" s="189"/>
      <c r="AK105" s="189"/>
      <c r="AL105" s="189"/>
      <c r="AM105" s="191"/>
      <c r="AN105" s="191" t="str">
        <f>IF($A105="","",IF(COUNTIF('Decision Queue'!$A$5:$A$204,$A105)+COUNTIF('Decision Register'!$A$5:$A$304,$A105)&gt;1,"DUPLICATE ID","OK"))</f>
        <v/>
      </c>
    </row>
    <row r="106" spans="1:40" ht="42" customHeight="1">
      <c r="A106" s="191"/>
      <c r="B106" s="189"/>
      <c r="C106" s="189"/>
      <c r="D106" s="189"/>
      <c r="E106" s="190"/>
      <c r="F106" s="189"/>
      <c r="G106" s="189"/>
      <c r="H106" s="189"/>
      <c r="I106" s="191"/>
      <c r="J106" s="191"/>
      <c r="K106" s="191"/>
      <c r="L106" s="191"/>
      <c r="M106" s="192"/>
      <c r="N106" s="191"/>
      <c r="O106" s="189"/>
      <c r="P106" s="194"/>
      <c r="Q106" s="191"/>
      <c r="R106" s="192"/>
      <c r="S106" s="189"/>
      <c r="T106" s="189"/>
      <c r="U106" s="189"/>
      <c r="V106" s="189"/>
      <c r="W106" s="191" t="str">
        <f t="shared" si="3"/>
        <v/>
      </c>
      <c r="X106" s="189"/>
      <c r="Y106" s="189"/>
      <c r="Z106" s="189"/>
      <c r="AA106" s="189"/>
      <c r="AB106" s="189"/>
      <c r="AC106" s="189"/>
      <c r="AD106" s="189"/>
      <c r="AE106" s="189"/>
      <c r="AF106" s="189"/>
      <c r="AG106" s="192"/>
      <c r="AH106" s="192"/>
      <c r="AI106" s="189"/>
      <c r="AJ106" s="189"/>
      <c r="AK106" s="189"/>
      <c r="AL106" s="189"/>
      <c r="AM106" s="191"/>
      <c r="AN106" s="191" t="str">
        <f>IF($A106="","",IF(COUNTIF('Decision Queue'!$A$5:$A$204,$A106)+COUNTIF('Decision Register'!$A$5:$A$304,$A106)&gt;1,"DUPLICATE ID","OK"))</f>
        <v/>
      </c>
    </row>
    <row r="107" spans="1:40" ht="42" customHeight="1">
      <c r="A107" s="191"/>
      <c r="B107" s="189"/>
      <c r="C107" s="189"/>
      <c r="D107" s="189"/>
      <c r="E107" s="190"/>
      <c r="F107" s="189"/>
      <c r="G107" s="189"/>
      <c r="H107" s="189"/>
      <c r="I107" s="191"/>
      <c r="J107" s="191"/>
      <c r="K107" s="191"/>
      <c r="L107" s="191"/>
      <c r="M107" s="192"/>
      <c r="N107" s="191"/>
      <c r="O107" s="189"/>
      <c r="P107" s="194"/>
      <c r="Q107" s="191"/>
      <c r="R107" s="192"/>
      <c r="S107" s="189"/>
      <c r="T107" s="189"/>
      <c r="U107" s="189"/>
      <c r="V107" s="189"/>
      <c r="W107" s="191" t="str">
        <f t="shared" si="3"/>
        <v/>
      </c>
      <c r="X107" s="189"/>
      <c r="Y107" s="189"/>
      <c r="Z107" s="189"/>
      <c r="AA107" s="189"/>
      <c r="AB107" s="189"/>
      <c r="AC107" s="189"/>
      <c r="AD107" s="189"/>
      <c r="AE107" s="189"/>
      <c r="AF107" s="189"/>
      <c r="AG107" s="192"/>
      <c r="AH107" s="192"/>
      <c r="AI107" s="189"/>
      <c r="AJ107" s="189"/>
      <c r="AK107" s="189"/>
      <c r="AL107" s="189"/>
      <c r="AM107" s="191"/>
      <c r="AN107" s="191" t="str">
        <f>IF($A107="","",IF(COUNTIF('Decision Queue'!$A$5:$A$204,$A107)+COUNTIF('Decision Register'!$A$5:$A$304,$A107)&gt;1,"DUPLICATE ID","OK"))</f>
        <v/>
      </c>
    </row>
    <row r="108" spans="1:40" ht="42" customHeight="1">
      <c r="A108" s="191"/>
      <c r="B108" s="189"/>
      <c r="C108" s="189"/>
      <c r="D108" s="189"/>
      <c r="E108" s="190"/>
      <c r="F108" s="189"/>
      <c r="G108" s="189"/>
      <c r="H108" s="189"/>
      <c r="I108" s="191"/>
      <c r="J108" s="191"/>
      <c r="K108" s="191"/>
      <c r="L108" s="191"/>
      <c r="M108" s="192"/>
      <c r="N108" s="191"/>
      <c r="O108" s="189"/>
      <c r="P108" s="194"/>
      <c r="Q108" s="191"/>
      <c r="R108" s="192"/>
      <c r="S108" s="189"/>
      <c r="T108" s="189"/>
      <c r="U108" s="189"/>
      <c r="V108" s="189"/>
      <c r="W108" s="191" t="str">
        <f t="shared" si="3"/>
        <v/>
      </c>
      <c r="X108" s="189"/>
      <c r="Y108" s="189"/>
      <c r="Z108" s="189"/>
      <c r="AA108" s="189"/>
      <c r="AB108" s="189"/>
      <c r="AC108" s="189"/>
      <c r="AD108" s="189"/>
      <c r="AE108" s="189"/>
      <c r="AF108" s="189"/>
      <c r="AG108" s="192"/>
      <c r="AH108" s="192"/>
      <c r="AI108" s="189"/>
      <c r="AJ108" s="189"/>
      <c r="AK108" s="189"/>
      <c r="AL108" s="189"/>
      <c r="AM108" s="191"/>
      <c r="AN108" s="191" t="str">
        <f>IF($A108="","",IF(COUNTIF('Decision Queue'!$A$5:$A$204,$A108)+COUNTIF('Decision Register'!$A$5:$A$304,$A108)&gt;1,"DUPLICATE ID","OK"))</f>
        <v/>
      </c>
    </row>
    <row r="109" spans="1:40" ht="42" customHeight="1">
      <c r="A109" s="191"/>
      <c r="B109" s="189"/>
      <c r="C109" s="189"/>
      <c r="D109" s="189"/>
      <c r="E109" s="190"/>
      <c r="F109" s="189"/>
      <c r="G109" s="189"/>
      <c r="H109" s="189"/>
      <c r="I109" s="191"/>
      <c r="J109" s="191"/>
      <c r="K109" s="191"/>
      <c r="L109" s="191"/>
      <c r="M109" s="192"/>
      <c r="N109" s="191"/>
      <c r="O109" s="189"/>
      <c r="P109" s="194"/>
      <c r="Q109" s="191"/>
      <c r="R109" s="192"/>
      <c r="S109" s="189"/>
      <c r="T109" s="189"/>
      <c r="U109" s="189"/>
      <c r="V109" s="189"/>
      <c r="W109" s="191" t="str">
        <f t="shared" si="3"/>
        <v/>
      </c>
      <c r="X109" s="189"/>
      <c r="Y109" s="189"/>
      <c r="Z109" s="189"/>
      <c r="AA109" s="189"/>
      <c r="AB109" s="189"/>
      <c r="AC109" s="189"/>
      <c r="AD109" s="189"/>
      <c r="AE109" s="189"/>
      <c r="AF109" s="189"/>
      <c r="AG109" s="192"/>
      <c r="AH109" s="192"/>
      <c r="AI109" s="189"/>
      <c r="AJ109" s="189"/>
      <c r="AK109" s="189"/>
      <c r="AL109" s="189"/>
      <c r="AM109" s="191"/>
      <c r="AN109" s="191" t="str">
        <f>IF($A109="","",IF(COUNTIF('Decision Queue'!$A$5:$A$204,$A109)+COUNTIF('Decision Register'!$A$5:$A$304,$A109)&gt;1,"DUPLICATE ID","OK"))</f>
        <v/>
      </c>
    </row>
    <row r="110" spans="1:40" ht="42" customHeight="1">
      <c r="A110" s="191"/>
      <c r="B110" s="189"/>
      <c r="C110" s="189"/>
      <c r="D110" s="189"/>
      <c r="E110" s="190"/>
      <c r="F110" s="189"/>
      <c r="G110" s="189"/>
      <c r="H110" s="189"/>
      <c r="I110" s="191"/>
      <c r="J110" s="191"/>
      <c r="K110" s="191"/>
      <c r="L110" s="191"/>
      <c r="M110" s="192"/>
      <c r="N110" s="191"/>
      <c r="O110" s="189"/>
      <c r="P110" s="194"/>
      <c r="Q110" s="191"/>
      <c r="R110" s="192"/>
      <c r="S110" s="189"/>
      <c r="T110" s="189"/>
      <c r="U110" s="189"/>
      <c r="V110" s="189"/>
      <c r="W110" s="191" t="str">
        <f t="shared" si="3"/>
        <v/>
      </c>
      <c r="X110" s="189"/>
      <c r="Y110" s="189"/>
      <c r="Z110" s="189"/>
      <c r="AA110" s="189"/>
      <c r="AB110" s="189"/>
      <c r="AC110" s="189"/>
      <c r="AD110" s="189"/>
      <c r="AE110" s="189"/>
      <c r="AF110" s="189"/>
      <c r="AG110" s="192"/>
      <c r="AH110" s="192"/>
      <c r="AI110" s="189"/>
      <c r="AJ110" s="189"/>
      <c r="AK110" s="189"/>
      <c r="AL110" s="189"/>
      <c r="AM110" s="191"/>
      <c r="AN110" s="191" t="str">
        <f>IF($A110="","",IF(COUNTIF('Decision Queue'!$A$5:$A$204,$A110)+COUNTIF('Decision Register'!$A$5:$A$304,$A110)&gt;1,"DUPLICATE ID","OK"))</f>
        <v/>
      </c>
    </row>
    <row r="111" spans="1:40" ht="42" customHeight="1">
      <c r="A111" s="191"/>
      <c r="B111" s="189"/>
      <c r="C111" s="189"/>
      <c r="D111" s="189"/>
      <c r="E111" s="190"/>
      <c r="F111" s="189"/>
      <c r="G111" s="189"/>
      <c r="H111" s="189"/>
      <c r="I111" s="191"/>
      <c r="J111" s="191"/>
      <c r="K111" s="191"/>
      <c r="L111" s="191"/>
      <c r="M111" s="192"/>
      <c r="N111" s="191"/>
      <c r="O111" s="189"/>
      <c r="P111" s="194"/>
      <c r="Q111" s="191"/>
      <c r="R111" s="192"/>
      <c r="S111" s="189"/>
      <c r="T111" s="189"/>
      <c r="U111" s="189"/>
      <c r="V111" s="189"/>
      <c r="W111" s="191" t="str">
        <f t="shared" si="3"/>
        <v/>
      </c>
      <c r="X111" s="189"/>
      <c r="Y111" s="189"/>
      <c r="Z111" s="189"/>
      <c r="AA111" s="189"/>
      <c r="AB111" s="189"/>
      <c r="AC111" s="189"/>
      <c r="AD111" s="189"/>
      <c r="AE111" s="189"/>
      <c r="AF111" s="189"/>
      <c r="AG111" s="192"/>
      <c r="AH111" s="192"/>
      <c r="AI111" s="189"/>
      <c r="AJ111" s="189"/>
      <c r="AK111" s="189"/>
      <c r="AL111" s="189"/>
      <c r="AM111" s="191"/>
      <c r="AN111" s="191" t="str">
        <f>IF($A111="","",IF(COUNTIF('Decision Queue'!$A$5:$A$204,$A111)+COUNTIF('Decision Register'!$A$5:$A$304,$A111)&gt;1,"DUPLICATE ID","OK"))</f>
        <v/>
      </c>
    </row>
    <row r="112" spans="1:40" ht="42" customHeight="1">
      <c r="A112" s="191"/>
      <c r="B112" s="189"/>
      <c r="C112" s="189"/>
      <c r="D112" s="189"/>
      <c r="E112" s="190"/>
      <c r="F112" s="189"/>
      <c r="G112" s="189"/>
      <c r="H112" s="189"/>
      <c r="I112" s="191"/>
      <c r="J112" s="191"/>
      <c r="K112" s="191"/>
      <c r="L112" s="191"/>
      <c r="M112" s="192"/>
      <c r="N112" s="191"/>
      <c r="O112" s="189"/>
      <c r="P112" s="194"/>
      <c r="Q112" s="191"/>
      <c r="R112" s="192"/>
      <c r="S112" s="189"/>
      <c r="T112" s="189"/>
      <c r="U112" s="189"/>
      <c r="V112" s="189"/>
      <c r="W112" s="191" t="str">
        <f t="shared" si="3"/>
        <v/>
      </c>
      <c r="X112" s="189"/>
      <c r="Y112" s="189"/>
      <c r="Z112" s="189"/>
      <c r="AA112" s="189"/>
      <c r="AB112" s="189"/>
      <c r="AC112" s="189"/>
      <c r="AD112" s="189"/>
      <c r="AE112" s="189"/>
      <c r="AF112" s="189"/>
      <c r="AG112" s="192"/>
      <c r="AH112" s="192"/>
      <c r="AI112" s="189"/>
      <c r="AJ112" s="189"/>
      <c r="AK112" s="189"/>
      <c r="AL112" s="189"/>
      <c r="AM112" s="191"/>
      <c r="AN112" s="191" t="str">
        <f>IF($A112="","",IF(COUNTIF('Decision Queue'!$A$5:$A$204,$A112)+COUNTIF('Decision Register'!$A$5:$A$304,$A112)&gt;1,"DUPLICATE ID","OK"))</f>
        <v/>
      </c>
    </row>
    <row r="113" spans="1:40" ht="42" customHeight="1">
      <c r="A113" s="191"/>
      <c r="B113" s="189"/>
      <c r="C113" s="189"/>
      <c r="D113" s="189"/>
      <c r="E113" s="190"/>
      <c r="F113" s="189"/>
      <c r="G113" s="189"/>
      <c r="H113" s="189"/>
      <c r="I113" s="191"/>
      <c r="J113" s="191"/>
      <c r="K113" s="191"/>
      <c r="L113" s="191"/>
      <c r="M113" s="192"/>
      <c r="N113" s="191"/>
      <c r="O113" s="189"/>
      <c r="P113" s="194"/>
      <c r="Q113" s="191"/>
      <c r="R113" s="192"/>
      <c r="S113" s="189"/>
      <c r="T113" s="189"/>
      <c r="U113" s="189"/>
      <c r="V113" s="189"/>
      <c r="W113" s="191" t="str">
        <f t="shared" si="3"/>
        <v/>
      </c>
      <c r="X113" s="189"/>
      <c r="Y113" s="189"/>
      <c r="Z113" s="189"/>
      <c r="AA113" s="189"/>
      <c r="AB113" s="189"/>
      <c r="AC113" s="189"/>
      <c r="AD113" s="189"/>
      <c r="AE113" s="189"/>
      <c r="AF113" s="189"/>
      <c r="AG113" s="192"/>
      <c r="AH113" s="192"/>
      <c r="AI113" s="189"/>
      <c r="AJ113" s="189"/>
      <c r="AK113" s="189"/>
      <c r="AL113" s="189"/>
      <c r="AM113" s="191"/>
      <c r="AN113" s="191" t="str">
        <f>IF($A113="","",IF(COUNTIF('Decision Queue'!$A$5:$A$204,$A113)+COUNTIF('Decision Register'!$A$5:$A$304,$A113)&gt;1,"DUPLICATE ID","OK"))</f>
        <v/>
      </c>
    </row>
    <row r="114" spans="1:40" ht="42" customHeight="1">
      <c r="A114" s="191"/>
      <c r="B114" s="189"/>
      <c r="C114" s="189"/>
      <c r="D114" s="189"/>
      <c r="E114" s="190"/>
      <c r="F114" s="189"/>
      <c r="G114" s="189"/>
      <c r="H114" s="189"/>
      <c r="I114" s="191"/>
      <c r="J114" s="191"/>
      <c r="K114" s="191"/>
      <c r="L114" s="191"/>
      <c r="M114" s="192"/>
      <c r="N114" s="191"/>
      <c r="O114" s="189"/>
      <c r="P114" s="194"/>
      <c r="Q114" s="191"/>
      <c r="R114" s="192"/>
      <c r="S114" s="189"/>
      <c r="T114" s="189"/>
      <c r="U114" s="189"/>
      <c r="V114" s="189"/>
      <c r="W114" s="191" t="str">
        <f t="shared" si="3"/>
        <v/>
      </c>
      <c r="X114" s="189"/>
      <c r="Y114" s="189"/>
      <c r="Z114" s="189"/>
      <c r="AA114" s="189"/>
      <c r="AB114" s="189"/>
      <c r="AC114" s="189"/>
      <c r="AD114" s="189"/>
      <c r="AE114" s="189"/>
      <c r="AF114" s="189"/>
      <c r="AG114" s="192"/>
      <c r="AH114" s="192"/>
      <c r="AI114" s="189"/>
      <c r="AJ114" s="189"/>
      <c r="AK114" s="189"/>
      <c r="AL114" s="189"/>
      <c r="AM114" s="191"/>
      <c r="AN114" s="191" t="str">
        <f>IF($A114="","",IF(COUNTIF('Decision Queue'!$A$5:$A$204,$A114)+COUNTIF('Decision Register'!$A$5:$A$304,$A114)&gt;1,"DUPLICATE ID","OK"))</f>
        <v/>
      </c>
    </row>
    <row r="115" spans="1:40" ht="42" customHeight="1">
      <c r="A115" s="191"/>
      <c r="B115" s="189"/>
      <c r="C115" s="189"/>
      <c r="D115" s="189"/>
      <c r="E115" s="190"/>
      <c r="F115" s="189"/>
      <c r="G115" s="189"/>
      <c r="H115" s="189"/>
      <c r="I115" s="191"/>
      <c r="J115" s="191"/>
      <c r="K115" s="191"/>
      <c r="L115" s="191"/>
      <c r="M115" s="192"/>
      <c r="N115" s="191"/>
      <c r="O115" s="189"/>
      <c r="P115" s="194"/>
      <c r="Q115" s="191"/>
      <c r="R115" s="192"/>
      <c r="S115" s="189"/>
      <c r="T115" s="189"/>
      <c r="U115" s="189"/>
      <c r="V115" s="189"/>
      <c r="W115" s="191" t="str">
        <f t="shared" si="3"/>
        <v/>
      </c>
      <c r="X115" s="189"/>
      <c r="Y115" s="189"/>
      <c r="Z115" s="189"/>
      <c r="AA115" s="189"/>
      <c r="AB115" s="189"/>
      <c r="AC115" s="189"/>
      <c r="AD115" s="189"/>
      <c r="AE115" s="189"/>
      <c r="AF115" s="189"/>
      <c r="AG115" s="192"/>
      <c r="AH115" s="192"/>
      <c r="AI115" s="189"/>
      <c r="AJ115" s="189"/>
      <c r="AK115" s="189"/>
      <c r="AL115" s="189"/>
      <c r="AM115" s="191"/>
      <c r="AN115" s="191" t="str">
        <f>IF($A115="","",IF(COUNTIF('Decision Queue'!$A$5:$A$204,$A115)+COUNTIF('Decision Register'!$A$5:$A$304,$A115)&gt;1,"DUPLICATE ID","OK"))</f>
        <v/>
      </c>
    </row>
    <row r="116" spans="1:40" ht="42" customHeight="1">
      <c r="A116" s="191"/>
      <c r="B116" s="189"/>
      <c r="C116" s="189"/>
      <c r="D116" s="189"/>
      <c r="E116" s="190"/>
      <c r="F116" s="189"/>
      <c r="G116" s="189"/>
      <c r="H116" s="189"/>
      <c r="I116" s="191"/>
      <c r="J116" s="191"/>
      <c r="K116" s="191"/>
      <c r="L116" s="191"/>
      <c r="M116" s="192"/>
      <c r="N116" s="191"/>
      <c r="O116" s="189"/>
      <c r="P116" s="194"/>
      <c r="Q116" s="191"/>
      <c r="R116" s="192"/>
      <c r="S116" s="189"/>
      <c r="T116" s="189"/>
      <c r="U116" s="189"/>
      <c r="V116" s="189"/>
      <c r="W116" s="191" t="str">
        <f t="shared" si="3"/>
        <v/>
      </c>
      <c r="X116" s="189"/>
      <c r="Y116" s="189"/>
      <c r="Z116" s="189"/>
      <c r="AA116" s="189"/>
      <c r="AB116" s="189"/>
      <c r="AC116" s="189"/>
      <c r="AD116" s="189"/>
      <c r="AE116" s="189"/>
      <c r="AF116" s="189"/>
      <c r="AG116" s="192"/>
      <c r="AH116" s="192"/>
      <c r="AI116" s="189"/>
      <c r="AJ116" s="189"/>
      <c r="AK116" s="189"/>
      <c r="AL116" s="189"/>
      <c r="AM116" s="191"/>
      <c r="AN116" s="191" t="str">
        <f>IF($A116="","",IF(COUNTIF('Decision Queue'!$A$5:$A$204,$A116)+COUNTIF('Decision Register'!$A$5:$A$304,$A116)&gt;1,"DUPLICATE ID","OK"))</f>
        <v/>
      </c>
    </row>
    <row r="117" spans="1:40" ht="42" customHeight="1">
      <c r="A117" s="191"/>
      <c r="B117" s="189"/>
      <c r="C117" s="189"/>
      <c r="D117" s="189"/>
      <c r="E117" s="190"/>
      <c r="F117" s="189"/>
      <c r="G117" s="189"/>
      <c r="H117" s="189"/>
      <c r="I117" s="191"/>
      <c r="J117" s="191"/>
      <c r="K117" s="191"/>
      <c r="L117" s="191"/>
      <c r="M117" s="192"/>
      <c r="N117" s="191"/>
      <c r="O117" s="189"/>
      <c r="P117" s="194"/>
      <c r="Q117" s="191"/>
      <c r="R117" s="192"/>
      <c r="S117" s="189"/>
      <c r="T117" s="189"/>
      <c r="U117" s="189"/>
      <c r="V117" s="189"/>
      <c r="W117" s="191" t="str">
        <f t="shared" si="3"/>
        <v/>
      </c>
      <c r="X117" s="189"/>
      <c r="Y117" s="189"/>
      <c r="Z117" s="189"/>
      <c r="AA117" s="189"/>
      <c r="AB117" s="189"/>
      <c r="AC117" s="189"/>
      <c r="AD117" s="189"/>
      <c r="AE117" s="189"/>
      <c r="AF117" s="189"/>
      <c r="AG117" s="192"/>
      <c r="AH117" s="192"/>
      <c r="AI117" s="189"/>
      <c r="AJ117" s="189"/>
      <c r="AK117" s="189"/>
      <c r="AL117" s="189"/>
      <c r="AM117" s="191"/>
      <c r="AN117" s="191" t="str">
        <f>IF($A117="","",IF(COUNTIF('Decision Queue'!$A$5:$A$204,$A117)+COUNTIF('Decision Register'!$A$5:$A$304,$A117)&gt;1,"DUPLICATE ID","OK"))</f>
        <v/>
      </c>
    </row>
    <row r="118" spans="1:40" ht="42" customHeight="1">
      <c r="A118" s="191"/>
      <c r="B118" s="189"/>
      <c r="C118" s="189"/>
      <c r="D118" s="189"/>
      <c r="E118" s="190"/>
      <c r="F118" s="189"/>
      <c r="G118" s="189"/>
      <c r="H118" s="189"/>
      <c r="I118" s="191"/>
      <c r="J118" s="191"/>
      <c r="K118" s="191"/>
      <c r="L118" s="191"/>
      <c r="M118" s="192"/>
      <c r="N118" s="191"/>
      <c r="O118" s="189"/>
      <c r="P118" s="194"/>
      <c r="Q118" s="191"/>
      <c r="R118" s="192"/>
      <c r="S118" s="189"/>
      <c r="T118" s="189"/>
      <c r="U118" s="189"/>
      <c r="V118" s="189"/>
      <c r="W118" s="191" t="str">
        <f t="shared" si="3"/>
        <v/>
      </c>
      <c r="X118" s="189"/>
      <c r="Y118" s="189"/>
      <c r="Z118" s="189"/>
      <c r="AA118" s="189"/>
      <c r="AB118" s="189"/>
      <c r="AC118" s="189"/>
      <c r="AD118" s="189"/>
      <c r="AE118" s="189"/>
      <c r="AF118" s="189"/>
      <c r="AG118" s="192"/>
      <c r="AH118" s="192"/>
      <c r="AI118" s="189"/>
      <c r="AJ118" s="189"/>
      <c r="AK118" s="189"/>
      <c r="AL118" s="189"/>
      <c r="AM118" s="191"/>
      <c r="AN118" s="191" t="str">
        <f>IF($A118="","",IF(COUNTIF('Decision Queue'!$A$5:$A$204,$A118)+COUNTIF('Decision Register'!$A$5:$A$304,$A118)&gt;1,"DUPLICATE ID","OK"))</f>
        <v/>
      </c>
    </row>
    <row r="119" spans="1:40" ht="42" customHeight="1">
      <c r="A119" s="191"/>
      <c r="B119" s="189"/>
      <c r="C119" s="189"/>
      <c r="D119" s="189"/>
      <c r="E119" s="190"/>
      <c r="F119" s="189"/>
      <c r="G119" s="189"/>
      <c r="H119" s="189"/>
      <c r="I119" s="191"/>
      <c r="J119" s="191"/>
      <c r="K119" s="191"/>
      <c r="L119" s="191"/>
      <c r="M119" s="192"/>
      <c r="N119" s="191"/>
      <c r="O119" s="189"/>
      <c r="P119" s="194"/>
      <c r="Q119" s="191"/>
      <c r="R119" s="192"/>
      <c r="S119" s="189"/>
      <c r="T119" s="189"/>
      <c r="U119" s="189"/>
      <c r="V119" s="189"/>
      <c r="W119" s="191" t="str">
        <f t="shared" si="3"/>
        <v/>
      </c>
      <c r="X119" s="189"/>
      <c r="Y119" s="189"/>
      <c r="Z119" s="189"/>
      <c r="AA119" s="189"/>
      <c r="AB119" s="189"/>
      <c r="AC119" s="189"/>
      <c r="AD119" s="189"/>
      <c r="AE119" s="189"/>
      <c r="AF119" s="189"/>
      <c r="AG119" s="192"/>
      <c r="AH119" s="192"/>
      <c r="AI119" s="189"/>
      <c r="AJ119" s="189"/>
      <c r="AK119" s="189"/>
      <c r="AL119" s="189"/>
      <c r="AM119" s="191"/>
      <c r="AN119" s="191" t="str">
        <f>IF($A119="","",IF(COUNTIF('Decision Queue'!$A$5:$A$204,$A119)+COUNTIF('Decision Register'!$A$5:$A$304,$A119)&gt;1,"DUPLICATE ID","OK"))</f>
        <v/>
      </c>
    </row>
    <row r="120" spans="1:40" ht="42" customHeight="1">
      <c r="A120" s="191"/>
      <c r="B120" s="189"/>
      <c r="C120" s="189"/>
      <c r="D120" s="189"/>
      <c r="E120" s="190"/>
      <c r="F120" s="189"/>
      <c r="G120" s="189"/>
      <c r="H120" s="189"/>
      <c r="I120" s="191"/>
      <c r="J120" s="191"/>
      <c r="K120" s="191"/>
      <c r="L120" s="191"/>
      <c r="M120" s="192"/>
      <c r="N120" s="191"/>
      <c r="O120" s="189"/>
      <c r="P120" s="194"/>
      <c r="Q120" s="191"/>
      <c r="R120" s="192"/>
      <c r="S120" s="189"/>
      <c r="T120" s="189"/>
      <c r="U120" s="189"/>
      <c r="V120" s="189"/>
      <c r="W120" s="191" t="str">
        <f t="shared" si="3"/>
        <v/>
      </c>
      <c r="X120" s="189"/>
      <c r="Y120" s="189"/>
      <c r="Z120" s="189"/>
      <c r="AA120" s="189"/>
      <c r="AB120" s="189"/>
      <c r="AC120" s="189"/>
      <c r="AD120" s="189"/>
      <c r="AE120" s="189"/>
      <c r="AF120" s="189"/>
      <c r="AG120" s="192"/>
      <c r="AH120" s="192"/>
      <c r="AI120" s="189"/>
      <c r="AJ120" s="189"/>
      <c r="AK120" s="189"/>
      <c r="AL120" s="189"/>
      <c r="AM120" s="191"/>
      <c r="AN120" s="191" t="str">
        <f>IF($A120="","",IF(COUNTIF('Decision Queue'!$A$5:$A$204,$A120)+COUNTIF('Decision Register'!$A$5:$A$304,$A120)&gt;1,"DUPLICATE ID","OK"))</f>
        <v/>
      </c>
    </row>
    <row r="121" spans="1:40" ht="42" customHeight="1">
      <c r="A121" s="191"/>
      <c r="B121" s="189"/>
      <c r="C121" s="189"/>
      <c r="D121" s="189"/>
      <c r="E121" s="190"/>
      <c r="F121" s="189"/>
      <c r="G121" s="189"/>
      <c r="H121" s="189"/>
      <c r="I121" s="191"/>
      <c r="J121" s="191"/>
      <c r="K121" s="191"/>
      <c r="L121" s="191"/>
      <c r="M121" s="192"/>
      <c r="N121" s="191"/>
      <c r="O121" s="189"/>
      <c r="P121" s="194"/>
      <c r="Q121" s="191"/>
      <c r="R121" s="192"/>
      <c r="S121" s="189"/>
      <c r="T121" s="189"/>
      <c r="U121" s="189"/>
      <c r="V121" s="189"/>
      <c r="W121" s="191" t="str">
        <f t="shared" si="3"/>
        <v/>
      </c>
      <c r="X121" s="189"/>
      <c r="Y121" s="189"/>
      <c r="Z121" s="189"/>
      <c r="AA121" s="189"/>
      <c r="AB121" s="189"/>
      <c r="AC121" s="189"/>
      <c r="AD121" s="189"/>
      <c r="AE121" s="189"/>
      <c r="AF121" s="189"/>
      <c r="AG121" s="192"/>
      <c r="AH121" s="192"/>
      <c r="AI121" s="189"/>
      <c r="AJ121" s="189"/>
      <c r="AK121" s="189"/>
      <c r="AL121" s="189"/>
      <c r="AM121" s="191"/>
      <c r="AN121" s="191" t="str">
        <f>IF($A121="","",IF(COUNTIF('Decision Queue'!$A$5:$A$204,$A121)+COUNTIF('Decision Register'!$A$5:$A$304,$A121)&gt;1,"DUPLICATE ID","OK"))</f>
        <v/>
      </c>
    </row>
    <row r="122" spans="1:40" ht="42" customHeight="1">
      <c r="A122" s="191"/>
      <c r="B122" s="189"/>
      <c r="C122" s="189"/>
      <c r="D122" s="189"/>
      <c r="E122" s="190"/>
      <c r="F122" s="189"/>
      <c r="G122" s="189"/>
      <c r="H122" s="189"/>
      <c r="I122" s="191"/>
      <c r="J122" s="191"/>
      <c r="K122" s="191"/>
      <c r="L122" s="191"/>
      <c r="M122" s="192"/>
      <c r="N122" s="191"/>
      <c r="O122" s="189"/>
      <c r="P122" s="194"/>
      <c r="Q122" s="191"/>
      <c r="R122" s="192"/>
      <c r="S122" s="189"/>
      <c r="T122" s="189"/>
      <c r="U122" s="189"/>
      <c r="V122" s="189"/>
      <c r="W122" s="191" t="str">
        <f t="shared" si="3"/>
        <v/>
      </c>
      <c r="X122" s="189"/>
      <c r="Y122" s="189"/>
      <c r="Z122" s="189"/>
      <c r="AA122" s="189"/>
      <c r="AB122" s="189"/>
      <c r="AC122" s="189"/>
      <c r="AD122" s="189"/>
      <c r="AE122" s="189"/>
      <c r="AF122" s="189"/>
      <c r="AG122" s="192"/>
      <c r="AH122" s="192"/>
      <c r="AI122" s="189"/>
      <c r="AJ122" s="189"/>
      <c r="AK122" s="189"/>
      <c r="AL122" s="189"/>
      <c r="AM122" s="191"/>
      <c r="AN122" s="191" t="str">
        <f>IF($A122="","",IF(COUNTIF('Decision Queue'!$A$5:$A$204,$A122)+COUNTIF('Decision Register'!$A$5:$A$304,$A122)&gt;1,"DUPLICATE ID","OK"))</f>
        <v/>
      </c>
    </row>
    <row r="123" spans="1:40" ht="42" customHeight="1">
      <c r="A123" s="191"/>
      <c r="B123" s="189"/>
      <c r="C123" s="189"/>
      <c r="D123" s="189"/>
      <c r="E123" s="190"/>
      <c r="F123" s="189"/>
      <c r="G123" s="189"/>
      <c r="H123" s="189"/>
      <c r="I123" s="191"/>
      <c r="J123" s="191"/>
      <c r="K123" s="191"/>
      <c r="L123" s="191"/>
      <c r="M123" s="192"/>
      <c r="N123" s="191"/>
      <c r="O123" s="189"/>
      <c r="P123" s="194"/>
      <c r="Q123" s="191"/>
      <c r="R123" s="192"/>
      <c r="S123" s="189"/>
      <c r="T123" s="189"/>
      <c r="U123" s="189"/>
      <c r="V123" s="189"/>
      <c r="W123" s="191" t="str">
        <f t="shared" si="3"/>
        <v/>
      </c>
      <c r="X123" s="189"/>
      <c r="Y123" s="189"/>
      <c r="Z123" s="189"/>
      <c r="AA123" s="189"/>
      <c r="AB123" s="189"/>
      <c r="AC123" s="189"/>
      <c r="AD123" s="189"/>
      <c r="AE123" s="189"/>
      <c r="AF123" s="189"/>
      <c r="AG123" s="192"/>
      <c r="AH123" s="192"/>
      <c r="AI123" s="189"/>
      <c r="AJ123" s="189"/>
      <c r="AK123" s="189"/>
      <c r="AL123" s="189"/>
      <c r="AM123" s="191"/>
      <c r="AN123" s="191" t="str">
        <f>IF($A123="","",IF(COUNTIF('Decision Queue'!$A$5:$A$204,$A123)+COUNTIF('Decision Register'!$A$5:$A$304,$A123)&gt;1,"DUPLICATE ID","OK"))</f>
        <v/>
      </c>
    </row>
    <row r="124" spans="1:40" ht="42" customHeight="1">
      <c r="A124" s="191"/>
      <c r="B124" s="189"/>
      <c r="C124" s="189"/>
      <c r="D124" s="189"/>
      <c r="E124" s="190"/>
      <c r="F124" s="189"/>
      <c r="G124" s="189"/>
      <c r="H124" s="189"/>
      <c r="I124" s="191"/>
      <c r="J124" s="191"/>
      <c r="K124" s="191"/>
      <c r="L124" s="191"/>
      <c r="M124" s="192"/>
      <c r="N124" s="191"/>
      <c r="O124" s="189"/>
      <c r="P124" s="194"/>
      <c r="Q124" s="191"/>
      <c r="R124" s="192"/>
      <c r="S124" s="189"/>
      <c r="T124" s="189"/>
      <c r="U124" s="189"/>
      <c r="V124" s="189"/>
      <c r="W124" s="191" t="str">
        <f t="shared" si="3"/>
        <v/>
      </c>
      <c r="X124" s="189"/>
      <c r="Y124" s="189"/>
      <c r="Z124" s="189"/>
      <c r="AA124" s="189"/>
      <c r="AB124" s="189"/>
      <c r="AC124" s="189"/>
      <c r="AD124" s="189"/>
      <c r="AE124" s="189"/>
      <c r="AF124" s="189"/>
      <c r="AG124" s="192"/>
      <c r="AH124" s="192"/>
      <c r="AI124" s="189"/>
      <c r="AJ124" s="189"/>
      <c r="AK124" s="189"/>
      <c r="AL124" s="189"/>
      <c r="AM124" s="191"/>
      <c r="AN124" s="191" t="str">
        <f>IF($A124="","",IF(COUNTIF('Decision Queue'!$A$5:$A$204,$A124)+COUNTIF('Decision Register'!$A$5:$A$304,$A124)&gt;1,"DUPLICATE ID","OK"))</f>
        <v/>
      </c>
    </row>
    <row r="125" spans="1:40" ht="42" customHeight="1">
      <c r="A125" s="191"/>
      <c r="B125" s="189"/>
      <c r="C125" s="189"/>
      <c r="D125" s="189"/>
      <c r="E125" s="190"/>
      <c r="F125" s="189"/>
      <c r="G125" s="189"/>
      <c r="H125" s="189"/>
      <c r="I125" s="191"/>
      <c r="J125" s="191"/>
      <c r="K125" s="191"/>
      <c r="L125" s="191"/>
      <c r="M125" s="192"/>
      <c r="N125" s="191"/>
      <c r="O125" s="189"/>
      <c r="P125" s="194"/>
      <c r="Q125" s="191"/>
      <c r="R125" s="192"/>
      <c r="S125" s="189"/>
      <c r="T125" s="189"/>
      <c r="U125" s="189"/>
      <c r="V125" s="189"/>
      <c r="W125" s="191" t="str">
        <f t="shared" si="3"/>
        <v/>
      </c>
      <c r="X125" s="189"/>
      <c r="Y125" s="189"/>
      <c r="Z125" s="189"/>
      <c r="AA125" s="189"/>
      <c r="AB125" s="189"/>
      <c r="AC125" s="189"/>
      <c r="AD125" s="189"/>
      <c r="AE125" s="189"/>
      <c r="AF125" s="189"/>
      <c r="AG125" s="192"/>
      <c r="AH125" s="192"/>
      <c r="AI125" s="189"/>
      <c r="AJ125" s="189"/>
      <c r="AK125" s="189"/>
      <c r="AL125" s="189"/>
      <c r="AM125" s="191"/>
      <c r="AN125" s="191" t="str">
        <f>IF($A125="","",IF(COUNTIF('Decision Queue'!$A$5:$A$204,$A125)+COUNTIF('Decision Register'!$A$5:$A$304,$A125)&gt;1,"DUPLICATE ID","OK"))</f>
        <v/>
      </c>
    </row>
    <row r="126" spans="1:40" ht="42" customHeight="1">
      <c r="A126" s="191"/>
      <c r="B126" s="189"/>
      <c r="C126" s="189"/>
      <c r="D126" s="189"/>
      <c r="E126" s="190"/>
      <c r="F126" s="189"/>
      <c r="G126" s="189"/>
      <c r="H126" s="189"/>
      <c r="I126" s="191"/>
      <c r="J126" s="191"/>
      <c r="K126" s="191"/>
      <c r="L126" s="191"/>
      <c r="M126" s="192"/>
      <c r="N126" s="191"/>
      <c r="O126" s="189"/>
      <c r="P126" s="194"/>
      <c r="Q126" s="191"/>
      <c r="R126" s="192"/>
      <c r="S126" s="189"/>
      <c r="T126" s="189"/>
      <c r="U126" s="189"/>
      <c r="V126" s="189"/>
      <c r="W126" s="191" t="str">
        <f t="shared" si="3"/>
        <v/>
      </c>
      <c r="X126" s="189"/>
      <c r="Y126" s="189"/>
      <c r="Z126" s="189"/>
      <c r="AA126" s="189"/>
      <c r="AB126" s="189"/>
      <c r="AC126" s="189"/>
      <c r="AD126" s="189"/>
      <c r="AE126" s="189"/>
      <c r="AF126" s="189"/>
      <c r="AG126" s="192"/>
      <c r="AH126" s="192"/>
      <c r="AI126" s="189"/>
      <c r="AJ126" s="189"/>
      <c r="AK126" s="189"/>
      <c r="AL126" s="189"/>
      <c r="AM126" s="191"/>
      <c r="AN126" s="191" t="str">
        <f>IF($A126="","",IF(COUNTIF('Decision Queue'!$A$5:$A$204,$A126)+COUNTIF('Decision Register'!$A$5:$A$304,$A126)&gt;1,"DUPLICATE ID","OK"))</f>
        <v/>
      </c>
    </row>
    <row r="127" spans="1:40" ht="42" customHeight="1">
      <c r="A127" s="191"/>
      <c r="B127" s="189"/>
      <c r="C127" s="189"/>
      <c r="D127" s="189"/>
      <c r="E127" s="190"/>
      <c r="F127" s="189"/>
      <c r="G127" s="189"/>
      <c r="H127" s="189"/>
      <c r="I127" s="191"/>
      <c r="J127" s="191"/>
      <c r="K127" s="191"/>
      <c r="L127" s="191"/>
      <c r="M127" s="192"/>
      <c r="N127" s="191"/>
      <c r="O127" s="189"/>
      <c r="P127" s="194"/>
      <c r="Q127" s="191"/>
      <c r="R127" s="192"/>
      <c r="S127" s="189"/>
      <c r="T127" s="189"/>
      <c r="U127" s="189"/>
      <c r="V127" s="189"/>
      <c r="W127" s="191" t="str">
        <f t="shared" si="3"/>
        <v/>
      </c>
      <c r="X127" s="189"/>
      <c r="Y127" s="189"/>
      <c r="Z127" s="189"/>
      <c r="AA127" s="189"/>
      <c r="AB127" s="189"/>
      <c r="AC127" s="189"/>
      <c r="AD127" s="189"/>
      <c r="AE127" s="189"/>
      <c r="AF127" s="189"/>
      <c r="AG127" s="192"/>
      <c r="AH127" s="192"/>
      <c r="AI127" s="189"/>
      <c r="AJ127" s="189"/>
      <c r="AK127" s="189"/>
      <c r="AL127" s="189"/>
      <c r="AM127" s="191"/>
      <c r="AN127" s="191" t="str">
        <f>IF($A127="","",IF(COUNTIF('Decision Queue'!$A$5:$A$204,$A127)+COUNTIF('Decision Register'!$A$5:$A$304,$A127)&gt;1,"DUPLICATE ID","OK"))</f>
        <v/>
      </c>
    </row>
    <row r="128" spans="1:40" ht="42" customHeight="1">
      <c r="A128" s="191"/>
      <c r="B128" s="189"/>
      <c r="C128" s="189"/>
      <c r="D128" s="189"/>
      <c r="E128" s="190"/>
      <c r="F128" s="189"/>
      <c r="G128" s="189"/>
      <c r="H128" s="189"/>
      <c r="I128" s="191"/>
      <c r="J128" s="191"/>
      <c r="K128" s="191"/>
      <c r="L128" s="191"/>
      <c r="M128" s="192"/>
      <c r="N128" s="191"/>
      <c r="O128" s="189"/>
      <c r="P128" s="194"/>
      <c r="Q128" s="191"/>
      <c r="R128" s="192"/>
      <c r="S128" s="189"/>
      <c r="T128" s="189"/>
      <c r="U128" s="189"/>
      <c r="V128" s="189"/>
      <c r="W128" s="191" t="str">
        <f t="shared" si="3"/>
        <v/>
      </c>
      <c r="X128" s="189"/>
      <c r="Y128" s="189"/>
      <c r="Z128" s="189"/>
      <c r="AA128" s="189"/>
      <c r="AB128" s="189"/>
      <c r="AC128" s="189"/>
      <c r="AD128" s="189"/>
      <c r="AE128" s="189"/>
      <c r="AF128" s="189"/>
      <c r="AG128" s="192"/>
      <c r="AH128" s="192"/>
      <c r="AI128" s="189"/>
      <c r="AJ128" s="189"/>
      <c r="AK128" s="189"/>
      <c r="AL128" s="189"/>
      <c r="AM128" s="191"/>
      <c r="AN128" s="191" t="str">
        <f>IF($A128="","",IF(COUNTIF('Decision Queue'!$A$5:$A$204,$A128)+COUNTIF('Decision Register'!$A$5:$A$304,$A128)&gt;1,"DUPLICATE ID","OK"))</f>
        <v/>
      </c>
    </row>
    <row r="129" spans="1:40" ht="42" customHeight="1">
      <c r="A129" s="191"/>
      <c r="B129" s="189"/>
      <c r="C129" s="189"/>
      <c r="D129" s="189"/>
      <c r="E129" s="190"/>
      <c r="F129" s="189"/>
      <c r="G129" s="189"/>
      <c r="H129" s="189"/>
      <c r="I129" s="191"/>
      <c r="J129" s="191"/>
      <c r="K129" s="191"/>
      <c r="L129" s="191"/>
      <c r="M129" s="192"/>
      <c r="N129" s="191"/>
      <c r="O129" s="189"/>
      <c r="P129" s="194"/>
      <c r="Q129" s="191"/>
      <c r="R129" s="192"/>
      <c r="S129" s="189"/>
      <c r="T129" s="189"/>
      <c r="U129" s="189"/>
      <c r="V129" s="189"/>
      <c r="W129" s="191" t="str">
        <f t="shared" si="3"/>
        <v/>
      </c>
      <c r="X129" s="189"/>
      <c r="Y129" s="189"/>
      <c r="Z129" s="189"/>
      <c r="AA129" s="189"/>
      <c r="AB129" s="189"/>
      <c r="AC129" s="189"/>
      <c r="AD129" s="189"/>
      <c r="AE129" s="189"/>
      <c r="AF129" s="189"/>
      <c r="AG129" s="192"/>
      <c r="AH129" s="192"/>
      <c r="AI129" s="189"/>
      <c r="AJ129" s="189"/>
      <c r="AK129" s="189"/>
      <c r="AL129" s="189"/>
      <c r="AM129" s="191"/>
      <c r="AN129" s="191" t="str">
        <f>IF($A129="","",IF(COUNTIF('Decision Queue'!$A$5:$A$204,$A129)+COUNTIF('Decision Register'!$A$5:$A$304,$A129)&gt;1,"DUPLICATE ID","OK"))</f>
        <v/>
      </c>
    </row>
    <row r="130" spans="1:40" ht="42" customHeight="1">
      <c r="A130" s="191"/>
      <c r="B130" s="189"/>
      <c r="C130" s="189"/>
      <c r="D130" s="189"/>
      <c r="E130" s="190"/>
      <c r="F130" s="189"/>
      <c r="G130" s="189"/>
      <c r="H130" s="189"/>
      <c r="I130" s="191"/>
      <c r="J130" s="191"/>
      <c r="K130" s="191"/>
      <c r="L130" s="191"/>
      <c r="M130" s="192"/>
      <c r="N130" s="191"/>
      <c r="O130" s="189"/>
      <c r="P130" s="194"/>
      <c r="Q130" s="191"/>
      <c r="R130" s="192"/>
      <c r="S130" s="189"/>
      <c r="T130" s="189"/>
      <c r="U130" s="189"/>
      <c r="V130" s="189"/>
      <c r="W130" s="191" t="str">
        <f t="shared" si="3"/>
        <v/>
      </c>
      <c r="X130" s="189"/>
      <c r="Y130" s="189"/>
      <c r="Z130" s="189"/>
      <c r="AA130" s="189"/>
      <c r="AB130" s="189"/>
      <c r="AC130" s="189"/>
      <c r="AD130" s="189"/>
      <c r="AE130" s="189"/>
      <c r="AF130" s="189"/>
      <c r="AG130" s="192"/>
      <c r="AH130" s="192"/>
      <c r="AI130" s="189"/>
      <c r="AJ130" s="189"/>
      <c r="AK130" s="189"/>
      <c r="AL130" s="189"/>
      <c r="AM130" s="191"/>
      <c r="AN130" s="191" t="str">
        <f>IF($A130="","",IF(COUNTIF('Decision Queue'!$A$5:$A$204,$A130)+COUNTIF('Decision Register'!$A$5:$A$304,$A130)&gt;1,"DUPLICATE ID","OK"))</f>
        <v/>
      </c>
    </row>
    <row r="131" spans="1:40" ht="42" customHeight="1">
      <c r="A131" s="191"/>
      <c r="B131" s="189"/>
      <c r="C131" s="189"/>
      <c r="D131" s="189"/>
      <c r="E131" s="190"/>
      <c r="F131" s="189"/>
      <c r="G131" s="189"/>
      <c r="H131" s="189"/>
      <c r="I131" s="191"/>
      <c r="J131" s="191"/>
      <c r="K131" s="191"/>
      <c r="L131" s="191"/>
      <c r="M131" s="192"/>
      <c r="N131" s="191"/>
      <c r="O131" s="189"/>
      <c r="P131" s="194"/>
      <c r="Q131" s="191"/>
      <c r="R131" s="192"/>
      <c r="S131" s="189"/>
      <c r="T131" s="189"/>
      <c r="U131" s="189"/>
      <c r="V131" s="189"/>
      <c r="W131" s="191" t="str">
        <f t="shared" si="3"/>
        <v/>
      </c>
      <c r="X131" s="189"/>
      <c r="Y131" s="189"/>
      <c r="Z131" s="189"/>
      <c r="AA131" s="189"/>
      <c r="AB131" s="189"/>
      <c r="AC131" s="189"/>
      <c r="AD131" s="189"/>
      <c r="AE131" s="189"/>
      <c r="AF131" s="189"/>
      <c r="AG131" s="192"/>
      <c r="AH131" s="192"/>
      <c r="AI131" s="189"/>
      <c r="AJ131" s="189"/>
      <c r="AK131" s="189"/>
      <c r="AL131" s="189"/>
      <c r="AM131" s="191"/>
      <c r="AN131" s="191" t="str">
        <f>IF($A131="","",IF(COUNTIF('Decision Queue'!$A$5:$A$204,$A131)+COUNTIF('Decision Register'!$A$5:$A$304,$A131)&gt;1,"DUPLICATE ID","OK"))</f>
        <v/>
      </c>
    </row>
    <row r="132" spans="1:40" ht="42" customHeight="1">
      <c r="A132" s="191"/>
      <c r="B132" s="189"/>
      <c r="C132" s="189"/>
      <c r="D132" s="189"/>
      <c r="E132" s="190"/>
      <c r="F132" s="189"/>
      <c r="G132" s="189"/>
      <c r="H132" s="189"/>
      <c r="I132" s="191"/>
      <c r="J132" s="191"/>
      <c r="K132" s="191"/>
      <c r="L132" s="191"/>
      <c r="M132" s="192"/>
      <c r="N132" s="191"/>
      <c r="O132" s="189"/>
      <c r="P132" s="194"/>
      <c r="Q132" s="191"/>
      <c r="R132" s="192"/>
      <c r="S132" s="189"/>
      <c r="T132" s="189"/>
      <c r="U132" s="189"/>
      <c r="V132" s="189"/>
      <c r="W132" s="191" t="str">
        <f t="shared" si="3"/>
        <v/>
      </c>
      <c r="X132" s="189"/>
      <c r="Y132" s="189"/>
      <c r="Z132" s="189"/>
      <c r="AA132" s="189"/>
      <c r="AB132" s="189"/>
      <c r="AC132" s="189"/>
      <c r="AD132" s="189"/>
      <c r="AE132" s="189"/>
      <c r="AF132" s="189"/>
      <c r="AG132" s="192"/>
      <c r="AH132" s="192"/>
      <c r="AI132" s="189"/>
      <c r="AJ132" s="189"/>
      <c r="AK132" s="189"/>
      <c r="AL132" s="189"/>
      <c r="AM132" s="191"/>
      <c r="AN132" s="191" t="str">
        <f>IF($A132="","",IF(COUNTIF('Decision Queue'!$A$5:$A$204,$A132)+COUNTIF('Decision Register'!$A$5:$A$304,$A132)&gt;1,"DUPLICATE ID","OK"))</f>
        <v/>
      </c>
    </row>
    <row r="133" spans="1:40" ht="42" customHeight="1">
      <c r="A133" s="191"/>
      <c r="B133" s="189"/>
      <c r="C133" s="189"/>
      <c r="D133" s="189"/>
      <c r="E133" s="190"/>
      <c r="F133" s="189"/>
      <c r="G133" s="189"/>
      <c r="H133" s="189"/>
      <c r="I133" s="191"/>
      <c r="J133" s="191"/>
      <c r="K133" s="191"/>
      <c r="L133" s="191"/>
      <c r="M133" s="192"/>
      <c r="N133" s="191"/>
      <c r="O133" s="189"/>
      <c r="P133" s="194"/>
      <c r="Q133" s="191"/>
      <c r="R133" s="192"/>
      <c r="S133" s="189"/>
      <c r="T133" s="189"/>
      <c r="U133" s="189"/>
      <c r="V133" s="189"/>
      <c r="W133" s="191" t="str">
        <f t="shared" ref="W133:W164" si="4">IF($B133="","",IF(OR($G133="Completed",$G133="Cancelled"),"INACTIVE","ACTIVE"))</f>
        <v/>
      </c>
      <c r="X133" s="189"/>
      <c r="Y133" s="189"/>
      <c r="Z133" s="189"/>
      <c r="AA133" s="189"/>
      <c r="AB133" s="189"/>
      <c r="AC133" s="189"/>
      <c r="AD133" s="189"/>
      <c r="AE133" s="189"/>
      <c r="AF133" s="189"/>
      <c r="AG133" s="192"/>
      <c r="AH133" s="192"/>
      <c r="AI133" s="189"/>
      <c r="AJ133" s="189"/>
      <c r="AK133" s="189"/>
      <c r="AL133" s="189"/>
      <c r="AM133" s="191"/>
      <c r="AN133" s="191" t="str">
        <f>IF($A133="","",IF(COUNTIF('Decision Queue'!$A$5:$A$204,$A133)+COUNTIF('Decision Register'!$A$5:$A$304,$A133)&gt;1,"DUPLICATE ID","OK"))</f>
        <v/>
      </c>
    </row>
    <row r="134" spans="1:40" ht="42" customHeight="1">
      <c r="A134" s="191"/>
      <c r="B134" s="189"/>
      <c r="C134" s="189"/>
      <c r="D134" s="189"/>
      <c r="E134" s="190"/>
      <c r="F134" s="189"/>
      <c r="G134" s="189"/>
      <c r="H134" s="189"/>
      <c r="I134" s="191"/>
      <c r="J134" s="191"/>
      <c r="K134" s="191"/>
      <c r="L134" s="191"/>
      <c r="M134" s="192"/>
      <c r="N134" s="191"/>
      <c r="O134" s="189"/>
      <c r="P134" s="194"/>
      <c r="Q134" s="191"/>
      <c r="R134" s="192"/>
      <c r="S134" s="189"/>
      <c r="T134" s="189"/>
      <c r="U134" s="189"/>
      <c r="V134" s="189"/>
      <c r="W134" s="191" t="str">
        <f t="shared" si="4"/>
        <v/>
      </c>
      <c r="X134" s="189"/>
      <c r="Y134" s="189"/>
      <c r="Z134" s="189"/>
      <c r="AA134" s="189"/>
      <c r="AB134" s="189"/>
      <c r="AC134" s="189"/>
      <c r="AD134" s="189"/>
      <c r="AE134" s="189"/>
      <c r="AF134" s="189"/>
      <c r="AG134" s="192"/>
      <c r="AH134" s="192"/>
      <c r="AI134" s="189"/>
      <c r="AJ134" s="189"/>
      <c r="AK134" s="189"/>
      <c r="AL134" s="189"/>
      <c r="AM134" s="191"/>
      <c r="AN134" s="191" t="str">
        <f>IF($A134="","",IF(COUNTIF('Decision Queue'!$A$5:$A$204,$A134)+COUNTIF('Decision Register'!$A$5:$A$304,$A134)&gt;1,"DUPLICATE ID","OK"))</f>
        <v/>
      </c>
    </row>
    <row r="135" spans="1:40" ht="42" customHeight="1">
      <c r="A135" s="191"/>
      <c r="B135" s="189"/>
      <c r="C135" s="189"/>
      <c r="D135" s="189"/>
      <c r="E135" s="190"/>
      <c r="F135" s="189"/>
      <c r="G135" s="189"/>
      <c r="H135" s="189"/>
      <c r="I135" s="191"/>
      <c r="J135" s="191"/>
      <c r="K135" s="191"/>
      <c r="L135" s="191"/>
      <c r="M135" s="192"/>
      <c r="N135" s="191"/>
      <c r="O135" s="189"/>
      <c r="P135" s="194"/>
      <c r="Q135" s="191"/>
      <c r="R135" s="192"/>
      <c r="S135" s="189"/>
      <c r="T135" s="189"/>
      <c r="U135" s="189"/>
      <c r="V135" s="189"/>
      <c r="W135" s="191" t="str">
        <f t="shared" si="4"/>
        <v/>
      </c>
      <c r="X135" s="189"/>
      <c r="Y135" s="189"/>
      <c r="Z135" s="189"/>
      <c r="AA135" s="189"/>
      <c r="AB135" s="189"/>
      <c r="AC135" s="189"/>
      <c r="AD135" s="189"/>
      <c r="AE135" s="189"/>
      <c r="AF135" s="189"/>
      <c r="AG135" s="192"/>
      <c r="AH135" s="192"/>
      <c r="AI135" s="189"/>
      <c r="AJ135" s="189"/>
      <c r="AK135" s="189"/>
      <c r="AL135" s="189"/>
      <c r="AM135" s="191"/>
      <c r="AN135" s="191" t="str">
        <f>IF($A135="","",IF(COUNTIF('Decision Queue'!$A$5:$A$204,$A135)+COUNTIF('Decision Register'!$A$5:$A$304,$A135)&gt;1,"DUPLICATE ID","OK"))</f>
        <v/>
      </c>
    </row>
    <row r="136" spans="1:40" ht="42" customHeight="1">
      <c r="A136" s="191"/>
      <c r="B136" s="189"/>
      <c r="C136" s="189"/>
      <c r="D136" s="189"/>
      <c r="E136" s="190"/>
      <c r="F136" s="189"/>
      <c r="G136" s="189"/>
      <c r="H136" s="189"/>
      <c r="I136" s="191"/>
      <c r="J136" s="191"/>
      <c r="K136" s="191"/>
      <c r="L136" s="191"/>
      <c r="M136" s="192"/>
      <c r="N136" s="191"/>
      <c r="O136" s="189"/>
      <c r="P136" s="194"/>
      <c r="Q136" s="191"/>
      <c r="R136" s="192"/>
      <c r="S136" s="189"/>
      <c r="T136" s="189"/>
      <c r="U136" s="189"/>
      <c r="V136" s="189"/>
      <c r="W136" s="191" t="str">
        <f t="shared" si="4"/>
        <v/>
      </c>
      <c r="X136" s="189"/>
      <c r="Y136" s="189"/>
      <c r="Z136" s="189"/>
      <c r="AA136" s="189"/>
      <c r="AB136" s="189"/>
      <c r="AC136" s="189"/>
      <c r="AD136" s="189"/>
      <c r="AE136" s="189"/>
      <c r="AF136" s="189"/>
      <c r="AG136" s="192"/>
      <c r="AH136" s="192"/>
      <c r="AI136" s="189"/>
      <c r="AJ136" s="189"/>
      <c r="AK136" s="189"/>
      <c r="AL136" s="189"/>
      <c r="AM136" s="191"/>
      <c r="AN136" s="191" t="str">
        <f>IF($A136="","",IF(COUNTIF('Decision Queue'!$A$5:$A$204,$A136)+COUNTIF('Decision Register'!$A$5:$A$304,$A136)&gt;1,"DUPLICATE ID","OK"))</f>
        <v/>
      </c>
    </row>
    <row r="137" spans="1:40" ht="42" customHeight="1">
      <c r="A137" s="191"/>
      <c r="B137" s="189"/>
      <c r="C137" s="189"/>
      <c r="D137" s="189"/>
      <c r="E137" s="190"/>
      <c r="F137" s="189"/>
      <c r="G137" s="189"/>
      <c r="H137" s="189"/>
      <c r="I137" s="191"/>
      <c r="J137" s="191"/>
      <c r="K137" s="191"/>
      <c r="L137" s="191"/>
      <c r="M137" s="192"/>
      <c r="N137" s="191"/>
      <c r="O137" s="189"/>
      <c r="P137" s="194"/>
      <c r="Q137" s="191"/>
      <c r="R137" s="192"/>
      <c r="S137" s="189"/>
      <c r="T137" s="189"/>
      <c r="U137" s="189"/>
      <c r="V137" s="189"/>
      <c r="W137" s="191" t="str">
        <f t="shared" si="4"/>
        <v/>
      </c>
      <c r="X137" s="189"/>
      <c r="Y137" s="189"/>
      <c r="Z137" s="189"/>
      <c r="AA137" s="189"/>
      <c r="AB137" s="189"/>
      <c r="AC137" s="189"/>
      <c r="AD137" s="189"/>
      <c r="AE137" s="189"/>
      <c r="AF137" s="189"/>
      <c r="AG137" s="192"/>
      <c r="AH137" s="192"/>
      <c r="AI137" s="189"/>
      <c r="AJ137" s="189"/>
      <c r="AK137" s="189"/>
      <c r="AL137" s="189"/>
      <c r="AM137" s="191"/>
      <c r="AN137" s="191" t="str">
        <f>IF($A137="","",IF(COUNTIF('Decision Queue'!$A$5:$A$204,$A137)+COUNTIF('Decision Register'!$A$5:$A$304,$A137)&gt;1,"DUPLICATE ID","OK"))</f>
        <v/>
      </c>
    </row>
    <row r="138" spans="1:40" ht="42" customHeight="1">
      <c r="A138" s="191"/>
      <c r="B138" s="189"/>
      <c r="C138" s="189"/>
      <c r="D138" s="189"/>
      <c r="E138" s="190"/>
      <c r="F138" s="189"/>
      <c r="G138" s="189"/>
      <c r="H138" s="189"/>
      <c r="I138" s="191"/>
      <c r="J138" s="191"/>
      <c r="K138" s="191"/>
      <c r="L138" s="191"/>
      <c r="M138" s="192"/>
      <c r="N138" s="191"/>
      <c r="O138" s="189"/>
      <c r="P138" s="194"/>
      <c r="Q138" s="191"/>
      <c r="R138" s="192"/>
      <c r="S138" s="189"/>
      <c r="T138" s="189"/>
      <c r="U138" s="189"/>
      <c r="V138" s="189"/>
      <c r="W138" s="191" t="str">
        <f t="shared" si="4"/>
        <v/>
      </c>
      <c r="X138" s="189"/>
      <c r="Y138" s="189"/>
      <c r="Z138" s="189"/>
      <c r="AA138" s="189"/>
      <c r="AB138" s="189"/>
      <c r="AC138" s="189"/>
      <c r="AD138" s="189"/>
      <c r="AE138" s="189"/>
      <c r="AF138" s="189"/>
      <c r="AG138" s="192"/>
      <c r="AH138" s="192"/>
      <c r="AI138" s="189"/>
      <c r="AJ138" s="189"/>
      <c r="AK138" s="189"/>
      <c r="AL138" s="189"/>
      <c r="AM138" s="191"/>
      <c r="AN138" s="191" t="str">
        <f>IF($A138="","",IF(COUNTIF('Decision Queue'!$A$5:$A$204,$A138)+COUNTIF('Decision Register'!$A$5:$A$304,$A138)&gt;1,"DUPLICATE ID","OK"))</f>
        <v/>
      </c>
    </row>
    <row r="139" spans="1:40" ht="42" customHeight="1">
      <c r="A139" s="191"/>
      <c r="B139" s="189"/>
      <c r="C139" s="189"/>
      <c r="D139" s="189"/>
      <c r="E139" s="190"/>
      <c r="F139" s="189"/>
      <c r="G139" s="189"/>
      <c r="H139" s="189"/>
      <c r="I139" s="191"/>
      <c r="J139" s="191"/>
      <c r="K139" s="191"/>
      <c r="L139" s="191"/>
      <c r="M139" s="192"/>
      <c r="N139" s="191"/>
      <c r="O139" s="189"/>
      <c r="P139" s="194"/>
      <c r="Q139" s="191"/>
      <c r="R139" s="192"/>
      <c r="S139" s="189"/>
      <c r="T139" s="189"/>
      <c r="U139" s="189"/>
      <c r="V139" s="189"/>
      <c r="W139" s="191" t="str">
        <f t="shared" si="4"/>
        <v/>
      </c>
      <c r="X139" s="189"/>
      <c r="Y139" s="189"/>
      <c r="Z139" s="189"/>
      <c r="AA139" s="189"/>
      <c r="AB139" s="189"/>
      <c r="AC139" s="189"/>
      <c r="AD139" s="189"/>
      <c r="AE139" s="189"/>
      <c r="AF139" s="189"/>
      <c r="AG139" s="192"/>
      <c r="AH139" s="192"/>
      <c r="AI139" s="189"/>
      <c r="AJ139" s="189"/>
      <c r="AK139" s="189"/>
      <c r="AL139" s="189"/>
      <c r="AM139" s="191"/>
      <c r="AN139" s="191" t="str">
        <f>IF($A139="","",IF(COUNTIF('Decision Queue'!$A$5:$A$204,$A139)+COUNTIF('Decision Register'!$A$5:$A$304,$A139)&gt;1,"DUPLICATE ID","OK"))</f>
        <v/>
      </c>
    </row>
    <row r="140" spans="1:40" ht="42" customHeight="1">
      <c r="A140" s="191"/>
      <c r="B140" s="189"/>
      <c r="C140" s="189"/>
      <c r="D140" s="189"/>
      <c r="E140" s="190"/>
      <c r="F140" s="189"/>
      <c r="G140" s="189"/>
      <c r="H140" s="189"/>
      <c r="I140" s="191"/>
      <c r="J140" s="191"/>
      <c r="K140" s="191"/>
      <c r="L140" s="191"/>
      <c r="M140" s="192"/>
      <c r="N140" s="191"/>
      <c r="O140" s="189"/>
      <c r="P140" s="194"/>
      <c r="Q140" s="191"/>
      <c r="R140" s="192"/>
      <c r="S140" s="189"/>
      <c r="T140" s="189"/>
      <c r="U140" s="189"/>
      <c r="V140" s="189"/>
      <c r="W140" s="191" t="str">
        <f t="shared" si="4"/>
        <v/>
      </c>
      <c r="X140" s="189"/>
      <c r="Y140" s="189"/>
      <c r="Z140" s="189"/>
      <c r="AA140" s="189"/>
      <c r="AB140" s="189"/>
      <c r="AC140" s="189"/>
      <c r="AD140" s="189"/>
      <c r="AE140" s="189"/>
      <c r="AF140" s="189"/>
      <c r="AG140" s="192"/>
      <c r="AH140" s="192"/>
      <c r="AI140" s="189"/>
      <c r="AJ140" s="189"/>
      <c r="AK140" s="189"/>
      <c r="AL140" s="189"/>
      <c r="AM140" s="191"/>
      <c r="AN140" s="191" t="str">
        <f>IF($A140="","",IF(COUNTIF('Decision Queue'!$A$5:$A$204,$A140)+COUNTIF('Decision Register'!$A$5:$A$304,$A140)&gt;1,"DUPLICATE ID","OK"))</f>
        <v/>
      </c>
    </row>
    <row r="141" spans="1:40" ht="42" customHeight="1">
      <c r="A141" s="191"/>
      <c r="B141" s="189"/>
      <c r="C141" s="189"/>
      <c r="D141" s="189"/>
      <c r="E141" s="190"/>
      <c r="F141" s="189"/>
      <c r="G141" s="189"/>
      <c r="H141" s="189"/>
      <c r="I141" s="191"/>
      <c r="J141" s="191"/>
      <c r="K141" s="191"/>
      <c r="L141" s="191"/>
      <c r="M141" s="192"/>
      <c r="N141" s="191"/>
      <c r="O141" s="189"/>
      <c r="P141" s="194"/>
      <c r="Q141" s="191"/>
      <c r="R141" s="192"/>
      <c r="S141" s="189"/>
      <c r="T141" s="189"/>
      <c r="U141" s="189"/>
      <c r="V141" s="189"/>
      <c r="W141" s="191" t="str">
        <f t="shared" si="4"/>
        <v/>
      </c>
      <c r="X141" s="189"/>
      <c r="Y141" s="189"/>
      <c r="Z141" s="189"/>
      <c r="AA141" s="189"/>
      <c r="AB141" s="189"/>
      <c r="AC141" s="189"/>
      <c r="AD141" s="189"/>
      <c r="AE141" s="189"/>
      <c r="AF141" s="189"/>
      <c r="AG141" s="192"/>
      <c r="AH141" s="192"/>
      <c r="AI141" s="189"/>
      <c r="AJ141" s="189"/>
      <c r="AK141" s="189"/>
      <c r="AL141" s="189"/>
      <c r="AM141" s="191"/>
      <c r="AN141" s="191" t="str">
        <f>IF($A141="","",IF(COUNTIF('Decision Queue'!$A$5:$A$204,$A141)+COUNTIF('Decision Register'!$A$5:$A$304,$A141)&gt;1,"DUPLICATE ID","OK"))</f>
        <v/>
      </c>
    </row>
    <row r="142" spans="1:40" ht="42" customHeight="1">
      <c r="A142" s="191"/>
      <c r="B142" s="189"/>
      <c r="C142" s="189"/>
      <c r="D142" s="189"/>
      <c r="E142" s="190"/>
      <c r="F142" s="189"/>
      <c r="G142" s="189"/>
      <c r="H142" s="189"/>
      <c r="I142" s="191"/>
      <c r="J142" s="191"/>
      <c r="K142" s="191"/>
      <c r="L142" s="191"/>
      <c r="M142" s="192"/>
      <c r="N142" s="191"/>
      <c r="O142" s="189"/>
      <c r="P142" s="194"/>
      <c r="Q142" s="191"/>
      <c r="R142" s="192"/>
      <c r="S142" s="189"/>
      <c r="T142" s="189"/>
      <c r="U142" s="189"/>
      <c r="V142" s="189"/>
      <c r="W142" s="191" t="str">
        <f t="shared" si="4"/>
        <v/>
      </c>
      <c r="X142" s="189"/>
      <c r="Y142" s="189"/>
      <c r="Z142" s="189"/>
      <c r="AA142" s="189"/>
      <c r="AB142" s="189"/>
      <c r="AC142" s="189"/>
      <c r="AD142" s="189"/>
      <c r="AE142" s="189"/>
      <c r="AF142" s="189"/>
      <c r="AG142" s="192"/>
      <c r="AH142" s="192"/>
      <c r="AI142" s="189"/>
      <c r="AJ142" s="189"/>
      <c r="AK142" s="189"/>
      <c r="AL142" s="189"/>
      <c r="AM142" s="191"/>
      <c r="AN142" s="191" t="str">
        <f>IF($A142="","",IF(COUNTIF('Decision Queue'!$A$5:$A$204,$A142)+COUNTIF('Decision Register'!$A$5:$A$304,$A142)&gt;1,"DUPLICATE ID","OK"))</f>
        <v/>
      </c>
    </row>
    <row r="143" spans="1:40" ht="42" customHeight="1">
      <c r="A143" s="191"/>
      <c r="B143" s="189"/>
      <c r="C143" s="189"/>
      <c r="D143" s="189"/>
      <c r="E143" s="190"/>
      <c r="F143" s="189"/>
      <c r="G143" s="189"/>
      <c r="H143" s="189"/>
      <c r="I143" s="191"/>
      <c r="J143" s="191"/>
      <c r="K143" s="191"/>
      <c r="L143" s="191"/>
      <c r="M143" s="192"/>
      <c r="N143" s="191"/>
      <c r="O143" s="189"/>
      <c r="P143" s="194"/>
      <c r="Q143" s="191"/>
      <c r="R143" s="192"/>
      <c r="S143" s="189"/>
      <c r="T143" s="189"/>
      <c r="U143" s="189"/>
      <c r="V143" s="189"/>
      <c r="W143" s="191" t="str">
        <f t="shared" si="4"/>
        <v/>
      </c>
      <c r="X143" s="189"/>
      <c r="Y143" s="189"/>
      <c r="Z143" s="189"/>
      <c r="AA143" s="189"/>
      <c r="AB143" s="189"/>
      <c r="AC143" s="189"/>
      <c r="AD143" s="189"/>
      <c r="AE143" s="189"/>
      <c r="AF143" s="189"/>
      <c r="AG143" s="192"/>
      <c r="AH143" s="192"/>
      <c r="AI143" s="189"/>
      <c r="AJ143" s="189"/>
      <c r="AK143" s="189"/>
      <c r="AL143" s="189"/>
      <c r="AM143" s="191"/>
      <c r="AN143" s="191" t="str">
        <f>IF($A143="","",IF(COUNTIF('Decision Queue'!$A$5:$A$204,$A143)+COUNTIF('Decision Register'!$A$5:$A$304,$A143)&gt;1,"DUPLICATE ID","OK"))</f>
        <v/>
      </c>
    </row>
    <row r="144" spans="1:40" ht="42" customHeight="1">
      <c r="A144" s="191"/>
      <c r="B144" s="189"/>
      <c r="C144" s="189"/>
      <c r="D144" s="189"/>
      <c r="E144" s="190"/>
      <c r="F144" s="189"/>
      <c r="G144" s="189"/>
      <c r="H144" s="189"/>
      <c r="I144" s="191"/>
      <c r="J144" s="191"/>
      <c r="K144" s="191"/>
      <c r="L144" s="191"/>
      <c r="M144" s="192"/>
      <c r="N144" s="191"/>
      <c r="O144" s="189"/>
      <c r="P144" s="194"/>
      <c r="Q144" s="191"/>
      <c r="R144" s="192"/>
      <c r="S144" s="189"/>
      <c r="T144" s="189"/>
      <c r="U144" s="189"/>
      <c r="V144" s="189"/>
      <c r="W144" s="191" t="str">
        <f t="shared" si="4"/>
        <v/>
      </c>
      <c r="X144" s="189"/>
      <c r="Y144" s="189"/>
      <c r="Z144" s="189"/>
      <c r="AA144" s="189"/>
      <c r="AB144" s="189"/>
      <c r="AC144" s="189"/>
      <c r="AD144" s="189"/>
      <c r="AE144" s="189"/>
      <c r="AF144" s="189"/>
      <c r="AG144" s="192"/>
      <c r="AH144" s="192"/>
      <c r="AI144" s="189"/>
      <c r="AJ144" s="189"/>
      <c r="AK144" s="189"/>
      <c r="AL144" s="189"/>
      <c r="AM144" s="191"/>
      <c r="AN144" s="191" t="str">
        <f>IF($A144="","",IF(COUNTIF('Decision Queue'!$A$5:$A$204,$A144)+COUNTIF('Decision Register'!$A$5:$A$304,$A144)&gt;1,"DUPLICATE ID","OK"))</f>
        <v/>
      </c>
    </row>
    <row r="145" spans="1:40" ht="42" customHeight="1">
      <c r="A145" s="191"/>
      <c r="B145" s="189"/>
      <c r="C145" s="189"/>
      <c r="D145" s="189"/>
      <c r="E145" s="190"/>
      <c r="F145" s="189"/>
      <c r="G145" s="189"/>
      <c r="H145" s="189"/>
      <c r="I145" s="191"/>
      <c r="J145" s="191"/>
      <c r="K145" s="191"/>
      <c r="L145" s="191"/>
      <c r="M145" s="192"/>
      <c r="N145" s="191"/>
      <c r="O145" s="189"/>
      <c r="P145" s="194"/>
      <c r="Q145" s="191"/>
      <c r="R145" s="192"/>
      <c r="S145" s="189"/>
      <c r="T145" s="189"/>
      <c r="U145" s="189"/>
      <c r="V145" s="189"/>
      <c r="W145" s="191" t="str">
        <f t="shared" si="4"/>
        <v/>
      </c>
      <c r="X145" s="189"/>
      <c r="Y145" s="189"/>
      <c r="Z145" s="189"/>
      <c r="AA145" s="189"/>
      <c r="AB145" s="189"/>
      <c r="AC145" s="189"/>
      <c r="AD145" s="189"/>
      <c r="AE145" s="189"/>
      <c r="AF145" s="189"/>
      <c r="AG145" s="192"/>
      <c r="AH145" s="192"/>
      <c r="AI145" s="189"/>
      <c r="AJ145" s="189"/>
      <c r="AK145" s="189"/>
      <c r="AL145" s="189"/>
      <c r="AM145" s="191"/>
      <c r="AN145" s="191" t="str">
        <f>IF($A145="","",IF(COUNTIF('Decision Queue'!$A$5:$A$204,$A145)+COUNTIF('Decision Register'!$A$5:$A$304,$A145)&gt;1,"DUPLICATE ID","OK"))</f>
        <v/>
      </c>
    </row>
    <row r="146" spans="1:40" ht="42" customHeight="1">
      <c r="A146" s="191"/>
      <c r="B146" s="189"/>
      <c r="C146" s="189"/>
      <c r="D146" s="189"/>
      <c r="E146" s="190"/>
      <c r="F146" s="189"/>
      <c r="G146" s="189"/>
      <c r="H146" s="189"/>
      <c r="I146" s="191"/>
      <c r="J146" s="191"/>
      <c r="K146" s="191"/>
      <c r="L146" s="191"/>
      <c r="M146" s="192"/>
      <c r="N146" s="191"/>
      <c r="O146" s="189"/>
      <c r="P146" s="194"/>
      <c r="Q146" s="191"/>
      <c r="R146" s="192"/>
      <c r="S146" s="189"/>
      <c r="T146" s="189"/>
      <c r="U146" s="189"/>
      <c r="V146" s="189"/>
      <c r="W146" s="191" t="str">
        <f t="shared" si="4"/>
        <v/>
      </c>
      <c r="X146" s="189"/>
      <c r="Y146" s="189"/>
      <c r="Z146" s="189"/>
      <c r="AA146" s="189"/>
      <c r="AB146" s="189"/>
      <c r="AC146" s="189"/>
      <c r="AD146" s="189"/>
      <c r="AE146" s="189"/>
      <c r="AF146" s="189"/>
      <c r="AG146" s="192"/>
      <c r="AH146" s="192"/>
      <c r="AI146" s="189"/>
      <c r="AJ146" s="189"/>
      <c r="AK146" s="189"/>
      <c r="AL146" s="189"/>
      <c r="AM146" s="191"/>
      <c r="AN146" s="191" t="str">
        <f>IF($A146="","",IF(COUNTIF('Decision Queue'!$A$5:$A$204,$A146)+COUNTIF('Decision Register'!$A$5:$A$304,$A146)&gt;1,"DUPLICATE ID","OK"))</f>
        <v/>
      </c>
    </row>
    <row r="147" spans="1:40" ht="42" customHeight="1">
      <c r="A147" s="191"/>
      <c r="B147" s="189"/>
      <c r="C147" s="189"/>
      <c r="D147" s="189"/>
      <c r="E147" s="190"/>
      <c r="F147" s="189"/>
      <c r="G147" s="189"/>
      <c r="H147" s="189"/>
      <c r="I147" s="191"/>
      <c r="J147" s="191"/>
      <c r="K147" s="191"/>
      <c r="L147" s="191"/>
      <c r="M147" s="192"/>
      <c r="N147" s="191"/>
      <c r="O147" s="189"/>
      <c r="P147" s="194"/>
      <c r="Q147" s="191"/>
      <c r="R147" s="192"/>
      <c r="S147" s="189"/>
      <c r="T147" s="189"/>
      <c r="U147" s="189"/>
      <c r="V147" s="189"/>
      <c r="W147" s="191" t="str">
        <f t="shared" si="4"/>
        <v/>
      </c>
      <c r="X147" s="189"/>
      <c r="Y147" s="189"/>
      <c r="Z147" s="189"/>
      <c r="AA147" s="189"/>
      <c r="AB147" s="189"/>
      <c r="AC147" s="189"/>
      <c r="AD147" s="189"/>
      <c r="AE147" s="189"/>
      <c r="AF147" s="189"/>
      <c r="AG147" s="192"/>
      <c r="AH147" s="192"/>
      <c r="AI147" s="189"/>
      <c r="AJ147" s="189"/>
      <c r="AK147" s="189"/>
      <c r="AL147" s="189"/>
      <c r="AM147" s="191"/>
      <c r="AN147" s="191" t="str">
        <f>IF($A147="","",IF(COUNTIF('Decision Queue'!$A$5:$A$204,$A147)+COUNTIF('Decision Register'!$A$5:$A$304,$A147)&gt;1,"DUPLICATE ID","OK"))</f>
        <v/>
      </c>
    </row>
    <row r="148" spans="1:40" ht="42" customHeight="1">
      <c r="A148" s="191"/>
      <c r="B148" s="189"/>
      <c r="C148" s="189"/>
      <c r="D148" s="189"/>
      <c r="E148" s="190"/>
      <c r="F148" s="189"/>
      <c r="G148" s="189"/>
      <c r="H148" s="189"/>
      <c r="I148" s="191"/>
      <c r="J148" s="191"/>
      <c r="K148" s="191"/>
      <c r="L148" s="191"/>
      <c r="M148" s="192"/>
      <c r="N148" s="191"/>
      <c r="O148" s="189"/>
      <c r="P148" s="194"/>
      <c r="Q148" s="191"/>
      <c r="R148" s="192"/>
      <c r="S148" s="189"/>
      <c r="T148" s="189"/>
      <c r="U148" s="189"/>
      <c r="V148" s="189"/>
      <c r="W148" s="191" t="str">
        <f t="shared" si="4"/>
        <v/>
      </c>
      <c r="X148" s="189"/>
      <c r="Y148" s="189"/>
      <c r="Z148" s="189"/>
      <c r="AA148" s="189"/>
      <c r="AB148" s="189"/>
      <c r="AC148" s="189"/>
      <c r="AD148" s="189"/>
      <c r="AE148" s="189"/>
      <c r="AF148" s="189"/>
      <c r="AG148" s="192"/>
      <c r="AH148" s="192"/>
      <c r="AI148" s="189"/>
      <c r="AJ148" s="189"/>
      <c r="AK148" s="189"/>
      <c r="AL148" s="189"/>
      <c r="AM148" s="191"/>
      <c r="AN148" s="191" t="str">
        <f>IF($A148="","",IF(COUNTIF('Decision Queue'!$A$5:$A$204,$A148)+COUNTIF('Decision Register'!$A$5:$A$304,$A148)&gt;1,"DUPLICATE ID","OK"))</f>
        <v/>
      </c>
    </row>
    <row r="149" spans="1:40" ht="42" customHeight="1">
      <c r="A149" s="191"/>
      <c r="B149" s="189"/>
      <c r="C149" s="189"/>
      <c r="D149" s="189"/>
      <c r="E149" s="190"/>
      <c r="F149" s="189"/>
      <c r="G149" s="189"/>
      <c r="H149" s="189"/>
      <c r="I149" s="191"/>
      <c r="J149" s="191"/>
      <c r="K149" s="191"/>
      <c r="L149" s="191"/>
      <c r="M149" s="192"/>
      <c r="N149" s="191"/>
      <c r="O149" s="189"/>
      <c r="P149" s="194"/>
      <c r="Q149" s="191"/>
      <c r="R149" s="192"/>
      <c r="S149" s="189"/>
      <c r="T149" s="189"/>
      <c r="U149" s="189"/>
      <c r="V149" s="189"/>
      <c r="W149" s="191" t="str">
        <f t="shared" si="4"/>
        <v/>
      </c>
      <c r="X149" s="189"/>
      <c r="Y149" s="189"/>
      <c r="Z149" s="189"/>
      <c r="AA149" s="189"/>
      <c r="AB149" s="189"/>
      <c r="AC149" s="189"/>
      <c r="AD149" s="189"/>
      <c r="AE149" s="189"/>
      <c r="AF149" s="189"/>
      <c r="AG149" s="192"/>
      <c r="AH149" s="192"/>
      <c r="AI149" s="189"/>
      <c r="AJ149" s="189"/>
      <c r="AK149" s="189"/>
      <c r="AL149" s="189"/>
      <c r="AM149" s="191"/>
      <c r="AN149" s="191" t="str">
        <f>IF($A149="","",IF(COUNTIF('Decision Queue'!$A$5:$A$204,$A149)+COUNTIF('Decision Register'!$A$5:$A$304,$A149)&gt;1,"DUPLICATE ID","OK"))</f>
        <v/>
      </c>
    </row>
    <row r="150" spans="1:40" ht="42" customHeight="1">
      <c r="A150" s="191"/>
      <c r="B150" s="189"/>
      <c r="C150" s="189"/>
      <c r="D150" s="189"/>
      <c r="E150" s="190"/>
      <c r="F150" s="189"/>
      <c r="G150" s="189"/>
      <c r="H150" s="189"/>
      <c r="I150" s="191"/>
      <c r="J150" s="191"/>
      <c r="K150" s="191"/>
      <c r="L150" s="191"/>
      <c r="M150" s="192"/>
      <c r="N150" s="191"/>
      <c r="O150" s="189"/>
      <c r="P150" s="194"/>
      <c r="Q150" s="191"/>
      <c r="R150" s="192"/>
      <c r="S150" s="189"/>
      <c r="T150" s="189"/>
      <c r="U150" s="189"/>
      <c r="V150" s="189"/>
      <c r="W150" s="191" t="str">
        <f t="shared" si="4"/>
        <v/>
      </c>
      <c r="X150" s="189"/>
      <c r="Y150" s="189"/>
      <c r="Z150" s="189"/>
      <c r="AA150" s="189"/>
      <c r="AB150" s="189"/>
      <c r="AC150" s="189"/>
      <c r="AD150" s="189"/>
      <c r="AE150" s="189"/>
      <c r="AF150" s="189"/>
      <c r="AG150" s="192"/>
      <c r="AH150" s="192"/>
      <c r="AI150" s="189"/>
      <c r="AJ150" s="189"/>
      <c r="AK150" s="189"/>
      <c r="AL150" s="189"/>
      <c r="AM150" s="191"/>
      <c r="AN150" s="191" t="str">
        <f>IF($A150="","",IF(COUNTIF('Decision Queue'!$A$5:$A$204,$A150)+COUNTIF('Decision Register'!$A$5:$A$304,$A150)&gt;1,"DUPLICATE ID","OK"))</f>
        <v/>
      </c>
    </row>
    <row r="151" spans="1:40" ht="42" customHeight="1">
      <c r="A151" s="191"/>
      <c r="B151" s="189"/>
      <c r="C151" s="189"/>
      <c r="D151" s="189"/>
      <c r="E151" s="190"/>
      <c r="F151" s="189"/>
      <c r="G151" s="189"/>
      <c r="H151" s="189"/>
      <c r="I151" s="191"/>
      <c r="J151" s="191"/>
      <c r="K151" s="191"/>
      <c r="L151" s="191"/>
      <c r="M151" s="192"/>
      <c r="N151" s="191"/>
      <c r="O151" s="189"/>
      <c r="P151" s="194"/>
      <c r="Q151" s="191"/>
      <c r="R151" s="192"/>
      <c r="S151" s="189"/>
      <c r="T151" s="189"/>
      <c r="U151" s="189"/>
      <c r="V151" s="189"/>
      <c r="W151" s="191" t="str">
        <f t="shared" si="4"/>
        <v/>
      </c>
      <c r="X151" s="189"/>
      <c r="Y151" s="189"/>
      <c r="Z151" s="189"/>
      <c r="AA151" s="189"/>
      <c r="AB151" s="189"/>
      <c r="AC151" s="189"/>
      <c r="AD151" s="189"/>
      <c r="AE151" s="189"/>
      <c r="AF151" s="189"/>
      <c r="AG151" s="192"/>
      <c r="AH151" s="192"/>
      <c r="AI151" s="189"/>
      <c r="AJ151" s="189"/>
      <c r="AK151" s="189"/>
      <c r="AL151" s="189"/>
      <c r="AM151" s="191"/>
      <c r="AN151" s="191" t="str">
        <f>IF($A151="","",IF(COUNTIF('Decision Queue'!$A$5:$A$204,$A151)+COUNTIF('Decision Register'!$A$5:$A$304,$A151)&gt;1,"DUPLICATE ID","OK"))</f>
        <v/>
      </c>
    </row>
    <row r="152" spans="1:40" ht="42" customHeight="1">
      <c r="A152" s="191"/>
      <c r="B152" s="189"/>
      <c r="C152" s="189"/>
      <c r="D152" s="189"/>
      <c r="E152" s="190"/>
      <c r="F152" s="189"/>
      <c r="G152" s="189"/>
      <c r="H152" s="189"/>
      <c r="I152" s="191"/>
      <c r="J152" s="191"/>
      <c r="K152" s="191"/>
      <c r="L152" s="191"/>
      <c r="M152" s="192"/>
      <c r="N152" s="191"/>
      <c r="O152" s="189"/>
      <c r="P152" s="194"/>
      <c r="Q152" s="191"/>
      <c r="R152" s="192"/>
      <c r="S152" s="189"/>
      <c r="T152" s="189"/>
      <c r="U152" s="189"/>
      <c r="V152" s="189"/>
      <c r="W152" s="191" t="str">
        <f t="shared" si="4"/>
        <v/>
      </c>
      <c r="X152" s="189"/>
      <c r="Y152" s="189"/>
      <c r="Z152" s="189"/>
      <c r="AA152" s="189"/>
      <c r="AB152" s="189"/>
      <c r="AC152" s="189"/>
      <c r="AD152" s="189"/>
      <c r="AE152" s="189"/>
      <c r="AF152" s="189"/>
      <c r="AG152" s="192"/>
      <c r="AH152" s="192"/>
      <c r="AI152" s="189"/>
      <c r="AJ152" s="189"/>
      <c r="AK152" s="189"/>
      <c r="AL152" s="189"/>
      <c r="AM152" s="191"/>
      <c r="AN152" s="191" t="str">
        <f>IF($A152="","",IF(COUNTIF('Decision Queue'!$A$5:$A$204,$A152)+COUNTIF('Decision Register'!$A$5:$A$304,$A152)&gt;1,"DUPLICATE ID","OK"))</f>
        <v/>
      </c>
    </row>
    <row r="153" spans="1:40" ht="42" customHeight="1">
      <c r="A153" s="191"/>
      <c r="B153" s="189"/>
      <c r="C153" s="189"/>
      <c r="D153" s="189"/>
      <c r="E153" s="190"/>
      <c r="F153" s="189"/>
      <c r="G153" s="189"/>
      <c r="H153" s="189"/>
      <c r="I153" s="191"/>
      <c r="J153" s="191"/>
      <c r="K153" s="191"/>
      <c r="L153" s="191"/>
      <c r="M153" s="192"/>
      <c r="N153" s="191"/>
      <c r="O153" s="189"/>
      <c r="P153" s="194"/>
      <c r="Q153" s="191"/>
      <c r="R153" s="192"/>
      <c r="S153" s="189"/>
      <c r="T153" s="189"/>
      <c r="U153" s="189"/>
      <c r="V153" s="189"/>
      <c r="W153" s="191" t="str">
        <f t="shared" si="4"/>
        <v/>
      </c>
      <c r="X153" s="189"/>
      <c r="Y153" s="189"/>
      <c r="Z153" s="189"/>
      <c r="AA153" s="189"/>
      <c r="AB153" s="189"/>
      <c r="AC153" s="189"/>
      <c r="AD153" s="189"/>
      <c r="AE153" s="189"/>
      <c r="AF153" s="189"/>
      <c r="AG153" s="192"/>
      <c r="AH153" s="192"/>
      <c r="AI153" s="189"/>
      <c r="AJ153" s="189"/>
      <c r="AK153" s="189"/>
      <c r="AL153" s="189"/>
      <c r="AM153" s="191"/>
      <c r="AN153" s="191" t="str">
        <f>IF($A153="","",IF(COUNTIF('Decision Queue'!$A$5:$A$204,$A153)+COUNTIF('Decision Register'!$A$5:$A$304,$A153)&gt;1,"DUPLICATE ID","OK"))</f>
        <v/>
      </c>
    </row>
    <row r="154" spans="1:40" ht="42" customHeight="1">
      <c r="A154" s="191"/>
      <c r="B154" s="189"/>
      <c r="C154" s="189"/>
      <c r="D154" s="189"/>
      <c r="E154" s="190"/>
      <c r="F154" s="189"/>
      <c r="G154" s="189"/>
      <c r="H154" s="189"/>
      <c r="I154" s="191"/>
      <c r="J154" s="191"/>
      <c r="K154" s="191"/>
      <c r="L154" s="191"/>
      <c r="M154" s="192"/>
      <c r="N154" s="191"/>
      <c r="O154" s="189"/>
      <c r="P154" s="194"/>
      <c r="Q154" s="191"/>
      <c r="R154" s="192"/>
      <c r="S154" s="189"/>
      <c r="T154" s="189"/>
      <c r="U154" s="189"/>
      <c r="V154" s="189"/>
      <c r="W154" s="191" t="str">
        <f t="shared" si="4"/>
        <v/>
      </c>
      <c r="X154" s="189"/>
      <c r="Y154" s="189"/>
      <c r="Z154" s="189"/>
      <c r="AA154" s="189"/>
      <c r="AB154" s="189"/>
      <c r="AC154" s="189"/>
      <c r="AD154" s="189"/>
      <c r="AE154" s="189"/>
      <c r="AF154" s="189"/>
      <c r="AG154" s="192"/>
      <c r="AH154" s="192"/>
      <c r="AI154" s="189"/>
      <c r="AJ154" s="189"/>
      <c r="AK154" s="189"/>
      <c r="AL154" s="189"/>
      <c r="AM154" s="191"/>
      <c r="AN154" s="191" t="str">
        <f>IF($A154="","",IF(COUNTIF('Decision Queue'!$A$5:$A$204,$A154)+COUNTIF('Decision Register'!$A$5:$A$304,$A154)&gt;1,"DUPLICATE ID","OK"))</f>
        <v/>
      </c>
    </row>
    <row r="155" spans="1:40" ht="42" customHeight="1">
      <c r="A155" s="191"/>
      <c r="B155" s="189"/>
      <c r="C155" s="189"/>
      <c r="D155" s="189"/>
      <c r="E155" s="190"/>
      <c r="F155" s="189"/>
      <c r="G155" s="189"/>
      <c r="H155" s="189"/>
      <c r="I155" s="191"/>
      <c r="J155" s="191"/>
      <c r="K155" s="191"/>
      <c r="L155" s="191"/>
      <c r="M155" s="192"/>
      <c r="N155" s="191"/>
      <c r="O155" s="189"/>
      <c r="P155" s="194"/>
      <c r="Q155" s="191"/>
      <c r="R155" s="192"/>
      <c r="S155" s="189"/>
      <c r="T155" s="189"/>
      <c r="U155" s="189"/>
      <c r="V155" s="189"/>
      <c r="W155" s="191" t="str">
        <f t="shared" si="4"/>
        <v/>
      </c>
      <c r="X155" s="189"/>
      <c r="Y155" s="189"/>
      <c r="Z155" s="189"/>
      <c r="AA155" s="189"/>
      <c r="AB155" s="189"/>
      <c r="AC155" s="189"/>
      <c r="AD155" s="189"/>
      <c r="AE155" s="189"/>
      <c r="AF155" s="189"/>
      <c r="AG155" s="192"/>
      <c r="AH155" s="192"/>
      <c r="AI155" s="189"/>
      <c r="AJ155" s="189"/>
      <c r="AK155" s="189"/>
      <c r="AL155" s="189"/>
      <c r="AM155" s="191"/>
      <c r="AN155" s="191" t="str">
        <f>IF($A155="","",IF(COUNTIF('Decision Queue'!$A$5:$A$204,$A155)+COUNTIF('Decision Register'!$A$5:$A$304,$A155)&gt;1,"DUPLICATE ID","OK"))</f>
        <v/>
      </c>
    </row>
    <row r="156" spans="1:40" ht="42" customHeight="1">
      <c r="A156" s="191"/>
      <c r="B156" s="189"/>
      <c r="C156" s="189"/>
      <c r="D156" s="189"/>
      <c r="E156" s="190"/>
      <c r="F156" s="189"/>
      <c r="G156" s="189"/>
      <c r="H156" s="189"/>
      <c r="I156" s="191"/>
      <c r="J156" s="191"/>
      <c r="K156" s="191"/>
      <c r="L156" s="191"/>
      <c r="M156" s="192"/>
      <c r="N156" s="191"/>
      <c r="O156" s="189"/>
      <c r="P156" s="194"/>
      <c r="Q156" s="191"/>
      <c r="R156" s="192"/>
      <c r="S156" s="189"/>
      <c r="T156" s="189"/>
      <c r="U156" s="189"/>
      <c r="V156" s="189"/>
      <c r="W156" s="191" t="str">
        <f t="shared" si="4"/>
        <v/>
      </c>
      <c r="X156" s="189"/>
      <c r="Y156" s="189"/>
      <c r="Z156" s="189"/>
      <c r="AA156" s="189"/>
      <c r="AB156" s="189"/>
      <c r="AC156" s="189"/>
      <c r="AD156" s="189"/>
      <c r="AE156" s="189"/>
      <c r="AF156" s="189"/>
      <c r="AG156" s="192"/>
      <c r="AH156" s="192"/>
      <c r="AI156" s="189"/>
      <c r="AJ156" s="189"/>
      <c r="AK156" s="189"/>
      <c r="AL156" s="189"/>
      <c r="AM156" s="191"/>
      <c r="AN156" s="191" t="str">
        <f>IF($A156="","",IF(COUNTIF('Decision Queue'!$A$5:$A$204,$A156)+COUNTIF('Decision Register'!$A$5:$A$304,$A156)&gt;1,"DUPLICATE ID","OK"))</f>
        <v/>
      </c>
    </row>
    <row r="157" spans="1:40" ht="42" customHeight="1">
      <c r="A157" s="191"/>
      <c r="B157" s="189"/>
      <c r="C157" s="189"/>
      <c r="D157" s="189"/>
      <c r="E157" s="190"/>
      <c r="F157" s="189"/>
      <c r="G157" s="189"/>
      <c r="H157" s="189"/>
      <c r="I157" s="191"/>
      <c r="J157" s="191"/>
      <c r="K157" s="191"/>
      <c r="L157" s="191"/>
      <c r="M157" s="192"/>
      <c r="N157" s="191"/>
      <c r="O157" s="189"/>
      <c r="P157" s="194"/>
      <c r="Q157" s="191"/>
      <c r="R157" s="192"/>
      <c r="S157" s="189"/>
      <c r="T157" s="189"/>
      <c r="U157" s="189"/>
      <c r="V157" s="189"/>
      <c r="W157" s="191" t="str">
        <f t="shared" si="4"/>
        <v/>
      </c>
      <c r="X157" s="189"/>
      <c r="Y157" s="189"/>
      <c r="Z157" s="189"/>
      <c r="AA157" s="189"/>
      <c r="AB157" s="189"/>
      <c r="AC157" s="189"/>
      <c r="AD157" s="189"/>
      <c r="AE157" s="189"/>
      <c r="AF157" s="189"/>
      <c r="AG157" s="192"/>
      <c r="AH157" s="192"/>
      <c r="AI157" s="189"/>
      <c r="AJ157" s="189"/>
      <c r="AK157" s="189"/>
      <c r="AL157" s="189"/>
      <c r="AM157" s="191"/>
      <c r="AN157" s="191" t="str">
        <f>IF($A157="","",IF(COUNTIF('Decision Queue'!$A$5:$A$204,$A157)+COUNTIF('Decision Register'!$A$5:$A$304,$A157)&gt;1,"DUPLICATE ID","OK"))</f>
        <v/>
      </c>
    </row>
    <row r="158" spans="1:40" ht="42" customHeight="1">
      <c r="A158" s="191"/>
      <c r="B158" s="189"/>
      <c r="C158" s="189"/>
      <c r="D158" s="189"/>
      <c r="E158" s="190"/>
      <c r="F158" s="189"/>
      <c r="G158" s="189"/>
      <c r="H158" s="189"/>
      <c r="I158" s="191"/>
      <c r="J158" s="191"/>
      <c r="K158" s="191"/>
      <c r="L158" s="191"/>
      <c r="M158" s="192"/>
      <c r="N158" s="191"/>
      <c r="O158" s="189"/>
      <c r="P158" s="194"/>
      <c r="Q158" s="191"/>
      <c r="R158" s="192"/>
      <c r="S158" s="189"/>
      <c r="T158" s="189"/>
      <c r="U158" s="189"/>
      <c r="V158" s="189"/>
      <c r="W158" s="191" t="str">
        <f t="shared" si="4"/>
        <v/>
      </c>
      <c r="X158" s="189"/>
      <c r="Y158" s="189"/>
      <c r="Z158" s="189"/>
      <c r="AA158" s="189"/>
      <c r="AB158" s="189"/>
      <c r="AC158" s="189"/>
      <c r="AD158" s="189"/>
      <c r="AE158" s="189"/>
      <c r="AF158" s="189"/>
      <c r="AG158" s="192"/>
      <c r="AH158" s="192"/>
      <c r="AI158" s="189"/>
      <c r="AJ158" s="189"/>
      <c r="AK158" s="189"/>
      <c r="AL158" s="189"/>
      <c r="AM158" s="191"/>
      <c r="AN158" s="191" t="str">
        <f>IF($A158="","",IF(COUNTIF('Decision Queue'!$A$5:$A$204,$A158)+COUNTIF('Decision Register'!$A$5:$A$304,$A158)&gt;1,"DUPLICATE ID","OK"))</f>
        <v/>
      </c>
    </row>
    <row r="159" spans="1:40" ht="42" customHeight="1">
      <c r="A159" s="191"/>
      <c r="B159" s="189"/>
      <c r="C159" s="189"/>
      <c r="D159" s="189"/>
      <c r="E159" s="190"/>
      <c r="F159" s="189"/>
      <c r="G159" s="189"/>
      <c r="H159" s="189"/>
      <c r="I159" s="191"/>
      <c r="J159" s="191"/>
      <c r="K159" s="191"/>
      <c r="L159" s="191"/>
      <c r="M159" s="192"/>
      <c r="N159" s="191"/>
      <c r="O159" s="189"/>
      <c r="P159" s="194"/>
      <c r="Q159" s="191"/>
      <c r="R159" s="192"/>
      <c r="S159" s="189"/>
      <c r="T159" s="189"/>
      <c r="U159" s="189"/>
      <c r="V159" s="189"/>
      <c r="W159" s="191" t="str">
        <f t="shared" si="4"/>
        <v/>
      </c>
      <c r="X159" s="189"/>
      <c r="Y159" s="189"/>
      <c r="Z159" s="189"/>
      <c r="AA159" s="189"/>
      <c r="AB159" s="189"/>
      <c r="AC159" s="189"/>
      <c r="AD159" s="189"/>
      <c r="AE159" s="189"/>
      <c r="AF159" s="189"/>
      <c r="AG159" s="192"/>
      <c r="AH159" s="192"/>
      <c r="AI159" s="189"/>
      <c r="AJ159" s="189"/>
      <c r="AK159" s="189"/>
      <c r="AL159" s="189"/>
      <c r="AM159" s="191"/>
      <c r="AN159" s="191" t="str">
        <f>IF($A159="","",IF(COUNTIF('Decision Queue'!$A$5:$A$204,$A159)+COUNTIF('Decision Register'!$A$5:$A$304,$A159)&gt;1,"DUPLICATE ID","OK"))</f>
        <v/>
      </c>
    </row>
    <row r="160" spans="1:40" ht="42" customHeight="1">
      <c r="A160" s="191"/>
      <c r="B160" s="189"/>
      <c r="C160" s="189"/>
      <c r="D160" s="189"/>
      <c r="E160" s="190"/>
      <c r="F160" s="189"/>
      <c r="G160" s="189"/>
      <c r="H160" s="189"/>
      <c r="I160" s="191"/>
      <c r="J160" s="191"/>
      <c r="K160" s="191"/>
      <c r="L160" s="191"/>
      <c r="M160" s="192"/>
      <c r="N160" s="191"/>
      <c r="O160" s="189"/>
      <c r="P160" s="194"/>
      <c r="Q160" s="191"/>
      <c r="R160" s="192"/>
      <c r="S160" s="189"/>
      <c r="T160" s="189"/>
      <c r="U160" s="189"/>
      <c r="V160" s="189"/>
      <c r="W160" s="191" t="str">
        <f t="shared" si="4"/>
        <v/>
      </c>
      <c r="X160" s="189"/>
      <c r="Y160" s="189"/>
      <c r="Z160" s="189"/>
      <c r="AA160" s="189"/>
      <c r="AB160" s="189"/>
      <c r="AC160" s="189"/>
      <c r="AD160" s="189"/>
      <c r="AE160" s="189"/>
      <c r="AF160" s="189"/>
      <c r="AG160" s="192"/>
      <c r="AH160" s="192"/>
      <c r="AI160" s="189"/>
      <c r="AJ160" s="189"/>
      <c r="AK160" s="189"/>
      <c r="AL160" s="189"/>
      <c r="AM160" s="191"/>
      <c r="AN160" s="191" t="str">
        <f>IF($A160="","",IF(COUNTIF('Decision Queue'!$A$5:$A$204,$A160)+COUNTIF('Decision Register'!$A$5:$A$304,$A160)&gt;1,"DUPLICATE ID","OK"))</f>
        <v/>
      </c>
    </row>
    <row r="161" spans="1:40" ht="42" customHeight="1">
      <c r="A161" s="191"/>
      <c r="B161" s="189"/>
      <c r="C161" s="189"/>
      <c r="D161" s="189"/>
      <c r="E161" s="190"/>
      <c r="F161" s="189"/>
      <c r="G161" s="189"/>
      <c r="H161" s="189"/>
      <c r="I161" s="191"/>
      <c r="J161" s="191"/>
      <c r="K161" s="191"/>
      <c r="L161" s="191"/>
      <c r="M161" s="192"/>
      <c r="N161" s="191"/>
      <c r="O161" s="189"/>
      <c r="P161" s="194"/>
      <c r="Q161" s="191"/>
      <c r="R161" s="192"/>
      <c r="S161" s="189"/>
      <c r="T161" s="189"/>
      <c r="U161" s="189"/>
      <c r="V161" s="189"/>
      <c r="W161" s="191" t="str">
        <f t="shared" si="4"/>
        <v/>
      </c>
      <c r="X161" s="189"/>
      <c r="Y161" s="189"/>
      <c r="Z161" s="189"/>
      <c r="AA161" s="189"/>
      <c r="AB161" s="189"/>
      <c r="AC161" s="189"/>
      <c r="AD161" s="189"/>
      <c r="AE161" s="189"/>
      <c r="AF161" s="189"/>
      <c r="AG161" s="192"/>
      <c r="AH161" s="192"/>
      <c r="AI161" s="189"/>
      <c r="AJ161" s="189"/>
      <c r="AK161" s="189"/>
      <c r="AL161" s="189"/>
      <c r="AM161" s="191"/>
      <c r="AN161" s="191" t="str">
        <f>IF($A161="","",IF(COUNTIF('Decision Queue'!$A$5:$A$204,$A161)+COUNTIF('Decision Register'!$A$5:$A$304,$A161)&gt;1,"DUPLICATE ID","OK"))</f>
        <v/>
      </c>
    </row>
    <row r="162" spans="1:40" ht="42" customHeight="1">
      <c r="A162" s="191"/>
      <c r="B162" s="189"/>
      <c r="C162" s="189"/>
      <c r="D162" s="189"/>
      <c r="E162" s="190"/>
      <c r="F162" s="189"/>
      <c r="G162" s="189"/>
      <c r="H162" s="189"/>
      <c r="I162" s="191"/>
      <c r="J162" s="191"/>
      <c r="K162" s="191"/>
      <c r="L162" s="191"/>
      <c r="M162" s="192"/>
      <c r="N162" s="191"/>
      <c r="O162" s="189"/>
      <c r="P162" s="194"/>
      <c r="Q162" s="191"/>
      <c r="R162" s="192"/>
      <c r="S162" s="189"/>
      <c r="T162" s="189"/>
      <c r="U162" s="189"/>
      <c r="V162" s="189"/>
      <c r="W162" s="191" t="str">
        <f t="shared" si="4"/>
        <v/>
      </c>
      <c r="X162" s="189"/>
      <c r="Y162" s="189"/>
      <c r="Z162" s="189"/>
      <c r="AA162" s="189"/>
      <c r="AB162" s="189"/>
      <c r="AC162" s="189"/>
      <c r="AD162" s="189"/>
      <c r="AE162" s="189"/>
      <c r="AF162" s="189"/>
      <c r="AG162" s="192"/>
      <c r="AH162" s="192"/>
      <c r="AI162" s="189"/>
      <c r="AJ162" s="189"/>
      <c r="AK162" s="189"/>
      <c r="AL162" s="189"/>
      <c r="AM162" s="191"/>
      <c r="AN162" s="191" t="str">
        <f>IF($A162="","",IF(COUNTIF('Decision Queue'!$A$5:$A$204,$A162)+COUNTIF('Decision Register'!$A$5:$A$304,$A162)&gt;1,"DUPLICATE ID","OK"))</f>
        <v/>
      </c>
    </row>
    <row r="163" spans="1:40" ht="42" customHeight="1">
      <c r="A163" s="191"/>
      <c r="B163" s="189"/>
      <c r="C163" s="189"/>
      <c r="D163" s="189"/>
      <c r="E163" s="190"/>
      <c r="F163" s="189"/>
      <c r="G163" s="189"/>
      <c r="H163" s="189"/>
      <c r="I163" s="191"/>
      <c r="J163" s="191"/>
      <c r="K163" s="191"/>
      <c r="L163" s="191"/>
      <c r="M163" s="192"/>
      <c r="N163" s="191"/>
      <c r="O163" s="189"/>
      <c r="P163" s="194"/>
      <c r="Q163" s="191"/>
      <c r="R163" s="192"/>
      <c r="S163" s="189"/>
      <c r="T163" s="189"/>
      <c r="U163" s="189"/>
      <c r="V163" s="189"/>
      <c r="W163" s="191" t="str">
        <f t="shared" si="4"/>
        <v/>
      </c>
      <c r="X163" s="189"/>
      <c r="Y163" s="189"/>
      <c r="Z163" s="189"/>
      <c r="AA163" s="189"/>
      <c r="AB163" s="189"/>
      <c r="AC163" s="189"/>
      <c r="AD163" s="189"/>
      <c r="AE163" s="189"/>
      <c r="AF163" s="189"/>
      <c r="AG163" s="192"/>
      <c r="AH163" s="192"/>
      <c r="AI163" s="189"/>
      <c r="AJ163" s="189"/>
      <c r="AK163" s="189"/>
      <c r="AL163" s="189"/>
      <c r="AM163" s="191"/>
      <c r="AN163" s="191" t="str">
        <f>IF($A163="","",IF(COUNTIF('Decision Queue'!$A$5:$A$204,$A163)+COUNTIF('Decision Register'!$A$5:$A$304,$A163)&gt;1,"DUPLICATE ID","OK"))</f>
        <v/>
      </c>
    </row>
    <row r="164" spans="1:40" ht="42" customHeight="1">
      <c r="A164" s="191"/>
      <c r="B164" s="189"/>
      <c r="C164" s="189"/>
      <c r="D164" s="189"/>
      <c r="E164" s="190"/>
      <c r="F164" s="189"/>
      <c r="G164" s="189"/>
      <c r="H164" s="189"/>
      <c r="I164" s="191"/>
      <c r="J164" s="191"/>
      <c r="K164" s="191"/>
      <c r="L164" s="191"/>
      <c r="M164" s="192"/>
      <c r="N164" s="191"/>
      <c r="O164" s="189"/>
      <c r="P164" s="194"/>
      <c r="Q164" s="191"/>
      <c r="R164" s="192"/>
      <c r="S164" s="189"/>
      <c r="T164" s="189"/>
      <c r="U164" s="189"/>
      <c r="V164" s="189"/>
      <c r="W164" s="191" t="str">
        <f t="shared" si="4"/>
        <v/>
      </c>
      <c r="X164" s="189"/>
      <c r="Y164" s="189"/>
      <c r="Z164" s="189"/>
      <c r="AA164" s="189"/>
      <c r="AB164" s="189"/>
      <c r="AC164" s="189"/>
      <c r="AD164" s="189"/>
      <c r="AE164" s="189"/>
      <c r="AF164" s="189"/>
      <c r="AG164" s="192"/>
      <c r="AH164" s="192"/>
      <c r="AI164" s="189"/>
      <c r="AJ164" s="189"/>
      <c r="AK164" s="189"/>
      <c r="AL164" s="189"/>
      <c r="AM164" s="191"/>
      <c r="AN164" s="191" t="str">
        <f>IF($A164="","",IF(COUNTIF('Decision Queue'!$A$5:$A$204,$A164)+COUNTIF('Decision Register'!$A$5:$A$304,$A164)&gt;1,"DUPLICATE ID","OK"))</f>
        <v/>
      </c>
    </row>
    <row r="165" spans="1:40" ht="42" customHeight="1">
      <c r="A165" s="191"/>
      <c r="B165" s="189"/>
      <c r="C165" s="189"/>
      <c r="D165" s="189"/>
      <c r="E165" s="190"/>
      <c r="F165" s="189"/>
      <c r="G165" s="189"/>
      <c r="H165" s="189"/>
      <c r="I165" s="191"/>
      <c r="J165" s="191"/>
      <c r="K165" s="191"/>
      <c r="L165" s="191"/>
      <c r="M165" s="192"/>
      <c r="N165" s="191"/>
      <c r="O165" s="189"/>
      <c r="P165" s="194"/>
      <c r="Q165" s="191"/>
      <c r="R165" s="192"/>
      <c r="S165" s="189"/>
      <c r="T165" s="189"/>
      <c r="U165" s="189"/>
      <c r="V165" s="189"/>
      <c r="W165" s="191" t="str">
        <f t="shared" ref="W165:W196" si="5">IF($B165="","",IF(OR($G165="Completed",$G165="Cancelled"),"INACTIVE","ACTIVE"))</f>
        <v/>
      </c>
      <c r="X165" s="189"/>
      <c r="Y165" s="189"/>
      <c r="Z165" s="189"/>
      <c r="AA165" s="189"/>
      <c r="AB165" s="189"/>
      <c r="AC165" s="189"/>
      <c r="AD165" s="189"/>
      <c r="AE165" s="189"/>
      <c r="AF165" s="189"/>
      <c r="AG165" s="192"/>
      <c r="AH165" s="192"/>
      <c r="AI165" s="189"/>
      <c r="AJ165" s="189"/>
      <c r="AK165" s="189"/>
      <c r="AL165" s="189"/>
      <c r="AM165" s="191"/>
      <c r="AN165" s="191" t="str">
        <f>IF($A165="","",IF(COUNTIF('Decision Queue'!$A$5:$A$204,$A165)+COUNTIF('Decision Register'!$A$5:$A$304,$A165)&gt;1,"DUPLICATE ID","OK"))</f>
        <v/>
      </c>
    </row>
    <row r="166" spans="1:40" ht="42" customHeight="1">
      <c r="A166" s="191"/>
      <c r="B166" s="189"/>
      <c r="C166" s="189"/>
      <c r="D166" s="189"/>
      <c r="E166" s="190"/>
      <c r="F166" s="189"/>
      <c r="G166" s="189"/>
      <c r="H166" s="189"/>
      <c r="I166" s="191"/>
      <c r="J166" s="191"/>
      <c r="K166" s="191"/>
      <c r="L166" s="191"/>
      <c r="M166" s="192"/>
      <c r="N166" s="191"/>
      <c r="O166" s="189"/>
      <c r="P166" s="194"/>
      <c r="Q166" s="191"/>
      <c r="R166" s="192"/>
      <c r="S166" s="189"/>
      <c r="T166" s="189"/>
      <c r="U166" s="189"/>
      <c r="V166" s="189"/>
      <c r="W166" s="191" t="str">
        <f t="shared" si="5"/>
        <v/>
      </c>
      <c r="X166" s="189"/>
      <c r="Y166" s="189"/>
      <c r="Z166" s="189"/>
      <c r="AA166" s="189"/>
      <c r="AB166" s="189"/>
      <c r="AC166" s="189"/>
      <c r="AD166" s="189"/>
      <c r="AE166" s="189"/>
      <c r="AF166" s="189"/>
      <c r="AG166" s="192"/>
      <c r="AH166" s="192"/>
      <c r="AI166" s="189"/>
      <c r="AJ166" s="189"/>
      <c r="AK166" s="189"/>
      <c r="AL166" s="189"/>
      <c r="AM166" s="191"/>
      <c r="AN166" s="191" t="str">
        <f>IF($A166="","",IF(COUNTIF('Decision Queue'!$A$5:$A$204,$A166)+COUNTIF('Decision Register'!$A$5:$A$304,$A166)&gt;1,"DUPLICATE ID","OK"))</f>
        <v/>
      </c>
    </row>
    <row r="167" spans="1:40" ht="42" customHeight="1">
      <c r="A167" s="191"/>
      <c r="B167" s="189"/>
      <c r="C167" s="189"/>
      <c r="D167" s="189"/>
      <c r="E167" s="190"/>
      <c r="F167" s="189"/>
      <c r="G167" s="189"/>
      <c r="H167" s="189"/>
      <c r="I167" s="191"/>
      <c r="J167" s="191"/>
      <c r="K167" s="191"/>
      <c r="L167" s="191"/>
      <c r="M167" s="192"/>
      <c r="N167" s="191"/>
      <c r="O167" s="189"/>
      <c r="P167" s="194"/>
      <c r="Q167" s="191"/>
      <c r="R167" s="192"/>
      <c r="S167" s="189"/>
      <c r="T167" s="189"/>
      <c r="U167" s="189"/>
      <c r="V167" s="189"/>
      <c r="W167" s="191" t="str">
        <f t="shared" si="5"/>
        <v/>
      </c>
      <c r="X167" s="189"/>
      <c r="Y167" s="189"/>
      <c r="Z167" s="189"/>
      <c r="AA167" s="189"/>
      <c r="AB167" s="189"/>
      <c r="AC167" s="189"/>
      <c r="AD167" s="189"/>
      <c r="AE167" s="189"/>
      <c r="AF167" s="189"/>
      <c r="AG167" s="192"/>
      <c r="AH167" s="192"/>
      <c r="AI167" s="189"/>
      <c r="AJ167" s="189"/>
      <c r="AK167" s="189"/>
      <c r="AL167" s="189"/>
      <c r="AM167" s="191"/>
      <c r="AN167" s="191" t="str">
        <f>IF($A167="","",IF(COUNTIF('Decision Queue'!$A$5:$A$204,$A167)+COUNTIF('Decision Register'!$A$5:$A$304,$A167)&gt;1,"DUPLICATE ID","OK"))</f>
        <v/>
      </c>
    </row>
    <row r="168" spans="1:40" ht="42" customHeight="1">
      <c r="A168" s="191"/>
      <c r="B168" s="189"/>
      <c r="C168" s="189"/>
      <c r="D168" s="189"/>
      <c r="E168" s="190"/>
      <c r="F168" s="189"/>
      <c r="G168" s="189"/>
      <c r="H168" s="189"/>
      <c r="I168" s="191"/>
      <c r="J168" s="191"/>
      <c r="K168" s="191"/>
      <c r="L168" s="191"/>
      <c r="M168" s="192"/>
      <c r="N168" s="191"/>
      <c r="O168" s="189"/>
      <c r="P168" s="194"/>
      <c r="Q168" s="191"/>
      <c r="R168" s="192"/>
      <c r="S168" s="189"/>
      <c r="T168" s="189"/>
      <c r="U168" s="189"/>
      <c r="V168" s="189"/>
      <c r="W168" s="191" t="str">
        <f t="shared" si="5"/>
        <v/>
      </c>
      <c r="X168" s="189"/>
      <c r="Y168" s="189"/>
      <c r="Z168" s="189"/>
      <c r="AA168" s="189"/>
      <c r="AB168" s="189"/>
      <c r="AC168" s="189"/>
      <c r="AD168" s="189"/>
      <c r="AE168" s="189"/>
      <c r="AF168" s="189"/>
      <c r="AG168" s="192"/>
      <c r="AH168" s="192"/>
      <c r="AI168" s="189"/>
      <c r="AJ168" s="189"/>
      <c r="AK168" s="189"/>
      <c r="AL168" s="189"/>
      <c r="AM168" s="191"/>
      <c r="AN168" s="191" t="str">
        <f>IF($A168="","",IF(COUNTIF('Decision Queue'!$A$5:$A$204,$A168)+COUNTIF('Decision Register'!$A$5:$A$304,$A168)&gt;1,"DUPLICATE ID","OK"))</f>
        <v/>
      </c>
    </row>
    <row r="169" spans="1:40" ht="42" customHeight="1">
      <c r="A169" s="191"/>
      <c r="B169" s="189"/>
      <c r="C169" s="189"/>
      <c r="D169" s="189"/>
      <c r="E169" s="190"/>
      <c r="F169" s="189"/>
      <c r="G169" s="189"/>
      <c r="H169" s="189"/>
      <c r="I169" s="191"/>
      <c r="J169" s="191"/>
      <c r="K169" s="191"/>
      <c r="L169" s="191"/>
      <c r="M169" s="192"/>
      <c r="N169" s="191"/>
      <c r="O169" s="189"/>
      <c r="P169" s="194"/>
      <c r="Q169" s="191"/>
      <c r="R169" s="192"/>
      <c r="S169" s="189"/>
      <c r="T169" s="189"/>
      <c r="U169" s="189"/>
      <c r="V169" s="189"/>
      <c r="W169" s="191" t="str">
        <f t="shared" si="5"/>
        <v/>
      </c>
      <c r="X169" s="189"/>
      <c r="Y169" s="189"/>
      <c r="Z169" s="189"/>
      <c r="AA169" s="189"/>
      <c r="AB169" s="189"/>
      <c r="AC169" s="189"/>
      <c r="AD169" s="189"/>
      <c r="AE169" s="189"/>
      <c r="AF169" s="189"/>
      <c r="AG169" s="192"/>
      <c r="AH169" s="192"/>
      <c r="AI169" s="189"/>
      <c r="AJ169" s="189"/>
      <c r="AK169" s="189"/>
      <c r="AL169" s="189"/>
      <c r="AM169" s="191"/>
      <c r="AN169" s="191" t="str">
        <f>IF($A169="","",IF(COUNTIF('Decision Queue'!$A$5:$A$204,$A169)+COUNTIF('Decision Register'!$A$5:$A$304,$A169)&gt;1,"DUPLICATE ID","OK"))</f>
        <v/>
      </c>
    </row>
    <row r="170" spans="1:40" ht="42" customHeight="1">
      <c r="A170" s="191"/>
      <c r="B170" s="189"/>
      <c r="C170" s="189"/>
      <c r="D170" s="189"/>
      <c r="E170" s="190"/>
      <c r="F170" s="189"/>
      <c r="G170" s="189"/>
      <c r="H170" s="189"/>
      <c r="I170" s="191"/>
      <c r="J170" s="191"/>
      <c r="K170" s="191"/>
      <c r="L170" s="191"/>
      <c r="M170" s="192"/>
      <c r="N170" s="191"/>
      <c r="O170" s="189"/>
      <c r="P170" s="194"/>
      <c r="Q170" s="191"/>
      <c r="R170" s="192"/>
      <c r="S170" s="189"/>
      <c r="T170" s="189"/>
      <c r="U170" s="189"/>
      <c r="V170" s="189"/>
      <c r="W170" s="191" t="str">
        <f t="shared" si="5"/>
        <v/>
      </c>
      <c r="X170" s="189"/>
      <c r="Y170" s="189"/>
      <c r="Z170" s="189"/>
      <c r="AA170" s="189"/>
      <c r="AB170" s="189"/>
      <c r="AC170" s="189"/>
      <c r="AD170" s="189"/>
      <c r="AE170" s="189"/>
      <c r="AF170" s="189"/>
      <c r="AG170" s="192"/>
      <c r="AH170" s="192"/>
      <c r="AI170" s="189"/>
      <c r="AJ170" s="189"/>
      <c r="AK170" s="189"/>
      <c r="AL170" s="189"/>
      <c r="AM170" s="191"/>
      <c r="AN170" s="191" t="str">
        <f>IF($A170="","",IF(COUNTIF('Decision Queue'!$A$5:$A$204,$A170)+COUNTIF('Decision Register'!$A$5:$A$304,$A170)&gt;1,"DUPLICATE ID","OK"))</f>
        <v/>
      </c>
    </row>
    <row r="171" spans="1:40" ht="42" customHeight="1">
      <c r="A171" s="191"/>
      <c r="B171" s="189"/>
      <c r="C171" s="189"/>
      <c r="D171" s="189"/>
      <c r="E171" s="190"/>
      <c r="F171" s="189"/>
      <c r="G171" s="189"/>
      <c r="H171" s="189"/>
      <c r="I171" s="191"/>
      <c r="J171" s="191"/>
      <c r="K171" s="191"/>
      <c r="L171" s="191"/>
      <c r="M171" s="192"/>
      <c r="N171" s="191"/>
      <c r="O171" s="189"/>
      <c r="P171" s="194"/>
      <c r="Q171" s="191"/>
      <c r="R171" s="192"/>
      <c r="S171" s="189"/>
      <c r="T171" s="189"/>
      <c r="U171" s="189"/>
      <c r="V171" s="189"/>
      <c r="W171" s="191" t="str">
        <f t="shared" si="5"/>
        <v/>
      </c>
      <c r="X171" s="189"/>
      <c r="Y171" s="189"/>
      <c r="Z171" s="189"/>
      <c r="AA171" s="189"/>
      <c r="AB171" s="189"/>
      <c r="AC171" s="189"/>
      <c r="AD171" s="189"/>
      <c r="AE171" s="189"/>
      <c r="AF171" s="189"/>
      <c r="AG171" s="192"/>
      <c r="AH171" s="192"/>
      <c r="AI171" s="189"/>
      <c r="AJ171" s="189"/>
      <c r="AK171" s="189"/>
      <c r="AL171" s="189"/>
      <c r="AM171" s="191"/>
      <c r="AN171" s="191" t="str">
        <f>IF($A171="","",IF(COUNTIF('Decision Queue'!$A$5:$A$204,$A171)+COUNTIF('Decision Register'!$A$5:$A$304,$A171)&gt;1,"DUPLICATE ID","OK"))</f>
        <v/>
      </c>
    </row>
    <row r="172" spans="1:40" ht="42" customHeight="1">
      <c r="A172" s="191"/>
      <c r="B172" s="189"/>
      <c r="C172" s="189"/>
      <c r="D172" s="189"/>
      <c r="E172" s="190"/>
      <c r="F172" s="189"/>
      <c r="G172" s="189"/>
      <c r="H172" s="189"/>
      <c r="I172" s="191"/>
      <c r="J172" s="191"/>
      <c r="K172" s="191"/>
      <c r="L172" s="191"/>
      <c r="M172" s="192"/>
      <c r="N172" s="191"/>
      <c r="O172" s="189"/>
      <c r="P172" s="194"/>
      <c r="Q172" s="191"/>
      <c r="R172" s="192"/>
      <c r="S172" s="189"/>
      <c r="T172" s="189"/>
      <c r="U172" s="189"/>
      <c r="V172" s="189"/>
      <c r="W172" s="191" t="str">
        <f t="shared" si="5"/>
        <v/>
      </c>
      <c r="X172" s="189"/>
      <c r="Y172" s="189"/>
      <c r="Z172" s="189"/>
      <c r="AA172" s="189"/>
      <c r="AB172" s="189"/>
      <c r="AC172" s="189"/>
      <c r="AD172" s="189"/>
      <c r="AE172" s="189"/>
      <c r="AF172" s="189"/>
      <c r="AG172" s="192"/>
      <c r="AH172" s="192"/>
      <c r="AI172" s="189"/>
      <c r="AJ172" s="189"/>
      <c r="AK172" s="189"/>
      <c r="AL172" s="189"/>
      <c r="AM172" s="191"/>
      <c r="AN172" s="191" t="str">
        <f>IF($A172="","",IF(COUNTIF('Decision Queue'!$A$5:$A$204,$A172)+COUNTIF('Decision Register'!$A$5:$A$304,$A172)&gt;1,"DUPLICATE ID","OK"))</f>
        <v/>
      </c>
    </row>
    <row r="173" spans="1:40" ht="42" customHeight="1">
      <c r="A173" s="191"/>
      <c r="B173" s="189"/>
      <c r="C173" s="189"/>
      <c r="D173" s="189"/>
      <c r="E173" s="190"/>
      <c r="F173" s="189"/>
      <c r="G173" s="189"/>
      <c r="H173" s="189"/>
      <c r="I173" s="191"/>
      <c r="J173" s="191"/>
      <c r="K173" s="191"/>
      <c r="L173" s="191"/>
      <c r="M173" s="192"/>
      <c r="N173" s="191"/>
      <c r="O173" s="189"/>
      <c r="P173" s="194"/>
      <c r="Q173" s="191"/>
      <c r="R173" s="192"/>
      <c r="S173" s="189"/>
      <c r="T173" s="189"/>
      <c r="U173" s="189"/>
      <c r="V173" s="189"/>
      <c r="W173" s="191" t="str">
        <f t="shared" si="5"/>
        <v/>
      </c>
      <c r="X173" s="189"/>
      <c r="Y173" s="189"/>
      <c r="Z173" s="189"/>
      <c r="AA173" s="189"/>
      <c r="AB173" s="189"/>
      <c r="AC173" s="189"/>
      <c r="AD173" s="189"/>
      <c r="AE173" s="189"/>
      <c r="AF173" s="189"/>
      <c r="AG173" s="192"/>
      <c r="AH173" s="192"/>
      <c r="AI173" s="189"/>
      <c r="AJ173" s="189"/>
      <c r="AK173" s="189"/>
      <c r="AL173" s="189"/>
      <c r="AM173" s="191"/>
      <c r="AN173" s="191" t="str">
        <f>IF($A173="","",IF(COUNTIF('Decision Queue'!$A$5:$A$204,$A173)+COUNTIF('Decision Register'!$A$5:$A$304,$A173)&gt;1,"DUPLICATE ID","OK"))</f>
        <v/>
      </c>
    </row>
    <row r="174" spans="1:40" ht="42" customHeight="1">
      <c r="A174" s="191"/>
      <c r="B174" s="189"/>
      <c r="C174" s="189"/>
      <c r="D174" s="189"/>
      <c r="E174" s="190"/>
      <c r="F174" s="189"/>
      <c r="G174" s="189"/>
      <c r="H174" s="189"/>
      <c r="I174" s="191"/>
      <c r="J174" s="191"/>
      <c r="K174" s="191"/>
      <c r="L174" s="191"/>
      <c r="M174" s="192"/>
      <c r="N174" s="191"/>
      <c r="O174" s="189"/>
      <c r="P174" s="194"/>
      <c r="Q174" s="191"/>
      <c r="R174" s="192"/>
      <c r="S174" s="189"/>
      <c r="T174" s="189"/>
      <c r="U174" s="189"/>
      <c r="V174" s="189"/>
      <c r="W174" s="191" t="str">
        <f t="shared" si="5"/>
        <v/>
      </c>
      <c r="X174" s="189"/>
      <c r="Y174" s="189"/>
      <c r="Z174" s="189"/>
      <c r="AA174" s="189"/>
      <c r="AB174" s="189"/>
      <c r="AC174" s="189"/>
      <c r="AD174" s="189"/>
      <c r="AE174" s="189"/>
      <c r="AF174" s="189"/>
      <c r="AG174" s="192"/>
      <c r="AH174" s="192"/>
      <c r="AI174" s="189"/>
      <c r="AJ174" s="189"/>
      <c r="AK174" s="189"/>
      <c r="AL174" s="189"/>
      <c r="AM174" s="191"/>
      <c r="AN174" s="191" t="str">
        <f>IF($A174="","",IF(COUNTIF('Decision Queue'!$A$5:$A$204,$A174)+COUNTIF('Decision Register'!$A$5:$A$304,$A174)&gt;1,"DUPLICATE ID","OK"))</f>
        <v/>
      </c>
    </row>
    <row r="175" spans="1:40" ht="42" customHeight="1">
      <c r="A175" s="191"/>
      <c r="B175" s="189"/>
      <c r="C175" s="189"/>
      <c r="D175" s="189"/>
      <c r="E175" s="190"/>
      <c r="F175" s="189"/>
      <c r="G175" s="189"/>
      <c r="H175" s="189"/>
      <c r="I175" s="191"/>
      <c r="J175" s="191"/>
      <c r="K175" s="191"/>
      <c r="L175" s="191"/>
      <c r="M175" s="192"/>
      <c r="N175" s="191"/>
      <c r="O175" s="189"/>
      <c r="P175" s="194"/>
      <c r="Q175" s="191"/>
      <c r="R175" s="192"/>
      <c r="S175" s="189"/>
      <c r="T175" s="189"/>
      <c r="U175" s="189"/>
      <c r="V175" s="189"/>
      <c r="W175" s="191" t="str">
        <f t="shared" si="5"/>
        <v/>
      </c>
      <c r="X175" s="189"/>
      <c r="Y175" s="189"/>
      <c r="Z175" s="189"/>
      <c r="AA175" s="189"/>
      <c r="AB175" s="189"/>
      <c r="AC175" s="189"/>
      <c r="AD175" s="189"/>
      <c r="AE175" s="189"/>
      <c r="AF175" s="189"/>
      <c r="AG175" s="192"/>
      <c r="AH175" s="192"/>
      <c r="AI175" s="189"/>
      <c r="AJ175" s="189"/>
      <c r="AK175" s="189"/>
      <c r="AL175" s="189"/>
      <c r="AM175" s="191"/>
      <c r="AN175" s="191" t="str">
        <f>IF($A175="","",IF(COUNTIF('Decision Queue'!$A$5:$A$204,$A175)+COUNTIF('Decision Register'!$A$5:$A$304,$A175)&gt;1,"DUPLICATE ID","OK"))</f>
        <v/>
      </c>
    </row>
    <row r="176" spans="1:40" ht="42" customHeight="1">
      <c r="A176" s="191"/>
      <c r="B176" s="189"/>
      <c r="C176" s="189"/>
      <c r="D176" s="189"/>
      <c r="E176" s="190"/>
      <c r="F176" s="189"/>
      <c r="G176" s="189"/>
      <c r="H176" s="189"/>
      <c r="I176" s="191"/>
      <c r="J176" s="191"/>
      <c r="K176" s="191"/>
      <c r="L176" s="191"/>
      <c r="M176" s="192"/>
      <c r="N176" s="191"/>
      <c r="O176" s="189"/>
      <c r="P176" s="194"/>
      <c r="Q176" s="191"/>
      <c r="R176" s="192"/>
      <c r="S176" s="189"/>
      <c r="T176" s="189"/>
      <c r="U176" s="189"/>
      <c r="V176" s="189"/>
      <c r="W176" s="191" t="str">
        <f t="shared" si="5"/>
        <v/>
      </c>
      <c r="X176" s="189"/>
      <c r="Y176" s="189"/>
      <c r="Z176" s="189"/>
      <c r="AA176" s="189"/>
      <c r="AB176" s="189"/>
      <c r="AC176" s="189"/>
      <c r="AD176" s="189"/>
      <c r="AE176" s="189"/>
      <c r="AF176" s="189"/>
      <c r="AG176" s="192"/>
      <c r="AH176" s="192"/>
      <c r="AI176" s="189"/>
      <c r="AJ176" s="189"/>
      <c r="AK176" s="189"/>
      <c r="AL176" s="189"/>
      <c r="AM176" s="191"/>
      <c r="AN176" s="191" t="str">
        <f>IF($A176="","",IF(COUNTIF('Decision Queue'!$A$5:$A$204,$A176)+COUNTIF('Decision Register'!$A$5:$A$304,$A176)&gt;1,"DUPLICATE ID","OK"))</f>
        <v/>
      </c>
    </row>
    <row r="177" spans="1:40" ht="42" customHeight="1">
      <c r="A177" s="191"/>
      <c r="B177" s="189"/>
      <c r="C177" s="189"/>
      <c r="D177" s="189"/>
      <c r="E177" s="190"/>
      <c r="F177" s="189"/>
      <c r="G177" s="189"/>
      <c r="H177" s="189"/>
      <c r="I177" s="191"/>
      <c r="J177" s="191"/>
      <c r="K177" s="191"/>
      <c r="L177" s="191"/>
      <c r="M177" s="192"/>
      <c r="N177" s="191"/>
      <c r="O177" s="189"/>
      <c r="P177" s="194"/>
      <c r="Q177" s="191"/>
      <c r="R177" s="192"/>
      <c r="S177" s="189"/>
      <c r="T177" s="189"/>
      <c r="U177" s="189"/>
      <c r="V177" s="189"/>
      <c r="W177" s="191" t="str">
        <f t="shared" si="5"/>
        <v/>
      </c>
      <c r="X177" s="189"/>
      <c r="Y177" s="189"/>
      <c r="Z177" s="189"/>
      <c r="AA177" s="189"/>
      <c r="AB177" s="189"/>
      <c r="AC177" s="189"/>
      <c r="AD177" s="189"/>
      <c r="AE177" s="189"/>
      <c r="AF177" s="189"/>
      <c r="AG177" s="192"/>
      <c r="AH177" s="192"/>
      <c r="AI177" s="189"/>
      <c r="AJ177" s="189"/>
      <c r="AK177" s="189"/>
      <c r="AL177" s="189"/>
      <c r="AM177" s="191"/>
      <c r="AN177" s="191" t="str">
        <f>IF($A177="","",IF(COUNTIF('Decision Queue'!$A$5:$A$204,$A177)+COUNTIF('Decision Register'!$A$5:$A$304,$A177)&gt;1,"DUPLICATE ID","OK"))</f>
        <v/>
      </c>
    </row>
    <row r="178" spans="1:40" ht="42" customHeight="1">
      <c r="A178" s="191"/>
      <c r="B178" s="189"/>
      <c r="C178" s="189"/>
      <c r="D178" s="189"/>
      <c r="E178" s="190"/>
      <c r="F178" s="189"/>
      <c r="G178" s="189"/>
      <c r="H178" s="189"/>
      <c r="I178" s="191"/>
      <c r="J178" s="191"/>
      <c r="K178" s="191"/>
      <c r="L178" s="191"/>
      <c r="M178" s="192"/>
      <c r="N178" s="191"/>
      <c r="O178" s="189"/>
      <c r="P178" s="194"/>
      <c r="Q178" s="191"/>
      <c r="R178" s="192"/>
      <c r="S178" s="189"/>
      <c r="T178" s="189"/>
      <c r="U178" s="189"/>
      <c r="V178" s="189"/>
      <c r="W178" s="191" t="str">
        <f t="shared" si="5"/>
        <v/>
      </c>
      <c r="X178" s="189"/>
      <c r="Y178" s="189"/>
      <c r="Z178" s="189"/>
      <c r="AA178" s="189"/>
      <c r="AB178" s="189"/>
      <c r="AC178" s="189"/>
      <c r="AD178" s="189"/>
      <c r="AE178" s="189"/>
      <c r="AF178" s="189"/>
      <c r="AG178" s="192"/>
      <c r="AH178" s="192"/>
      <c r="AI178" s="189"/>
      <c r="AJ178" s="189"/>
      <c r="AK178" s="189"/>
      <c r="AL178" s="189"/>
      <c r="AM178" s="191"/>
      <c r="AN178" s="191" t="str">
        <f>IF($A178="","",IF(COUNTIF('Decision Queue'!$A$5:$A$204,$A178)+COUNTIF('Decision Register'!$A$5:$A$304,$A178)&gt;1,"DUPLICATE ID","OK"))</f>
        <v/>
      </c>
    </row>
    <row r="179" spans="1:40" ht="42" customHeight="1">
      <c r="A179" s="191"/>
      <c r="B179" s="189"/>
      <c r="C179" s="189"/>
      <c r="D179" s="189"/>
      <c r="E179" s="190"/>
      <c r="F179" s="189"/>
      <c r="G179" s="189"/>
      <c r="H179" s="189"/>
      <c r="I179" s="191"/>
      <c r="J179" s="191"/>
      <c r="K179" s="191"/>
      <c r="L179" s="191"/>
      <c r="M179" s="192"/>
      <c r="N179" s="191"/>
      <c r="O179" s="189"/>
      <c r="P179" s="194"/>
      <c r="Q179" s="191"/>
      <c r="R179" s="192"/>
      <c r="S179" s="189"/>
      <c r="T179" s="189"/>
      <c r="U179" s="189"/>
      <c r="V179" s="189"/>
      <c r="W179" s="191" t="str">
        <f t="shared" si="5"/>
        <v/>
      </c>
      <c r="X179" s="189"/>
      <c r="Y179" s="189"/>
      <c r="Z179" s="189"/>
      <c r="AA179" s="189"/>
      <c r="AB179" s="189"/>
      <c r="AC179" s="189"/>
      <c r="AD179" s="189"/>
      <c r="AE179" s="189"/>
      <c r="AF179" s="189"/>
      <c r="AG179" s="192"/>
      <c r="AH179" s="192"/>
      <c r="AI179" s="189"/>
      <c r="AJ179" s="189"/>
      <c r="AK179" s="189"/>
      <c r="AL179" s="189"/>
      <c r="AM179" s="191"/>
      <c r="AN179" s="191" t="str">
        <f>IF($A179="","",IF(COUNTIF('Decision Queue'!$A$5:$A$204,$A179)+COUNTIF('Decision Register'!$A$5:$A$304,$A179)&gt;1,"DUPLICATE ID","OK"))</f>
        <v/>
      </c>
    </row>
    <row r="180" spans="1:40" ht="42" customHeight="1">
      <c r="A180" s="191"/>
      <c r="B180" s="189"/>
      <c r="C180" s="189"/>
      <c r="D180" s="189"/>
      <c r="E180" s="190"/>
      <c r="F180" s="189"/>
      <c r="G180" s="189"/>
      <c r="H180" s="189"/>
      <c r="I180" s="191"/>
      <c r="J180" s="191"/>
      <c r="K180" s="191"/>
      <c r="L180" s="191"/>
      <c r="M180" s="192"/>
      <c r="N180" s="191"/>
      <c r="O180" s="189"/>
      <c r="P180" s="194"/>
      <c r="Q180" s="191"/>
      <c r="R180" s="192"/>
      <c r="S180" s="189"/>
      <c r="T180" s="189"/>
      <c r="U180" s="189"/>
      <c r="V180" s="189"/>
      <c r="W180" s="191" t="str">
        <f t="shared" si="5"/>
        <v/>
      </c>
      <c r="X180" s="189"/>
      <c r="Y180" s="189"/>
      <c r="Z180" s="189"/>
      <c r="AA180" s="189"/>
      <c r="AB180" s="189"/>
      <c r="AC180" s="189"/>
      <c r="AD180" s="189"/>
      <c r="AE180" s="189"/>
      <c r="AF180" s="189"/>
      <c r="AG180" s="192"/>
      <c r="AH180" s="192"/>
      <c r="AI180" s="189"/>
      <c r="AJ180" s="189"/>
      <c r="AK180" s="189"/>
      <c r="AL180" s="189"/>
      <c r="AM180" s="191"/>
      <c r="AN180" s="191" t="str">
        <f>IF($A180="","",IF(COUNTIF('Decision Queue'!$A$5:$A$204,$A180)+COUNTIF('Decision Register'!$A$5:$A$304,$A180)&gt;1,"DUPLICATE ID","OK"))</f>
        <v/>
      </c>
    </row>
    <row r="181" spans="1:40" ht="42" customHeight="1">
      <c r="A181" s="191"/>
      <c r="B181" s="189"/>
      <c r="C181" s="189"/>
      <c r="D181" s="189"/>
      <c r="E181" s="190"/>
      <c r="F181" s="189"/>
      <c r="G181" s="189"/>
      <c r="H181" s="189"/>
      <c r="I181" s="191"/>
      <c r="J181" s="191"/>
      <c r="K181" s="191"/>
      <c r="L181" s="191"/>
      <c r="M181" s="192"/>
      <c r="N181" s="191"/>
      <c r="O181" s="189"/>
      <c r="P181" s="194"/>
      <c r="Q181" s="191"/>
      <c r="R181" s="192"/>
      <c r="S181" s="189"/>
      <c r="T181" s="189"/>
      <c r="U181" s="189"/>
      <c r="V181" s="189"/>
      <c r="W181" s="191" t="str">
        <f t="shared" si="5"/>
        <v/>
      </c>
      <c r="X181" s="189"/>
      <c r="Y181" s="189"/>
      <c r="Z181" s="189"/>
      <c r="AA181" s="189"/>
      <c r="AB181" s="189"/>
      <c r="AC181" s="189"/>
      <c r="AD181" s="189"/>
      <c r="AE181" s="189"/>
      <c r="AF181" s="189"/>
      <c r="AG181" s="192"/>
      <c r="AH181" s="192"/>
      <c r="AI181" s="189"/>
      <c r="AJ181" s="189"/>
      <c r="AK181" s="189"/>
      <c r="AL181" s="189"/>
      <c r="AM181" s="191"/>
      <c r="AN181" s="191" t="str">
        <f>IF($A181="","",IF(COUNTIF('Decision Queue'!$A$5:$A$204,$A181)+COUNTIF('Decision Register'!$A$5:$A$304,$A181)&gt;1,"DUPLICATE ID","OK"))</f>
        <v/>
      </c>
    </row>
    <row r="182" spans="1:40" ht="42" customHeight="1">
      <c r="A182" s="191"/>
      <c r="B182" s="189"/>
      <c r="C182" s="189"/>
      <c r="D182" s="189"/>
      <c r="E182" s="190"/>
      <c r="F182" s="189"/>
      <c r="G182" s="189"/>
      <c r="H182" s="189"/>
      <c r="I182" s="191"/>
      <c r="J182" s="191"/>
      <c r="K182" s="191"/>
      <c r="L182" s="191"/>
      <c r="M182" s="192"/>
      <c r="N182" s="191"/>
      <c r="O182" s="189"/>
      <c r="P182" s="194"/>
      <c r="Q182" s="191"/>
      <c r="R182" s="192"/>
      <c r="S182" s="189"/>
      <c r="T182" s="189"/>
      <c r="U182" s="189"/>
      <c r="V182" s="189"/>
      <c r="W182" s="191" t="str">
        <f t="shared" si="5"/>
        <v/>
      </c>
      <c r="X182" s="189"/>
      <c r="Y182" s="189"/>
      <c r="Z182" s="189"/>
      <c r="AA182" s="189"/>
      <c r="AB182" s="189"/>
      <c r="AC182" s="189"/>
      <c r="AD182" s="189"/>
      <c r="AE182" s="189"/>
      <c r="AF182" s="189"/>
      <c r="AG182" s="192"/>
      <c r="AH182" s="192"/>
      <c r="AI182" s="189"/>
      <c r="AJ182" s="189"/>
      <c r="AK182" s="189"/>
      <c r="AL182" s="189"/>
      <c r="AM182" s="191"/>
      <c r="AN182" s="191" t="str">
        <f>IF($A182="","",IF(COUNTIF('Decision Queue'!$A$5:$A$204,$A182)+COUNTIF('Decision Register'!$A$5:$A$304,$A182)&gt;1,"DUPLICATE ID","OK"))</f>
        <v/>
      </c>
    </row>
    <row r="183" spans="1:40" ht="42" customHeight="1">
      <c r="A183" s="191"/>
      <c r="B183" s="189"/>
      <c r="C183" s="189"/>
      <c r="D183" s="189"/>
      <c r="E183" s="190"/>
      <c r="F183" s="189"/>
      <c r="G183" s="189"/>
      <c r="H183" s="189"/>
      <c r="I183" s="191"/>
      <c r="J183" s="191"/>
      <c r="K183" s="191"/>
      <c r="L183" s="191"/>
      <c r="M183" s="192"/>
      <c r="N183" s="191"/>
      <c r="O183" s="189"/>
      <c r="P183" s="194"/>
      <c r="Q183" s="191"/>
      <c r="R183" s="192"/>
      <c r="S183" s="189"/>
      <c r="T183" s="189"/>
      <c r="U183" s="189"/>
      <c r="V183" s="189"/>
      <c r="W183" s="191" t="str">
        <f t="shared" si="5"/>
        <v/>
      </c>
      <c r="X183" s="189"/>
      <c r="Y183" s="189"/>
      <c r="Z183" s="189"/>
      <c r="AA183" s="189"/>
      <c r="AB183" s="189"/>
      <c r="AC183" s="189"/>
      <c r="AD183" s="189"/>
      <c r="AE183" s="189"/>
      <c r="AF183" s="189"/>
      <c r="AG183" s="192"/>
      <c r="AH183" s="192"/>
      <c r="AI183" s="189"/>
      <c r="AJ183" s="189"/>
      <c r="AK183" s="189"/>
      <c r="AL183" s="189"/>
      <c r="AM183" s="191"/>
      <c r="AN183" s="191" t="str">
        <f>IF($A183="","",IF(COUNTIF('Decision Queue'!$A$5:$A$204,$A183)+COUNTIF('Decision Register'!$A$5:$A$304,$A183)&gt;1,"DUPLICATE ID","OK"))</f>
        <v/>
      </c>
    </row>
    <row r="184" spans="1:40" ht="42" customHeight="1">
      <c r="A184" s="191"/>
      <c r="B184" s="189"/>
      <c r="C184" s="189"/>
      <c r="D184" s="189"/>
      <c r="E184" s="190"/>
      <c r="F184" s="189"/>
      <c r="G184" s="189"/>
      <c r="H184" s="189"/>
      <c r="I184" s="191"/>
      <c r="J184" s="191"/>
      <c r="K184" s="191"/>
      <c r="L184" s="191"/>
      <c r="M184" s="192"/>
      <c r="N184" s="191"/>
      <c r="O184" s="189"/>
      <c r="P184" s="194"/>
      <c r="Q184" s="191"/>
      <c r="R184" s="192"/>
      <c r="S184" s="189"/>
      <c r="T184" s="189"/>
      <c r="U184" s="189"/>
      <c r="V184" s="189"/>
      <c r="W184" s="191" t="str">
        <f t="shared" si="5"/>
        <v/>
      </c>
      <c r="X184" s="189"/>
      <c r="Y184" s="189"/>
      <c r="Z184" s="189"/>
      <c r="AA184" s="189"/>
      <c r="AB184" s="189"/>
      <c r="AC184" s="189"/>
      <c r="AD184" s="189"/>
      <c r="AE184" s="189"/>
      <c r="AF184" s="189"/>
      <c r="AG184" s="192"/>
      <c r="AH184" s="192"/>
      <c r="AI184" s="189"/>
      <c r="AJ184" s="189"/>
      <c r="AK184" s="189"/>
      <c r="AL184" s="189"/>
      <c r="AM184" s="191"/>
      <c r="AN184" s="191" t="str">
        <f>IF($A184="","",IF(COUNTIF('Decision Queue'!$A$5:$A$204,$A184)+COUNTIF('Decision Register'!$A$5:$A$304,$A184)&gt;1,"DUPLICATE ID","OK"))</f>
        <v/>
      </c>
    </row>
    <row r="185" spans="1:40" ht="42" customHeight="1">
      <c r="A185" s="191"/>
      <c r="B185" s="189"/>
      <c r="C185" s="189"/>
      <c r="D185" s="189"/>
      <c r="E185" s="190"/>
      <c r="F185" s="189"/>
      <c r="G185" s="189"/>
      <c r="H185" s="189"/>
      <c r="I185" s="191"/>
      <c r="J185" s="191"/>
      <c r="K185" s="191"/>
      <c r="L185" s="191"/>
      <c r="M185" s="192"/>
      <c r="N185" s="191"/>
      <c r="O185" s="189"/>
      <c r="P185" s="194"/>
      <c r="Q185" s="191"/>
      <c r="R185" s="192"/>
      <c r="S185" s="189"/>
      <c r="T185" s="189"/>
      <c r="U185" s="189"/>
      <c r="V185" s="189"/>
      <c r="W185" s="191" t="str">
        <f t="shared" si="5"/>
        <v/>
      </c>
      <c r="X185" s="189"/>
      <c r="Y185" s="189"/>
      <c r="Z185" s="189"/>
      <c r="AA185" s="189"/>
      <c r="AB185" s="189"/>
      <c r="AC185" s="189"/>
      <c r="AD185" s="189"/>
      <c r="AE185" s="189"/>
      <c r="AF185" s="189"/>
      <c r="AG185" s="192"/>
      <c r="AH185" s="192"/>
      <c r="AI185" s="189"/>
      <c r="AJ185" s="189"/>
      <c r="AK185" s="189"/>
      <c r="AL185" s="189"/>
      <c r="AM185" s="191"/>
      <c r="AN185" s="191" t="str">
        <f>IF($A185="","",IF(COUNTIF('Decision Queue'!$A$5:$A$204,$A185)+COUNTIF('Decision Register'!$A$5:$A$304,$A185)&gt;1,"DUPLICATE ID","OK"))</f>
        <v/>
      </c>
    </row>
    <row r="186" spans="1:40" ht="42" customHeight="1">
      <c r="A186" s="191"/>
      <c r="B186" s="189"/>
      <c r="C186" s="189"/>
      <c r="D186" s="189"/>
      <c r="E186" s="190"/>
      <c r="F186" s="189"/>
      <c r="G186" s="189"/>
      <c r="H186" s="189"/>
      <c r="I186" s="191"/>
      <c r="J186" s="191"/>
      <c r="K186" s="191"/>
      <c r="L186" s="191"/>
      <c r="M186" s="192"/>
      <c r="N186" s="191"/>
      <c r="O186" s="189"/>
      <c r="P186" s="194"/>
      <c r="Q186" s="191"/>
      <c r="R186" s="192"/>
      <c r="S186" s="189"/>
      <c r="T186" s="189"/>
      <c r="U186" s="189"/>
      <c r="V186" s="189"/>
      <c r="W186" s="191" t="str">
        <f t="shared" si="5"/>
        <v/>
      </c>
      <c r="X186" s="189"/>
      <c r="Y186" s="189"/>
      <c r="Z186" s="189"/>
      <c r="AA186" s="189"/>
      <c r="AB186" s="189"/>
      <c r="AC186" s="189"/>
      <c r="AD186" s="189"/>
      <c r="AE186" s="189"/>
      <c r="AF186" s="189"/>
      <c r="AG186" s="192"/>
      <c r="AH186" s="192"/>
      <c r="AI186" s="189"/>
      <c r="AJ186" s="189"/>
      <c r="AK186" s="189"/>
      <c r="AL186" s="189"/>
      <c r="AM186" s="191"/>
      <c r="AN186" s="191" t="str">
        <f>IF($A186="","",IF(COUNTIF('Decision Queue'!$A$5:$A$204,$A186)+COUNTIF('Decision Register'!$A$5:$A$304,$A186)&gt;1,"DUPLICATE ID","OK"))</f>
        <v/>
      </c>
    </row>
    <row r="187" spans="1:40" ht="42" customHeight="1">
      <c r="A187" s="191"/>
      <c r="B187" s="189"/>
      <c r="C187" s="189"/>
      <c r="D187" s="189"/>
      <c r="E187" s="190"/>
      <c r="F187" s="189"/>
      <c r="G187" s="189"/>
      <c r="H187" s="189"/>
      <c r="I187" s="191"/>
      <c r="J187" s="191"/>
      <c r="K187" s="191"/>
      <c r="L187" s="191"/>
      <c r="M187" s="192"/>
      <c r="N187" s="191"/>
      <c r="O187" s="189"/>
      <c r="P187" s="194"/>
      <c r="Q187" s="191"/>
      <c r="R187" s="192"/>
      <c r="S187" s="189"/>
      <c r="T187" s="189"/>
      <c r="U187" s="189"/>
      <c r="V187" s="189"/>
      <c r="W187" s="191" t="str">
        <f t="shared" si="5"/>
        <v/>
      </c>
      <c r="X187" s="189"/>
      <c r="Y187" s="189"/>
      <c r="Z187" s="189"/>
      <c r="AA187" s="189"/>
      <c r="AB187" s="189"/>
      <c r="AC187" s="189"/>
      <c r="AD187" s="189"/>
      <c r="AE187" s="189"/>
      <c r="AF187" s="189"/>
      <c r="AG187" s="192"/>
      <c r="AH187" s="192"/>
      <c r="AI187" s="189"/>
      <c r="AJ187" s="189"/>
      <c r="AK187" s="189"/>
      <c r="AL187" s="189"/>
      <c r="AM187" s="191"/>
      <c r="AN187" s="191" t="str">
        <f>IF($A187="","",IF(COUNTIF('Decision Queue'!$A$5:$A$204,$A187)+COUNTIF('Decision Register'!$A$5:$A$304,$A187)&gt;1,"DUPLICATE ID","OK"))</f>
        <v/>
      </c>
    </row>
    <row r="188" spans="1:40" ht="42" customHeight="1">
      <c r="A188" s="191"/>
      <c r="B188" s="189"/>
      <c r="C188" s="189"/>
      <c r="D188" s="189"/>
      <c r="E188" s="190"/>
      <c r="F188" s="189"/>
      <c r="G188" s="189"/>
      <c r="H188" s="189"/>
      <c r="I188" s="191"/>
      <c r="J188" s="191"/>
      <c r="K188" s="191"/>
      <c r="L188" s="191"/>
      <c r="M188" s="192"/>
      <c r="N188" s="191"/>
      <c r="O188" s="189"/>
      <c r="P188" s="194"/>
      <c r="Q188" s="191"/>
      <c r="R188" s="192"/>
      <c r="S188" s="189"/>
      <c r="T188" s="189"/>
      <c r="U188" s="189"/>
      <c r="V188" s="189"/>
      <c r="W188" s="191" t="str">
        <f t="shared" si="5"/>
        <v/>
      </c>
      <c r="X188" s="189"/>
      <c r="Y188" s="189"/>
      <c r="Z188" s="189"/>
      <c r="AA188" s="189"/>
      <c r="AB188" s="189"/>
      <c r="AC188" s="189"/>
      <c r="AD188" s="189"/>
      <c r="AE188" s="189"/>
      <c r="AF188" s="189"/>
      <c r="AG188" s="192"/>
      <c r="AH188" s="192"/>
      <c r="AI188" s="189"/>
      <c r="AJ188" s="189"/>
      <c r="AK188" s="189"/>
      <c r="AL188" s="189"/>
      <c r="AM188" s="191"/>
      <c r="AN188" s="191" t="str">
        <f>IF($A188="","",IF(COUNTIF('Decision Queue'!$A$5:$A$204,$A188)+COUNTIF('Decision Register'!$A$5:$A$304,$A188)&gt;1,"DUPLICATE ID","OK"))</f>
        <v/>
      </c>
    </row>
    <row r="189" spans="1:40" ht="42" customHeight="1">
      <c r="A189" s="191"/>
      <c r="B189" s="189"/>
      <c r="C189" s="189"/>
      <c r="D189" s="189"/>
      <c r="E189" s="190"/>
      <c r="F189" s="189"/>
      <c r="G189" s="189"/>
      <c r="H189" s="189"/>
      <c r="I189" s="191"/>
      <c r="J189" s="191"/>
      <c r="K189" s="191"/>
      <c r="L189" s="191"/>
      <c r="M189" s="192"/>
      <c r="N189" s="191"/>
      <c r="O189" s="189"/>
      <c r="P189" s="194"/>
      <c r="Q189" s="191"/>
      <c r="R189" s="192"/>
      <c r="S189" s="189"/>
      <c r="T189" s="189"/>
      <c r="U189" s="189"/>
      <c r="V189" s="189"/>
      <c r="W189" s="191" t="str">
        <f t="shared" si="5"/>
        <v/>
      </c>
      <c r="X189" s="189"/>
      <c r="Y189" s="189"/>
      <c r="Z189" s="189"/>
      <c r="AA189" s="189"/>
      <c r="AB189" s="189"/>
      <c r="AC189" s="189"/>
      <c r="AD189" s="189"/>
      <c r="AE189" s="189"/>
      <c r="AF189" s="189"/>
      <c r="AG189" s="192"/>
      <c r="AH189" s="192"/>
      <c r="AI189" s="189"/>
      <c r="AJ189" s="189"/>
      <c r="AK189" s="189"/>
      <c r="AL189" s="189"/>
      <c r="AM189" s="191"/>
      <c r="AN189" s="191" t="str">
        <f>IF($A189="","",IF(COUNTIF('Decision Queue'!$A$5:$A$204,$A189)+COUNTIF('Decision Register'!$A$5:$A$304,$A189)&gt;1,"DUPLICATE ID","OK"))</f>
        <v/>
      </c>
    </row>
    <row r="190" spans="1:40" ht="42" customHeight="1">
      <c r="A190" s="191"/>
      <c r="B190" s="189"/>
      <c r="C190" s="189"/>
      <c r="D190" s="189"/>
      <c r="E190" s="190"/>
      <c r="F190" s="189"/>
      <c r="G190" s="189"/>
      <c r="H190" s="189"/>
      <c r="I190" s="191"/>
      <c r="J190" s="191"/>
      <c r="K190" s="191"/>
      <c r="L190" s="191"/>
      <c r="M190" s="192"/>
      <c r="N190" s="191"/>
      <c r="O190" s="189"/>
      <c r="P190" s="194"/>
      <c r="Q190" s="191"/>
      <c r="R190" s="192"/>
      <c r="S190" s="189"/>
      <c r="T190" s="189"/>
      <c r="U190" s="189"/>
      <c r="V190" s="189"/>
      <c r="W190" s="191" t="str">
        <f t="shared" si="5"/>
        <v/>
      </c>
      <c r="X190" s="189"/>
      <c r="Y190" s="189"/>
      <c r="Z190" s="189"/>
      <c r="AA190" s="189"/>
      <c r="AB190" s="189"/>
      <c r="AC190" s="189"/>
      <c r="AD190" s="189"/>
      <c r="AE190" s="189"/>
      <c r="AF190" s="189"/>
      <c r="AG190" s="192"/>
      <c r="AH190" s="192"/>
      <c r="AI190" s="189"/>
      <c r="AJ190" s="189"/>
      <c r="AK190" s="189"/>
      <c r="AL190" s="189"/>
      <c r="AM190" s="191"/>
      <c r="AN190" s="191" t="str">
        <f>IF($A190="","",IF(COUNTIF('Decision Queue'!$A$5:$A$204,$A190)+COUNTIF('Decision Register'!$A$5:$A$304,$A190)&gt;1,"DUPLICATE ID","OK"))</f>
        <v/>
      </c>
    </row>
    <row r="191" spans="1:40" ht="42" customHeight="1">
      <c r="A191" s="191"/>
      <c r="B191" s="189"/>
      <c r="C191" s="189"/>
      <c r="D191" s="189"/>
      <c r="E191" s="190"/>
      <c r="F191" s="189"/>
      <c r="G191" s="189"/>
      <c r="H191" s="189"/>
      <c r="I191" s="191"/>
      <c r="J191" s="191"/>
      <c r="K191" s="191"/>
      <c r="L191" s="191"/>
      <c r="M191" s="192"/>
      <c r="N191" s="191"/>
      <c r="O191" s="189"/>
      <c r="P191" s="194"/>
      <c r="Q191" s="191"/>
      <c r="R191" s="192"/>
      <c r="S191" s="189"/>
      <c r="T191" s="189"/>
      <c r="U191" s="189"/>
      <c r="V191" s="189"/>
      <c r="W191" s="191" t="str">
        <f t="shared" si="5"/>
        <v/>
      </c>
      <c r="X191" s="189"/>
      <c r="Y191" s="189"/>
      <c r="Z191" s="189"/>
      <c r="AA191" s="189"/>
      <c r="AB191" s="189"/>
      <c r="AC191" s="189"/>
      <c r="AD191" s="189"/>
      <c r="AE191" s="189"/>
      <c r="AF191" s="189"/>
      <c r="AG191" s="192"/>
      <c r="AH191" s="192"/>
      <c r="AI191" s="189"/>
      <c r="AJ191" s="189"/>
      <c r="AK191" s="189"/>
      <c r="AL191" s="189"/>
      <c r="AM191" s="191"/>
      <c r="AN191" s="191" t="str">
        <f>IF($A191="","",IF(COUNTIF('Decision Queue'!$A$5:$A$204,$A191)+COUNTIF('Decision Register'!$A$5:$A$304,$A191)&gt;1,"DUPLICATE ID","OK"))</f>
        <v/>
      </c>
    </row>
    <row r="192" spans="1:40" ht="42" customHeight="1">
      <c r="A192" s="191"/>
      <c r="B192" s="189"/>
      <c r="C192" s="189"/>
      <c r="D192" s="189"/>
      <c r="E192" s="190"/>
      <c r="F192" s="189"/>
      <c r="G192" s="189"/>
      <c r="H192" s="189"/>
      <c r="I192" s="191"/>
      <c r="J192" s="191"/>
      <c r="K192" s="191"/>
      <c r="L192" s="191"/>
      <c r="M192" s="192"/>
      <c r="N192" s="191"/>
      <c r="O192" s="189"/>
      <c r="P192" s="194"/>
      <c r="Q192" s="191"/>
      <c r="R192" s="192"/>
      <c r="S192" s="189"/>
      <c r="T192" s="189"/>
      <c r="U192" s="189"/>
      <c r="V192" s="189"/>
      <c r="W192" s="191" t="str">
        <f t="shared" si="5"/>
        <v/>
      </c>
      <c r="X192" s="189"/>
      <c r="Y192" s="189"/>
      <c r="Z192" s="189"/>
      <c r="AA192" s="189"/>
      <c r="AB192" s="189"/>
      <c r="AC192" s="189"/>
      <c r="AD192" s="189"/>
      <c r="AE192" s="189"/>
      <c r="AF192" s="189"/>
      <c r="AG192" s="192"/>
      <c r="AH192" s="192"/>
      <c r="AI192" s="189"/>
      <c r="AJ192" s="189"/>
      <c r="AK192" s="189"/>
      <c r="AL192" s="189"/>
      <c r="AM192" s="191"/>
      <c r="AN192" s="191" t="str">
        <f>IF($A192="","",IF(COUNTIF('Decision Queue'!$A$5:$A$204,$A192)+COUNTIF('Decision Register'!$A$5:$A$304,$A192)&gt;1,"DUPLICATE ID","OK"))</f>
        <v/>
      </c>
    </row>
    <row r="193" spans="1:40" ht="42" customHeight="1">
      <c r="A193" s="191"/>
      <c r="B193" s="189"/>
      <c r="C193" s="189"/>
      <c r="D193" s="189"/>
      <c r="E193" s="190"/>
      <c r="F193" s="189"/>
      <c r="G193" s="189"/>
      <c r="H193" s="189"/>
      <c r="I193" s="191"/>
      <c r="J193" s="191"/>
      <c r="K193" s="191"/>
      <c r="L193" s="191"/>
      <c r="M193" s="192"/>
      <c r="N193" s="191"/>
      <c r="O193" s="189"/>
      <c r="P193" s="194"/>
      <c r="Q193" s="191"/>
      <c r="R193" s="192"/>
      <c r="S193" s="189"/>
      <c r="T193" s="189"/>
      <c r="U193" s="189"/>
      <c r="V193" s="189"/>
      <c r="W193" s="191" t="str">
        <f t="shared" si="5"/>
        <v/>
      </c>
      <c r="X193" s="189"/>
      <c r="Y193" s="189"/>
      <c r="Z193" s="189"/>
      <c r="AA193" s="189"/>
      <c r="AB193" s="189"/>
      <c r="AC193" s="189"/>
      <c r="AD193" s="189"/>
      <c r="AE193" s="189"/>
      <c r="AF193" s="189"/>
      <c r="AG193" s="192"/>
      <c r="AH193" s="192"/>
      <c r="AI193" s="189"/>
      <c r="AJ193" s="189"/>
      <c r="AK193" s="189"/>
      <c r="AL193" s="189"/>
      <c r="AM193" s="191"/>
      <c r="AN193" s="191" t="str">
        <f>IF($A193="","",IF(COUNTIF('Decision Queue'!$A$5:$A$204,$A193)+COUNTIF('Decision Register'!$A$5:$A$304,$A193)&gt;1,"DUPLICATE ID","OK"))</f>
        <v/>
      </c>
    </row>
    <row r="194" spans="1:40" ht="42" customHeight="1">
      <c r="A194" s="191"/>
      <c r="B194" s="189"/>
      <c r="C194" s="189"/>
      <c r="D194" s="189"/>
      <c r="E194" s="190"/>
      <c r="F194" s="189"/>
      <c r="G194" s="189"/>
      <c r="H194" s="189"/>
      <c r="I194" s="191"/>
      <c r="J194" s="191"/>
      <c r="K194" s="191"/>
      <c r="L194" s="191"/>
      <c r="M194" s="192"/>
      <c r="N194" s="191"/>
      <c r="O194" s="189"/>
      <c r="P194" s="194"/>
      <c r="Q194" s="191"/>
      <c r="R194" s="192"/>
      <c r="S194" s="189"/>
      <c r="T194" s="189"/>
      <c r="U194" s="189"/>
      <c r="V194" s="189"/>
      <c r="W194" s="191" t="str">
        <f t="shared" si="5"/>
        <v/>
      </c>
      <c r="X194" s="189"/>
      <c r="Y194" s="189"/>
      <c r="Z194" s="189"/>
      <c r="AA194" s="189"/>
      <c r="AB194" s="189"/>
      <c r="AC194" s="189"/>
      <c r="AD194" s="189"/>
      <c r="AE194" s="189"/>
      <c r="AF194" s="189"/>
      <c r="AG194" s="192"/>
      <c r="AH194" s="192"/>
      <c r="AI194" s="189"/>
      <c r="AJ194" s="189"/>
      <c r="AK194" s="189"/>
      <c r="AL194" s="189"/>
      <c r="AM194" s="191"/>
      <c r="AN194" s="191" t="str">
        <f>IF($A194="","",IF(COUNTIF('Decision Queue'!$A$5:$A$204,$A194)+COUNTIF('Decision Register'!$A$5:$A$304,$A194)&gt;1,"DUPLICATE ID","OK"))</f>
        <v/>
      </c>
    </row>
    <row r="195" spans="1:40" ht="42" customHeight="1">
      <c r="A195" s="191"/>
      <c r="B195" s="189"/>
      <c r="C195" s="189"/>
      <c r="D195" s="189"/>
      <c r="E195" s="190"/>
      <c r="F195" s="189"/>
      <c r="G195" s="189"/>
      <c r="H195" s="189"/>
      <c r="I195" s="191"/>
      <c r="J195" s="191"/>
      <c r="K195" s="191"/>
      <c r="L195" s="191"/>
      <c r="M195" s="192"/>
      <c r="N195" s="191"/>
      <c r="O195" s="189"/>
      <c r="P195" s="194"/>
      <c r="Q195" s="191"/>
      <c r="R195" s="192"/>
      <c r="S195" s="189"/>
      <c r="T195" s="189"/>
      <c r="U195" s="189"/>
      <c r="V195" s="189"/>
      <c r="W195" s="191" t="str">
        <f t="shared" si="5"/>
        <v/>
      </c>
      <c r="X195" s="189"/>
      <c r="Y195" s="189"/>
      <c r="Z195" s="189"/>
      <c r="AA195" s="189"/>
      <c r="AB195" s="189"/>
      <c r="AC195" s="189"/>
      <c r="AD195" s="189"/>
      <c r="AE195" s="189"/>
      <c r="AF195" s="189"/>
      <c r="AG195" s="192"/>
      <c r="AH195" s="192"/>
      <c r="AI195" s="189"/>
      <c r="AJ195" s="189"/>
      <c r="AK195" s="189"/>
      <c r="AL195" s="189"/>
      <c r="AM195" s="191"/>
      <c r="AN195" s="191" t="str">
        <f>IF($A195="","",IF(COUNTIF('Decision Queue'!$A$5:$A$204,$A195)+COUNTIF('Decision Register'!$A$5:$A$304,$A195)&gt;1,"DUPLICATE ID","OK"))</f>
        <v/>
      </c>
    </row>
    <row r="196" spans="1:40" ht="42" customHeight="1">
      <c r="A196" s="191"/>
      <c r="B196" s="189"/>
      <c r="C196" s="189"/>
      <c r="D196" s="189"/>
      <c r="E196" s="190"/>
      <c r="F196" s="189"/>
      <c r="G196" s="189"/>
      <c r="H196" s="189"/>
      <c r="I196" s="191"/>
      <c r="J196" s="191"/>
      <c r="K196" s="191"/>
      <c r="L196" s="191"/>
      <c r="M196" s="192"/>
      <c r="N196" s="191"/>
      <c r="O196" s="189"/>
      <c r="P196" s="194"/>
      <c r="Q196" s="191"/>
      <c r="R196" s="192"/>
      <c r="S196" s="189"/>
      <c r="T196" s="189"/>
      <c r="U196" s="189"/>
      <c r="V196" s="189"/>
      <c r="W196" s="191" t="str">
        <f t="shared" si="5"/>
        <v/>
      </c>
      <c r="X196" s="189"/>
      <c r="Y196" s="189"/>
      <c r="Z196" s="189"/>
      <c r="AA196" s="189"/>
      <c r="AB196" s="189"/>
      <c r="AC196" s="189"/>
      <c r="AD196" s="189"/>
      <c r="AE196" s="189"/>
      <c r="AF196" s="189"/>
      <c r="AG196" s="192"/>
      <c r="AH196" s="192"/>
      <c r="AI196" s="189"/>
      <c r="AJ196" s="189"/>
      <c r="AK196" s="189"/>
      <c r="AL196" s="189"/>
      <c r="AM196" s="191"/>
      <c r="AN196" s="191" t="str">
        <f>IF($A196="","",IF(COUNTIF('Decision Queue'!$A$5:$A$204,$A196)+COUNTIF('Decision Register'!$A$5:$A$304,$A196)&gt;1,"DUPLICATE ID","OK"))</f>
        <v/>
      </c>
    </row>
    <row r="197" spans="1:40" ht="42" customHeight="1">
      <c r="A197" s="191"/>
      <c r="B197" s="189"/>
      <c r="C197" s="189"/>
      <c r="D197" s="189"/>
      <c r="E197" s="190"/>
      <c r="F197" s="189"/>
      <c r="G197" s="189"/>
      <c r="H197" s="189"/>
      <c r="I197" s="191"/>
      <c r="J197" s="191"/>
      <c r="K197" s="191"/>
      <c r="L197" s="191"/>
      <c r="M197" s="192"/>
      <c r="N197" s="191"/>
      <c r="O197" s="189"/>
      <c r="P197" s="194"/>
      <c r="Q197" s="191"/>
      <c r="R197" s="192"/>
      <c r="S197" s="189"/>
      <c r="T197" s="189"/>
      <c r="U197" s="189"/>
      <c r="V197" s="189"/>
      <c r="W197" s="191" t="str">
        <f t="shared" ref="W197:W204" si="6">IF($B197="","",IF(OR($G197="Completed",$G197="Cancelled"),"INACTIVE","ACTIVE"))</f>
        <v/>
      </c>
      <c r="X197" s="189"/>
      <c r="Y197" s="189"/>
      <c r="Z197" s="189"/>
      <c r="AA197" s="189"/>
      <c r="AB197" s="189"/>
      <c r="AC197" s="189"/>
      <c r="AD197" s="189"/>
      <c r="AE197" s="189"/>
      <c r="AF197" s="189"/>
      <c r="AG197" s="192"/>
      <c r="AH197" s="192"/>
      <c r="AI197" s="189"/>
      <c r="AJ197" s="189"/>
      <c r="AK197" s="189"/>
      <c r="AL197" s="189"/>
      <c r="AM197" s="191"/>
      <c r="AN197" s="191" t="str">
        <f>IF($A197="","",IF(COUNTIF('Decision Queue'!$A$5:$A$204,$A197)+COUNTIF('Decision Register'!$A$5:$A$304,$A197)&gt;1,"DUPLICATE ID","OK"))</f>
        <v/>
      </c>
    </row>
    <row r="198" spans="1:40" ht="42" customHeight="1">
      <c r="A198" s="191"/>
      <c r="B198" s="189"/>
      <c r="C198" s="189"/>
      <c r="D198" s="189"/>
      <c r="E198" s="190"/>
      <c r="F198" s="189"/>
      <c r="G198" s="189"/>
      <c r="H198" s="189"/>
      <c r="I198" s="191"/>
      <c r="J198" s="191"/>
      <c r="K198" s="191"/>
      <c r="L198" s="191"/>
      <c r="M198" s="192"/>
      <c r="N198" s="191"/>
      <c r="O198" s="189"/>
      <c r="P198" s="194"/>
      <c r="Q198" s="191"/>
      <c r="R198" s="192"/>
      <c r="S198" s="189"/>
      <c r="T198" s="189"/>
      <c r="U198" s="189"/>
      <c r="V198" s="189"/>
      <c r="W198" s="191" t="str">
        <f t="shared" si="6"/>
        <v/>
      </c>
      <c r="X198" s="189"/>
      <c r="Y198" s="189"/>
      <c r="Z198" s="189"/>
      <c r="AA198" s="189"/>
      <c r="AB198" s="189"/>
      <c r="AC198" s="189"/>
      <c r="AD198" s="189"/>
      <c r="AE198" s="189"/>
      <c r="AF198" s="189"/>
      <c r="AG198" s="192"/>
      <c r="AH198" s="192"/>
      <c r="AI198" s="189"/>
      <c r="AJ198" s="189"/>
      <c r="AK198" s="189"/>
      <c r="AL198" s="189"/>
      <c r="AM198" s="191"/>
      <c r="AN198" s="191" t="str">
        <f>IF($A198="","",IF(COUNTIF('Decision Queue'!$A$5:$A$204,$A198)+COUNTIF('Decision Register'!$A$5:$A$304,$A198)&gt;1,"DUPLICATE ID","OK"))</f>
        <v/>
      </c>
    </row>
    <row r="199" spans="1:40" ht="42" customHeight="1">
      <c r="A199" s="191"/>
      <c r="B199" s="189"/>
      <c r="C199" s="189"/>
      <c r="D199" s="189"/>
      <c r="E199" s="190"/>
      <c r="F199" s="189"/>
      <c r="G199" s="189"/>
      <c r="H199" s="189"/>
      <c r="I199" s="191"/>
      <c r="J199" s="191"/>
      <c r="K199" s="191"/>
      <c r="L199" s="191"/>
      <c r="M199" s="192"/>
      <c r="N199" s="191"/>
      <c r="O199" s="189"/>
      <c r="P199" s="194"/>
      <c r="Q199" s="191"/>
      <c r="R199" s="192"/>
      <c r="S199" s="189"/>
      <c r="T199" s="189"/>
      <c r="U199" s="189"/>
      <c r="V199" s="189"/>
      <c r="W199" s="191" t="str">
        <f t="shared" si="6"/>
        <v/>
      </c>
      <c r="X199" s="189"/>
      <c r="Y199" s="189"/>
      <c r="Z199" s="189"/>
      <c r="AA199" s="189"/>
      <c r="AB199" s="189"/>
      <c r="AC199" s="189"/>
      <c r="AD199" s="189"/>
      <c r="AE199" s="189"/>
      <c r="AF199" s="189"/>
      <c r="AG199" s="192"/>
      <c r="AH199" s="192"/>
      <c r="AI199" s="189"/>
      <c r="AJ199" s="189"/>
      <c r="AK199" s="189"/>
      <c r="AL199" s="189"/>
      <c r="AM199" s="191"/>
      <c r="AN199" s="191" t="str">
        <f>IF($A199="","",IF(COUNTIF('Decision Queue'!$A$5:$A$204,$A199)+COUNTIF('Decision Register'!$A$5:$A$304,$A199)&gt;1,"DUPLICATE ID","OK"))</f>
        <v/>
      </c>
    </row>
    <row r="200" spans="1:40" ht="42" customHeight="1">
      <c r="A200" s="191"/>
      <c r="B200" s="189"/>
      <c r="C200" s="189"/>
      <c r="D200" s="189"/>
      <c r="E200" s="190"/>
      <c r="F200" s="189"/>
      <c r="G200" s="189"/>
      <c r="H200" s="189"/>
      <c r="I200" s="191"/>
      <c r="J200" s="191"/>
      <c r="K200" s="191"/>
      <c r="L200" s="191"/>
      <c r="M200" s="192"/>
      <c r="N200" s="191"/>
      <c r="O200" s="189"/>
      <c r="P200" s="194"/>
      <c r="Q200" s="191"/>
      <c r="R200" s="192"/>
      <c r="S200" s="189"/>
      <c r="T200" s="189"/>
      <c r="U200" s="189"/>
      <c r="V200" s="189"/>
      <c r="W200" s="191" t="str">
        <f t="shared" si="6"/>
        <v/>
      </c>
      <c r="X200" s="189"/>
      <c r="Y200" s="189"/>
      <c r="Z200" s="189"/>
      <c r="AA200" s="189"/>
      <c r="AB200" s="189"/>
      <c r="AC200" s="189"/>
      <c r="AD200" s="189"/>
      <c r="AE200" s="189"/>
      <c r="AF200" s="189"/>
      <c r="AG200" s="192"/>
      <c r="AH200" s="192"/>
      <c r="AI200" s="189"/>
      <c r="AJ200" s="189"/>
      <c r="AK200" s="189"/>
      <c r="AL200" s="189"/>
      <c r="AM200" s="191"/>
      <c r="AN200" s="191" t="str">
        <f>IF($A200="","",IF(COUNTIF('Decision Queue'!$A$5:$A$204,$A200)+COUNTIF('Decision Register'!$A$5:$A$304,$A200)&gt;1,"DUPLICATE ID","OK"))</f>
        <v/>
      </c>
    </row>
    <row r="201" spans="1:40" ht="42" customHeight="1">
      <c r="A201" s="191"/>
      <c r="B201" s="189"/>
      <c r="C201" s="189"/>
      <c r="D201" s="189"/>
      <c r="E201" s="190"/>
      <c r="F201" s="189"/>
      <c r="G201" s="189"/>
      <c r="H201" s="189"/>
      <c r="I201" s="191"/>
      <c r="J201" s="191"/>
      <c r="K201" s="191"/>
      <c r="L201" s="191"/>
      <c r="M201" s="192"/>
      <c r="N201" s="191"/>
      <c r="O201" s="189"/>
      <c r="P201" s="194"/>
      <c r="Q201" s="191"/>
      <c r="R201" s="192"/>
      <c r="S201" s="189"/>
      <c r="T201" s="189"/>
      <c r="U201" s="189"/>
      <c r="V201" s="189"/>
      <c r="W201" s="191" t="str">
        <f t="shared" si="6"/>
        <v/>
      </c>
      <c r="X201" s="189"/>
      <c r="Y201" s="189"/>
      <c r="Z201" s="189"/>
      <c r="AA201" s="189"/>
      <c r="AB201" s="189"/>
      <c r="AC201" s="189"/>
      <c r="AD201" s="189"/>
      <c r="AE201" s="189"/>
      <c r="AF201" s="189"/>
      <c r="AG201" s="192"/>
      <c r="AH201" s="192"/>
      <c r="AI201" s="189"/>
      <c r="AJ201" s="189"/>
      <c r="AK201" s="189"/>
      <c r="AL201" s="189"/>
      <c r="AM201" s="191"/>
      <c r="AN201" s="191" t="str">
        <f>IF($A201="","",IF(COUNTIF('Decision Queue'!$A$5:$A$204,$A201)+COUNTIF('Decision Register'!$A$5:$A$304,$A201)&gt;1,"DUPLICATE ID","OK"))</f>
        <v/>
      </c>
    </row>
    <row r="202" spans="1:40" ht="42" customHeight="1">
      <c r="A202" s="191"/>
      <c r="B202" s="189"/>
      <c r="C202" s="189"/>
      <c r="D202" s="189"/>
      <c r="E202" s="190"/>
      <c r="F202" s="189"/>
      <c r="G202" s="189"/>
      <c r="H202" s="189"/>
      <c r="I202" s="191"/>
      <c r="J202" s="191"/>
      <c r="K202" s="191"/>
      <c r="L202" s="191"/>
      <c r="M202" s="192"/>
      <c r="N202" s="191"/>
      <c r="O202" s="189"/>
      <c r="P202" s="194"/>
      <c r="Q202" s="191"/>
      <c r="R202" s="192"/>
      <c r="S202" s="189"/>
      <c r="T202" s="189"/>
      <c r="U202" s="189"/>
      <c r="V202" s="189"/>
      <c r="W202" s="191" t="str">
        <f t="shared" si="6"/>
        <v/>
      </c>
      <c r="X202" s="189"/>
      <c r="Y202" s="189"/>
      <c r="Z202" s="189"/>
      <c r="AA202" s="189"/>
      <c r="AB202" s="189"/>
      <c r="AC202" s="189"/>
      <c r="AD202" s="189"/>
      <c r="AE202" s="189"/>
      <c r="AF202" s="189"/>
      <c r="AG202" s="192"/>
      <c r="AH202" s="192"/>
      <c r="AI202" s="189"/>
      <c r="AJ202" s="189"/>
      <c r="AK202" s="189"/>
      <c r="AL202" s="189"/>
      <c r="AM202" s="191"/>
      <c r="AN202" s="191" t="str">
        <f>IF($A202="","",IF(COUNTIF('Decision Queue'!$A$5:$A$204,$A202)+COUNTIF('Decision Register'!$A$5:$A$304,$A202)&gt;1,"DUPLICATE ID","OK"))</f>
        <v/>
      </c>
    </row>
    <row r="203" spans="1:40" ht="42" customHeight="1">
      <c r="A203" s="191"/>
      <c r="B203" s="189"/>
      <c r="C203" s="189"/>
      <c r="D203" s="189"/>
      <c r="E203" s="190"/>
      <c r="F203" s="189"/>
      <c r="G203" s="189"/>
      <c r="H203" s="189"/>
      <c r="I203" s="191"/>
      <c r="J203" s="191"/>
      <c r="K203" s="191"/>
      <c r="L203" s="191"/>
      <c r="M203" s="192"/>
      <c r="N203" s="191"/>
      <c r="O203" s="189"/>
      <c r="P203" s="194"/>
      <c r="Q203" s="191"/>
      <c r="R203" s="192"/>
      <c r="S203" s="189"/>
      <c r="T203" s="189"/>
      <c r="U203" s="189"/>
      <c r="V203" s="189"/>
      <c r="W203" s="191" t="str">
        <f t="shared" si="6"/>
        <v/>
      </c>
      <c r="X203" s="189"/>
      <c r="Y203" s="189"/>
      <c r="Z203" s="189"/>
      <c r="AA203" s="189"/>
      <c r="AB203" s="189"/>
      <c r="AC203" s="189"/>
      <c r="AD203" s="189"/>
      <c r="AE203" s="189"/>
      <c r="AF203" s="189"/>
      <c r="AG203" s="192"/>
      <c r="AH203" s="192"/>
      <c r="AI203" s="189"/>
      <c r="AJ203" s="189"/>
      <c r="AK203" s="189"/>
      <c r="AL203" s="189"/>
      <c r="AM203" s="191"/>
      <c r="AN203" s="191" t="str">
        <f>IF($A203="","",IF(COUNTIF('Decision Queue'!$A$5:$A$204,$A203)+COUNTIF('Decision Register'!$A$5:$A$304,$A203)&gt;1,"DUPLICATE ID","OK"))</f>
        <v/>
      </c>
    </row>
    <row r="204" spans="1:40" ht="42" customHeight="1">
      <c r="A204" s="191"/>
      <c r="B204" s="189"/>
      <c r="C204" s="189"/>
      <c r="D204" s="189"/>
      <c r="E204" s="190"/>
      <c r="F204" s="189"/>
      <c r="G204" s="189"/>
      <c r="H204" s="189"/>
      <c r="I204" s="191"/>
      <c r="J204" s="191"/>
      <c r="K204" s="191"/>
      <c r="L204" s="191"/>
      <c r="M204" s="192"/>
      <c r="N204" s="191"/>
      <c r="O204" s="189"/>
      <c r="P204" s="194"/>
      <c r="Q204" s="191"/>
      <c r="R204" s="192"/>
      <c r="S204" s="189"/>
      <c r="T204" s="189"/>
      <c r="U204" s="189"/>
      <c r="V204" s="189"/>
      <c r="W204" s="191" t="str">
        <f t="shared" si="6"/>
        <v/>
      </c>
      <c r="X204" s="189"/>
      <c r="Y204" s="189"/>
      <c r="Z204" s="189"/>
      <c r="AA204" s="189"/>
      <c r="AB204" s="189"/>
      <c r="AC204" s="189"/>
      <c r="AD204" s="189"/>
      <c r="AE204" s="189"/>
      <c r="AF204" s="189"/>
      <c r="AG204" s="192"/>
      <c r="AH204" s="192"/>
      <c r="AI204" s="189"/>
      <c r="AJ204" s="189"/>
      <c r="AK204" s="189"/>
      <c r="AL204" s="189"/>
      <c r="AM204" s="191"/>
      <c r="AN204" s="191" t="str">
        <f>IF($A204="","",IF(COUNTIF('Decision Queue'!$A$5:$A$204,$A204)+COUNTIF('Decision Register'!$A$5:$A$304,$A204)&gt;1,"DUPLICATE ID","OK"))</f>
        <v/>
      </c>
    </row>
  </sheetData>
  <sheetProtection algorithmName="SHA-512" hashValue="0dhWExMxDgmdOVZ8cYLB9GCpU0z9MmcGrEMNMmlK9mIWt8q06OrO34mb3VbCxSqdv0INYExO9GSEFgisWVe1GA==" saltValue="B/9Yor8Oh/DuMAUzj51zEw==" spinCount="100000" sheet="1" formatColumns="0" formatRows="0" sort="0" autoFilter="0"/>
  <mergeCells count="3">
    <mergeCell ref="A3:AN3"/>
    <mergeCell ref="A2:AN2"/>
    <mergeCell ref="A1:AN1"/>
  </mergeCells>
  <phoneticPr fontId="52" type="noConversion"/>
  <conditionalFormatting sqref="G5:G204">
    <cfRule type="containsText" dxfId="39" priority="1" operator="containsText" text="Completed"/>
    <cfRule type="containsText" dxfId="38" priority="2" operator="containsText" text="Cancelled"/>
  </conditionalFormatting>
  <conditionalFormatting sqref="K5:K204">
    <cfRule type="containsText" dxfId="37" priority="3" operator="containsText" text="High"/>
  </conditionalFormatting>
  <conditionalFormatting sqref="AN5:AN204">
    <cfRule type="containsText" dxfId="36" priority="4" operator="containsText" text="DUPLICATE"/>
  </conditionalFormatting>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10">
        <x14:dataValidation type="list" allowBlank="1" xr:uid="{00000000-0002-0000-0D00-000000000000}">
          <x14:formula1>
            <xm:f>'Lists &amp; Controls'!$K$5:$K$104</xm:f>
          </x14:formula1>
          <xm:sqref>C5:C204</xm:sqref>
        </x14:dataValidation>
        <x14:dataValidation type="list" allowBlank="1" xr:uid="{00000000-0002-0000-0D00-000001000000}">
          <x14:formula1>
            <xm:f>'Lists &amp; Controls'!$N$5:$N$104</xm:f>
          </x14:formula1>
          <xm:sqref>AF5:AF204 AA5:AA204 P5:Q204 D5:D204</xm:sqref>
        </x14:dataValidation>
        <x14:dataValidation type="list" allowBlank="1" xr:uid="{00000000-0002-0000-0D00-000002000000}">
          <x14:formula1>
            <xm:f>'Lists &amp; Controls'!$A$5:$A$104</xm:f>
          </x14:formula1>
          <xm:sqref>AE5:AE204 G5:G204</xm:sqref>
        </x14:dataValidation>
        <x14:dataValidation type="list" allowBlank="1" xr:uid="{00000000-0002-0000-0D00-000003000000}">
          <x14:formula1>
            <xm:f>'Lists &amp; Controls'!$I$5:$I$104</xm:f>
          </x14:formula1>
          <xm:sqref>H5:H204</xm:sqref>
        </x14:dataValidation>
        <x14:dataValidation type="list" allowBlank="1" xr:uid="{00000000-0002-0000-0D00-000004000000}">
          <x14:formula1>
            <xm:f>'Lists &amp; Controls'!$J$5:$J$104</xm:f>
          </x14:formula1>
          <xm:sqref>I5:I204</xm:sqref>
        </x14:dataValidation>
        <x14:dataValidation type="list" allowBlank="1" xr:uid="{00000000-0002-0000-0D00-000005000000}">
          <x14:formula1>
            <xm:f>'Lists &amp; Controls'!$H$5:$H$104</xm:f>
          </x14:formula1>
          <xm:sqref>J11:J204 J5:J7</xm:sqref>
        </x14:dataValidation>
        <x14:dataValidation type="list" allowBlank="1" xr:uid="{00000000-0002-0000-0D00-000006000000}">
          <x14:formula1>
            <xm:f>'Lists &amp; Controls'!$C$5:$C$104</xm:f>
          </x14:formula1>
          <xm:sqref>K11:K204 K5:K7</xm:sqref>
        </x14:dataValidation>
        <x14:dataValidation type="list" allowBlank="1" xr:uid="{00000000-0002-0000-0D00-000007000000}">
          <x14:formula1>
            <xm:f>'Lists &amp; Controls'!$F$5:$F$104</xm:f>
          </x14:formula1>
          <xm:sqref>L5:L204</xm:sqref>
        </x14:dataValidation>
        <x14:dataValidation type="list" allowBlank="1" xr:uid="{00000000-0002-0000-0D00-000008000000}">
          <x14:formula1>
            <xm:f>'Lists &amp; Controls'!$G$5:$G$104</xm:f>
          </x14:formula1>
          <xm:sqref>N5:N204</xm:sqref>
        </x14:dataValidation>
        <x14:dataValidation type="list" allowBlank="1" xr:uid="{00000000-0002-0000-0D00-00000E000000}">
          <x14:formula1>
            <xm:f>'Lists &amp; Controls'!$U$5:$U$104</xm:f>
          </x14:formula1>
          <xm:sqref>AM5:AM204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O304"/>
  <sheetViews>
    <sheetView showGridLines="0" zoomScale="85" zoomScaleNormal="85" workbookViewId="0">
      <selection activeCell="J5" sqref="J5"/>
    </sheetView>
  </sheetViews>
  <sheetFormatPr defaultRowHeight="14.5"/>
  <cols>
    <col min="1" max="1" width="15" customWidth="1"/>
    <col min="2" max="2" width="38" customWidth="1"/>
    <col min="3" max="3" width="17.7265625" customWidth="1"/>
    <col min="4" max="4" width="12.26953125" customWidth="1"/>
    <col min="5" max="5" width="16.81640625" style="132" customWidth="1"/>
    <col min="6" max="6" width="44" customWidth="1"/>
    <col min="7" max="7" width="17.26953125" customWidth="1"/>
    <col min="8" max="8" width="20" customWidth="1"/>
    <col min="9" max="10" width="18" customWidth="1"/>
    <col min="11" max="11" width="14" customWidth="1"/>
    <col min="12" max="12" width="22" customWidth="1"/>
    <col min="13" max="13" width="15" customWidth="1"/>
    <col min="14" max="14" width="21.54296875" customWidth="1"/>
    <col min="15" max="15" width="42" customWidth="1"/>
    <col min="16" max="17" width="16" customWidth="1"/>
    <col min="18" max="18" width="15" customWidth="1"/>
    <col min="19" max="19" width="42" customWidth="1"/>
    <col min="20" max="20" width="32" customWidth="1"/>
    <col min="21" max="21" width="41.453125" customWidth="1"/>
    <col min="22" max="22" width="20" hidden="1" customWidth="1"/>
    <col min="23" max="23" width="15" hidden="1" customWidth="1"/>
    <col min="24" max="25" width="18" hidden="1" customWidth="1"/>
    <col min="26" max="26" width="38" hidden="1" customWidth="1"/>
    <col min="27" max="27" width="18" hidden="1" customWidth="1"/>
    <col min="28" max="28" width="34" hidden="1" customWidth="1"/>
    <col min="29" max="30" width="42" hidden="1" customWidth="1"/>
    <col min="31" max="31" width="18" hidden="1" customWidth="1"/>
    <col min="32" max="32" width="16" hidden="1" customWidth="1"/>
    <col min="33" max="34" width="15" hidden="1" customWidth="1"/>
    <col min="35" max="36" width="22" hidden="1" customWidth="1"/>
    <col min="37" max="39" width="18" hidden="1" customWidth="1"/>
    <col min="40" max="40" width="0.453125" hidden="1" customWidth="1"/>
    <col min="41" max="41" width="3.7265625" customWidth="1"/>
  </cols>
  <sheetData>
    <row r="1" spans="1:41" ht="28" customHeight="1">
      <c r="A1" s="358" t="s">
        <v>84</v>
      </c>
      <c r="B1" s="274"/>
      <c r="C1" s="274"/>
      <c r="D1" s="274"/>
      <c r="E1" s="274"/>
      <c r="F1" s="274"/>
      <c r="G1" s="274"/>
      <c r="H1" s="274"/>
      <c r="I1" s="274"/>
      <c r="J1" s="274"/>
      <c r="K1" s="274"/>
      <c r="L1" s="274"/>
      <c r="M1" s="274"/>
      <c r="N1" s="274"/>
      <c r="O1" s="274"/>
      <c r="P1" s="274"/>
      <c r="Q1" s="274"/>
      <c r="R1" s="274"/>
      <c r="S1" s="274"/>
      <c r="T1" s="274"/>
      <c r="U1" s="274"/>
      <c r="V1" s="274"/>
      <c r="W1" s="274"/>
      <c r="X1" s="274"/>
      <c r="Y1" s="274"/>
      <c r="Z1" s="274"/>
      <c r="AA1" s="274"/>
      <c r="AB1" s="274"/>
      <c r="AC1" s="274"/>
      <c r="AD1" s="274"/>
      <c r="AE1" s="274"/>
      <c r="AF1" s="274"/>
      <c r="AG1" s="274"/>
      <c r="AH1" s="274"/>
      <c r="AI1" s="274"/>
      <c r="AJ1" s="274"/>
      <c r="AK1" s="274"/>
      <c r="AL1" s="274"/>
      <c r="AM1" s="274"/>
      <c r="AN1" s="274"/>
    </row>
    <row r="2" spans="1:41" ht="28" customHeight="1">
      <c r="A2" s="357" t="s">
        <v>510</v>
      </c>
      <c r="B2" s="332"/>
      <c r="C2" s="332"/>
      <c r="D2" s="332"/>
      <c r="E2" s="332"/>
      <c r="F2" s="332"/>
      <c r="G2" s="332"/>
      <c r="H2" s="332"/>
      <c r="I2" s="332"/>
      <c r="J2" s="332"/>
      <c r="K2" s="332"/>
      <c r="L2" s="332"/>
      <c r="M2" s="332"/>
      <c r="N2" s="332"/>
      <c r="O2" s="332"/>
      <c r="P2" s="332"/>
      <c r="Q2" s="332"/>
      <c r="R2" s="332"/>
      <c r="S2" s="332"/>
      <c r="T2" s="332"/>
      <c r="U2" s="332"/>
      <c r="V2" s="332"/>
      <c r="W2" s="332"/>
      <c r="X2" s="332"/>
      <c r="Y2" s="332"/>
      <c r="Z2" s="332"/>
      <c r="AA2" s="332"/>
      <c r="AB2" s="332"/>
      <c r="AC2" s="332"/>
      <c r="AD2" s="332"/>
      <c r="AE2" s="332"/>
      <c r="AF2" s="332"/>
      <c r="AG2" s="332"/>
      <c r="AH2" s="332"/>
      <c r="AI2" s="332"/>
      <c r="AJ2" s="332"/>
      <c r="AK2" s="332"/>
      <c r="AL2" s="332"/>
      <c r="AM2" s="332"/>
      <c r="AN2" s="332"/>
    </row>
    <row r="3" spans="1:41" ht="36" customHeight="1">
      <c r="A3" s="353" t="s">
        <v>511</v>
      </c>
      <c r="B3" s="274"/>
      <c r="C3" s="274"/>
      <c r="D3" s="274"/>
      <c r="E3" s="274"/>
      <c r="F3" s="274"/>
      <c r="G3" s="274"/>
      <c r="H3" s="274"/>
      <c r="I3" s="274"/>
      <c r="J3" s="274"/>
      <c r="K3" s="274"/>
      <c r="L3" s="274"/>
      <c r="M3" s="274"/>
      <c r="N3" s="274"/>
      <c r="O3" s="274"/>
      <c r="P3" s="274"/>
      <c r="Q3" s="274"/>
      <c r="R3" s="274"/>
      <c r="S3" s="274"/>
      <c r="T3" s="274"/>
      <c r="U3" s="274"/>
      <c r="V3" s="274"/>
      <c r="W3" s="274"/>
      <c r="X3" s="274"/>
      <c r="Y3" s="274"/>
      <c r="Z3" s="274"/>
      <c r="AA3" s="274"/>
      <c r="AB3" s="274"/>
      <c r="AC3" s="274"/>
      <c r="AD3" s="274"/>
      <c r="AE3" s="274"/>
      <c r="AF3" s="274"/>
      <c r="AG3" s="274"/>
      <c r="AH3" s="274"/>
      <c r="AI3" s="274"/>
      <c r="AJ3" s="274"/>
      <c r="AK3" s="274"/>
      <c r="AL3" s="274"/>
      <c r="AM3" s="274"/>
      <c r="AN3" s="274"/>
    </row>
    <row r="4" spans="1:41" s="130" customFormat="1" ht="34" customHeight="1">
      <c r="A4" s="129" t="s">
        <v>439</v>
      </c>
      <c r="B4" s="129" t="s">
        <v>440</v>
      </c>
      <c r="C4" s="129" t="s">
        <v>441</v>
      </c>
      <c r="D4" s="129" t="s">
        <v>442</v>
      </c>
      <c r="E4" s="129" t="s">
        <v>443</v>
      </c>
      <c r="F4" s="129" t="s">
        <v>444</v>
      </c>
      <c r="G4" s="129" t="s">
        <v>102</v>
      </c>
      <c r="H4" s="129" t="s">
        <v>445</v>
      </c>
      <c r="I4" s="129" t="s">
        <v>446</v>
      </c>
      <c r="J4" s="129" t="s">
        <v>161</v>
      </c>
      <c r="K4" s="129" t="s">
        <v>159</v>
      </c>
      <c r="L4" s="129" t="s">
        <v>105</v>
      </c>
      <c r="M4" s="129" t="s">
        <v>447</v>
      </c>
      <c r="N4" s="129" t="s">
        <v>448</v>
      </c>
      <c r="O4" s="129" t="s">
        <v>449</v>
      </c>
      <c r="P4" s="129" t="s">
        <v>450</v>
      </c>
      <c r="Q4" s="129" t="s">
        <v>451</v>
      </c>
      <c r="R4" s="129" t="s">
        <v>452</v>
      </c>
      <c r="S4" s="129" t="s">
        <v>453</v>
      </c>
      <c r="T4" s="129" t="s">
        <v>163</v>
      </c>
      <c r="U4" s="129" t="s">
        <v>164</v>
      </c>
      <c r="V4" s="129" t="s">
        <v>454</v>
      </c>
      <c r="W4" s="129" t="s">
        <v>168</v>
      </c>
      <c r="X4" s="129" t="s">
        <v>455</v>
      </c>
      <c r="Y4" s="129" t="s">
        <v>456</v>
      </c>
      <c r="Z4" s="129" t="s">
        <v>457</v>
      </c>
      <c r="AA4" s="129" t="s">
        <v>458</v>
      </c>
      <c r="AB4" s="129" t="s">
        <v>157</v>
      </c>
      <c r="AC4" s="129" t="s">
        <v>459</v>
      </c>
      <c r="AD4" s="129" t="s">
        <v>460</v>
      </c>
      <c r="AE4" s="129" t="s">
        <v>461</v>
      </c>
      <c r="AF4" s="129" t="s">
        <v>462</v>
      </c>
      <c r="AG4" s="129" t="s">
        <v>101</v>
      </c>
      <c r="AH4" s="129" t="s">
        <v>463</v>
      </c>
      <c r="AI4" s="129" t="s">
        <v>464</v>
      </c>
      <c r="AJ4" s="129" t="s">
        <v>465</v>
      </c>
      <c r="AK4" s="129" t="s">
        <v>466</v>
      </c>
      <c r="AL4" s="129" t="s">
        <v>467</v>
      </c>
      <c r="AM4" s="129" t="s">
        <v>468</v>
      </c>
      <c r="AN4" s="129" t="s">
        <v>469</v>
      </c>
    </row>
    <row r="5" spans="1:41" ht="69" customHeight="1">
      <c r="A5" s="264" t="s">
        <v>512</v>
      </c>
      <c r="B5" s="265" t="s">
        <v>513</v>
      </c>
      <c r="C5" s="265" t="s">
        <v>202</v>
      </c>
      <c r="D5" s="265" t="s">
        <v>216</v>
      </c>
      <c r="E5" s="266">
        <v>46167</v>
      </c>
      <c r="F5" s="265" t="s">
        <v>514</v>
      </c>
      <c r="G5" s="265" t="s">
        <v>182</v>
      </c>
      <c r="H5" s="265" t="s">
        <v>484</v>
      </c>
      <c r="I5" s="265" t="s">
        <v>174</v>
      </c>
      <c r="J5" s="265" t="s">
        <v>175</v>
      </c>
      <c r="K5" s="265"/>
      <c r="L5" s="265"/>
      <c r="M5" s="267"/>
      <c r="N5" s="265"/>
      <c r="O5" s="265"/>
      <c r="P5" s="265"/>
      <c r="Q5" s="265"/>
      <c r="R5" s="267"/>
      <c r="S5" s="265"/>
      <c r="T5" s="265"/>
      <c r="U5" s="265"/>
      <c r="V5" s="265"/>
      <c r="W5" s="264" t="str">
        <f t="shared" ref="W5:W68" si="0">IF($B5="","",IF(OR($G5="Completed",$G5="Cancelled"),"INACTIVE","ACTIVE"))</f>
        <v>INACTIVE</v>
      </c>
      <c r="X5" s="265" t="s">
        <v>515</v>
      </c>
      <c r="Y5" s="265" t="s">
        <v>470</v>
      </c>
      <c r="Z5" s="265" t="s">
        <v>516</v>
      </c>
      <c r="AA5" s="265" t="s">
        <v>493</v>
      </c>
      <c r="AB5" s="265" t="s">
        <v>517</v>
      </c>
      <c r="AC5" s="265" t="s">
        <v>518</v>
      </c>
      <c r="AD5" s="265" t="s">
        <v>519</v>
      </c>
      <c r="AE5" s="265"/>
      <c r="AF5" s="265"/>
      <c r="AG5" s="267"/>
      <c r="AH5" s="267">
        <v>46175</v>
      </c>
      <c r="AI5" s="265" t="s">
        <v>520</v>
      </c>
      <c r="AJ5" s="265"/>
      <c r="AK5" s="265"/>
      <c r="AL5" s="265" t="s">
        <v>521</v>
      </c>
      <c r="AM5" s="264" t="s">
        <v>522</v>
      </c>
      <c r="AN5" s="264" t="str">
        <f>IF($A5="","",IF(COUNTIF('Decision Queue'!$A$5:$A$204,$A5)+COUNTIF('Decision Register'!$A$5:$A$304,$A5)&gt;1,"DUPLICATE ID","OK"))</f>
        <v>OK</v>
      </c>
      <c r="AO5" t="s">
        <v>523</v>
      </c>
    </row>
    <row r="6" spans="1:41" ht="42" customHeight="1">
      <c r="A6" s="191" t="s">
        <v>524</v>
      </c>
      <c r="B6" s="189" t="s">
        <v>516</v>
      </c>
      <c r="C6" s="189" t="s">
        <v>245</v>
      </c>
      <c r="D6" s="189" t="s">
        <v>131</v>
      </c>
      <c r="E6" s="268">
        <v>46175</v>
      </c>
      <c r="F6" s="189" t="s">
        <v>525</v>
      </c>
      <c r="G6" s="189" t="s">
        <v>182</v>
      </c>
      <c r="H6" s="189" t="s">
        <v>484</v>
      </c>
      <c r="I6" s="189" t="s">
        <v>474</v>
      </c>
      <c r="J6" s="189"/>
      <c r="K6" s="189"/>
      <c r="L6" s="189" t="s">
        <v>140</v>
      </c>
      <c r="M6" s="192">
        <v>46175</v>
      </c>
      <c r="N6" s="189" t="s">
        <v>184</v>
      </c>
      <c r="O6" s="189" t="s">
        <v>526</v>
      </c>
      <c r="P6" s="189" t="s">
        <v>127</v>
      </c>
      <c r="Q6" s="189"/>
      <c r="R6" s="192">
        <v>46175</v>
      </c>
      <c r="S6" s="189"/>
      <c r="T6" s="189"/>
      <c r="U6" s="189"/>
      <c r="V6" s="189"/>
      <c r="W6" s="191" t="str">
        <f t="shared" si="0"/>
        <v>INACTIVE</v>
      </c>
      <c r="X6" s="189" t="s">
        <v>527</v>
      </c>
      <c r="Y6" s="189" t="s">
        <v>480</v>
      </c>
      <c r="Z6" s="189" t="s">
        <v>528</v>
      </c>
      <c r="AA6" s="189" t="s">
        <v>493</v>
      </c>
      <c r="AB6" s="189" t="s">
        <v>517</v>
      </c>
      <c r="AC6" s="189"/>
      <c r="AD6" s="189" t="s">
        <v>529</v>
      </c>
      <c r="AE6" s="189"/>
      <c r="AF6" s="189"/>
      <c r="AG6" s="192"/>
      <c r="AH6" s="192">
        <v>46175</v>
      </c>
      <c r="AI6" s="189" t="s">
        <v>530</v>
      </c>
      <c r="AJ6" s="189"/>
      <c r="AK6" s="189"/>
      <c r="AL6" s="189" t="s">
        <v>521</v>
      </c>
      <c r="AM6" s="191" t="s">
        <v>522</v>
      </c>
      <c r="AN6" s="191" t="str">
        <f>IF($A6="","",IF(COUNTIF('Decision Queue'!$A$5:$A$204,$A6)+COUNTIF('Decision Register'!$A$5:$A$304,$A6)&gt;1,"DUPLICATE ID","OK"))</f>
        <v>OK</v>
      </c>
      <c r="AO6" t="s">
        <v>531</v>
      </c>
    </row>
    <row r="7" spans="1:41" ht="42" customHeight="1">
      <c r="A7" s="191" t="str">
        <f t="shared" ref="A7:A70" si="1">IF($B7="","",SUBSTITUTE($AO7,"HISTK-","HIST-"))</f>
        <v>HIST-2026-003</v>
      </c>
      <c r="B7" s="189" t="s">
        <v>528</v>
      </c>
      <c r="C7" s="189" t="s">
        <v>245</v>
      </c>
      <c r="D7" s="189" t="s">
        <v>131</v>
      </c>
      <c r="E7" s="268">
        <v>46175</v>
      </c>
      <c r="F7" s="189" t="s">
        <v>532</v>
      </c>
      <c r="G7" s="189" t="s">
        <v>182</v>
      </c>
      <c r="H7" s="189" t="s">
        <v>484</v>
      </c>
      <c r="I7" s="189" t="s">
        <v>474</v>
      </c>
      <c r="J7" s="189"/>
      <c r="K7" s="189"/>
      <c r="L7" s="189" t="s">
        <v>140</v>
      </c>
      <c r="M7" s="192">
        <v>46181</v>
      </c>
      <c r="N7" s="189" t="s">
        <v>174</v>
      </c>
      <c r="O7" s="189" t="s">
        <v>533</v>
      </c>
      <c r="P7" s="189" t="s">
        <v>127</v>
      </c>
      <c r="Q7" s="189"/>
      <c r="R7" s="192"/>
      <c r="S7" s="189"/>
      <c r="T7" s="189"/>
      <c r="U7" s="189"/>
      <c r="V7" s="189"/>
      <c r="W7" s="191" t="str">
        <f t="shared" si="0"/>
        <v>INACTIVE</v>
      </c>
      <c r="X7" s="189"/>
      <c r="Y7" s="189"/>
      <c r="Z7" s="189"/>
      <c r="AA7" s="189"/>
      <c r="AB7" s="189"/>
      <c r="AC7" s="189"/>
      <c r="AD7" s="189"/>
      <c r="AE7" s="189"/>
      <c r="AF7" s="189"/>
      <c r="AG7" s="192"/>
      <c r="AH7" s="192"/>
      <c r="AI7" s="189"/>
      <c r="AJ7" s="189"/>
      <c r="AK7" s="189"/>
      <c r="AL7" s="189"/>
      <c r="AM7" s="191" t="str">
        <f t="shared" ref="AM7:AM70" si="2">IF($B7="","","Historical/manual")</f>
        <v>Historical/manual</v>
      </c>
      <c r="AN7" s="191" t="str">
        <f>IF($A7="","",IF(COUNTIF('Decision Queue'!$A$5:$A$204,$A7)+COUNTIF('Decision Register'!$A$5:$A$304,$A7)&gt;1,"DUPLICATE ID","OK"))</f>
        <v>OK</v>
      </c>
      <c r="AO7" t="s">
        <v>534</v>
      </c>
    </row>
    <row r="8" spans="1:41" ht="56.5" customHeight="1">
      <c r="A8" s="191" t="str">
        <f t="shared" si="1"/>
        <v>HIST-2026-004</v>
      </c>
      <c r="B8" s="189" t="s">
        <v>535</v>
      </c>
      <c r="C8" s="189" t="s">
        <v>245</v>
      </c>
      <c r="D8" s="189" t="s">
        <v>131</v>
      </c>
      <c r="E8" s="268">
        <v>46181</v>
      </c>
      <c r="F8" s="189" t="s">
        <v>536</v>
      </c>
      <c r="G8" s="189" t="s">
        <v>182</v>
      </c>
      <c r="H8" s="189" t="s">
        <v>484</v>
      </c>
      <c r="I8" s="189" t="s">
        <v>474</v>
      </c>
      <c r="J8" s="189"/>
      <c r="K8" s="189"/>
      <c r="L8" s="189" t="s">
        <v>140</v>
      </c>
      <c r="M8" s="192">
        <v>46181</v>
      </c>
      <c r="N8" s="189" t="s">
        <v>174</v>
      </c>
      <c r="O8" s="189"/>
      <c r="P8" s="189"/>
      <c r="Q8" s="189"/>
      <c r="R8" s="192"/>
      <c r="S8" s="189"/>
      <c r="T8" s="189"/>
      <c r="U8" s="189"/>
      <c r="V8" s="189"/>
      <c r="W8" s="191" t="str">
        <f t="shared" si="0"/>
        <v>INACTIVE</v>
      </c>
      <c r="X8" s="189"/>
      <c r="Y8" s="189"/>
      <c r="Z8" s="189"/>
      <c r="AA8" s="189"/>
      <c r="AB8" s="189"/>
      <c r="AC8" s="189"/>
      <c r="AD8" s="189"/>
      <c r="AE8" s="189"/>
      <c r="AF8" s="189"/>
      <c r="AG8" s="192"/>
      <c r="AH8" s="192"/>
      <c r="AI8" s="189"/>
      <c r="AJ8" s="189"/>
      <c r="AK8" s="189"/>
      <c r="AL8" s="189"/>
      <c r="AM8" s="191" t="str">
        <f t="shared" si="2"/>
        <v>Historical/manual</v>
      </c>
      <c r="AN8" s="191" t="str">
        <f>IF($A8="","",IF(COUNTIF('Decision Queue'!$A$5:$A$204,$A8)+COUNTIF('Decision Register'!$A$5:$A$304,$A8)&gt;1,"DUPLICATE ID","OK"))</f>
        <v>OK</v>
      </c>
      <c r="AO8" t="s">
        <v>537</v>
      </c>
    </row>
    <row r="9" spans="1:41" ht="73.150000000000006" customHeight="1">
      <c r="A9" s="191" t="str">
        <f t="shared" si="1"/>
        <v>HIST-2026-005</v>
      </c>
      <c r="B9" s="189" t="s">
        <v>538</v>
      </c>
      <c r="C9" s="189" t="s">
        <v>132</v>
      </c>
      <c r="D9" s="189" t="s">
        <v>125</v>
      </c>
      <c r="E9" s="268">
        <v>46181</v>
      </c>
      <c r="F9" s="269" t="s">
        <v>539</v>
      </c>
      <c r="G9" s="189" t="s">
        <v>182</v>
      </c>
      <c r="H9" s="189" t="s">
        <v>473</v>
      </c>
      <c r="I9" s="189" t="s">
        <v>474</v>
      </c>
      <c r="L9" s="189" t="s">
        <v>132</v>
      </c>
      <c r="M9" s="192">
        <v>46181</v>
      </c>
      <c r="N9" s="189" t="s">
        <v>174</v>
      </c>
      <c r="S9" s="189"/>
      <c r="T9" s="189"/>
      <c r="U9" s="189"/>
      <c r="V9" s="189"/>
      <c r="W9" s="191" t="str">
        <f>IF($B9="","",IF(OR($G10="Completed",$G10="Cancelled"),"INACTIVE","ACTIVE"))</f>
        <v>ACTIVE</v>
      </c>
      <c r="X9" s="189"/>
      <c r="Y9" s="189"/>
      <c r="Z9" s="189"/>
      <c r="AA9" s="189"/>
      <c r="AB9" s="189"/>
      <c r="AC9" s="189"/>
      <c r="AD9" s="189"/>
      <c r="AE9" s="189"/>
      <c r="AF9" s="189"/>
      <c r="AG9" s="192"/>
      <c r="AH9" s="192"/>
      <c r="AI9" s="189"/>
      <c r="AJ9" s="189"/>
      <c r="AK9" s="189"/>
      <c r="AL9" s="189"/>
      <c r="AM9" s="191" t="str">
        <f t="shared" si="2"/>
        <v>Historical/manual</v>
      </c>
      <c r="AN9" s="191" t="str">
        <f>IF($A9="","",IF(COUNTIF('Decision Queue'!$A$5:$A$204,$A9)+COUNTIF('Decision Register'!$A$5:$A$304,$A9)&gt;1,"DUPLICATE ID","OK"))</f>
        <v>OK</v>
      </c>
      <c r="AO9" t="s">
        <v>540</v>
      </c>
    </row>
    <row r="10" spans="1:41" ht="81" customHeight="1">
      <c r="A10" s="191" t="str">
        <f t="shared" si="1"/>
        <v>HIST-2026-006</v>
      </c>
      <c r="B10" s="189" t="s">
        <v>541</v>
      </c>
      <c r="C10" s="189" t="s">
        <v>126</v>
      </c>
      <c r="D10" s="189" t="s">
        <v>131</v>
      </c>
      <c r="E10" s="268">
        <v>46181</v>
      </c>
      <c r="F10" s="189" t="s">
        <v>542</v>
      </c>
      <c r="G10" s="189" t="s">
        <v>384</v>
      </c>
      <c r="H10" s="189" t="s">
        <v>484</v>
      </c>
      <c r="I10" s="189" t="s">
        <v>474</v>
      </c>
      <c r="J10" s="189"/>
      <c r="K10" s="189"/>
      <c r="L10" s="189" t="s">
        <v>126</v>
      </c>
      <c r="M10" s="192">
        <v>46181</v>
      </c>
      <c r="N10" s="189" t="s">
        <v>184</v>
      </c>
      <c r="O10" s="189" t="s">
        <v>543</v>
      </c>
      <c r="P10" s="189" t="s">
        <v>131</v>
      </c>
      <c r="Q10" s="189"/>
      <c r="R10" s="192">
        <v>46181</v>
      </c>
      <c r="S10" s="189"/>
      <c r="T10" s="189"/>
      <c r="U10" s="189"/>
      <c r="V10" s="189"/>
      <c r="W10" s="191" t="e">
        <f>IF($B10="","",IF(OR(#REF!="Completed",#REF!="Cancelled"),"INACTIVE","ACTIVE"))</f>
        <v>#REF!</v>
      </c>
      <c r="X10" s="189"/>
      <c r="Y10" s="189"/>
      <c r="Z10" s="189"/>
      <c r="AA10" s="189"/>
      <c r="AB10" s="189"/>
      <c r="AC10" s="189"/>
      <c r="AD10" s="189"/>
      <c r="AE10" s="189"/>
      <c r="AF10" s="189"/>
      <c r="AG10" s="192"/>
      <c r="AH10" s="192"/>
      <c r="AI10" s="189"/>
      <c r="AJ10" s="189"/>
      <c r="AK10" s="189"/>
      <c r="AL10" s="189"/>
      <c r="AM10" s="191" t="str">
        <f t="shared" si="2"/>
        <v>Historical/manual</v>
      </c>
      <c r="AN10" s="191" t="str">
        <f>IF($A10="","",IF(COUNTIF('Decision Queue'!$A$5:$A$204,$A10)+COUNTIF('Decision Register'!$A$5:$A$304,$A10)&gt;1,"DUPLICATE ID","OK"))</f>
        <v>OK</v>
      </c>
      <c r="AO10" t="s">
        <v>544</v>
      </c>
    </row>
    <row r="11" spans="1:41" ht="68.5" customHeight="1">
      <c r="A11" s="191" t="str">
        <f t="shared" si="1"/>
        <v>HIST-2026-007</v>
      </c>
      <c r="B11" s="189" t="s">
        <v>545</v>
      </c>
      <c r="C11" s="189" t="s">
        <v>132</v>
      </c>
      <c r="D11" s="189" t="s">
        <v>125</v>
      </c>
      <c r="E11" s="268">
        <v>46188</v>
      </c>
      <c r="F11" s="189" t="s">
        <v>546</v>
      </c>
      <c r="G11" s="189" t="s">
        <v>182</v>
      </c>
      <c r="H11" s="189" t="s">
        <v>473</v>
      </c>
      <c r="I11" s="189" t="s">
        <v>474</v>
      </c>
      <c r="J11" s="189"/>
      <c r="K11" s="189"/>
      <c r="L11" s="189" t="s">
        <v>139</v>
      </c>
      <c r="M11" s="192">
        <v>46202</v>
      </c>
      <c r="N11" s="189" t="s">
        <v>184</v>
      </c>
      <c r="O11" s="189" t="s">
        <v>547</v>
      </c>
      <c r="P11" s="189" t="s">
        <v>125</v>
      </c>
      <c r="Q11" s="189"/>
      <c r="R11" s="192">
        <v>46189</v>
      </c>
      <c r="S11" s="189"/>
      <c r="T11" s="189"/>
      <c r="U11" s="189"/>
      <c r="V11" s="189"/>
      <c r="W11" s="191" t="str">
        <f>IF($B11="","",IF(OR($G11="Completed",$G11="Cancelled"),"INACTIVE","ACTIVE"))</f>
        <v>INACTIVE</v>
      </c>
      <c r="X11" s="189"/>
      <c r="Y11" s="189"/>
      <c r="Z11" s="189"/>
      <c r="AA11" s="189"/>
      <c r="AB11" s="189"/>
      <c r="AC11" s="189"/>
      <c r="AD11" s="189"/>
      <c r="AE11" s="189"/>
      <c r="AF11" s="189"/>
      <c r="AG11" s="192"/>
      <c r="AH11" s="192"/>
      <c r="AI11" s="189"/>
      <c r="AJ11" s="189"/>
      <c r="AK11" s="189"/>
      <c r="AL11" s="189"/>
      <c r="AM11" s="191" t="str">
        <f t="shared" si="2"/>
        <v>Historical/manual</v>
      </c>
      <c r="AN11" s="191" t="str">
        <f>IF($A11="","",IF(COUNTIF('Decision Queue'!$A$5:$A$204,$A11)+COUNTIF('Decision Register'!$A$5:$A$304,$A11)&gt;1,"DUPLICATE ID","OK"))</f>
        <v>OK</v>
      </c>
      <c r="AO11" t="s">
        <v>548</v>
      </c>
    </row>
    <row r="12" spans="1:41" ht="72" customHeight="1">
      <c r="A12" s="191" t="str">
        <f t="shared" si="1"/>
        <v>HIST-2026-008</v>
      </c>
      <c r="B12" s="189" t="s">
        <v>549</v>
      </c>
      <c r="C12" s="189" t="s">
        <v>276</v>
      </c>
      <c r="D12" s="189" t="s">
        <v>135</v>
      </c>
      <c r="E12" s="268">
        <v>46195</v>
      </c>
      <c r="F12" s="189" t="s">
        <v>550</v>
      </c>
      <c r="G12" s="189" t="s">
        <v>483</v>
      </c>
      <c r="H12" s="189" t="s">
        <v>551</v>
      </c>
      <c r="I12" s="189" t="s">
        <v>493</v>
      </c>
      <c r="J12" s="189"/>
      <c r="K12" s="189"/>
      <c r="L12" s="189" t="s">
        <v>140</v>
      </c>
      <c r="M12" s="192">
        <v>46202</v>
      </c>
      <c r="N12" s="189" t="s">
        <v>174</v>
      </c>
      <c r="O12" s="189" t="s">
        <v>552</v>
      </c>
      <c r="P12" s="189" t="s">
        <v>131</v>
      </c>
      <c r="Q12" s="189" t="s">
        <v>135</v>
      </c>
      <c r="R12" s="192">
        <v>46195</v>
      </c>
      <c r="S12" s="189"/>
      <c r="T12" s="189"/>
      <c r="U12" s="189"/>
      <c r="V12" s="189"/>
      <c r="W12" s="191" t="str">
        <f>IF($B12="","",IF(OR($G12="Completed",$G12="Cancelled"),"INACTIVE","ACTIVE"))</f>
        <v>ACTIVE</v>
      </c>
      <c r="X12" s="189"/>
      <c r="Y12" s="189"/>
      <c r="Z12" s="189"/>
      <c r="AA12" s="189"/>
      <c r="AB12" s="189"/>
      <c r="AC12" s="189"/>
      <c r="AD12" s="189"/>
      <c r="AE12" s="189"/>
      <c r="AF12" s="189"/>
      <c r="AG12" s="192"/>
      <c r="AH12" s="192"/>
      <c r="AI12" s="189"/>
      <c r="AJ12" s="189"/>
      <c r="AK12" s="189"/>
      <c r="AL12" s="189"/>
      <c r="AM12" s="191" t="str">
        <f t="shared" si="2"/>
        <v>Historical/manual</v>
      </c>
      <c r="AN12" s="191" t="str">
        <f>IF($A12="","",IF(COUNTIF('Decision Queue'!$A$5:$A$204,$A12)+COUNTIF('Decision Register'!$A$5:$A$304,$A12)&gt;1,"DUPLICATE ID","OK"))</f>
        <v>OK</v>
      </c>
      <c r="AO12" t="s">
        <v>553</v>
      </c>
    </row>
    <row r="13" spans="1:41" ht="87.65" customHeight="1">
      <c r="A13" s="191" t="str">
        <f t="shared" si="1"/>
        <v>HIST-2026-009</v>
      </c>
      <c r="B13" s="189" t="s">
        <v>554</v>
      </c>
      <c r="C13" s="189" t="s">
        <v>126</v>
      </c>
      <c r="D13" s="189" t="s">
        <v>131</v>
      </c>
      <c r="E13" s="268">
        <v>46195</v>
      </c>
      <c r="F13" s="189" t="s">
        <v>555</v>
      </c>
      <c r="G13" s="189" t="s">
        <v>182</v>
      </c>
      <c r="H13" s="189" t="s">
        <v>484</v>
      </c>
      <c r="I13" s="189" t="s">
        <v>493</v>
      </c>
      <c r="J13" s="189"/>
      <c r="K13" s="189"/>
      <c r="L13" s="189"/>
      <c r="M13" s="192">
        <v>46195</v>
      </c>
      <c r="N13" s="189" t="s">
        <v>174</v>
      </c>
      <c r="O13" s="189"/>
      <c r="P13" s="189"/>
      <c r="Q13" s="189"/>
      <c r="R13" s="192"/>
      <c r="S13" s="189"/>
      <c r="T13" s="189"/>
      <c r="U13" s="189"/>
      <c r="V13" s="189"/>
      <c r="W13" s="191" t="str">
        <f t="shared" si="0"/>
        <v>INACTIVE</v>
      </c>
      <c r="X13" s="189"/>
      <c r="Y13" s="189"/>
      <c r="Z13" s="189"/>
      <c r="AA13" s="189"/>
      <c r="AB13" s="189"/>
      <c r="AC13" s="189"/>
      <c r="AD13" s="189"/>
      <c r="AE13" s="189"/>
      <c r="AF13" s="189"/>
      <c r="AG13" s="192"/>
      <c r="AH13" s="192"/>
      <c r="AI13" s="189"/>
      <c r="AJ13" s="189"/>
      <c r="AK13" s="189"/>
      <c r="AL13" s="189"/>
      <c r="AM13" s="191" t="str">
        <f t="shared" si="2"/>
        <v>Historical/manual</v>
      </c>
      <c r="AN13" s="191" t="str">
        <f>IF($A13="","",IF(COUNTIF('Decision Queue'!$A$5:$A$204,$A13)+COUNTIF('Decision Register'!$A$5:$A$304,$A13)&gt;1,"DUPLICATE ID","OK"))</f>
        <v>OK</v>
      </c>
      <c r="AO13" t="s">
        <v>556</v>
      </c>
    </row>
    <row r="14" spans="1:41" ht="57.65" customHeight="1">
      <c r="A14" s="191" t="str">
        <f t="shared" si="1"/>
        <v>HIST-2026-010</v>
      </c>
      <c r="B14" s="189" t="s">
        <v>557</v>
      </c>
      <c r="C14" s="189" t="s">
        <v>228</v>
      </c>
      <c r="D14" s="189" t="s">
        <v>127</v>
      </c>
      <c r="E14" s="268">
        <v>46195</v>
      </c>
      <c r="F14" s="189" t="s">
        <v>558</v>
      </c>
      <c r="G14" s="189" t="s">
        <v>182</v>
      </c>
      <c r="H14" s="189" t="s">
        <v>492</v>
      </c>
      <c r="I14" s="189" t="s">
        <v>174</v>
      </c>
      <c r="J14" s="189" t="s">
        <v>191</v>
      </c>
      <c r="K14" s="189"/>
      <c r="L14" s="189" t="s">
        <v>139</v>
      </c>
      <c r="M14" s="192">
        <v>46202</v>
      </c>
      <c r="N14" s="189" t="s">
        <v>174</v>
      </c>
      <c r="O14" s="189"/>
      <c r="P14" s="189"/>
      <c r="Q14" s="189"/>
      <c r="R14" s="192"/>
      <c r="S14" s="189"/>
      <c r="T14" s="189"/>
      <c r="U14" s="189"/>
      <c r="V14" s="189"/>
      <c r="W14" s="191" t="str">
        <f t="shared" si="0"/>
        <v>INACTIVE</v>
      </c>
      <c r="X14" s="189"/>
      <c r="Y14" s="189"/>
      <c r="Z14" s="189"/>
      <c r="AA14" s="189"/>
      <c r="AB14" s="189"/>
      <c r="AC14" s="189"/>
      <c r="AD14" s="189"/>
      <c r="AE14" s="189"/>
      <c r="AF14" s="189"/>
      <c r="AG14" s="192"/>
      <c r="AH14" s="192"/>
      <c r="AI14" s="189"/>
      <c r="AJ14" s="189"/>
      <c r="AK14" s="189"/>
      <c r="AL14" s="189"/>
      <c r="AM14" s="191" t="str">
        <f t="shared" si="2"/>
        <v>Historical/manual</v>
      </c>
      <c r="AN14" s="191" t="str">
        <f>IF($A14="","",IF(COUNTIF('Decision Queue'!$A$5:$A$204,$A14)+COUNTIF('Decision Register'!$A$5:$A$304,$A14)&gt;1,"DUPLICATE ID","OK"))</f>
        <v>OK</v>
      </c>
      <c r="AO14" t="s">
        <v>559</v>
      </c>
    </row>
    <row r="15" spans="1:41" ht="111.65" customHeight="1">
      <c r="A15" s="191" t="str">
        <f t="shared" si="1"/>
        <v>HIST-2026-011</v>
      </c>
      <c r="B15" s="189" t="s">
        <v>560</v>
      </c>
      <c r="C15" s="189" t="s">
        <v>132</v>
      </c>
      <c r="D15" s="189" t="s">
        <v>129</v>
      </c>
      <c r="E15" s="268">
        <v>46195</v>
      </c>
      <c r="F15" s="189" t="s">
        <v>561</v>
      </c>
      <c r="G15" s="189" t="s">
        <v>172</v>
      </c>
      <c r="H15" s="189" t="s">
        <v>562</v>
      </c>
      <c r="I15" s="189" t="s">
        <v>474</v>
      </c>
      <c r="J15" s="189" t="s">
        <v>278</v>
      </c>
      <c r="K15" s="189"/>
      <c r="L15" s="189" t="s">
        <v>132</v>
      </c>
      <c r="M15" s="192">
        <v>46195</v>
      </c>
      <c r="N15" s="189" t="s">
        <v>184</v>
      </c>
      <c r="O15" s="189" t="s">
        <v>563</v>
      </c>
      <c r="P15" s="189" t="s">
        <v>125</v>
      </c>
      <c r="Q15" s="189" t="s">
        <v>493</v>
      </c>
      <c r="R15" s="192">
        <v>46195</v>
      </c>
      <c r="S15" s="189"/>
      <c r="T15" s="189"/>
      <c r="U15" s="189"/>
      <c r="V15" s="189"/>
      <c r="W15" s="191" t="str">
        <f t="shared" si="0"/>
        <v>ACTIVE</v>
      </c>
      <c r="X15" s="189"/>
      <c r="Y15" s="189"/>
      <c r="Z15" s="189"/>
      <c r="AA15" s="189"/>
      <c r="AB15" s="189"/>
      <c r="AC15" s="189"/>
      <c r="AD15" s="189"/>
      <c r="AE15" s="189"/>
      <c r="AF15" s="189"/>
      <c r="AG15" s="192"/>
      <c r="AH15" s="192"/>
      <c r="AI15" s="189"/>
      <c r="AJ15" s="189"/>
      <c r="AK15" s="189"/>
      <c r="AL15" s="189"/>
      <c r="AM15" s="191" t="str">
        <f t="shared" si="2"/>
        <v>Historical/manual</v>
      </c>
      <c r="AN15" s="191" t="str">
        <f>IF($A15="","",IF(COUNTIF('Decision Queue'!$A$5:$A$204,$A15)+COUNTIF('Decision Register'!$A$5:$A$304,$A15)&gt;1,"DUPLICATE ID","OK"))</f>
        <v>OK</v>
      </c>
      <c r="AO15" t="s">
        <v>564</v>
      </c>
    </row>
    <row r="16" spans="1:41" ht="54.65" customHeight="1">
      <c r="A16" s="191" t="str">
        <f t="shared" si="1"/>
        <v>HIST-2026-012</v>
      </c>
      <c r="B16" s="189" t="s">
        <v>565</v>
      </c>
      <c r="C16" s="189" t="s">
        <v>139</v>
      </c>
      <c r="D16" s="189" t="s">
        <v>135</v>
      </c>
      <c r="E16" s="268">
        <v>46202</v>
      </c>
      <c r="F16" s="189" t="s">
        <v>566</v>
      </c>
      <c r="G16" s="189" t="s">
        <v>182</v>
      </c>
      <c r="H16" s="189" t="s">
        <v>562</v>
      </c>
      <c r="I16" s="189" t="s">
        <v>474</v>
      </c>
      <c r="J16" s="189" t="s">
        <v>175</v>
      </c>
      <c r="K16" s="189"/>
      <c r="L16" s="189" t="s">
        <v>139</v>
      </c>
      <c r="M16" s="192">
        <v>46202</v>
      </c>
      <c r="N16" s="189" t="s">
        <v>174</v>
      </c>
      <c r="O16" s="189"/>
      <c r="P16" s="189"/>
      <c r="Q16" s="189"/>
      <c r="R16" s="192"/>
      <c r="S16" s="189"/>
      <c r="T16" s="189"/>
      <c r="U16" s="189"/>
      <c r="V16" s="189"/>
      <c r="W16" s="191" t="str">
        <f t="shared" si="0"/>
        <v>INACTIVE</v>
      </c>
      <c r="X16" s="189"/>
      <c r="Y16" s="189"/>
      <c r="Z16" s="189"/>
      <c r="AA16" s="189"/>
      <c r="AB16" s="189"/>
      <c r="AC16" s="189"/>
      <c r="AD16" s="189"/>
      <c r="AE16" s="189"/>
      <c r="AF16" s="189"/>
      <c r="AG16" s="192"/>
      <c r="AH16" s="192"/>
      <c r="AI16" s="189"/>
      <c r="AJ16" s="189"/>
      <c r="AK16" s="189"/>
      <c r="AL16" s="189"/>
      <c r="AM16" s="191" t="str">
        <f t="shared" si="2"/>
        <v>Historical/manual</v>
      </c>
      <c r="AN16" s="191" t="str">
        <f>IF($A16="","",IF(COUNTIF('Decision Queue'!$A$5:$A$204,$A16)+COUNTIF('Decision Register'!$A$5:$A$304,$A16)&gt;1,"DUPLICATE ID","OK"))</f>
        <v>OK</v>
      </c>
      <c r="AO16" t="s">
        <v>567</v>
      </c>
    </row>
    <row r="17" spans="1:41" ht="94.9" customHeight="1">
      <c r="A17" s="191" t="str">
        <f t="shared" si="1"/>
        <v>HIST-2026-013</v>
      </c>
      <c r="B17" s="189" t="s">
        <v>568</v>
      </c>
      <c r="C17" s="189" t="s">
        <v>139</v>
      </c>
      <c r="D17" s="189" t="s">
        <v>131</v>
      </c>
      <c r="E17" s="268">
        <v>46202</v>
      </c>
      <c r="F17" s="189" t="s">
        <v>569</v>
      </c>
      <c r="G17" s="189" t="s">
        <v>182</v>
      </c>
      <c r="H17" s="189" t="s">
        <v>484</v>
      </c>
      <c r="I17" s="189" t="s">
        <v>493</v>
      </c>
      <c r="J17" s="189" t="s">
        <v>175</v>
      </c>
      <c r="K17" s="189"/>
      <c r="L17" s="189" t="s">
        <v>140</v>
      </c>
      <c r="M17" s="192">
        <v>46216</v>
      </c>
      <c r="N17" s="189" t="s">
        <v>184</v>
      </c>
      <c r="O17" s="189" t="s">
        <v>570</v>
      </c>
      <c r="P17" s="189" t="s">
        <v>131</v>
      </c>
      <c r="Q17" s="189" t="s">
        <v>493</v>
      </c>
      <c r="R17" s="192">
        <v>46202</v>
      </c>
      <c r="S17" s="189"/>
      <c r="T17" s="189"/>
      <c r="U17" s="189"/>
      <c r="V17" s="189"/>
      <c r="W17" s="191" t="str">
        <f t="shared" si="0"/>
        <v>INACTIVE</v>
      </c>
      <c r="X17" s="189"/>
      <c r="Y17" s="189"/>
      <c r="Z17" s="189"/>
      <c r="AA17" s="189"/>
      <c r="AB17" s="189"/>
      <c r="AC17" s="189"/>
      <c r="AD17" s="189"/>
      <c r="AE17" s="189"/>
      <c r="AF17" s="189"/>
      <c r="AG17" s="192"/>
      <c r="AH17" s="192"/>
      <c r="AI17" s="189"/>
      <c r="AJ17" s="189"/>
      <c r="AK17" s="189"/>
      <c r="AL17" s="189"/>
      <c r="AM17" s="191" t="str">
        <f t="shared" si="2"/>
        <v>Historical/manual</v>
      </c>
      <c r="AN17" s="191" t="str">
        <f>IF($A17="","",IF(COUNTIF('Decision Queue'!$A$5:$A$204,$A17)+COUNTIF('Decision Register'!$A$5:$A$304,$A17)&gt;1,"DUPLICATE ID","OK"))</f>
        <v>OK</v>
      </c>
      <c r="AO17" t="s">
        <v>571</v>
      </c>
    </row>
    <row r="18" spans="1:41" ht="85.9" customHeight="1">
      <c r="A18" s="191" t="str">
        <f t="shared" si="1"/>
        <v>HIST-2026-014</v>
      </c>
      <c r="B18" s="189" t="s">
        <v>572</v>
      </c>
      <c r="C18" s="189" t="s">
        <v>202</v>
      </c>
      <c r="D18" s="189" t="s">
        <v>135</v>
      </c>
      <c r="E18" s="268">
        <v>46202</v>
      </c>
      <c r="F18" s="189" t="s">
        <v>573</v>
      </c>
      <c r="G18" s="189" t="s">
        <v>172</v>
      </c>
      <c r="H18" s="189" t="s">
        <v>562</v>
      </c>
      <c r="I18" s="189" t="s">
        <v>493</v>
      </c>
      <c r="J18" s="189" t="s">
        <v>175</v>
      </c>
      <c r="K18" s="189"/>
      <c r="L18" s="189" t="s">
        <v>126</v>
      </c>
      <c r="M18" s="192">
        <v>46202</v>
      </c>
      <c r="N18" s="189" t="s">
        <v>184</v>
      </c>
      <c r="O18" s="189" t="s">
        <v>574</v>
      </c>
      <c r="P18" s="189" t="s">
        <v>135</v>
      </c>
      <c r="Q18" s="189" t="s">
        <v>135</v>
      </c>
      <c r="R18" s="192">
        <v>46202</v>
      </c>
      <c r="S18" s="189"/>
      <c r="T18" s="189"/>
      <c r="U18" s="189"/>
      <c r="V18" s="189"/>
      <c r="W18" s="191" t="str">
        <f t="shared" si="0"/>
        <v>ACTIVE</v>
      </c>
      <c r="X18" s="189"/>
      <c r="Y18" s="189"/>
      <c r="Z18" s="189"/>
      <c r="AA18" s="189"/>
      <c r="AB18" s="189"/>
      <c r="AC18" s="189"/>
      <c r="AD18" s="189"/>
      <c r="AE18" s="189"/>
      <c r="AF18" s="189"/>
      <c r="AG18" s="192"/>
      <c r="AH18" s="192"/>
      <c r="AI18" s="189"/>
      <c r="AJ18" s="189"/>
      <c r="AK18" s="189"/>
      <c r="AL18" s="189"/>
      <c r="AM18" s="191" t="str">
        <f t="shared" si="2"/>
        <v>Historical/manual</v>
      </c>
      <c r="AN18" s="191" t="str">
        <f>IF($A18="","",IF(COUNTIF('Decision Queue'!$A$5:$A$204,$A18)+COUNTIF('Decision Register'!$A$5:$A$304,$A18)&gt;1,"DUPLICATE ID","OK"))</f>
        <v>OK</v>
      </c>
      <c r="AO18" t="s">
        <v>575</v>
      </c>
    </row>
    <row r="19" spans="1:41" ht="134.5" customHeight="1">
      <c r="A19" s="191" t="str">
        <f t="shared" si="1"/>
        <v>HIST-2026-015</v>
      </c>
      <c r="B19" s="189" t="s">
        <v>179</v>
      </c>
      <c r="C19" s="189" t="s">
        <v>132</v>
      </c>
      <c r="D19" s="189" t="s">
        <v>125</v>
      </c>
      <c r="E19" s="268">
        <v>46209</v>
      </c>
      <c r="F19" s="189" t="s">
        <v>576</v>
      </c>
      <c r="G19" s="189" t="s">
        <v>172</v>
      </c>
      <c r="H19" s="189" t="s">
        <v>577</v>
      </c>
      <c r="I19" s="189" t="s">
        <v>493</v>
      </c>
      <c r="J19" s="189" t="s">
        <v>204</v>
      </c>
      <c r="K19" s="189" t="s">
        <v>173</v>
      </c>
      <c r="L19" s="189" t="s">
        <v>132</v>
      </c>
      <c r="M19" s="192">
        <v>46209</v>
      </c>
      <c r="N19" s="189" t="s">
        <v>184</v>
      </c>
      <c r="O19" s="189" t="s">
        <v>578</v>
      </c>
      <c r="P19" s="189" t="s">
        <v>125</v>
      </c>
      <c r="Q19" s="189" t="s">
        <v>493</v>
      </c>
      <c r="R19" s="192">
        <v>46209</v>
      </c>
      <c r="S19" s="189"/>
      <c r="T19" s="189"/>
      <c r="U19" s="189" t="s">
        <v>579</v>
      </c>
      <c r="V19" s="189"/>
      <c r="W19" s="191" t="str">
        <f t="shared" si="0"/>
        <v>ACTIVE</v>
      </c>
      <c r="X19" s="189"/>
      <c r="Y19" s="189"/>
      <c r="Z19" s="189"/>
      <c r="AA19" s="189"/>
      <c r="AB19" s="189"/>
      <c r="AC19" s="189"/>
      <c r="AD19" s="189"/>
      <c r="AE19" s="189"/>
      <c r="AF19" s="189"/>
      <c r="AG19" s="192"/>
      <c r="AH19" s="192"/>
      <c r="AI19" s="189"/>
      <c r="AJ19" s="189"/>
      <c r="AK19" s="189"/>
      <c r="AL19" s="189"/>
      <c r="AM19" s="191" t="str">
        <f t="shared" si="2"/>
        <v>Historical/manual</v>
      </c>
      <c r="AN19" s="191" t="str">
        <f>IF($A19="","",IF(COUNTIF('Decision Queue'!$A$5:$A$204,$A19)+COUNTIF('Decision Register'!$A$5:$A$304,$A19)&gt;1,"DUPLICATE ID","OK"))</f>
        <v>OK</v>
      </c>
      <c r="AO19" t="s">
        <v>580</v>
      </c>
    </row>
    <row r="20" spans="1:41" ht="75.650000000000006" customHeight="1">
      <c r="A20" s="191" t="str">
        <f t="shared" si="1"/>
        <v>HIST-2026-016</v>
      </c>
      <c r="B20" s="189" t="s">
        <v>581</v>
      </c>
      <c r="C20" s="189" t="s">
        <v>128</v>
      </c>
      <c r="D20" s="189" t="s">
        <v>135</v>
      </c>
      <c r="E20" s="268">
        <v>46216</v>
      </c>
      <c r="F20" s="189" t="s">
        <v>582</v>
      </c>
      <c r="G20" s="189" t="s">
        <v>182</v>
      </c>
      <c r="H20" s="189" t="s">
        <v>492</v>
      </c>
      <c r="I20" s="189" t="s">
        <v>583</v>
      </c>
      <c r="J20" s="189"/>
      <c r="K20" s="189"/>
      <c r="L20" s="189" t="s">
        <v>128</v>
      </c>
      <c r="M20" s="192">
        <v>46216</v>
      </c>
      <c r="N20" s="189" t="s">
        <v>184</v>
      </c>
      <c r="O20" s="189" t="s">
        <v>584</v>
      </c>
      <c r="P20" s="189" t="s">
        <v>135</v>
      </c>
      <c r="Q20" s="189" t="s">
        <v>135</v>
      </c>
      <c r="R20" s="192">
        <v>46216</v>
      </c>
      <c r="S20" s="189"/>
      <c r="T20" s="189"/>
      <c r="U20" s="189"/>
      <c r="V20" s="189"/>
      <c r="W20" s="191" t="str">
        <f t="shared" si="0"/>
        <v>INACTIVE</v>
      </c>
      <c r="X20" s="189"/>
      <c r="Y20" s="189"/>
      <c r="Z20" s="189"/>
      <c r="AA20" s="189"/>
      <c r="AB20" s="189"/>
      <c r="AC20" s="189"/>
      <c r="AD20" s="189"/>
      <c r="AE20" s="189"/>
      <c r="AF20" s="189"/>
      <c r="AG20" s="192"/>
      <c r="AH20" s="192"/>
      <c r="AI20" s="189"/>
      <c r="AJ20" s="189"/>
      <c r="AK20" s="189"/>
      <c r="AL20" s="189"/>
      <c r="AM20" s="191" t="str">
        <f t="shared" si="2"/>
        <v>Historical/manual</v>
      </c>
      <c r="AN20" s="191" t="str">
        <f>IF($A20="","",IF(COUNTIF('Decision Queue'!$A$5:$A$204,$A20)+COUNTIF('Decision Register'!$A$5:$A$304,$A20)&gt;1,"DUPLICATE ID","OK"))</f>
        <v>OK</v>
      </c>
      <c r="AO20" t="s">
        <v>585</v>
      </c>
    </row>
    <row r="21" spans="1:41" ht="82.9" customHeight="1">
      <c r="A21" s="191" t="str">
        <f t="shared" si="1"/>
        <v>HIST-2026-017</v>
      </c>
      <c r="B21" s="189" t="s">
        <v>586</v>
      </c>
      <c r="C21" s="189" t="s">
        <v>128</v>
      </c>
      <c r="D21" s="189" t="s">
        <v>125</v>
      </c>
      <c r="E21" s="268">
        <v>46223</v>
      </c>
      <c r="F21" s="189" t="s">
        <v>587</v>
      </c>
      <c r="G21" s="189" t="s">
        <v>182</v>
      </c>
      <c r="H21" s="189" t="s">
        <v>473</v>
      </c>
      <c r="I21" s="189" t="s">
        <v>474</v>
      </c>
      <c r="J21" s="189"/>
      <c r="K21" s="189"/>
      <c r="L21" s="189" t="s">
        <v>128</v>
      </c>
      <c r="M21" s="192">
        <v>46223</v>
      </c>
      <c r="N21" s="189" t="s">
        <v>184</v>
      </c>
      <c r="O21" s="189" t="s">
        <v>588</v>
      </c>
      <c r="P21" s="189" t="s">
        <v>216</v>
      </c>
      <c r="Q21" s="189" t="s">
        <v>135</v>
      </c>
      <c r="R21" s="192">
        <v>46223</v>
      </c>
      <c r="S21" s="189"/>
      <c r="T21" s="189"/>
      <c r="U21" s="189"/>
      <c r="V21" s="189"/>
      <c r="W21" s="191" t="str">
        <f t="shared" si="0"/>
        <v>INACTIVE</v>
      </c>
      <c r="X21" s="189"/>
      <c r="Y21" s="189"/>
      <c r="Z21" s="189"/>
      <c r="AA21" s="189"/>
      <c r="AB21" s="189"/>
      <c r="AC21" s="189"/>
      <c r="AD21" s="189"/>
      <c r="AE21" s="189"/>
      <c r="AF21" s="189"/>
      <c r="AG21" s="192"/>
      <c r="AH21" s="192"/>
      <c r="AI21" s="189"/>
      <c r="AJ21" s="189"/>
      <c r="AK21" s="189"/>
      <c r="AL21" s="189"/>
      <c r="AM21" s="191" t="str">
        <f t="shared" si="2"/>
        <v>Historical/manual</v>
      </c>
      <c r="AN21" s="191" t="str">
        <f>IF($A21="","",IF(COUNTIF('Decision Queue'!$A$5:$A$204,$A21)+COUNTIF('Decision Register'!$A$5:$A$304,$A21)&gt;1,"DUPLICATE ID","OK"))</f>
        <v>OK</v>
      </c>
      <c r="AO21" t="s">
        <v>589</v>
      </c>
    </row>
    <row r="22" spans="1:41" ht="102.65" customHeight="1">
      <c r="A22" s="191" t="str">
        <f t="shared" si="1"/>
        <v>HIST-2026-018</v>
      </c>
      <c r="B22" s="189" t="s">
        <v>590</v>
      </c>
      <c r="C22" s="189" t="s">
        <v>126</v>
      </c>
      <c r="D22" s="189" t="s">
        <v>131</v>
      </c>
      <c r="E22" s="268">
        <v>46223</v>
      </c>
      <c r="F22" s="189" t="s">
        <v>591</v>
      </c>
      <c r="G22" s="189" t="s">
        <v>182</v>
      </c>
      <c r="H22" s="189" t="s">
        <v>484</v>
      </c>
      <c r="I22" s="189" t="s">
        <v>493</v>
      </c>
      <c r="J22" s="189"/>
      <c r="K22" s="189"/>
      <c r="L22" s="189" t="s">
        <v>126</v>
      </c>
      <c r="M22" s="192">
        <v>46223</v>
      </c>
      <c r="N22" s="189" t="s">
        <v>184</v>
      </c>
      <c r="O22" s="189" t="s">
        <v>592</v>
      </c>
      <c r="P22" s="189" t="s">
        <v>131</v>
      </c>
      <c r="Q22" s="189" t="s">
        <v>493</v>
      </c>
      <c r="R22" s="192">
        <v>46223</v>
      </c>
      <c r="S22" s="189"/>
      <c r="T22" s="189"/>
      <c r="U22" s="189" t="s">
        <v>593</v>
      </c>
      <c r="V22" s="189"/>
      <c r="W22" s="191" t="str">
        <f t="shared" si="0"/>
        <v>INACTIVE</v>
      </c>
      <c r="X22" s="189"/>
      <c r="Y22" s="189"/>
      <c r="Z22" s="189"/>
      <c r="AA22" s="189"/>
      <c r="AB22" s="189"/>
      <c r="AC22" s="189"/>
      <c r="AD22" s="189"/>
      <c r="AE22" s="189"/>
      <c r="AF22" s="189"/>
      <c r="AG22" s="192"/>
      <c r="AH22" s="192"/>
      <c r="AI22" s="189"/>
      <c r="AJ22" s="189"/>
      <c r="AK22" s="189"/>
      <c r="AL22" s="189"/>
      <c r="AM22" s="191" t="str">
        <f t="shared" si="2"/>
        <v>Historical/manual</v>
      </c>
      <c r="AN22" s="191" t="str">
        <f>IF($A22="","",IF(COUNTIF('Decision Queue'!$A$5:$A$204,$A22)+COUNTIF('Decision Register'!$A$5:$A$304,$A22)&gt;1,"DUPLICATE ID","OK"))</f>
        <v>OK</v>
      </c>
      <c r="AO22" t="s">
        <v>594</v>
      </c>
    </row>
    <row r="23" spans="1:41" ht="68.5" customHeight="1">
      <c r="A23" s="191" t="str">
        <f t="shared" si="1"/>
        <v>HIST-2026-019</v>
      </c>
      <c r="B23" s="189" t="s">
        <v>595</v>
      </c>
      <c r="C23" s="189" t="s">
        <v>126</v>
      </c>
      <c r="D23" s="189" t="s">
        <v>270</v>
      </c>
      <c r="E23" s="268">
        <v>46223</v>
      </c>
      <c r="F23" s="189" t="s">
        <v>596</v>
      </c>
      <c r="G23" s="189" t="s">
        <v>384</v>
      </c>
      <c r="H23" s="189" t="s">
        <v>484</v>
      </c>
      <c r="I23" s="189" t="s">
        <v>474</v>
      </c>
      <c r="J23" s="189" t="s">
        <v>597</v>
      </c>
      <c r="K23" s="189"/>
      <c r="L23" s="189"/>
      <c r="M23" s="192"/>
      <c r="N23" s="189" t="s">
        <v>184</v>
      </c>
      <c r="O23" s="189" t="s">
        <v>598</v>
      </c>
      <c r="P23" s="189" t="s">
        <v>270</v>
      </c>
      <c r="Q23" s="189"/>
      <c r="R23" s="192">
        <v>46223</v>
      </c>
      <c r="S23" s="189"/>
      <c r="T23" s="189"/>
      <c r="U23" s="189"/>
      <c r="V23" s="189"/>
      <c r="W23" s="191" t="str">
        <f t="shared" si="0"/>
        <v>ACTIVE</v>
      </c>
      <c r="X23" s="189"/>
      <c r="Y23" s="189"/>
      <c r="Z23" s="189"/>
      <c r="AA23" s="189"/>
      <c r="AB23" s="189"/>
      <c r="AC23" s="189"/>
      <c r="AD23" s="189"/>
      <c r="AE23" s="189"/>
      <c r="AF23" s="189"/>
      <c r="AG23" s="192"/>
      <c r="AH23" s="192"/>
      <c r="AI23" s="189"/>
      <c r="AJ23" s="189"/>
      <c r="AK23" s="189"/>
      <c r="AL23" s="189"/>
      <c r="AM23" s="191" t="str">
        <f t="shared" si="2"/>
        <v>Historical/manual</v>
      </c>
      <c r="AN23" s="191" t="str">
        <f>IF($A23="","",IF(COUNTIF('Decision Queue'!$A$5:$A$204,$A23)+COUNTIF('Decision Register'!$A$5:$A$304,$A23)&gt;1,"DUPLICATE ID","OK"))</f>
        <v>OK</v>
      </c>
      <c r="AO23" t="s">
        <v>599</v>
      </c>
    </row>
    <row r="24" spans="1:41" ht="76.900000000000006" customHeight="1">
      <c r="A24" s="191" t="str">
        <f t="shared" si="1"/>
        <v>HIST-2026-020</v>
      </c>
      <c r="B24" s="189" t="s">
        <v>600</v>
      </c>
      <c r="C24" s="189" t="s">
        <v>202</v>
      </c>
      <c r="D24" s="189" t="s">
        <v>135</v>
      </c>
      <c r="E24" s="268">
        <v>46223</v>
      </c>
      <c r="F24" s="189" t="s">
        <v>601</v>
      </c>
      <c r="G24" s="189" t="s">
        <v>182</v>
      </c>
      <c r="H24" s="189" t="s">
        <v>577</v>
      </c>
      <c r="I24" s="189" t="s">
        <v>583</v>
      </c>
      <c r="J24" s="189"/>
      <c r="K24" s="189"/>
      <c r="L24" s="189"/>
      <c r="M24" s="192"/>
      <c r="N24" s="189"/>
      <c r="O24" s="189"/>
      <c r="P24" s="189" t="s">
        <v>127</v>
      </c>
      <c r="Q24" s="189"/>
      <c r="R24" s="192"/>
      <c r="S24" s="189"/>
      <c r="T24" s="189"/>
      <c r="U24" s="189"/>
      <c r="V24" s="189"/>
      <c r="W24" s="191" t="str">
        <f t="shared" si="0"/>
        <v>INACTIVE</v>
      </c>
      <c r="X24" s="189"/>
      <c r="Y24" s="189"/>
      <c r="Z24" s="189"/>
      <c r="AA24" s="189"/>
      <c r="AB24" s="189"/>
      <c r="AC24" s="189"/>
      <c r="AD24" s="189"/>
      <c r="AE24" s="189"/>
      <c r="AF24" s="189"/>
      <c r="AG24" s="192"/>
      <c r="AH24" s="192"/>
      <c r="AI24" s="189"/>
      <c r="AJ24" s="189"/>
      <c r="AK24" s="189"/>
      <c r="AL24" s="189"/>
      <c r="AM24" s="191" t="str">
        <f t="shared" si="2"/>
        <v>Historical/manual</v>
      </c>
      <c r="AN24" s="191" t="str">
        <f>IF($A24="","",IF(COUNTIF('Decision Queue'!$A$5:$A$204,$A24)+COUNTIF('Decision Register'!$A$5:$A$304,$A24)&gt;1,"DUPLICATE ID","OK"))</f>
        <v>OK</v>
      </c>
      <c r="AO24" t="s">
        <v>602</v>
      </c>
    </row>
    <row r="25" spans="1:41" ht="66" customHeight="1">
      <c r="A25" s="191" t="str">
        <f t="shared" si="1"/>
        <v>HIST-2026-021</v>
      </c>
      <c r="B25" s="189" t="s">
        <v>603</v>
      </c>
      <c r="C25" s="189" t="s">
        <v>126</v>
      </c>
      <c r="D25" s="189" t="s">
        <v>270</v>
      </c>
      <c r="E25" s="268">
        <v>46223</v>
      </c>
      <c r="F25" s="189" t="s">
        <v>604</v>
      </c>
      <c r="G25" s="189" t="s">
        <v>182</v>
      </c>
      <c r="H25" s="189" t="s">
        <v>577</v>
      </c>
      <c r="I25" s="189" t="s">
        <v>474</v>
      </c>
      <c r="J25" s="189"/>
      <c r="K25" s="189"/>
      <c r="L25" s="189"/>
      <c r="M25" s="192"/>
      <c r="N25" s="189"/>
      <c r="O25" s="189"/>
      <c r="P25" s="189" t="s">
        <v>270</v>
      </c>
      <c r="Q25" s="189"/>
      <c r="R25" s="192"/>
      <c r="S25" s="189"/>
      <c r="T25" s="189"/>
      <c r="U25" s="189"/>
      <c r="V25" s="189"/>
      <c r="W25" s="191" t="str">
        <f t="shared" si="0"/>
        <v>INACTIVE</v>
      </c>
      <c r="X25" s="189"/>
      <c r="Y25" s="189"/>
      <c r="Z25" s="189"/>
      <c r="AA25" s="189"/>
      <c r="AB25" s="189"/>
      <c r="AC25" s="189"/>
      <c r="AD25" s="189"/>
      <c r="AE25" s="189"/>
      <c r="AF25" s="189"/>
      <c r="AG25" s="192"/>
      <c r="AH25" s="192"/>
      <c r="AI25" s="189"/>
      <c r="AJ25" s="189"/>
      <c r="AK25" s="189"/>
      <c r="AL25" s="189"/>
      <c r="AM25" s="191" t="str">
        <f t="shared" si="2"/>
        <v>Historical/manual</v>
      </c>
      <c r="AN25" s="191" t="str">
        <f>IF($A25="","",IF(COUNTIF('Decision Queue'!$A$5:$A$204,$A25)+COUNTIF('Decision Register'!$A$5:$A$304,$A25)&gt;1,"DUPLICATE ID","OK"))</f>
        <v>OK</v>
      </c>
      <c r="AO25" t="s">
        <v>605</v>
      </c>
    </row>
    <row r="26" spans="1:41" ht="243.65" customHeight="1">
      <c r="A26" s="191" t="str">
        <f t="shared" si="1"/>
        <v>HIST-2026-022</v>
      </c>
      <c r="B26" s="189" t="s">
        <v>606</v>
      </c>
      <c r="C26" s="189" t="s">
        <v>126</v>
      </c>
      <c r="D26" s="189" t="s">
        <v>270</v>
      </c>
      <c r="E26" s="268">
        <v>46244</v>
      </c>
      <c r="F26" s="270" t="s">
        <v>607</v>
      </c>
      <c r="G26" s="189" t="s">
        <v>182</v>
      </c>
      <c r="H26" s="189" t="s">
        <v>577</v>
      </c>
      <c r="I26" s="189" t="s">
        <v>474</v>
      </c>
      <c r="J26" s="189"/>
      <c r="K26" s="189"/>
      <c r="L26" s="189" t="s">
        <v>126</v>
      </c>
      <c r="M26" s="192"/>
      <c r="N26" s="189" t="s">
        <v>184</v>
      </c>
      <c r="O26" s="189" t="s">
        <v>608</v>
      </c>
      <c r="P26" s="189" t="s">
        <v>270</v>
      </c>
      <c r="Q26" s="189" t="s">
        <v>493</v>
      </c>
      <c r="R26" s="192">
        <v>46230</v>
      </c>
      <c r="S26" s="189"/>
      <c r="T26" s="189"/>
      <c r="U26" s="189" t="s">
        <v>609</v>
      </c>
      <c r="V26" s="189"/>
      <c r="W26" s="191" t="str">
        <f>IF($B26="","",IF(OR($G26="Completed",$G26="Cancelled"),"INACTIVE","ACTIVE"))</f>
        <v>INACTIVE</v>
      </c>
      <c r="X26" s="189"/>
      <c r="Y26" s="189"/>
      <c r="Z26" s="189"/>
      <c r="AA26" s="189"/>
      <c r="AB26" s="189"/>
      <c r="AC26" s="189"/>
      <c r="AD26" s="189"/>
      <c r="AE26" s="189"/>
      <c r="AF26" s="189"/>
      <c r="AG26" s="192"/>
      <c r="AH26" s="192"/>
      <c r="AI26" s="189"/>
      <c r="AJ26" s="189"/>
      <c r="AK26" s="189"/>
      <c r="AL26" s="189"/>
      <c r="AM26" s="191" t="str">
        <f t="shared" si="2"/>
        <v>Historical/manual</v>
      </c>
      <c r="AN26" s="191" t="str">
        <f>IF($A26="","",IF(COUNTIF('Decision Queue'!$A$5:$A$204,$A26)+COUNTIF('Decision Register'!$A$5:$A$304,$A26)&gt;1,"DUPLICATE ID","OK"))</f>
        <v>OK</v>
      </c>
      <c r="AO26" t="s">
        <v>610</v>
      </c>
    </row>
    <row r="27" spans="1:41" ht="87.75" customHeight="1">
      <c r="A27" s="191" t="str">
        <f t="shared" si="1"/>
        <v>HIST-2026-023</v>
      </c>
      <c r="B27" s="189" t="s">
        <v>611</v>
      </c>
      <c r="C27" s="189" t="s">
        <v>126</v>
      </c>
      <c r="D27" s="189" t="s">
        <v>216</v>
      </c>
      <c r="E27" s="268">
        <v>46244</v>
      </c>
      <c r="F27" s="189" t="s">
        <v>612</v>
      </c>
      <c r="G27" s="189" t="s">
        <v>172</v>
      </c>
      <c r="H27" s="189" t="s">
        <v>484</v>
      </c>
      <c r="I27" s="189" t="s">
        <v>493</v>
      </c>
      <c r="J27" s="189" t="s">
        <v>204</v>
      </c>
      <c r="K27" s="189" t="s">
        <v>173</v>
      </c>
      <c r="L27" s="189" t="s">
        <v>126</v>
      </c>
      <c r="M27" s="192">
        <v>46244</v>
      </c>
      <c r="N27" s="189"/>
      <c r="O27" s="189"/>
      <c r="P27" s="189"/>
      <c r="Q27" s="189"/>
      <c r="R27" s="192"/>
      <c r="S27" s="189"/>
      <c r="T27" s="189"/>
      <c r="U27" s="189"/>
      <c r="V27" s="189"/>
      <c r="W27" s="191" t="str">
        <f t="shared" si="0"/>
        <v>ACTIVE</v>
      </c>
      <c r="X27" s="189"/>
      <c r="Y27" s="189"/>
      <c r="Z27" s="189"/>
      <c r="AA27" s="189"/>
      <c r="AB27" s="189"/>
      <c r="AC27" s="189"/>
      <c r="AD27" s="189"/>
      <c r="AE27" s="189"/>
      <c r="AF27" s="189"/>
      <c r="AG27" s="192"/>
      <c r="AH27" s="192"/>
      <c r="AI27" s="189"/>
      <c r="AJ27" s="189"/>
      <c r="AK27" s="189"/>
      <c r="AL27" s="189"/>
      <c r="AM27" s="191" t="str">
        <f t="shared" si="2"/>
        <v>Historical/manual</v>
      </c>
      <c r="AN27" s="191" t="str">
        <f>IF($A27="","",IF(COUNTIF('Decision Queue'!$A$5:$A$204,$A27)+COUNTIF('Decision Register'!$A$5:$A$304,$A27)&gt;1,"DUPLICATE ID","OK"))</f>
        <v>OK</v>
      </c>
      <c r="AO27" t="s">
        <v>613</v>
      </c>
    </row>
    <row r="28" spans="1:41" ht="172.9" customHeight="1">
      <c r="A28" s="191" t="str">
        <f t="shared" si="1"/>
        <v>HIST-2026-024</v>
      </c>
      <c r="B28" s="189" t="s">
        <v>600</v>
      </c>
      <c r="C28" s="189" t="s">
        <v>202</v>
      </c>
      <c r="D28" s="189" t="s">
        <v>135</v>
      </c>
      <c r="E28" s="268">
        <v>46258</v>
      </c>
      <c r="F28" s="189" t="s">
        <v>614</v>
      </c>
      <c r="G28" s="189" t="s">
        <v>182</v>
      </c>
      <c r="H28" s="189" t="s">
        <v>577</v>
      </c>
      <c r="I28" s="189"/>
      <c r="J28" s="189"/>
      <c r="K28" s="189"/>
      <c r="L28" s="189"/>
      <c r="M28" s="192"/>
      <c r="N28" s="189"/>
      <c r="O28" s="189"/>
      <c r="P28" s="189"/>
      <c r="Q28" s="189"/>
      <c r="R28" s="192"/>
      <c r="S28" s="189"/>
      <c r="T28" s="189"/>
      <c r="U28" s="189"/>
      <c r="V28" s="189"/>
      <c r="W28" s="191" t="str">
        <f t="shared" si="0"/>
        <v>INACTIVE</v>
      </c>
      <c r="X28" s="189"/>
      <c r="Y28" s="189"/>
      <c r="Z28" s="189"/>
      <c r="AA28" s="189"/>
      <c r="AB28" s="189"/>
      <c r="AC28" s="189"/>
      <c r="AD28" s="189"/>
      <c r="AE28" s="189"/>
      <c r="AF28" s="189"/>
      <c r="AG28" s="192"/>
      <c r="AH28" s="192"/>
      <c r="AI28" s="189"/>
      <c r="AJ28" s="189"/>
      <c r="AK28" s="189"/>
      <c r="AL28" s="189"/>
      <c r="AM28" s="191" t="str">
        <f t="shared" si="2"/>
        <v>Historical/manual</v>
      </c>
      <c r="AN28" s="191" t="str">
        <f>IF($A28="","",IF(COUNTIF('Decision Queue'!$A$5:$A$204,$A28)+COUNTIF('Decision Register'!$A$5:$A$304,$A28)&gt;1,"DUPLICATE ID","OK"))</f>
        <v>OK</v>
      </c>
      <c r="AO28" t="s">
        <v>615</v>
      </c>
    </row>
    <row r="29" spans="1:41" ht="69.650000000000006" customHeight="1">
      <c r="A29" s="191" t="str">
        <f t="shared" si="1"/>
        <v>HIST-2026-025</v>
      </c>
      <c r="B29" s="189" t="s">
        <v>616</v>
      </c>
      <c r="C29" s="189" t="s">
        <v>126</v>
      </c>
      <c r="D29" s="189" t="s">
        <v>270</v>
      </c>
      <c r="E29" s="268">
        <v>46258</v>
      </c>
      <c r="F29" s="189" t="s">
        <v>617</v>
      </c>
      <c r="G29" s="189" t="s">
        <v>172</v>
      </c>
      <c r="H29" s="189" t="s">
        <v>577</v>
      </c>
      <c r="I29" s="189" t="s">
        <v>474</v>
      </c>
      <c r="J29" s="189" t="s">
        <v>204</v>
      </c>
      <c r="K29" s="189" t="s">
        <v>173</v>
      </c>
      <c r="L29" s="189" t="s">
        <v>126</v>
      </c>
      <c r="M29" s="192">
        <v>46258</v>
      </c>
      <c r="N29" s="189" t="s">
        <v>184</v>
      </c>
      <c r="O29" s="189" t="s">
        <v>618</v>
      </c>
      <c r="P29" s="189"/>
      <c r="Q29" s="189"/>
      <c r="R29" s="192"/>
      <c r="S29" s="189"/>
      <c r="T29" s="189"/>
      <c r="U29" s="189"/>
      <c r="V29" s="189"/>
      <c r="W29" s="191" t="str">
        <f t="shared" si="0"/>
        <v>ACTIVE</v>
      </c>
      <c r="X29" s="189"/>
      <c r="Y29" s="189"/>
      <c r="Z29" s="189"/>
      <c r="AA29" s="189"/>
      <c r="AB29" s="189"/>
      <c r="AC29" s="189"/>
      <c r="AD29" s="189"/>
      <c r="AE29" s="189"/>
      <c r="AF29" s="189"/>
      <c r="AG29" s="192"/>
      <c r="AH29" s="192"/>
      <c r="AI29" s="189"/>
      <c r="AJ29" s="189"/>
      <c r="AK29" s="189"/>
      <c r="AL29" s="189"/>
      <c r="AM29" s="191" t="str">
        <f t="shared" si="2"/>
        <v>Historical/manual</v>
      </c>
      <c r="AN29" s="191" t="str">
        <f>IF($A29="","",IF(COUNTIF('Decision Queue'!$A$5:$A$204,$A29)+COUNTIF('Decision Register'!$A$5:$A$304,$A29)&gt;1,"DUPLICATE ID","OK"))</f>
        <v>OK</v>
      </c>
      <c r="AO29" t="s">
        <v>619</v>
      </c>
    </row>
    <row r="30" spans="1:41" ht="144" customHeight="1">
      <c r="A30" s="191" t="str">
        <f t="shared" si="1"/>
        <v>HIST-2026-026</v>
      </c>
      <c r="B30" s="189" t="s">
        <v>275</v>
      </c>
      <c r="C30" s="189" t="s">
        <v>276</v>
      </c>
      <c r="D30" s="189" t="s">
        <v>270</v>
      </c>
      <c r="E30" s="268">
        <v>46258</v>
      </c>
      <c r="F30" s="189" t="s">
        <v>620</v>
      </c>
      <c r="G30" s="189" t="s">
        <v>242</v>
      </c>
      <c r="H30" s="189" t="s">
        <v>577</v>
      </c>
      <c r="I30" s="189" t="s">
        <v>474</v>
      </c>
      <c r="J30" s="189" t="s">
        <v>278</v>
      </c>
      <c r="K30" s="189" t="s">
        <v>173</v>
      </c>
      <c r="L30" s="189" t="s">
        <v>126</v>
      </c>
      <c r="M30" s="192">
        <v>46258</v>
      </c>
      <c r="N30" s="189" t="s">
        <v>184</v>
      </c>
      <c r="O30" s="189" t="s">
        <v>621</v>
      </c>
      <c r="P30" s="189"/>
      <c r="Q30" s="189"/>
      <c r="R30" s="192"/>
      <c r="S30" s="189"/>
      <c r="T30" s="189"/>
      <c r="U30" s="189"/>
      <c r="V30" s="189"/>
      <c r="W30" s="191" t="str">
        <f t="shared" si="0"/>
        <v>ACTIVE</v>
      </c>
      <c r="X30" s="189"/>
      <c r="Y30" s="189"/>
      <c r="Z30" s="189"/>
      <c r="AA30" s="189"/>
      <c r="AB30" s="189"/>
      <c r="AC30" s="189"/>
      <c r="AD30" s="189"/>
      <c r="AE30" s="189"/>
      <c r="AF30" s="189"/>
      <c r="AG30" s="192"/>
      <c r="AH30" s="192"/>
      <c r="AI30" s="189"/>
      <c r="AJ30" s="189"/>
      <c r="AK30" s="189"/>
      <c r="AL30" s="189"/>
      <c r="AM30" s="191" t="str">
        <f t="shared" si="2"/>
        <v>Historical/manual</v>
      </c>
      <c r="AN30" s="191" t="str">
        <f>IF($A30="","",IF(COUNTIF('Decision Queue'!$A$5:$A$204,$A30)+COUNTIF('Decision Register'!$A$5:$A$304,$A30)&gt;1,"DUPLICATE ID","OK"))</f>
        <v>OK</v>
      </c>
      <c r="AO30" t="s">
        <v>622</v>
      </c>
    </row>
    <row r="31" spans="1:41" ht="69.650000000000006" customHeight="1">
      <c r="A31" s="191" t="str">
        <f t="shared" si="1"/>
        <v>HIST-2026-027</v>
      </c>
      <c r="B31" s="189" t="s">
        <v>281</v>
      </c>
      <c r="C31" s="189" t="s">
        <v>126</v>
      </c>
      <c r="D31" s="189" t="s">
        <v>270</v>
      </c>
      <c r="E31" s="268">
        <v>46258</v>
      </c>
      <c r="F31" s="189" t="s">
        <v>623</v>
      </c>
      <c r="G31" s="189" t="s">
        <v>242</v>
      </c>
      <c r="H31" s="189" t="s">
        <v>577</v>
      </c>
      <c r="I31" s="189" t="s">
        <v>474</v>
      </c>
      <c r="J31" s="189" t="s">
        <v>191</v>
      </c>
      <c r="K31" s="189" t="s">
        <v>173</v>
      </c>
      <c r="L31" s="189" t="s">
        <v>126</v>
      </c>
      <c r="M31" s="192">
        <v>46258</v>
      </c>
      <c r="N31" s="189" t="s">
        <v>184</v>
      </c>
      <c r="O31" s="189" t="s">
        <v>624</v>
      </c>
      <c r="P31" s="189"/>
      <c r="Q31" s="189"/>
      <c r="R31" s="192"/>
      <c r="S31" s="189"/>
      <c r="T31" s="189"/>
      <c r="U31" s="189"/>
      <c r="V31" s="189"/>
      <c r="W31" s="191" t="str">
        <f t="shared" si="0"/>
        <v>ACTIVE</v>
      </c>
      <c r="X31" s="189"/>
      <c r="Y31" s="189"/>
      <c r="Z31" s="189"/>
      <c r="AA31" s="189"/>
      <c r="AB31" s="189"/>
      <c r="AC31" s="189"/>
      <c r="AD31" s="189"/>
      <c r="AE31" s="189"/>
      <c r="AF31" s="189"/>
      <c r="AG31" s="192"/>
      <c r="AH31" s="192"/>
      <c r="AI31" s="189"/>
      <c r="AJ31" s="189"/>
      <c r="AK31" s="189"/>
      <c r="AL31" s="189"/>
      <c r="AM31" s="191" t="str">
        <f t="shared" si="2"/>
        <v>Historical/manual</v>
      </c>
      <c r="AN31" s="191" t="str">
        <f>IF($A31="","",IF(COUNTIF('Decision Queue'!$A$5:$A$204,$A31)+COUNTIF('Decision Register'!$A$5:$A$304,$A31)&gt;1,"DUPLICATE ID","OK"))</f>
        <v>OK</v>
      </c>
      <c r="AO31" t="s">
        <v>625</v>
      </c>
    </row>
    <row r="32" spans="1:41" ht="69.650000000000006" customHeight="1">
      <c r="A32" s="191" t="str">
        <f t="shared" si="1"/>
        <v>HIST-2026-028</v>
      </c>
      <c r="B32" s="189" t="s">
        <v>285</v>
      </c>
      <c r="C32" s="189" t="s">
        <v>126</v>
      </c>
      <c r="D32" s="189" t="s">
        <v>270</v>
      </c>
      <c r="E32" s="268">
        <v>46258</v>
      </c>
      <c r="F32" s="189" t="s">
        <v>626</v>
      </c>
      <c r="G32" s="189" t="s">
        <v>242</v>
      </c>
      <c r="H32" s="189" t="s">
        <v>577</v>
      </c>
      <c r="I32" s="189" t="s">
        <v>474</v>
      </c>
      <c r="J32" s="189" t="s">
        <v>191</v>
      </c>
      <c r="K32" s="189" t="s">
        <v>183</v>
      </c>
      <c r="L32" s="189" t="s">
        <v>126</v>
      </c>
      <c r="M32" s="192">
        <v>46258</v>
      </c>
      <c r="N32" s="189" t="s">
        <v>184</v>
      </c>
      <c r="O32" s="189" t="s">
        <v>627</v>
      </c>
      <c r="P32" s="189"/>
      <c r="Q32" s="189"/>
      <c r="R32" s="192"/>
      <c r="S32" s="189"/>
      <c r="T32" s="189"/>
      <c r="U32" s="189"/>
      <c r="V32" s="189"/>
      <c r="W32" s="191" t="str">
        <f t="shared" si="0"/>
        <v>ACTIVE</v>
      </c>
      <c r="X32" s="189"/>
      <c r="Y32" s="189"/>
      <c r="Z32" s="189"/>
      <c r="AA32" s="189"/>
      <c r="AB32" s="189"/>
      <c r="AC32" s="189"/>
      <c r="AD32" s="189"/>
      <c r="AE32" s="189"/>
      <c r="AF32" s="189"/>
      <c r="AG32" s="192"/>
      <c r="AH32" s="192"/>
      <c r="AI32" s="189"/>
      <c r="AJ32" s="189"/>
      <c r="AK32" s="189"/>
      <c r="AL32" s="189"/>
      <c r="AM32" s="191" t="str">
        <f t="shared" si="2"/>
        <v>Historical/manual</v>
      </c>
      <c r="AN32" s="191" t="str">
        <f>IF($A32="","",IF(COUNTIF('Decision Queue'!$A$5:$A$204,$A32)+COUNTIF('Decision Register'!$A$5:$A$304,$A32)&gt;1,"DUPLICATE ID","OK"))</f>
        <v>OK</v>
      </c>
      <c r="AO32" t="s">
        <v>628</v>
      </c>
    </row>
    <row r="33" spans="1:41" ht="147.75" customHeight="1">
      <c r="A33" s="191" t="str">
        <f t="shared" si="1"/>
        <v>HIST-2026-029</v>
      </c>
      <c r="B33" s="189" t="s">
        <v>289</v>
      </c>
      <c r="C33" s="189" t="s">
        <v>126</v>
      </c>
      <c r="D33" s="189" t="s">
        <v>270</v>
      </c>
      <c r="E33" s="268">
        <v>46258</v>
      </c>
      <c r="F33" s="189" t="s">
        <v>629</v>
      </c>
      <c r="G33" s="189" t="s">
        <v>242</v>
      </c>
      <c r="H33" s="189" t="s">
        <v>492</v>
      </c>
      <c r="I33" s="189" t="s">
        <v>493</v>
      </c>
      <c r="J33" s="189" t="s">
        <v>175</v>
      </c>
      <c r="K33" s="189" t="s">
        <v>190</v>
      </c>
      <c r="L33" s="189" t="s">
        <v>126</v>
      </c>
      <c r="M33" s="192">
        <v>46258</v>
      </c>
      <c r="N33" s="189" t="s">
        <v>184</v>
      </c>
      <c r="O33" s="189" t="s">
        <v>630</v>
      </c>
      <c r="P33" s="189"/>
      <c r="Q33" s="189"/>
      <c r="R33" s="192"/>
      <c r="S33" s="189"/>
      <c r="T33" s="189"/>
      <c r="U33" s="189"/>
      <c r="V33" s="189"/>
      <c r="W33" s="191" t="str">
        <f t="shared" si="0"/>
        <v>ACTIVE</v>
      </c>
      <c r="X33" s="189"/>
      <c r="Y33" s="189"/>
      <c r="Z33" s="189"/>
      <c r="AA33" s="189"/>
      <c r="AB33" s="189"/>
      <c r="AC33" s="189"/>
      <c r="AD33" s="189"/>
      <c r="AE33" s="189"/>
      <c r="AF33" s="189"/>
      <c r="AG33" s="192"/>
      <c r="AH33" s="192"/>
      <c r="AI33" s="189"/>
      <c r="AJ33" s="189"/>
      <c r="AK33" s="189"/>
      <c r="AL33" s="189"/>
      <c r="AM33" s="191" t="str">
        <f t="shared" si="2"/>
        <v>Historical/manual</v>
      </c>
      <c r="AN33" s="191" t="str">
        <f>IF($A33="","",IF(COUNTIF('Decision Queue'!$A$5:$A$204,$A33)+COUNTIF('Decision Register'!$A$5:$A$304,$A33)&gt;1,"DUPLICATE ID","OK"))</f>
        <v>OK</v>
      </c>
      <c r="AO33" t="s">
        <v>631</v>
      </c>
    </row>
    <row r="34" spans="1:41" ht="131.25" customHeight="1">
      <c r="A34" s="191" t="str">
        <f t="shared" si="1"/>
        <v>HIST-2026-030</v>
      </c>
      <c r="B34" s="189" t="s">
        <v>632</v>
      </c>
      <c r="C34" s="189" t="s">
        <v>365</v>
      </c>
      <c r="D34" s="189" t="s">
        <v>125</v>
      </c>
      <c r="E34" s="268">
        <v>46286</v>
      </c>
      <c r="F34" s="189" t="s">
        <v>633</v>
      </c>
      <c r="G34" s="189" t="s">
        <v>242</v>
      </c>
      <c r="H34" s="189" t="s">
        <v>473</v>
      </c>
      <c r="I34" s="189" t="s">
        <v>493</v>
      </c>
      <c r="J34" s="189" t="s">
        <v>175</v>
      </c>
      <c r="K34" s="189" t="s">
        <v>190</v>
      </c>
      <c r="L34" s="189"/>
      <c r="M34" s="192">
        <v>46286</v>
      </c>
      <c r="N34" s="189" t="s">
        <v>184</v>
      </c>
      <c r="O34" s="189" t="s">
        <v>634</v>
      </c>
      <c r="P34" s="189" t="s">
        <v>125</v>
      </c>
      <c r="Q34" s="189" t="s">
        <v>493</v>
      </c>
      <c r="R34" s="192">
        <v>46286</v>
      </c>
      <c r="S34" s="189"/>
      <c r="T34" s="189"/>
      <c r="U34" s="189"/>
      <c r="V34" s="189"/>
      <c r="W34" s="191" t="str">
        <f t="shared" si="0"/>
        <v>ACTIVE</v>
      </c>
      <c r="X34" s="189"/>
      <c r="Y34" s="189"/>
      <c r="Z34" s="189"/>
      <c r="AA34" s="189"/>
      <c r="AB34" s="189"/>
      <c r="AC34" s="189"/>
      <c r="AD34" s="189"/>
      <c r="AE34" s="189"/>
      <c r="AF34" s="189"/>
      <c r="AG34" s="192"/>
      <c r="AH34" s="192"/>
      <c r="AI34" s="189"/>
      <c r="AJ34" s="189"/>
      <c r="AK34" s="189"/>
      <c r="AL34" s="189"/>
      <c r="AM34" s="191" t="str">
        <f t="shared" si="2"/>
        <v>Historical/manual</v>
      </c>
      <c r="AN34" s="191" t="str">
        <f>IF($A34="","",IF(COUNTIF('Decision Queue'!$A$5:$A$204,$A34)+COUNTIF('Decision Register'!$A$5:$A$304,$A34)&gt;1,"DUPLICATE ID","OK"))</f>
        <v>OK</v>
      </c>
      <c r="AO34" t="s">
        <v>635</v>
      </c>
    </row>
    <row r="35" spans="1:41" ht="108.75" customHeight="1">
      <c r="A35" s="191" t="str">
        <f t="shared" si="1"/>
        <v>HIST-2026-031</v>
      </c>
      <c r="B35" s="189" t="s">
        <v>636</v>
      </c>
      <c r="C35" s="189" t="s">
        <v>132</v>
      </c>
      <c r="D35" s="189" t="s">
        <v>135</v>
      </c>
      <c r="E35" s="268">
        <v>46286</v>
      </c>
      <c r="F35" s="189" t="s">
        <v>637</v>
      </c>
      <c r="G35" s="189" t="s">
        <v>172</v>
      </c>
      <c r="H35" s="189" t="s">
        <v>562</v>
      </c>
      <c r="I35" s="189" t="s">
        <v>174</v>
      </c>
      <c r="J35" s="189" t="s">
        <v>175</v>
      </c>
      <c r="K35" s="189" t="s">
        <v>190</v>
      </c>
      <c r="L35" s="189" t="s">
        <v>132</v>
      </c>
      <c r="M35" s="192">
        <v>46286</v>
      </c>
      <c r="N35" s="189" t="s">
        <v>184</v>
      </c>
      <c r="O35" s="189"/>
      <c r="P35" s="189" t="s">
        <v>135</v>
      </c>
      <c r="Q35" s="189" t="s">
        <v>135</v>
      </c>
      <c r="R35" s="192">
        <v>46286</v>
      </c>
      <c r="S35" s="189"/>
      <c r="T35" s="189"/>
      <c r="U35" s="189"/>
      <c r="V35" s="189"/>
      <c r="W35" s="191" t="str">
        <f t="shared" si="0"/>
        <v>ACTIVE</v>
      </c>
      <c r="X35" s="189"/>
      <c r="Y35" s="189"/>
      <c r="Z35" s="189"/>
      <c r="AA35" s="189"/>
      <c r="AB35" s="189"/>
      <c r="AC35" s="189"/>
      <c r="AD35" s="189"/>
      <c r="AE35" s="189"/>
      <c r="AF35" s="189"/>
      <c r="AG35" s="192"/>
      <c r="AH35" s="192"/>
      <c r="AI35" s="189"/>
      <c r="AJ35" s="189"/>
      <c r="AK35" s="189"/>
      <c r="AL35" s="189"/>
      <c r="AM35" s="191" t="str">
        <f t="shared" si="2"/>
        <v>Historical/manual</v>
      </c>
      <c r="AN35" s="191" t="str">
        <f>IF($A35="","",IF(COUNTIF('Decision Queue'!$A$5:$A$204,$A35)+COUNTIF('Decision Register'!$A$5:$A$304,$A35)&gt;1,"DUPLICATE ID","OK"))</f>
        <v>OK</v>
      </c>
      <c r="AO35" t="s">
        <v>638</v>
      </c>
    </row>
    <row r="36" spans="1:41" ht="42" customHeight="1">
      <c r="A36" s="191" t="str">
        <f t="shared" si="1"/>
        <v>HIST-2026-032</v>
      </c>
      <c r="B36" s="189" t="s">
        <v>639</v>
      </c>
      <c r="C36" s="189" t="s">
        <v>126</v>
      </c>
      <c r="D36" s="189" t="s">
        <v>270</v>
      </c>
      <c r="E36" s="268">
        <v>46286</v>
      </c>
      <c r="F36" s="189" t="s">
        <v>640</v>
      </c>
      <c r="G36" s="189" t="s">
        <v>182</v>
      </c>
      <c r="H36" s="189" t="s">
        <v>484</v>
      </c>
      <c r="I36" s="189" t="s">
        <v>493</v>
      </c>
      <c r="J36" s="189"/>
      <c r="K36" s="189"/>
      <c r="L36" s="189" t="s">
        <v>126</v>
      </c>
      <c r="M36" s="192">
        <v>46286</v>
      </c>
      <c r="N36" s="189" t="s">
        <v>174</v>
      </c>
      <c r="O36" s="189"/>
      <c r="P36" s="189" t="s">
        <v>131</v>
      </c>
      <c r="Q36" s="189" t="s">
        <v>131</v>
      </c>
      <c r="R36" s="192">
        <v>46286</v>
      </c>
      <c r="S36" s="189"/>
      <c r="T36" s="189"/>
      <c r="U36" s="189"/>
      <c r="V36" s="189"/>
      <c r="W36" s="191" t="str">
        <f t="shared" si="0"/>
        <v>INACTIVE</v>
      </c>
      <c r="X36" s="189"/>
      <c r="Y36" s="189"/>
      <c r="Z36" s="189"/>
      <c r="AA36" s="189"/>
      <c r="AB36" s="189"/>
      <c r="AC36" s="189"/>
      <c r="AD36" s="189"/>
      <c r="AE36" s="189"/>
      <c r="AF36" s="189"/>
      <c r="AG36" s="192"/>
      <c r="AH36" s="192"/>
      <c r="AI36" s="189"/>
      <c r="AJ36" s="189"/>
      <c r="AK36" s="189"/>
      <c r="AL36" s="189"/>
      <c r="AM36" s="191" t="str">
        <f t="shared" si="2"/>
        <v>Historical/manual</v>
      </c>
      <c r="AN36" s="191" t="str">
        <f>IF($A36="","",IF(COUNTIF('Decision Queue'!$A$5:$A$204,$A36)+COUNTIF('Decision Register'!$A$5:$A$304,$A36)&gt;1,"DUPLICATE ID","OK"))</f>
        <v>OK</v>
      </c>
      <c r="AO36" t="s">
        <v>641</v>
      </c>
    </row>
    <row r="37" spans="1:41" ht="132" customHeight="1">
      <c r="A37" s="191" t="str">
        <f t="shared" si="1"/>
        <v>HIST-2026-033</v>
      </c>
      <c r="B37" s="189" t="s">
        <v>642</v>
      </c>
      <c r="C37" s="189" t="s">
        <v>126</v>
      </c>
      <c r="D37" s="189" t="s">
        <v>131</v>
      </c>
      <c r="E37" s="268">
        <v>46300</v>
      </c>
      <c r="F37" s="189" t="s">
        <v>643</v>
      </c>
      <c r="G37" s="189" t="s">
        <v>172</v>
      </c>
      <c r="H37" s="189" t="s">
        <v>473</v>
      </c>
      <c r="I37" s="189" t="s">
        <v>493</v>
      </c>
      <c r="J37" s="189" t="s">
        <v>175</v>
      </c>
      <c r="K37" s="189"/>
      <c r="L37" s="189" t="s">
        <v>126</v>
      </c>
      <c r="M37" s="192">
        <v>46300</v>
      </c>
      <c r="N37" s="189" t="s">
        <v>184</v>
      </c>
      <c r="O37" s="189" t="s">
        <v>644</v>
      </c>
      <c r="P37" s="189" t="s">
        <v>131</v>
      </c>
      <c r="Q37" s="189" t="s">
        <v>135</v>
      </c>
      <c r="R37" s="192">
        <v>46300</v>
      </c>
      <c r="S37" s="189"/>
      <c r="T37" s="189"/>
      <c r="U37" s="189"/>
      <c r="V37" s="189"/>
      <c r="W37" s="191" t="str">
        <f t="shared" si="0"/>
        <v>ACTIVE</v>
      </c>
      <c r="X37" s="189"/>
      <c r="Y37" s="189"/>
      <c r="Z37" s="189"/>
      <c r="AA37" s="189"/>
      <c r="AB37" s="189"/>
      <c r="AC37" s="189"/>
      <c r="AD37" s="189"/>
      <c r="AE37" s="189"/>
      <c r="AF37" s="189"/>
      <c r="AG37" s="192"/>
      <c r="AH37" s="192"/>
      <c r="AI37" s="189"/>
      <c r="AJ37" s="189"/>
      <c r="AK37" s="189"/>
      <c r="AL37" s="189"/>
      <c r="AM37" s="191" t="str">
        <f t="shared" si="2"/>
        <v>Historical/manual</v>
      </c>
      <c r="AN37" s="191" t="str">
        <f>IF($A37="","",IF(COUNTIF('Decision Queue'!$A$5:$A$204,$A37)+COUNTIF('Decision Register'!$A$5:$A$304,$A37)&gt;1,"DUPLICATE ID","OK"))</f>
        <v>OK</v>
      </c>
      <c r="AO37" t="s">
        <v>645</v>
      </c>
    </row>
    <row r="38" spans="1:41" ht="42" customHeight="1">
      <c r="A38" s="191" t="str">
        <f t="shared" si="1"/>
        <v/>
      </c>
      <c r="B38" s="189"/>
      <c r="C38" s="189"/>
      <c r="D38" s="189"/>
      <c r="E38" s="268"/>
      <c r="F38" s="189"/>
      <c r="G38" s="189"/>
      <c r="H38" s="189"/>
      <c r="I38" s="189"/>
      <c r="J38" s="189"/>
      <c r="K38" s="189"/>
      <c r="L38" s="189"/>
      <c r="M38" s="192"/>
      <c r="N38" s="189"/>
      <c r="O38" s="189"/>
      <c r="P38" s="189"/>
      <c r="Q38" s="189"/>
      <c r="R38" s="192"/>
      <c r="S38" s="189"/>
      <c r="T38" s="189"/>
      <c r="U38" s="189"/>
      <c r="V38" s="189"/>
      <c r="W38" s="191" t="str">
        <f t="shared" si="0"/>
        <v/>
      </c>
      <c r="X38" s="189"/>
      <c r="Y38" s="189"/>
      <c r="Z38" s="189"/>
      <c r="AA38" s="189"/>
      <c r="AB38" s="189"/>
      <c r="AC38" s="189"/>
      <c r="AD38" s="189"/>
      <c r="AE38" s="189"/>
      <c r="AF38" s="189"/>
      <c r="AG38" s="192"/>
      <c r="AH38" s="192"/>
      <c r="AI38" s="189"/>
      <c r="AJ38" s="189"/>
      <c r="AK38" s="189"/>
      <c r="AL38" s="189"/>
      <c r="AM38" s="191" t="str">
        <f t="shared" si="2"/>
        <v/>
      </c>
      <c r="AN38" s="191" t="str">
        <f>IF($A38="","",IF(COUNTIF('Decision Queue'!$A$5:$A$204,$A38)+COUNTIF('Decision Register'!$A$5:$A$304,$A38)&gt;1,"DUPLICATE ID","OK"))</f>
        <v/>
      </c>
      <c r="AO38" t="s">
        <v>646</v>
      </c>
    </row>
    <row r="39" spans="1:41" ht="42" customHeight="1">
      <c r="A39" s="191" t="str">
        <f t="shared" si="1"/>
        <v/>
      </c>
      <c r="B39" s="189"/>
      <c r="C39" s="189"/>
      <c r="D39" s="189"/>
      <c r="E39" s="268"/>
      <c r="F39" s="189"/>
      <c r="G39" s="189"/>
      <c r="H39" s="189"/>
      <c r="I39" s="189"/>
      <c r="J39" s="189"/>
      <c r="K39" s="189"/>
      <c r="L39" s="189"/>
      <c r="M39" s="192"/>
      <c r="N39" s="189"/>
      <c r="O39" s="189"/>
      <c r="P39" s="189"/>
      <c r="Q39" s="189"/>
      <c r="R39" s="192"/>
      <c r="S39" s="189"/>
      <c r="T39" s="189"/>
      <c r="U39" s="189"/>
      <c r="V39" s="189"/>
      <c r="W39" s="191" t="str">
        <f t="shared" si="0"/>
        <v/>
      </c>
      <c r="X39" s="189"/>
      <c r="Y39" s="189"/>
      <c r="Z39" s="189"/>
      <c r="AA39" s="189"/>
      <c r="AB39" s="189"/>
      <c r="AC39" s="189"/>
      <c r="AD39" s="189"/>
      <c r="AE39" s="189"/>
      <c r="AF39" s="189"/>
      <c r="AG39" s="192"/>
      <c r="AH39" s="192"/>
      <c r="AI39" s="189"/>
      <c r="AJ39" s="189"/>
      <c r="AK39" s="189"/>
      <c r="AL39" s="189"/>
      <c r="AM39" s="191" t="str">
        <f t="shared" si="2"/>
        <v/>
      </c>
      <c r="AN39" s="191" t="str">
        <f>IF($A39="","",IF(COUNTIF('Decision Queue'!$A$5:$A$204,$A39)+COUNTIF('Decision Register'!$A$5:$A$304,$A39)&gt;1,"DUPLICATE ID","OK"))</f>
        <v/>
      </c>
      <c r="AO39" t="s">
        <v>647</v>
      </c>
    </row>
    <row r="40" spans="1:41" ht="42" customHeight="1">
      <c r="A40" s="191" t="str">
        <f t="shared" si="1"/>
        <v/>
      </c>
      <c r="B40" s="189"/>
      <c r="C40" s="189"/>
      <c r="D40" s="189"/>
      <c r="E40" s="268"/>
      <c r="F40" s="189"/>
      <c r="G40" s="189"/>
      <c r="H40" s="189"/>
      <c r="I40" s="189"/>
      <c r="J40" s="189"/>
      <c r="K40" s="189"/>
      <c r="L40" s="189"/>
      <c r="M40" s="192"/>
      <c r="N40" s="189"/>
      <c r="O40" s="189"/>
      <c r="P40" s="189"/>
      <c r="Q40" s="189"/>
      <c r="R40" s="192"/>
      <c r="S40" s="189"/>
      <c r="T40" s="189"/>
      <c r="U40" s="189"/>
      <c r="V40" s="189"/>
      <c r="W40" s="191" t="str">
        <f t="shared" si="0"/>
        <v/>
      </c>
      <c r="X40" s="189"/>
      <c r="Y40" s="189"/>
      <c r="Z40" s="189"/>
      <c r="AA40" s="189"/>
      <c r="AB40" s="189"/>
      <c r="AC40" s="189"/>
      <c r="AD40" s="189"/>
      <c r="AE40" s="189"/>
      <c r="AF40" s="189"/>
      <c r="AG40" s="192"/>
      <c r="AH40" s="192"/>
      <c r="AI40" s="189"/>
      <c r="AJ40" s="189"/>
      <c r="AK40" s="189"/>
      <c r="AL40" s="189"/>
      <c r="AM40" s="191" t="str">
        <f t="shared" si="2"/>
        <v/>
      </c>
      <c r="AN40" s="191" t="str">
        <f>IF($A40="","",IF(COUNTIF('Decision Queue'!$A$5:$A$204,$A40)+COUNTIF('Decision Register'!$A$5:$A$304,$A40)&gt;1,"DUPLICATE ID","OK"))</f>
        <v/>
      </c>
      <c r="AO40" t="s">
        <v>648</v>
      </c>
    </row>
    <row r="41" spans="1:41" ht="42" customHeight="1">
      <c r="A41" s="191" t="str">
        <f t="shared" si="1"/>
        <v/>
      </c>
      <c r="B41" s="189"/>
      <c r="C41" s="189"/>
      <c r="D41" s="189"/>
      <c r="E41" s="268"/>
      <c r="F41" s="189"/>
      <c r="G41" s="189"/>
      <c r="H41" s="189"/>
      <c r="I41" s="189"/>
      <c r="J41" s="189"/>
      <c r="K41" s="189"/>
      <c r="L41" s="189"/>
      <c r="M41" s="192"/>
      <c r="N41" s="189"/>
      <c r="O41" s="189"/>
      <c r="P41" s="189"/>
      <c r="Q41" s="189"/>
      <c r="R41" s="192"/>
      <c r="S41" s="189"/>
      <c r="T41" s="189"/>
      <c r="U41" s="189"/>
      <c r="V41" s="189"/>
      <c r="W41" s="191" t="str">
        <f t="shared" si="0"/>
        <v/>
      </c>
      <c r="X41" s="189"/>
      <c r="Y41" s="189"/>
      <c r="Z41" s="189"/>
      <c r="AA41" s="189"/>
      <c r="AB41" s="189"/>
      <c r="AC41" s="189"/>
      <c r="AD41" s="189"/>
      <c r="AE41" s="189"/>
      <c r="AF41" s="189"/>
      <c r="AG41" s="192"/>
      <c r="AH41" s="192"/>
      <c r="AI41" s="189"/>
      <c r="AJ41" s="189"/>
      <c r="AK41" s="189"/>
      <c r="AL41" s="189"/>
      <c r="AM41" s="191" t="str">
        <f t="shared" si="2"/>
        <v/>
      </c>
      <c r="AN41" s="191" t="str">
        <f>IF($A41="","",IF(COUNTIF('Decision Queue'!$A$5:$A$204,$A41)+COUNTIF('Decision Register'!$A$5:$A$304,$A41)&gt;1,"DUPLICATE ID","OK"))</f>
        <v/>
      </c>
      <c r="AO41" t="s">
        <v>649</v>
      </c>
    </row>
    <row r="42" spans="1:41" ht="42" customHeight="1">
      <c r="A42" s="191" t="str">
        <f t="shared" si="1"/>
        <v/>
      </c>
      <c r="B42" s="189"/>
      <c r="C42" s="189"/>
      <c r="D42" s="189"/>
      <c r="E42" s="268"/>
      <c r="F42" s="189"/>
      <c r="G42" s="189"/>
      <c r="H42" s="189"/>
      <c r="I42" s="189"/>
      <c r="J42" s="189"/>
      <c r="K42" s="189"/>
      <c r="L42" s="189"/>
      <c r="M42" s="192"/>
      <c r="N42" s="189"/>
      <c r="O42" s="189"/>
      <c r="P42" s="189"/>
      <c r="Q42" s="189"/>
      <c r="R42" s="192"/>
      <c r="S42" s="189"/>
      <c r="T42" s="189"/>
      <c r="U42" s="189"/>
      <c r="V42" s="189"/>
      <c r="W42" s="191" t="str">
        <f t="shared" si="0"/>
        <v/>
      </c>
      <c r="X42" s="189"/>
      <c r="Y42" s="189"/>
      <c r="Z42" s="189"/>
      <c r="AA42" s="189"/>
      <c r="AB42" s="189"/>
      <c r="AC42" s="189"/>
      <c r="AD42" s="189"/>
      <c r="AE42" s="189"/>
      <c r="AF42" s="189"/>
      <c r="AG42" s="192"/>
      <c r="AH42" s="192"/>
      <c r="AI42" s="189"/>
      <c r="AJ42" s="189"/>
      <c r="AK42" s="189"/>
      <c r="AL42" s="189"/>
      <c r="AM42" s="191" t="str">
        <f t="shared" si="2"/>
        <v/>
      </c>
      <c r="AN42" s="191" t="str">
        <f>IF($A42="","",IF(COUNTIF('Decision Queue'!$A$5:$A$204,$A42)+COUNTIF('Decision Register'!$A$5:$A$304,$A42)&gt;1,"DUPLICATE ID","OK"))</f>
        <v/>
      </c>
      <c r="AO42" t="s">
        <v>650</v>
      </c>
    </row>
    <row r="43" spans="1:41" ht="42" customHeight="1">
      <c r="A43" s="191" t="str">
        <f t="shared" si="1"/>
        <v/>
      </c>
      <c r="B43" s="189"/>
      <c r="C43" s="189"/>
      <c r="D43" s="189"/>
      <c r="E43" s="268"/>
      <c r="F43" s="189"/>
      <c r="G43" s="189"/>
      <c r="H43" s="189"/>
      <c r="I43" s="189"/>
      <c r="J43" s="189"/>
      <c r="K43" s="189"/>
      <c r="L43" s="189"/>
      <c r="M43" s="192"/>
      <c r="N43" s="189"/>
      <c r="O43" s="189"/>
      <c r="P43" s="189"/>
      <c r="Q43" s="189"/>
      <c r="R43" s="192"/>
      <c r="S43" s="189"/>
      <c r="T43" s="189"/>
      <c r="U43" s="189"/>
      <c r="V43" s="189"/>
      <c r="W43" s="191" t="str">
        <f t="shared" si="0"/>
        <v/>
      </c>
      <c r="X43" s="189"/>
      <c r="Y43" s="189"/>
      <c r="Z43" s="189"/>
      <c r="AA43" s="189"/>
      <c r="AB43" s="189"/>
      <c r="AC43" s="189"/>
      <c r="AD43" s="189"/>
      <c r="AE43" s="189"/>
      <c r="AF43" s="189"/>
      <c r="AG43" s="192"/>
      <c r="AH43" s="192"/>
      <c r="AI43" s="189"/>
      <c r="AJ43" s="189"/>
      <c r="AK43" s="189"/>
      <c r="AL43" s="189"/>
      <c r="AM43" s="191" t="str">
        <f t="shared" si="2"/>
        <v/>
      </c>
      <c r="AN43" s="191" t="str">
        <f>IF($A43="","",IF(COUNTIF('Decision Queue'!$A$5:$A$204,$A43)+COUNTIF('Decision Register'!$A$5:$A$304,$A43)&gt;1,"DUPLICATE ID","OK"))</f>
        <v/>
      </c>
      <c r="AO43" t="s">
        <v>651</v>
      </c>
    </row>
    <row r="44" spans="1:41" ht="42" customHeight="1">
      <c r="A44" s="191" t="str">
        <f t="shared" si="1"/>
        <v/>
      </c>
      <c r="B44" s="189"/>
      <c r="C44" s="189"/>
      <c r="D44" s="189"/>
      <c r="E44" s="268"/>
      <c r="F44" s="189"/>
      <c r="G44" s="189"/>
      <c r="H44" s="189"/>
      <c r="I44" s="189"/>
      <c r="J44" s="189"/>
      <c r="K44" s="189"/>
      <c r="L44" s="189"/>
      <c r="M44" s="192"/>
      <c r="N44" s="189"/>
      <c r="O44" s="189"/>
      <c r="P44" s="189"/>
      <c r="Q44" s="189"/>
      <c r="R44" s="192"/>
      <c r="S44" s="189"/>
      <c r="T44" s="189"/>
      <c r="U44" s="189"/>
      <c r="V44" s="189"/>
      <c r="W44" s="191" t="str">
        <f t="shared" si="0"/>
        <v/>
      </c>
      <c r="X44" s="189"/>
      <c r="Y44" s="189"/>
      <c r="Z44" s="189"/>
      <c r="AA44" s="189"/>
      <c r="AB44" s="189"/>
      <c r="AC44" s="189"/>
      <c r="AD44" s="189"/>
      <c r="AE44" s="189"/>
      <c r="AF44" s="189"/>
      <c r="AG44" s="192"/>
      <c r="AH44" s="192"/>
      <c r="AI44" s="189"/>
      <c r="AJ44" s="189"/>
      <c r="AK44" s="189"/>
      <c r="AL44" s="189"/>
      <c r="AM44" s="191" t="str">
        <f t="shared" si="2"/>
        <v/>
      </c>
      <c r="AN44" s="191" t="str">
        <f>IF($A44="","",IF(COUNTIF('Decision Queue'!$A$5:$A$204,$A44)+COUNTIF('Decision Register'!$A$5:$A$304,$A44)&gt;1,"DUPLICATE ID","OK"))</f>
        <v/>
      </c>
      <c r="AO44" t="s">
        <v>652</v>
      </c>
    </row>
    <row r="45" spans="1:41" ht="42" customHeight="1">
      <c r="A45" s="191" t="str">
        <f t="shared" si="1"/>
        <v/>
      </c>
      <c r="B45" s="189"/>
      <c r="C45" s="189"/>
      <c r="D45" s="189"/>
      <c r="E45" s="268"/>
      <c r="F45" s="189"/>
      <c r="G45" s="189"/>
      <c r="H45" s="189"/>
      <c r="I45" s="189"/>
      <c r="J45" s="189"/>
      <c r="K45" s="189"/>
      <c r="L45" s="189"/>
      <c r="M45" s="192"/>
      <c r="N45" s="189"/>
      <c r="O45" s="189"/>
      <c r="P45" s="189"/>
      <c r="Q45" s="189"/>
      <c r="R45" s="192"/>
      <c r="S45" s="189"/>
      <c r="T45" s="189"/>
      <c r="U45" s="189"/>
      <c r="V45" s="189"/>
      <c r="W45" s="191" t="str">
        <f t="shared" si="0"/>
        <v/>
      </c>
      <c r="X45" s="189"/>
      <c r="Y45" s="189"/>
      <c r="Z45" s="189"/>
      <c r="AA45" s="189"/>
      <c r="AB45" s="189"/>
      <c r="AC45" s="189"/>
      <c r="AD45" s="189"/>
      <c r="AE45" s="189"/>
      <c r="AF45" s="189"/>
      <c r="AG45" s="192"/>
      <c r="AH45" s="192"/>
      <c r="AI45" s="189"/>
      <c r="AJ45" s="189"/>
      <c r="AK45" s="189"/>
      <c r="AL45" s="189"/>
      <c r="AM45" s="191" t="str">
        <f t="shared" si="2"/>
        <v/>
      </c>
      <c r="AN45" s="191" t="str">
        <f>IF($A45="","",IF(COUNTIF('Decision Queue'!$A$5:$A$204,$A45)+COUNTIF('Decision Register'!$A$5:$A$304,$A45)&gt;1,"DUPLICATE ID","OK"))</f>
        <v/>
      </c>
      <c r="AO45" t="s">
        <v>653</v>
      </c>
    </row>
    <row r="46" spans="1:41" ht="42" customHeight="1">
      <c r="A46" s="191" t="str">
        <f t="shared" si="1"/>
        <v/>
      </c>
      <c r="B46" s="189"/>
      <c r="C46" s="189"/>
      <c r="D46" s="189"/>
      <c r="E46" s="268"/>
      <c r="F46" s="189"/>
      <c r="G46" s="189"/>
      <c r="H46" s="189"/>
      <c r="I46" s="189"/>
      <c r="J46" s="189"/>
      <c r="K46" s="189"/>
      <c r="L46" s="189"/>
      <c r="M46" s="192"/>
      <c r="N46" s="189"/>
      <c r="O46" s="189"/>
      <c r="P46" s="189"/>
      <c r="Q46" s="189"/>
      <c r="R46" s="192"/>
      <c r="S46" s="189"/>
      <c r="T46" s="189"/>
      <c r="U46" s="189"/>
      <c r="V46" s="189"/>
      <c r="W46" s="191" t="str">
        <f t="shared" si="0"/>
        <v/>
      </c>
      <c r="X46" s="189"/>
      <c r="Y46" s="189"/>
      <c r="Z46" s="189"/>
      <c r="AA46" s="189"/>
      <c r="AB46" s="189"/>
      <c r="AC46" s="189"/>
      <c r="AD46" s="189"/>
      <c r="AE46" s="189"/>
      <c r="AF46" s="189"/>
      <c r="AG46" s="192"/>
      <c r="AH46" s="192"/>
      <c r="AI46" s="189"/>
      <c r="AJ46" s="189"/>
      <c r="AK46" s="189"/>
      <c r="AL46" s="189"/>
      <c r="AM46" s="191" t="str">
        <f t="shared" si="2"/>
        <v/>
      </c>
      <c r="AN46" s="191" t="str">
        <f>IF($A46="","",IF(COUNTIF('Decision Queue'!$A$5:$A$204,$A46)+COUNTIF('Decision Register'!$A$5:$A$304,$A46)&gt;1,"DUPLICATE ID","OK"))</f>
        <v/>
      </c>
      <c r="AO46" t="s">
        <v>654</v>
      </c>
    </row>
    <row r="47" spans="1:41" ht="42" customHeight="1">
      <c r="A47" s="191" t="str">
        <f t="shared" si="1"/>
        <v/>
      </c>
      <c r="B47" s="189"/>
      <c r="C47" s="189"/>
      <c r="D47" s="189"/>
      <c r="E47" s="268"/>
      <c r="F47" s="189"/>
      <c r="G47" s="189"/>
      <c r="H47" s="189"/>
      <c r="I47" s="189"/>
      <c r="J47" s="189"/>
      <c r="K47" s="189"/>
      <c r="L47" s="189"/>
      <c r="M47" s="192"/>
      <c r="N47" s="189"/>
      <c r="O47" s="189"/>
      <c r="P47" s="189"/>
      <c r="Q47" s="189"/>
      <c r="R47" s="192"/>
      <c r="S47" s="189"/>
      <c r="T47" s="189"/>
      <c r="U47" s="189"/>
      <c r="V47" s="189"/>
      <c r="W47" s="191" t="str">
        <f t="shared" si="0"/>
        <v/>
      </c>
      <c r="X47" s="189"/>
      <c r="Y47" s="189"/>
      <c r="Z47" s="189"/>
      <c r="AA47" s="189"/>
      <c r="AB47" s="189"/>
      <c r="AC47" s="189"/>
      <c r="AD47" s="189"/>
      <c r="AE47" s="189"/>
      <c r="AF47" s="189"/>
      <c r="AG47" s="192"/>
      <c r="AH47" s="192"/>
      <c r="AI47" s="189"/>
      <c r="AJ47" s="189"/>
      <c r="AK47" s="189"/>
      <c r="AL47" s="189"/>
      <c r="AM47" s="191" t="str">
        <f t="shared" si="2"/>
        <v/>
      </c>
      <c r="AN47" s="191" t="str">
        <f>IF($A47="","",IF(COUNTIF('Decision Queue'!$A$5:$A$204,$A47)+COUNTIF('Decision Register'!$A$5:$A$304,$A47)&gt;1,"DUPLICATE ID","OK"))</f>
        <v/>
      </c>
      <c r="AO47" t="s">
        <v>655</v>
      </c>
    </row>
    <row r="48" spans="1:41" ht="42" customHeight="1">
      <c r="A48" s="191" t="str">
        <f t="shared" si="1"/>
        <v/>
      </c>
      <c r="B48" s="189"/>
      <c r="C48" s="189"/>
      <c r="D48" s="189"/>
      <c r="E48" s="268"/>
      <c r="F48" s="189"/>
      <c r="G48" s="189"/>
      <c r="H48" s="189"/>
      <c r="I48" s="189"/>
      <c r="J48" s="189"/>
      <c r="K48" s="189"/>
      <c r="L48" s="189"/>
      <c r="M48" s="192"/>
      <c r="N48" s="189"/>
      <c r="O48" s="189"/>
      <c r="P48" s="189"/>
      <c r="Q48" s="189"/>
      <c r="R48" s="192"/>
      <c r="S48" s="189"/>
      <c r="T48" s="189"/>
      <c r="U48" s="189"/>
      <c r="V48" s="189"/>
      <c r="W48" s="191" t="str">
        <f t="shared" si="0"/>
        <v/>
      </c>
      <c r="X48" s="189"/>
      <c r="Y48" s="189"/>
      <c r="Z48" s="189"/>
      <c r="AA48" s="189"/>
      <c r="AB48" s="189"/>
      <c r="AC48" s="189"/>
      <c r="AD48" s="189"/>
      <c r="AE48" s="189"/>
      <c r="AF48" s="189"/>
      <c r="AG48" s="192"/>
      <c r="AH48" s="192"/>
      <c r="AI48" s="189"/>
      <c r="AJ48" s="189"/>
      <c r="AK48" s="189"/>
      <c r="AL48" s="189"/>
      <c r="AM48" s="191" t="str">
        <f t="shared" si="2"/>
        <v/>
      </c>
      <c r="AN48" s="191" t="str">
        <f>IF($A48="","",IF(COUNTIF('Decision Queue'!$A$5:$A$204,$A48)+COUNTIF('Decision Register'!$A$5:$A$304,$A48)&gt;1,"DUPLICATE ID","OK"))</f>
        <v/>
      </c>
      <c r="AO48" t="s">
        <v>656</v>
      </c>
    </row>
    <row r="49" spans="1:41" ht="42" customHeight="1">
      <c r="A49" s="191" t="str">
        <f t="shared" si="1"/>
        <v/>
      </c>
      <c r="B49" s="189"/>
      <c r="C49" s="189"/>
      <c r="D49" s="189"/>
      <c r="E49" s="268"/>
      <c r="F49" s="189"/>
      <c r="G49" s="189"/>
      <c r="H49" s="189"/>
      <c r="I49" s="189"/>
      <c r="J49" s="189"/>
      <c r="K49" s="189"/>
      <c r="L49" s="189"/>
      <c r="M49" s="192"/>
      <c r="N49" s="189"/>
      <c r="O49" s="189"/>
      <c r="P49" s="189"/>
      <c r="Q49" s="189"/>
      <c r="R49" s="192"/>
      <c r="S49" s="189"/>
      <c r="T49" s="189"/>
      <c r="U49" s="189"/>
      <c r="V49" s="189"/>
      <c r="W49" s="191" t="str">
        <f t="shared" si="0"/>
        <v/>
      </c>
      <c r="X49" s="189"/>
      <c r="Y49" s="189"/>
      <c r="Z49" s="189"/>
      <c r="AA49" s="189"/>
      <c r="AB49" s="189"/>
      <c r="AC49" s="189"/>
      <c r="AD49" s="189"/>
      <c r="AE49" s="189"/>
      <c r="AF49" s="189"/>
      <c r="AG49" s="192"/>
      <c r="AH49" s="192"/>
      <c r="AI49" s="189"/>
      <c r="AJ49" s="189"/>
      <c r="AK49" s="189"/>
      <c r="AL49" s="189"/>
      <c r="AM49" s="191" t="str">
        <f t="shared" si="2"/>
        <v/>
      </c>
      <c r="AN49" s="191" t="str">
        <f>IF($A49="","",IF(COUNTIF('Decision Queue'!$A$5:$A$204,$A49)+COUNTIF('Decision Register'!$A$5:$A$304,$A49)&gt;1,"DUPLICATE ID","OK"))</f>
        <v/>
      </c>
      <c r="AO49" t="s">
        <v>657</v>
      </c>
    </row>
    <row r="50" spans="1:41" ht="42" customHeight="1">
      <c r="A50" s="191" t="str">
        <f t="shared" si="1"/>
        <v/>
      </c>
      <c r="B50" s="189"/>
      <c r="C50" s="189"/>
      <c r="D50" s="189"/>
      <c r="E50" s="268"/>
      <c r="F50" s="189"/>
      <c r="G50" s="189"/>
      <c r="H50" s="189"/>
      <c r="I50" s="189"/>
      <c r="J50" s="189"/>
      <c r="K50" s="189"/>
      <c r="L50" s="189"/>
      <c r="M50" s="192"/>
      <c r="N50" s="189"/>
      <c r="O50" s="189"/>
      <c r="P50" s="189"/>
      <c r="Q50" s="189"/>
      <c r="R50" s="192"/>
      <c r="S50" s="189"/>
      <c r="T50" s="189"/>
      <c r="U50" s="189"/>
      <c r="V50" s="189"/>
      <c r="W50" s="191" t="str">
        <f t="shared" si="0"/>
        <v/>
      </c>
      <c r="X50" s="189"/>
      <c r="Y50" s="189"/>
      <c r="Z50" s="189"/>
      <c r="AA50" s="189"/>
      <c r="AB50" s="189"/>
      <c r="AC50" s="189"/>
      <c r="AD50" s="189"/>
      <c r="AE50" s="189"/>
      <c r="AF50" s="189"/>
      <c r="AG50" s="192"/>
      <c r="AH50" s="192"/>
      <c r="AI50" s="189"/>
      <c r="AJ50" s="189"/>
      <c r="AK50" s="189"/>
      <c r="AL50" s="189"/>
      <c r="AM50" s="191" t="str">
        <f t="shared" si="2"/>
        <v/>
      </c>
      <c r="AN50" s="191" t="str">
        <f>IF($A50="","",IF(COUNTIF('Decision Queue'!$A$5:$A$204,$A50)+COUNTIF('Decision Register'!$A$5:$A$304,$A50)&gt;1,"DUPLICATE ID","OK"))</f>
        <v/>
      </c>
      <c r="AO50" t="s">
        <v>658</v>
      </c>
    </row>
    <row r="51" spans="1:41" ht="42" customHeight="1">
      <c r="A51" s="191" t="str">
        <f t="shared" si="1"/>
        <v/>
      </c>
      <c r="B51" s="189"/>
      <c r="C51" s="189"/>
      <c r="D51" s="189"/>
      <c r="E51" s="268"/>
      <c r="F51" s="189"/>
      <c r="G51" s="189"/>
      <c r="H51" s="189"/>
      <c r="I51" s="189"/>
      <c r="J51" s="189"/>
      <c r="K51" s="189"/>
      <c r="L51" s="189"/>
      <c r="M51" s="192"/>
      <c r="N51" s="189"/>
      <c r="O51" s="189"/>
      <c r="P51" s="189"/>
      <c r="Q51" s="189"/>
      <c r="R51" s="192"/>
      <c r="S51" s="189"/>
      <c r="T51" s="189"/>
      <c r="U51" s="189"/>
      <c r="V51" s="189"/>
      <c r="W51" s="191" t="str">
        <f t="shared" si="0"/>
        <v/>
      </c>
      <c r="X51" s="189"/>
      <c r="Y51" s="189"/>
      <c r="Z51" s="189"/>
      <c r="AA51" s="189"/>
      <c r="AB51" s="189"/>
      <c r="AC51" s="189"/>
      <c r="AD51" s="189"/>
      <c r="AE51" s="189"/>
      <c r="AF51" s="189"/>
      <c r="AG51" s="192"/>
      <c r="AH51" s="192"/>
      <c r="AI51" s="189"/>
      <c r="AJ51" s="189"/>
      <c r="AK51" s="189"/>
      <c r="AL51" s="189"/>
      <c r="AM51" s="191" t="str">
        <f t="shared" si="2"/>
        <v/>
      </c>
      <c r="AN51" s="191" t="str">
        <f>IF($A51="","",IF(COUNTIF('Decision Queue'!$A$5:$A$204,$A51)+COUNTIF('Decision Register'!$A$5:$A$304,$A51)&gt;1,"DUPLICATE ID","OK"))</f>
        <v/>
      </c>
      <c r="AO51" t="s">
        <v>659</v>
      </c>
    </row>
    <row r="52" spans="1:41" ht="42" customHeight="1">
      <c r="A52" s="191" t="str">
        <f t="shared" si="1"/>
        <v/>
      </c>
      <c r="B52" s="189"/>
      <c r="C52" s="189"/>
      <c r="D52" s="189"/>
      <c r="E52" s="268"/>
      <c r="F52" s="189"/>
      <c r="G52" s="189"/>
      <c r="H52" s="189"/>
      <c r="I52" s="189"/>
      <c r="J52" s="189"/>
      <c r="K52" s="189"/>
      <c r="L52" s="189"/>
      <c r="M52" s="192"/>
      <c r="N52" s="189"/>
      <c r="O52" s="189"/>
      <c r="P52" s="189"/>
      <c r="Q52" s="189"/>
      <c r="R52" s="192"/>
      <c r="S52" s="189"/>
      <c r="T52" s="189"/>
      <c r="U52" s="189"/>
      <c r="V52" s="189"/>
      <c r="W52" s="191" t="str">
        <f t="shared" si="0"/>
        <v/>
      </c>
      <c r="X52" s="189"/>
      <c r="Y52" s="189"/>
      <c r="Z52" s="189"/>
      <c r="AA52" s="189"/>
      <c r="AB52" s="189"/>
      <c r="AC52" s="189"/>
      <c r="AD52" s="189"/>
      <c r="AE52" s="189"/>
      <c r="AF52" s="189"/>
      <c r="AG52" s="192"/>
      <c r="AH52" s="192"/>
      <c r="AI52" s="189"/>
      <c r="AJ52" s="189"/>
      <c r="AK52" s="189"/>
      <c r="AL52" s="189"/>
      <c r="AM52" s="191" t="str">
        <f t="shared" si="2"/>
        <v/>
      </c>
      <c r="AN52" s="191" t="str">
        <f>IF($A52="","",IF(COUNTIF('Decision Queue'!$A$5:$A$204,$A52)+COUNTIF('Decision Register'!$A$5:$A$304,$A52)&gt;1,"DUPLICATE ID","OK"))</f>
        <v/>
      </c>
      <c r="AO52" t="s">
        <v>660</v>
      </c>
    </row>
    <row r="53" spans="1:41" ht="42" customHeight="1">
      <c r="A53" s="191" t="str">
        <f t="shared" si="1"/>
        <v/>
      </c>
      <c r="B53" s="189"/>
      <c r="C53" s="189"/>
      <c r="D53" s="189"/>
      <c r="E53" s="268"/>
      <c r="F53" s="189"/>
      <c r="G53" s="189"/>
      <c r="H53" s="189"/>
      <c r="I53" s="189"/>
      <c r="J53" s="189"/>
      <c r="K53" s="189"/>
      <c r="L53" s="189"/>
      <c r="M53" s="192"/>
      <c r="N53" s="189"/>
      <c r="O53" s="189"/>
      <c r="P53" s="189"/>
      <c r="Q53" s="189"/>
      <c r="R53" s="192"/>
      <c r="S53" s="189"/>
      <c r="T53" s="189"/>
      <c r="U53" s="189"/>
      <c r="V53" s="189"/>
      <c r="W53" s="191" t="str">
        <f t="shared" si="0"/>
        <v/>
      </c>
      <c r="X53" s="189"/>
      <c r="Y53" s="189"/>
      <c r="Z53" s="189"/>
      <c r="AA53" s="189"/>
      <c r="AB53" s="189"/>
      <c r="AC53" s="189"/>
      <c r="AD53" s="189"/>
      <c r="AE53" s="189"/>
      <c r="AF53" s="189"/>
      <c r="AG53" s="192"/>
      <c r="AH53" s="192"/>
      <c r="AI53" s="189"/>
      <c r="AJ53" s="189"/>
      <c r="AK53" s="189"/>
      <c r="AL53" s="189"/>
      <c r="AM53" s="191" t="str">
        <f t="shared" si="2"/>
        <v/>
      </c>
      <c r="AN53" s="191" t="str">
        <f>IF($A53="","",IF(COUNTIF('Decision Queue'!$A$5:$A$204,$A53)+COUNTIF('Decision Register'!$A$5:$A$304,$A53)&gt;1,"DUPLICATE ID","OK"))</f>
        <v/>
      </c>
      <c r="AO53" t="s">
        <v>661</v>
      </c>
    </row>
    <row r="54" spans="1:41" ht="42" customHeight="1">
      <c r="A54" s="191" t="str">
        <f t="shared" si="1"/>
        <v/>
      </c>
      <c r="B54" s="189"/>
      <c r="C54" s="189"/>
      <c r="D54" s="189"/>
      <c r="E54" s="268"/>
      <c r="F54" s="189"/>
      <c r="G54" s="189"/>
      <c r="H54" s="189"/>
      <c r="I54" s="189"/>
      <c r="J54" s="189"/>
      <c r="K54" s="189"/>
      <c r="L54" s="189"/>
      <c r="M54" s="192"/>
      <c r="N54" s="189"/>
      <c r="O54" s="189"/>
      <c r="P54" s="189"/>
      <c r="Q54" s="189"/>
      <c r="R54" s="192"/>
      <c r="S54" s="189"/>
      <c r="T54" s="189"/>
      <c r="U54" s="189"/>
      <c r="V54" s="189"/>
      <c r="W54" s="191" t="str">
        <f t="shared" si="0"/>
        <v/>
      </c>
      <c r="X54" s="189"/>
      <c r="Y54" s="189"/>
      <c r="Z54" s="189"/>
      <c r="AA54" s="189"/>
      <c r="AB54" s="189"/>
      <c r="AC54" s="189"/>
      <c r="AD54" s="189"/>
      <c r="AE54" s="189"/>
      <c r="AF54" s="189"/>
      <c r="AG54" s="192"/>
      <c r="AH54" s="192"/>
      <c r="AI54" s="189"/>
      <c r="AJ54" s="189"/>
      <c r="AK54" s="189"/>
      <c r="AL54" s="189"/>
      <c r="AM54" s="191" t="str">
        <f t="shared" si="2"/>
        <v/>
      </c>
      <c r="AN54" s="191" t="str">
        <f>IF($A54="","",IF(COUNTIF('Decision Queue'!$A$5:$A$204,$A54)+COUNTIF('Decision Register'!$A$5:$A$304,$A54)&gt;1,"DUPLICATE ID","OK"))</f>
        <v/>
      </c>
      <c r="AO54" t="s">
        <v>662</v>
      </c>
    </row>
    <row r="55" spans="1:41" ht="42" customHeight="1">
      <c r="A55" s="191" t="str">
        <f t="shared" si="1"/>
        <v/>
      </c>
      <c r="B55" s="189"/>
      <c r="C55" s="189"/>
      <c r="D55" s="189"/>
      <c r="E55" s="268"/>
      <c r="F55" s="189"/>
      <c r="G55" s="189"/>
      <c r="H55" s="189"/>
      <c r="I55" s="189"/>
      <c r="J55" s="189"/>
      <c r="K55" s="189"/>
      <c r="L55" s="189"/>
      <c r="M55" s="192"/>
      <c r="N55" s="189"/>
      <c r="O55" s="189"/>
      <c r="P55" s="189"/>
      <c r="Q55" s="189"/>
      <c r="R55" s="192"/>
      <c r="S55" s="189"/>
      <c r="T55" s="189"/>
      <c r="U55" s="189"/>
      <c r="V55" s="189"/>
      <c r="W55" s="191" t="str">
        <f t="shared" si="0"/>
        <v/>
      </c>
      <c r="X55" s="189"/>
      <c r="Y55" s="189"/>
      <c r="Z55" s="189"/>
      <c r="AA55" s="189"/>
      <c r="AB55" s="189"/>
      <c r="AC55" s="189"/>
      <c r="AD55" s="189"/>
      <c r="AE55" s="189"/>
      <c r="AF55" s="189"/>
      <c r="AG55" s="192"/>
      <c r="AH55" s="192"/>
      <c r="AI55" s="189"/>
      <c r="AJ55" s="189"/>
      <c r="AK55" s="189"/>
      <c r="AL55" s="189"/>
      <c r="AM55" s="191" t="str">
        <f t="shared" si="2"/>
        <v/>
      </c>
      <c r="AN55" s="191" t="str">
        <f>IF($A55="","",IF(COUNTIF('Decision Queue'!$A$5:$A$204,$A55)+COUNTIF('Decision Register'!$A$5:$A$304,$A55)&gt;1,"DUPLICATE ID","OK"))</f>
        <v/>
      </c>
      <c r="AO55" t="s">
        <v>663</v>
      </c>
    </row>
    <row r="56" spans="1:41" ht="42" customHeight="1">
      <c r="A56" s="191" t="str">
        <f t="shared" si="1"/>
        <v/>
      </c>
      <c r="B56" s="189"/>
      <c r="C56" s="189"/>
      <c r="D56" s="189"/>
      <c r="E56" s="268"/>
      <c r="F56" s="189"/>
      <c r="G56" s="189"/>
      <c r="H56" s="189"/>
      <c r="I56" s="189"/>
      <c r="J56" s="189"/>
      <c r="K56" s="189"/>
      <c r="L56" s="189"/>
      <c r="M56" s="192"/>
      <c r="N56" s="189"/>
      <c r="O56" s="189"/>
      <c r="P56" s="189"/>
      <c r="Q56" s="189"/>
      <c r="R56" s="192"/>
      <c r="S56" s="189"/>
      <c r="T56" s="189"/>
      <c r="U56" s="189"/>
      <c r="V56" s="189"/>
      <c r="W56" s="191" t="str">
        <f t="shared" si="0"/>
        <v/>
      </c>
      <c r="X56" s="189"/>
      <c r="Y56" s="189"/>
      <c r="Z56" s="189"/>
      <c r="AA56" s="189"/>
      <c r="AB56" s="189"/>
      <c r="AC56" s="189"/>
      <c r="AD56" s="189"/>
      <c r="AE56" s="189"/>
      <c r="AF56" s="189"/>
      <c r="AG56" s="192"/>
      <c r="AH56" s="192"/>
      <c r="AI56" s="189"/>
      <c r="AJ56" s="189"/>
      <c r="AK56" s="189"/>
      <c r="AL56" s="189"/>
      <c r="AM56" s="191" t="str">
        <f t="shared" si="2"/>
        <v/>
      </c>
      <c r="AN56" s="191" t="str">
        <f>IF($A56="","",IF(COUNTIF('Decision Queue'!$A$5:$A$204,$A56)+COUNTIF('Decision Register'!$A$5:$A$304,$A56)&gt;1,"DUPLICATE ID","OK"))</f>
        <v/>
      </c>
      <c r="AO56" t="s">
        <v>664</v>
      </c>
    </row>
    <row r="57" spans="1:41" ht="42" customHeight="1">
      <c r="A57" s="191" t="str">
        <f t="shared" si="1"/>
        <v/>
      </c>
      <c r="B57" s="189"/>
      <c r="C57" s="189"/>
      <c r="D57" s="189"/>
      <c r="E57" s="268"/>
      <c r="F57" s="189"/>
      <c r="G57" s="189"/>
      <c r="H57" s="189"/>
      <c r="I57" s="189"/>
      <c r="J57" s="189"/>
      <c r="K57" s="189"/>
      <c r="L57" s="189"/>
      <c r="M57" s="192"/>
      <c r="N57" s="189"/>
      <c r="O57" s="189"/>
      <c r="P57" s="189"/>
      <c r="Q57" s="189"/>
      <c r="R57" s="192"/>
      <c r="S57" s="189"/>
      <c r="T57" s="189"/>
      <c r="U57" s="189"/>
      <c r="V57" s="189"/>
      <c r="W57" s="191" t="str">
        <f t="shared" si="0"/>
        <v/>
      </c>
      <c r="X57" s="189"/>
      <c r="Y57" s="189"/>
      <c r="Z57" s="189"/>
      <c r="AA57" s="189"/>
      <c r="AB57" s="189"/>
      <c r="AC57" s="189"/>
      <c r="AD57" s="189"/>
      <c r="AE57" s="189"/>
      <c r="AF57" s="189"/>
      <c r="AG57" s="192"/>
      <c r="AH57" s="192"/>
      <c r="AI57" s="189"/>
      <c r="AJ57" s="189"/>
      <c r="AK57" s="189"/>
      <c r="AL57" s="189"/>
      <c r="AM57" s="191" t="str">
        <f t="shared" si="2"/>
        <v/>
      </c>
      <c r="AN57" s="191" t="str">
        <f>IF($A57="","",IF(COUNTIF('Decision Queue'!$A$5:$A$204,$A57)+COUNTIF('Decision Register'!$A$5:$A$304,$A57)&gt;1,"DUPLICATE ID","OK"))</f>
        <v/>
      </c>
      <c r="AO57" t="s">
        <v>665</v>
      </c>
    </row>
    <row r="58" spans="1:41" ht="42" customHeight="1">
      <c r="A58" s="191" t="str">
        <f t="shared" si="1"/>
        <v/>
      </c>
      <c r="B58" s="189"/>
      <c r="C58" s="189"/>
      <c r="D58" s="189"/>
      <c r="E58" s="268"/>
      <c r="F58" s="189"/>
      <c r="G58" s="189"/>
      <c r="H58" s="189"/>
      <c r="I58" s="189"/>
      <c r="J58" s="189"/>
      <c r="K58" s="189"/>
      <c r="L58" s="189"/>
      <c r="M58" s="192"/>
      <c r="N58" s="189"/>
      <c r="O58" s="189"/>
      <c r="P58" s="189"/>
      <c r="Q58" s="189"/>
      <c r="R58" s="192"/>
      <c r="S58" s="189"/>
      <c r="T58" s="189"/>
      <c r="U58" s="189"/>
      <c r="V58" s="189"/>
      <c r="W58" s="191" t="str">
        <f t="shared" si="0"/>
        <v/>
      </c>
      <c r="X58" s="189"/>
      <c r="Y58" s="189"/>
      <c r="Z58" s="189"/>
      <c r="AA58" s="189"/>
      <c r="AB58" s="189"/>
      <c r="AC58" s="189"/>
      <c r="AD58" s="189"/>
      <c r="AE58" s="189"/>
      <c r="AF58" s="189"/>
      <c r="AG58" s="192"/>
      <c r="AH58" s="192"/>
      <c r="AI58" s="189"/>
      <c r="AJ58" s="189"/>
      <c r="AK58" s="189"/>
      <c r="AL58" s="189"/>
      <c r="AM58" s="191" t="str">
        <f t="shared" si="2"/>
        <v/>
      </c>
      <c r="AN58" s="191" t="str">
        <f>IF($A58="","",IF(COUNTIF('Decision Queue'!$A$5:$A$204,$A58)+COUNTIF('Decision Register'!$A$5:$A$304,$A58)&gt;1,"DUPLICATE ID","OK"))</f>
        <v/>
      </c>
      <c r="AO58" t="s">
        <v>666</v>
      </c>
    </row>
    <row r="59" spans="1:41" ht="42" customHeight="1">
      <c r="A59" s="191" t="str">
        <f t="shared" si="1"/>
        <v/>
      </c>
      <c r="B59" s="189"/>
      <c r="C59" s="189"/>
      <c r="D59" s="189"/>
      <c r="E59" s="268"/>
      <c r="F59" s="189"/>
      <c r="G59" s="189"/>
      <c r="H59" s="189"/>
      <c r="I59" s="189"/>
      <c r="J59" s="189"/>
      <c r="K59" s="189"/>
      <c r="L59" s="189"/>
      <c r="M59" s="192"/>
      <c r="N59" s="189"/>
      <c r="O59" s="189"/>
      <c r="P59" s="189"/>
      <c r="Q59" s="189"/>
      <c r="R59" s="192"/>
      <c r="S59" s="189"/>
      <c r="T59" s="189"/>
      <c r="U59" s="189"/>
      <c r="V59" s="189"/>
      <c r="W59" s="191" t="str">
        <f t="shared" si="0"/>
        <v/>
      </c>
      <c r="X59" s="189"/>
      <c r="Y59" s="189"/>
      <c r="Z59" s="189"/>
      <c r="AA59" s="189"/>
      <c r="AB59" s="189"/>
      <c r="AC59" s="189"/>
      <c r="AD59" s="189"/>
      <c r="AE59" s="189"/>
      <c r="AF59" s="189"/>
      <c r="AG59" s="192"/>
      <c r="AH59" s="192"/>
      <c r="AI59" s="189"/>
      <c r="AJ59" s="189"/>
      <c r="AK59" s="189"/>
      <c r="AL59" s="189"/>
      <c r="AM59" s="191" t="str">
        <f t="shared" si="2"/>
        <v/>
      </c>
      <c r="AN59" s="191" t="str">
        <f>IF($A59="","",IF(COUNTIF('Decision Queue'!$A$5:$A$204,$A59)+COUNTIF('Decision Register'!$A$5:$A$304,$A59)&gt;1,"DUPLICATE ID","OK"))</f>
        <v/>
      </c>
      <c r="AO59" t="s">
        <v>667</v>
      </c>
    </row>
    <row r="60" spans="1:41" ht="42" customHeight="1">
      <c r="A60" s="191" t="str">
        <f t="shared" si="1"/>
        <v/>
      </c>
      <c r="B60" s="189"/>
      <c r="C60" s="189"/>
      <c r="D60" s="189"/>
      <c r="E60" s="268"/>
      <c r="F60" s="189"/>
      <c r="G60" s="189"/>
      <c r="H60" s="189"/>
      <c r="I60" s="189"/>
      <c r="J60" s="189"/>
      <c r="K60" s="189"/>
      <c r="L60" s="189"/>
      <c r="M60" s="192"/>
      <c r="N60" s="189"/>
      <c r="O60" s="189"/>
      <c r="P60" s="189"/>
      <c r="Q60" s="189"/>
      <c r="R60" s="192"/>
      <c r="S60" s="189"/>
      <c r="T60" s="189"/>
      <c r="U60" s="189"/>
      <c r="V60" s="189"/>
      <c r="W60" s="191" t="str">
        <f t="shared" si="0"/>
        <v/>
      </c>
      <c r="X60" s="189"/>
      <c r="Y60" s="189"/>
      <c r="Z60" s="189"/>
      <c r="AA60" s="189"/>
      <c r="AB60" s="189"/>
      <c r="AC60" s="189"/>
      <c r="AD60" s="189"/>
      <c r="AE60" s="189"/>
      <c r="AF60" s="189"/>
      <c r="AG60" s="192"/>
      <c r="AH60" s="192"/>
      <c r="AI60" s="189"/>
      <c r="AJ60" s="189"/>
      <c r="AK60" s="189"/>
      <c r="AL60" s="189"/>
      <c r="AM60" s="191" t="str">
        <f t="shared" si="2"/>
        <v/>
      </c>
      <c r="AN60" s="191" t="str">
        <f>IF($A60="","",IF(COUNTIF('Decision Queue'!$A$5:$A$204,$A60)+COUNTIF('Decision Register'!$A$5:$A$304,$A60)&gt;1,"DUPLICATE ID","OK"))</f>
        <v/>
      </c>
      <c r="AO60" t="s">
        <v>668</v>
      </c>
    </row>
    <row r="61" spans="1:41" ht="42" customHeight="1">
      <c r="A61" s="191" t="str">
        <f t="shared" si="1"/>
        <v/>
      </c>
      <c r="B61" s="189"/>
      <c r="C61" s="189"/>
      <c r="D61" s="189"/>
      <c r="E61" s="268"/>
      <c r="F61" s="189"/>
      <c r="G61" s="189"/>
      <c r="H61" s="189"/>
      <c r="I61" s="189"/>
      <c r="J61" s="189"/>
      <c r="K61" s="189"/>
      <c r="L61" s="189"/>
      <c r="M61" s="192"/>
      <c r="N61" s="189"/>
      <c r="O61" s="189"/>
      <c r="P61" s="189"/>
      <c r="Q61" s="189"/>
      <c r="R61" s="192"/>
      <c r="S61" s="189"/>
      <c r="T61" s="189"/>
      <c r="U61" s="189"/>
      <c r="V61" s="189"/>
      <c r="W61" s="191" t="str">
        <f t="shared" si="0"/>
        <v/>
      </c>
      <c r="X61" s="189"/>
      <c r="Y61" s="189"/>
      <c r="Z61" s="189"/>
      <c r="AA61" s="189"/>
      <c r="AB61" s="189"/>
      <c r="AC61" s="189"/>
      <c r="AD61" s="189"/>
      <c r="AE61" s="189"/>
      <c r="AF61" s="189"/>
      <c r="AG61" s="192"/>
      <c r="AH61" s="192"/>
      <c r="AI61" s="189"/>
      <c r="AJ61" s="189"/>
      <c r="AK61" s="189"/>
      <c r="AL61" s="189"/>
      <c r="AM61" s="191" t="str">
        <f t="shared" si="2"/>
        <v/>
      </c>
      <c r="AN61" s="191" t="str">
        <f>IF($A61="","",IF(COUNTIF('Decision Queue'!$A$5:$A$204,$A61)+COUNTIF('Decision Register'!$A$5:$A$304,$A61)&gt;1,"DUPLICATE ID","OK"))</f>
        <v/>
      </c>
      <c r="AO61" t="s">
        <v>669</v>
      </c>
    </row>
    <row r="62" spans="1:41" ht="42" customHeight="1">
      <c r="A62" s="191" t="str">
        <f t="shared" si="1"/>
        <v/>
      </c>
      <c r="B62" s="189"/>
      <c r="C62" s="189"/>
      <c r="D62" s="189"/>
      <c r="E62" s="268"/>
      <c r="F62" s="189"/>
      <c r="G62" s="189"/>
      <c r="H62" s="189"/>
      <c r="I62" s="189"/>
      <c r="J62" s="189"/>
      <c r="K62" s="189"/>
      <c r="L62" s="189"/>
      <c r="M62" s="192"/>
      <c r="N62" s="189"/>
      <c r="O62" s="189"/>
      <c r="P62" s="189"/>
      <c r="Q62" s="189"/>
      <c r="R62" s="192"/>
      <c r="S62" s="189"/>
      <c r="T62" s="189"/>
      <c r="U62" s="189"/>
      <c r="V62" s="189"/>
      <c r="W62" s="191" t="str">
        <f t="shared" si="0"/>
        <v/>
      </c>
      <c r="X62" s="189"/>
      <c r="Y62" s="189"/>
      <c r="Z62" s="189"/>
      <c r="AA62" s="189"/>
      <c r="AB62" s="189"/>
      <c r="AC62" s="189"/>
      <c r="AD62" s="189"/>
      <c r="AE62" s="189"/>
      <c r="AF62" s="189"/>
      <c r="AG62" s="192"/>
      <c r="AH62" s="192"/>
      <c r="AI62" s="189"/>
      <c r="AJ62" s="189"/>
      <c r="AK62" s="189"/>
      <c r="AL62" s="189"/>
      <c r="AM62" s="191" t="str">
        <f t="shared" si="2"/>
        <v/>
      </c>
      <c r="AN62" s="191" t="str">
        <f>IF($A62="","",IF(COUNTIF('Decision Queue'!$A$5:$A$204,$A62)+COUNTIF('Decision Register'!$A$5:$A$304,$A62)&gt;1,"DUPLICATE ID","OK"))</f>
        <v/>
      </c>
      <c r="AO62" t="s">
        <v>670</v>
      </c>
    </row>
    <row r="63" spans="1:41" ht="42" customHeight="1">
      <c r="A63" s="191" t="str">
        <f t="shared" si="1"/>
        <v/>
      </c>
      <c r="B63" s="189"/>
      <c r="C63" s="189"/>
      <c r="D63" s="189"/>
      <c r="E63" s="268"/>
      <c r="F63" s="189"/>
      <c r="G63" s="189"/>
      <c r="H63" s="189"/>
      <c r="I63" s="189"/>
      <c r="J63" s="189"/>
      <c r="K63" s="189"/>
      <c r="L63" s="189"/>
      <c r="M63" s="192"/>
      <c r="N63" s="189"/>
      <c r="O63" s="189"/>
      <c r="P63" s="189"/>
      <c r="Q63" s="189"/>
      <c r="R63" s="192"/>
      <c r="S63" s="189"/>
      <c r="T63" s="189"/>
      <c r="U63" s="189"/>
      <c r="V63" s="189"/>
      <c r="W63" s="191" t="str">
        <f t="shared" si="0"/>
        <v/>
      </c>
      <c r="X63" s="189"/>
      <c r="Y63" s="189"/>
      <c r="Z63" s="189"/>
      <c r="AA63" s="189"/>
      <c r="AB63" s="189"/>
      <c r="AC63" s="189"/>
      <c r="AD63" s="189"/>
      <c r="AE63" s="189"/>
      <c r="AF63" s="189"/>
      <c r="AG63" s="192"/>
      <c r="AH63" s="192"/>
      <c r="AI63" s="189"/>
      <c r="AJ63" s="189"/>
      <c r="AK63" s="189"/>
      <c r="AL63" s="189"/>
      <c r="AM63" s="191" t="str">
        <f t="shared" si="2"/>
        <v/>
      </c>
      <c r="AN63" s="191" t="str">
        <f>IF($A63="","",IF(COUNTIF('Decision Queue'!$A$5:$A$204,$A63)+COUNTIF('Decision Register'!$A$5:$A$304,$A63)&gt;1,"DUPLICATE ID","OK"))</f>
        <v/>
      </c>
      <c r="AO63" t="s">
        <v>671</v>
      </c>
    </row>
    <row r="64" spans="1:41" ht="42" customHeight="1">
      <c r="A64" s="191" t="str">
        <f t="shared" si="1"/>
        <v/>
      </c>
      <c r="B64" s="189"/>
      <c r="C64" s="189"/>
      <c r="D64" s="189"/>
      <c r="E64" s="268"/>
      <c r="F64" s="189"/>
      <c r="G64" s="189"/>
      <c r="H64" s="189"/>
      <c r="I64" s="189"/>
      <c r="J64" s="189"/>
      <c r="K64" s="189"/>
      <c r="L64" s="189"/>
      <c r="M64" s="192"/>
      <c r="N64" s="189"/>
      <c r="O64" s="189"/>
      <c r="P64" s="189"/>
      <c r="Q64" s="189"/>
      <c r="R64" s="192"/>
      <c r="S64" s="189"/>
      <c r="T64" s="189"/>
      <c r="U64" s="189"/>
      <c r="V64" s="189"/>
      <c r="W64" s="191" t="str">
        <f t="shared" si="0"/>
        <v/>
      </c>
      <c r="X64" s="189"/>
      <c r="Y64" s="189"/>
      <c r="Z64" s="189"/>
      <c r="AA64" s="189"/>
      <c r="AB64" s="189"/>
      <c r="AC64" s="189"/>
      <c r="AD64" s="189"/>
      <c r="AE64" s="189"/>
      <c r="AF64" s="189"/>
      <c r="AG64" s="192"/>
      <c r="AH64" s="192"/>
      <c r="AI64" s="189"/>
      <c r="AJ64" s="189"/>
      <c r="AK64" s="189"/>
      <c r="AL64" s="189"/>
      <c r="AM64" s="191" t="str">
        <f t="shared" si="2"/>
        <v/>
      </c>
      <c r="AN64" s="191" t="str">
        <f>IF($A64="","",IF(COUNTIF('Decision Queue'!$A$5:$A$204,$A64)+COUNTIF('Decision Register'!$A$5:$A$304,$A64)&gt;1,"DUPLICATE ID","OK"))</f>
        <v/>
      </c>
      <c r="AO64" t="s">
        <v>672</v>
      </c>
    </row>
    <row r="65" spans="1:41" ht="42" customHeight="1">
      <c r="A65" s="191" t="str">
        <f t="shared" si="1"/>
        <v/>
      </c>
      <c r="B65" s="189"/>
      <c r="C65" s="189"/>
      <c r="D65" s="189"/>
      <c r="E65" s="268"/>
      <c r="F65" s="189"/>
      <c r="G65" s="189"/>
      <c r="H65" s="189"/>
      <c r="I65" s="189"/>
      <c r="J65" s="189"/>
      <c r="K65" s="189"/>
      <c r="L65" s="189"/>
      <c r="M65" s="192"/>
      <c r="N65" s="189"/>
      <c r="O65" s="189"/>
      <c r="P65" s="189"/>
      <c r="Q65" s="189"/>
      <c r="R65" s="192"/>
      <c r="S65" s="189"/>
      <c r="T65" s="189"/>
      <c r="U65" s="189"/>
      <c r="V65" s="189"/>
      <c r="W65" s="191" t="str">
        <f t="shared" si="0"/>
        <v/>
      </c>
      <c r="X65" s="189"/>
      <c r="Y65" s="189"/>
      <c r="Z65" s="189"/>
      <c r="AA65" s="189"/>
      <c r="AB65" s="189"/>
      <c r="AC65" s="189"/>
      <c r="AD65" s="189"/>
      <c r="AE65" s="189"/>
      <c r="AF65" s="189"/>
      <c r="AG65" s="192"/>
      <c r="AH65" s="192"/>
      <c r="AI65" s="189"/>
      <c r="AJ65" s="189"/>
      <c r="AK65" s="189"/>
      <c r="AL65" s="189"/>
      <c r="AM65" s="191" t="str">
        <f t="shared" si="2"/>
        <v/>
      </c>
      <c r="AN65" s="191" t="str">
        <f>IF($A65="","",IF(COUNTIF('Decision Queue'!$A$5:$A$204,$A65)+COUNTIF('Decision Register'!$A$5:$A$304,$A65)&gt;1,"DUPLICATE ID","OK"))</f>
        <v/>
      </c>
      <c r="AO65" t="s">
        <v>673</v>
      </c>
    </row>
    <row r="66" spans="1:41" ht="42" customHeight="1">
      <c r="A66" s="191" t="str">
        <f t="shared" si="1"/>
        <v/>
      </c>
      <c r="B66" s="189"/>
      <c r="C66" s="189"/>
      <c r="D66" s="189"/>
      <c r="E66" s="268"/>
      <c r="F66" s="189"/>
      <c r="G66" s="189"/>
      <c r="H66" s="189"/>
      <c r="I66" s="189"/>
      <c r="J66" s="189"/>
      <c r="K66" s="189"/>
      <c r="L66" s="189"/>
      <c r="M66" s="192"/>
      <c r="N66" s="189"/>
      <c r="O66" s="189"/>
      <c r="P66" s="189"/>
      <c r="Q66" s="189"/>
      <c r="R66" s="192"/>
      <c r="S66" s="189"/>
      <c r="T66" s="189"/>
      <c r="U66" s="189"/>
      <c r="V66" s="189"/>
      <c r="W66" s="191" t="str">
        <f t="shared" si="0"/>
        <v/>
      </c>
      <c r="X66" s="189"/>
      <c r="Y66" s="189"/>
      <c r="Z66" s="189"/>
      <c r="AA66" s="189"/>
      <c r="AB66" s="189"/>
      <c r="AC66" s="189"/>
      <c r="AD66" s="189"/>
      <c r="AE66" s="189"/>
      <c r="AF66" s="189"/>
      <c r="AG66" s="192"/>
      <c r="AH66" s="192"/>
      <c r="AI66" s="189"/>
      <c r="AJ66" s="189"/>
      <c r="AK66" s="189"/>
      <c r="AL66" s="189"/>
      <c r="AM66" s="191" t="str">
        <f t="shared" si="2"/>
        <v/>
      </c>
      <c r="AN66" s="191" t="str">
        <f>IF($A66="","",IF(COUNTIF('Decision Queue'!$A$5:$A$204,$A66)+COUNTIF('Decision Register'!$A$5:$A$304,$A66)&gt;1,"DUPLICATE ID","OK"))</f>
        <v/>
      </c>
      <c r="AO66" t="s">
        <v>674</v>
      </c>
    </row>
    <row r="67" spans="1:41" ht="42" customHeight="1">
      <c r="A67" s="191" t="str">
        <f t="shared" si="1"/>
        <v/>
      </c>
      <c r="B67" s="189"/>
      <c r="C67" s="189"/>
      <c r="D67" s="189"/>
      <c r="E67" s="268"/>
      <c r="F67" s="189"/>
      <c r="G67" s="189"/>
      <c r="H67" s="189"/>
      <c r="I67" s="189"/>
      <c r="J67" s="189"/>
      <c r="K67" s="189"/>
      <c r="L67" s="189"/>
      <c r="M67" s="192"/>
      <c r="N67" s="189"/>
      <c r="O67" s="189"/>
      <c r="P67" s="189"/>
      <c r="Q67" s="189"/>
      <c r="R67" s="192"/>
      <c r="S67" s="189"/>
      <c r="T67" s="189"/>
      <c r="U67" s="189"/>
      <c r="V67" s="189"/>
      <c r="W67" s="191" t="str">
        <f t="shared" si="0"/>
        <v/>
      </c>
      <c r="X67" s="189"/>
      <c r="Y67" s="189"/>
      <c r="Z67" s="189"/>
      <c r="AA67" s="189"/>
      <c r="AB67" s="189"/>
      <c r="AC67" s="189"/>
      <c r="AD67" s="189"/>
      <c r="AE67" s="189"/>
      <c r="AF67" s="189"/>
      <c r="AG67" s="192"/>
      <c r="AH67" s="192"/>
      <c r="AI67" s="189"/>
      <c r="AJ67" s="189"/>
      <c r="AK67" s="189"/>
      <c r="AL67" s="189"/>
      <c r="AM67" s="191" t="str">
        <f t="shared" si="2"/>
        <v/>
      </c>
      <c r="AN67" s="191" t="str">
        <f>IF($A67="","",IF(COUNTIF('Decision Queue'!$A$5:$A$204,$A67)+COUNTIF('Decision Register'!$A$5:$A$304,$A67)&gt;1,"DUPLICATE ID","OK"))</f>
        <v/>
      </c>
      <c r="AO67" t="s">
        <v>675</v>
      </c>
    </row>
    <row r="68" spans="1:41" ht="42" customHeight="1">
      <c r="A68" s="191" t="str">
        <f t="shared" si="1"/>
        <v/>
      </c>
      <c r="B68" s="189"/>
      <c r="C68" s="189"/>
      <c r="D68" s="189"/>
      <c r="E68" s="268"/>
      <c r="F68" s="189"/>
      <c r="G68" s="189"/>
      <c r="H68" s="189"/>
      <c r="I68" s="189"/>
      <c r="J68" s="189"/>
      <c r="K68" s="189"/>
      <c r="L68" s="189"/>
      <c r="M68" s="192"/>
      <c r="N68" s="189"/>
      <c r="O68" s="189"/>
      <c r="P68" s="189"/>
      <c r="Q68" s="189"/>
      <c r="R68" s="192"/>
      <c r="S68" s="189"/>
      <c r="T68" s="189"/>
      <c r="U68" s="189"/>
      <c r="V68" s="189"/>
      <c r="W68" s="191" t="str">
        <f t="shared" si="0"/>
        <v/>
      </c>
      <c r="X68" s="189"/>
      <c r="Y68" s="189"/>
      <c r="Z68" s="189"/>
      <c r="AA68" s="189"/>
      <c r="AB68" s="189"/>
      <c r="AC68" s="189"/>
      <c r="AD68" s="189"/>
      <c r="AE68" s="189"/>
      <c r="AF68" s="189"/>
      <c r="AG68" s="192"/>
      <c r="AH68" s="192"/>
      <c r="AI68" s="189"/>
      <c r="AJ68" s="189"/>
      <c r="AK68" s="189"/>
      <c r="AL68" s="189"/>
      <c r="AM68" s="191" t="str">
        <f t="shared" si="2"/>
        <v/>
      </c>
      <c r="AN68" s="191" t="str">
        <f>IF($A68="","",IF(COUNTIF('Decision Queue'!$A$5:$A$204,$A68)+COUNTIF('Decision Register'!$A$5:$A$304,$A68)&gt;1,"DUPLICATE ID","OK"))</f>
        <v/>
      </c>
      <c r="AO68" t="s">
        <v>676</v>
      </c>
    </row>
    <row r="69" spans="1:41" ht="42" customHeight="1">
      <c r="A69" s="191" t="str">
        <f t="shared" si="1"/>
        <v/>
      </c>
      <c r="B69" s="189"/>
      <c r="C69" s="189"/>
      <c r="D69" s="189"/>
      <c r="E69" s="268"/>
      <c r="F69" s="189"/>
      <c r="G69" s="189"/>
      <c r="H69" s="189"/>
      <c r="I69" s="189"/>
      <c r="J69" s="189"/>
      <c r="K69" s="189"/>
      <c r="L69" s="189"/>
      <c r="M69" s="192"/>
      <c r="N69" s="189"/>
      <c r="O69" s="189"/>
      <c r="P69" s="189"/>
      <c r="Q69" s="189"/>
      <c r="R69" s="192"/>
      <c r="S69" s="189"/>
      <c r="T69" s="189"/>
      <c r="U69" s="189"/>
      <c r="V69" s="189"/>
      <c r="W69" s="191" t="str">
        <f t="shared" ref="W69:W132" si="3">IF($B69="","",IF(OR($G69="Completed",$G69="Cancelled"),"INACTIVE","ACTIVE"))</f>
        <v/>
      </c>
      <c r="X69" s="189"/>
      <c r="Y69" s="189"/>
      <c r="Z69" s="189"/>
      <c r="AA69" s="189"/>
      <c r="AB69" s="189"/>
      <c r="AC69" s="189"/>
      <c r="AD69" s="189"/>
      <c r="AE69" s="189"/>
      <c r="AF69" s="189"/>
      <c r="AG69" s="192"/>
      <c r="AH69" s="192"/>
      <c r="AI69" s="189"/>
      <c r="AJ69" s="189"/>
      <c r="AK69" s="189"/>
      <c r="AL69" s="189"/>
      <c r="AM69" s="191" t="str">
        <f t="shared" si="2"/>
        <v/>
      </c>
      <c r="AN69" s="191" t="str">
        <f>IF($A69="","",IF(COUNTIF('Decision Queue'!$A$5:$A$204,$A69)+COUNTIF('Decision Register'!$A$5:$A$304,$A69)&gt;1,"DUPLICATE ID","OK"))</f>
        <v/>
      </c>
      <c r="AO69" t="s">
        <v>677</v>
      </c>
    </row>
    <row r="70" spans="1:41" ht="42" customHeight="1">
      <c r="A70" s="191" t="str">
        <f t="shared" si="1"/>
        <v/>
      </c>
      <c r="B70" s="189"/>
      <c r="C70" s="189"/>
      <c r="D70" s="189"/>
      <c r="E70" s="268"/>
      <c r="F70" s="189"/>
      <c r="G70" s="189"/>
      <c r="H70" s="189"/>
      <c r="I70" s="189"/>
      <c r="J70" s="189"/>
      <c r="K70" s="189"/>
      <c r="L70" s="189"/>
      <c r="M70" s="192"/>
      <c r="N70" s="189"/>
      <c r="O70" s="189"/>
      <c r="P70" s="189"/>
      <c r="Q70" s="189"/>
      <c r="R70" s="192"/>
      <c r="S70" s="189"/>
      <c r="T70" s="189"/>
      <c r="U70" s="189"/>
      <c r="V70" s="189"/>
      <c r="W70" s="191" t="str">
        <f t="shared" si="3"/>
        <v/>
      </c>
      <c r="X70" s="189"/>
      <c r="Y70" s="189"/>
      <c r="Z70" s="189"/>
      <c r="AA70" s="189"/>
      <c r="AB70" s="189"/>
      <c r="AC70" s="189"/>
      <c r="AD70" s="189"/>
      <c r="AE70" s="189"/>
      <c r="AF70" s="189"/>
      <c r="AG70" s="192"/>
      <c r="AH70" s="192"/>
      <c r="AI70" s="189"/>
      <c r="AJ70" s="189"/>
      <c r="AK70" s="189"/>
      <c r="AL70" s="189"/>
      <c r="AM70" s="191" t="str">
        <f t="shared" si="2"/>
        <v/>
      </c>
      <c r="AN70" s="191" t="str">
        <f>IF($A70="","",IF(COUNTIF('Decision Queue'!$A$5:$A$204,$A70)+COUNTIF('Decision Register'!$A$5:$A$304,$A70)&gt;1,"DUPLICATE ID","OK"))</f>
        <v/>
      </c>
      <c r="AO70" t="s">
        <v>678</v>
      </c>
    </row>
    <row r="71" spans="1:41" ht="42" customHeight="1">
      <c r="A71" s="191" t="str">
        <f t="shared" ref="A71:A134" si="4">IF($B71="","",SUBSTITUTE($AO71,"HISTK-","HIST-"))</f>
        <v/>
      </c>
      <c r="B71" s="189"/>
      <c r="C71" s="189"/>
      <c r="D71" s="189"/>
      <c r="E71" s="268"/>
      <c r="F71" s="189"/>
      <c r="G71" s="189"/>
      <c r="H71" s="189"/>
      <c r="I71" s="189"/>
      <c r="J71" s="189"/>
      <c r="K71" s="189"/>
      <c r="L71" s="189"/>
      <c r="M71" s="192"/>
      <c r="N71" s="189"/>
      <c r="O71" s="189"/>
      <c r="P71" s="189"/>
      <c r="Q71" s="189"/>
      <c r="R71" s="192"/>
      <c r="S71" s="189"/>
      <c r="T71" s="189"/>
      <c r="U71" s="189"/>
      <c r="V71" s="189"/>
      <c r="W71" s="191" t="str">
        <f t="shared" si="3"/>
        <v/>
      </c>
      <c r="X71" s="189"/>
      <c r="Y71" s="189"/>
      <c r="Z71" s="189"/>
      <c r="AA71" s="189"/>
      <c r="AB71" s="189"/>
      <c r="AC71" s="189"/>
      <c r="AD71" s="189"/>
      <c r="AE71" s="189"/>
      <c r="AF71" s="189"/>
      <c r="AG71" s="192"/>
      <c r="AH71" s="192"/>
      <c r="AI71" s="189"/>
      <c r="AJ71" s="189"/>
      <c r="AK71" s="189"/>
      <c r="AL71" s="189"/>
      <c r="AM71" s="191" t="str">
        <f t="shared" ref="AM71:AM134" si="5">IF($B71="","","Historical/manual")</f>
        <v/>
      </c>
      <c r="AN71" s="191" t="str">
        <f>IF($A71="","",IF(COUNTIF('Decision Queue'!$A$5:$A$204,$A71)+COUNTIF('Decision Register'!$A$5:$A$304,$A71)&gt;1,"DUPLICATE ID","OK"))</f>
        <v/>
      </c>
      <c r="AO71" t="s">
        <v>679</v>
      </c>
    </row>
    <row r="72" spans="1:41" ht="42" customHeight="1">
      <c r="A72" s="191" t="str">
        <f t="shared" si="4"/>
        <v/>
      </c>
      <c r="B72" s="189"/>
      <c r="C72" s="189"/>
      <c r="D72" s="189"/>
      <c r="E72" s="268"/>
      <c r="F72" s="189"/>
      <c r="G72" s="189"/>
      <c r="H72" s="189"/>
      <c r="I72" s="189"/>
      <c r="J72" s="189"/>
      <c r="K72" s="189"/>
      <c r="L72" s="189"/>
      <c r="M72" s="192"/>
      <c r="N72" s="189"/>
      <c r="O72" s="189"/>
      <c r="P72" s="189"/>
      <c r="Q72" s="189"/>
      <c r="R72" s="192"/>
      <c r="S72" s="189"/>
      <c r="T72" s="189"/>
      <c r="U72" s="189"/>
      <c r="V72" s="189"/>
      <c r="W72" s="191" t="str">
        <f t="shared" si="3"/>
        <v/>
      </c>
      <c r="X72" s="189"/>
      <c r="Y72" s="189"/>
      <c r="Z72" s="189"/>
      <c r="AA72" s="189"/>
      <c r="AB72" s="189"/>
      <c r="AC72" s="189"/>
      <c r="AD72" s="189"/>
      <c r="AE72" s="189"/>
      <c r="AF72" s="189"/>
      <c r="AG72" s="192"/>
      <c r="AH72" s="192"/>
      <c r="AI72" s="189"/>
      <c r="AJ72" s="189"/>
      <c r="AK72" s="189"/>
      <c r="AL72" s="189"/>
      <c r="AM72" s="191" t="str">
        <f t="shared" si="5"/>
        <v/>
      </c>
      <c r="AN72" s="191" t="str">
        <f>IF($A72="","",IF(COUNTIF('Decision Queue'!$A$5:$A$204,$A72)+COUNTIF('Decision Register'!$A$5:$A$304,$A72)&gt;1,"DUPLICATE ID","OK"))</f>
        <v/>
      </c>
      <c r="AO72" t="s">
        <v>680</v>
      </c>
    </row>
    <row r="73" spans="1:41" ht="42" customHeight="1">
      <c r="A73" s="191" t="str">
        <f t="shared" si="4"/>
        <v/>
      </c>
      <c r="B73" s="189"/>
      <c r="C73" s="189"/>
      <c r="D73" s="189"/>
      <c r="E73" s="268"/>
      <c r="F73" s="189"/>
      <c r="G73" s="189"/>
      <c r="H73" s="189"/>
      <c r="I73" s="189"/>
      <c r="J73" s="189"/>
      <c r="K73" s="189"/>
      <c r="L73" s="189"/>
      <c r="M73" s="192"/>
      <c r="N73" s="189"/>
      <c r="O73" s="189"/>
      <c r="P73" s="189"/>
      <c r="Q73" s="189"/>
      <c r="R73" s="192"/>
      <c r="S73" s="189"/>
      <c r="T73" s="189"/>
      <c r="U73" s="189"/>
      <c r="V73" s="189"/>
      <c r="W73" s="191" t="str">
        <f t="shared" si="3"/>
        <v/>
      </c>
      <c r="X73" s="189"/>
      <c r="Y73" s="189"/>
      <c r="Z73" s="189"/>
      <c r="AA73" s="189"/>
      <c r="AB73" s="189"/>
      <c r="AC73" s="189"/>
      <c r="AD73" s="189"/>
      <c r="AE73" s="189"/>
      <c r="AF73" s="189"/>
      <c r="AG73" s="192"/>
      <c r="AH73" s="192"/>
      <c r="AI73" s="189"/>
      <c r="AJ73" s="189"/>
      <c r="AK73" s="189"/>
      <c r="AL73" s="189"/>
      <c r="AM73" s="191" t="str">
        <f t="shared" si="5"/>
        <v/>
      </c>
      <c r="AN73" s="191" t="str">
        <f>IF($A73="","",IF(COUNTIF('Decision Queue'!$A$5:$A$204,$A73)+COUNTIF('Decision Register'!$A$5:$A$304,$A73)&gt;1,"DUPLICATE ID","OK"))</f>
        <v/>
      </c>
      <c r="AO73" t="s">
        <v>681</v>
      </c>
    </row>
    <row r="74" spans="1:41" ht="42" customHeight="1">
      <c r="A74" s="191" t="str">
        <f t="shared" si="4"/>
        <v/>
      </c>
      <c r="B74" s="189"/>
      <c r="C74" s="189"/>
      <c r="D74" s="189"/>
      <c r="E74" s="268"/>
      <c r="F74" s="189"/>
      <c r="G74" s="189"/>
      <c r="H74" s="189"/>
      <c r="I74" s="189"/>
      <c r="J74" s="189"/>
      <c r="K74" s="189"/>
      <c r="L74" s="189"/>
      <c r="M74" s="192"/>
      <c r="N74" s="189"/>
      <c r="O74" s="189"/>
      <c r="P74" s="189"/>
      <c r="Q74" s="189"/>
      <c r="R74" s="192"/>
      <c r="S74" s="189"/>
      <c r="T74" s="189"/>
      <c r="U74" s="189"/>
      <c r="V74" s="189"/>
      <c r="W74" s="191" t="str">
        <f t="shared" si="3"/>
        <v/>
      </c>
      <c r="X74" s="189"/>
      <c r="Y74" s="189"/>
      <c r="Z74" s="189"/>
      <c r="AA74" s="189"/>
      <c r="AB74" s="189"/>
      <c r="AC74" s="189"/>
      <c r="AD74" s="189"/>
      <c r="AE74" s="189"/>
      <c r="AF74" s="189"/>
      <c r="AG74" s="192"/>
      <c r="AH74" s="192"/>
      <c r="AI74" s="189"/>
      <c r="AJ74" s="189"/>
      <c r="AK74" s="189"/>
      <c r="AL74" s="189"/>
      <c r="AM74" s="191" t="str">
        <f t="shared" si="5"/>
        <v/>
      </c>
      <c r="AN74" s="191" t="str">
        <f>IF($A74="","",IF(COUNTIF('Decision Queue'!$A$5:$A$204,$A74)+COUNTIF('Decision Register'!$A$5:$A$304,$A74)&gt;1,"DUPLICATE ID","OK"))</f>
        <v/>
      </c>
      <c r="AO74" t="s">
        <v>682</v>
      </c>
    </row>
    <row r="75" spans="1:41" ht="42" customHeight="1">
      <c r="A75" s="191" t="str">
        <f t="shared" si="4"/>
        <v/>
      </c>
      <c r="B75" s="189"/>
      <c r="C75" s="189"/>
      <c r="D75" s="189"/>
      <c r="E75" s="268"/>
      <c r="F75" s="189"/>
      <c r="G75" s="189"/>
      <c r="H75" s="189"/>
      <c r="I75" s="189"/>
      <c r="J75" s="189"/>
      <c r="K75" s="189"/>
      <c r="L75" s="189"/>
      <c r="M75" s="192"/>
      <c r="N75" s="189"/>
      <c r="O75" s="189"/>
      <c r="P75" s="189"/>
      <c r="Q75" s="189"/>
      <c r="R75" s="192"/>
      <c r="S75" s="189"/>
      <c r="T75" s="189"/>
      <c r="U75" s="189"/>
      <c r="V75" s="189"/>
      <c r="W75" s="191" t="str">
        <f t="shared" si="3"/>
        <v/>
      </c>
      <c r="X75" s="189"/>
      <c r="Y75" s="189"/>
      <c r="Z75" s="189"/>
      <c r="AA75" s="189"/>
      <c r="AB75" s="189"/>
      <c r="AC75" s="189"/>
      <c r="AD75" s="189"/>
      <c r="AE75" s="189"/>
      <c r="AF75" s="189"/>
      <c r="AG75" s="192"/>
      <c r="AH75" s="192"/>
      <c r="AI75" s="189"/>
      <c r="AJ75" s="189"/>
      <c r="AK75" s="189"/>
      <c r="AL75" s="189"/>
      <c r="AM75" s="191" t="str">
        <f t="shared" si="5"/>
        <v/>
      </c>
      <c r="AN75" s="191" t="str">
        <f>IF($A75="","",IF(COUNTIF('Decision Queue'!$A$5:$A$204,$A75)+COUNTIF('Decision Register'!$A$5:$A$304,$A75)&gt;1,"DUPLICATE ID","OK"))</f>
        <v/>
      </c>
      <c r="AO75" t="s">
        <v>683</v>
      </c>
    </row>
    <row r="76" spans="1:41" ht="42" customHeight="1">
      <c r="A76" s="191" t="str">
        <f t="shared" si="4"/>
        <v/>
      </c>
      <c r="B76" s="189"/>
      <c r="C76" s="189"/>
      <c r="D76" s="189"/>
      <c r="E76" s="268"/>
      <c r="F76" s="189"/>
      <c r="G76" s="189"/>
      <c r="H76" s="189"/>
      <c r="I76" s="189"/>
      <c r="J76" s="189"/>
      <c r="K76" s="189"/>
      <c r="L76" s="189"/>
      <c r="M76" s="192"/>
      <c r="N76" s="189"/>
      <c r="O76" s="189"/>
      <c r="P76" s="189"/>
      <c r="Q76" s="189"/>
      <c r="R76" s="192"/>
      <c r="S76" s="189"/>
      <c r="T76" s="189"/>
      <c r="U76" s="189"/>
      <c r="V76" s="189"/>
      <c r="W76" s="191" t="str">
        <f t="shared" si="3"/>
        <v/>
      </c>
      <c r="X76" s="189"/>
      <c r="Y76" s="189"/>
      <c r="Z76" s="189"/>
      <c r="AA76" s="189"/>
      <c r="AB76" s="189"/>
      <c r="AC76" s="189"/>
      <c r="AD76" s="189"/>
      <c r="AE76" s="189"/>
      <c r="AF76" s="189"/>
      <c r="AG76" s="192"/>
      <c r="AH76" s="192"/>
      <c r="AI76" s="189"/>
      <c r="AJ76" s="189"/>
      <c r="AK76" s="189"/>
      <c r="AL76" s="189"/>
      <c r="AM76" s="191" t="str">
        <f t="shared" si="5"/>
        <v/>
      </c>
      <c r="AN76" s="191" t="str">
        <f>IF($A76="","",IF(COUNTIF('Decision Queue'!$A$5:$A$204,$A76)+COUNTIF('Decision Register'!$A$5:$A$304,$A76)&gt;1,"DUPLICATE ID","OK"))</f>
        <v/>
      </c>
      <c r="AO76" t="s">
        <v>684</v>
      </c>
    </row>
    <row r="77" spans="1:41" ht="42" customHeight="1">
      <c r="A77" s="191" t="str">
        <f t="shared" si="4"/>
        <v/>
      </c>
      <c r="B77" s="189"/>
      <c r="C77" s="189"/>
      <c r="D77" s="189"/>
      <c r="E77" s="268"/>
      <c r="F77" s="189"/>
      <c r="G77" s="189"/>
      <c r="H77" s="189"/>
      <c r="I77" s="189"/>
      <c r="J77" s="189"/>
      <c r="K77" s="189"/>
      <c r="L77" s="189"/>
      <c r="M77" s="192"/>
      <c r="N77" s="189"/>
      <c r="O77" s="189"/>
      <c r="P77" s="189"/>
      <c r="Q77" s="189"/>
      <c r="R77" s="192"/>
      <c r="S77" s="189"/>
      <c r="T77" s="189"/>
      <c r="U77" s="189"/>
      <c r="V77" s="189"/>
      <c r="W77" s="191" t="str">
        <f t="shared" si="3"/>
        <v/>
      </c>
      <c r="X77" s="189"/>
      <c r="Y77" s="189"/>
      <c r="Z77" s="189"/>
      <c r="AA77" s="189"/>
      <c r="AB77" s="189"/>
      <c r="AC77" s="189"/>
      <c r="AD77" s="189"/>
      <c r="AE77" s="189"/>
      <c r="AF77" s="189"/>
      <c r="AG77" s="192"/>
      <c r="AH77" s="192"/>
      <c r="AI77" s="189"/>
      <c r="AJ77" s="189"/>
      <c r="AK77" s="189"/>
      <c r="AL77" s="189"/>
      <c r="AM77" s="191" t="str">
        <f t="shared" si="5"/>
        <v/>
      </c>
      <c r="AN77" s="191" t="str">
        <f>IF($A77="","",IF(COUNTIF('Decision Queue'!$A$5:$A$204,$A77)+COUNTIF('Decision Register'!$A$5:$A$304,$A77)&gt;1,"DUPLICATE ID","OK"))</f>
        <v/>
      </c>
      <c r="AO77" t="s">
        <v>685</v>
      </c>
    </row>
    <row r="78" spans="1:41" ht="42" customHeight="1">
      <c r="A78" s="191" t="str">
        <f t="shared" si="4"/>
        <v/>
      </c>
      <c r="B78" s="189"/>
      <c r="C78" s="189"/>
      <c r="D78" s="189"/>
      <c r="E78" s="268"/>
      <c r="F78" s="189"/>
      <c r="G78" s="189"/>
      <c r="H78" s="189"/>
      <c r="I78" s="189"/>
      <c r="J78" s="189"/>
      <c r="K78" s="189"/>
      <c r="L78" s="189"/>
      <c r="M78" s="192"/>
      <c r="N78" s="189"/>
      <c r="O78" s="189"/>
      <c r="P78" s="189"/>
      <c r="Q78" s="189"/>
      <c r="R78" s="192"/>
      <c r="S78" s="189"/>
      <c r="T78" s="189"/>
      <c r="U78" s="189"/>
      <c r="V78" s="189"/>
      <c r="W78" s="191" t="str">
        <f t="shared" si="3"/>
        <v/>
      </c>
      <c r="X78" s="189"/>
      <c r="Y78" s="189"/>
      <c r="Z78" s="189"/>
      <c r="AA78" s="189"/>
      <c r="AB78" s="189"/>
      <c r="AC78" s="189"/>
      <c r="AD78" s="189"/>
      <c r="AE78" s="189"/>
      <c r="AF78" s="189"/>
      <c r="AG78" s="192"/>
      <c r="AH78" s="192"/>
      <c r="AI78" s="189"/>
      <c r="AJ78" s="189"/>
      <c r="AK78" s="189"/>
      <c r="AL78" s="189"/>
      <c r="AM78" s="191" t="str">
        <f t="shared" si="5"/>
        <v/>
      </c>
      <c r="AN78" s="191" t="str">
        <f>IF($A78="","",IF(COUNTIF('Decision Queue'!$A$5:$A$204,$A78)+COUNTIF('Decision Register'!$A$5:$A$304,$A78)&gt;1,"DUPLICATE ID","OK"))</f>
        <v/>
      </c>
      <c r="AO78" t="s">
        <v>686</v>
      </c>
    </row>
    <row r="79" spans="1:41" ht="42" customHeight="1">
      <c r="A79" s="191" t="str">
        <f t="shared" si="4"/>
        <v/>
      </c>
      <c r="B79" s="189"/>
      <c r="C79" s="189"/>
      <c r="D79" s="189"/>
      <c r="E79" s="268"/>
      <c r="F79" s="189"/>
      <c r="G79" s="189"/>
      <c r="H79" s="189"/>
      <c r="I79" s="189"/>
      <c r="J79" s="189"/>
      <c r="K79" s="189"/>
      <c r="L79" s="189"/>
      <c r="M79" s="192"/>
      <c r="N79" s="189"/>
      <c r="O79" s="189"/>
      <c r="P79" s="189"/>
      <c r="Q79" s="189"/>
      <c r="R79" s="192"/>
      <c r="S79" s="189"/>
      <c r="T79" s="189"/>
      <c r="U79" s="189"/>
      <c r="V79" s="189"/>
      <c r="W79" s="191" t="str">
        <f t="shared" si="3"/>
        <v/>
      </c>
      <c r="X79" s="189"/>
      <c r="Y79" s="189"/>
      <c r="Z79" s="189"/>
      <c r="AA79" s="189"/>
      <c r="AB79" s="189"/>
      <c r="AC79" s="189"/>
      <c r="AD79" s="189"/>
      <c r="AE79" s="189"/>
      <c r="AF79" s="189"/>
      <c r="AG79" s="192"/>
      <c r="AH79" s="192"/>
      <c r="AI79" s="189"/>
      <c r="AJ79" s="189"/>
      <c r="AK79" s="189"/>
      <c r="AL79" s="189"/>
      <c r="AM79" s="191" t="str">
        <f t="shared" si="5"/>
        <v/>
      </c>
      <c r="AN79" s="191" t="str">
        <f>IF($A79="","",IF(COUNTIF('Decision Queue'!$A$5:$A$204,$A79)+COUNTIF('Decision Register'!$A$5:$A$304,$A79)&gt;1,"DUPLICATE ID","OK"))</f>
        <v/>
      </c>
      <c r="AO79" t="s">
        <v>687</v>
      </c>
    </row>
    <row r="80" spans="1:41" ht="42" customHeight="1">
      <c r="A80" s="191" t="str">
        <f t="shared" si="4"/>
        <v/>
      </c>
      <c r="B80" s="189"/>
      <c r="C80" s="189"/>
      <c r="D80" s="189"/>
      <c r="E80" s="268"/>
      <c r="F80" s="189"/>
      <c r="G80" s="189"/>
      <c r="H80" s="189"/>
      <c r="I80" s="189"/>
      <c r="J80" s="189"/>
      <c r="K80" s="189"/>
      <c r="L80" s="189"/>
      <c r="M80" s="192"/>
      <c r="N80" s="189"/>
      <c r="O80" s="189"/>
      <c r="P80" s="189"/>
      <c r="Q80" s="189"/>
      <c r="R80" s="192"/>
      <c r="S80" s="189"/>
      <c r="T80" s="189"/>
      <c r="U80" s="189"/>
      <c r="V80" s="189"/>
      <c r="W80" s="191" t="str">
        <f t="shared" si="3"/>
        <v/>
      </c>
      <c r="X80" s="189"/>
      <c r="Y80" s="189"/>
      <c r="Z80" s="189"/>
      <c r="AA80" s="189"/>
      <c r="AB80" s="189"/>
      <c r="AC80" s="189"/>
      <c r="AD80" s="189"/>
      <c r="AE80" s="189"/>
      <c r="AF80" s="189"/>
      <c r="AG80" s="192"/>
      <c r="AH80" s="192"/>
      <c r="AI80" s="189"/>
      <c r="AJ80" s="189"/>
      <c r="AK80" s="189"/>
      <c r="AL80" s="189"/>
      <c r="AM80" s="191" t="str">
        <f t="shared" si="5"/>
        <v/>
      </c>
      <c r="AN80" s="191" t="str">
        <f>IF($A80="","",IF(COUNTIF('Decision Queue'!$A$5:$A$204,$A80)+COUNTIF('Decision Register'!$A$5:$A$304,$A80)&gt;1,"DUPLICATE ID","OK"))</f>
        <v/>
      </c>
      <c r="AO80" t="s">
        <v>688</v>
      </c>
    </row>
    <row r="81" spans="1:41" ht="42" customHeight="1">
      <c r="A81" s="191" t="str">
        <f t="shared" si="4"/>
        <v/>
      </c>
      <c r="B81" s="189"/>
      <c r="C81" s="189"/>
      <c r="D81" s="189"/>
      <c r="E81" s="268"/>
      <c r="F81" s="189"/>
      <c r="G81" s="189"/>
      <c r="H81" s="189"/>
      <c r="I81" s="189"/>
      <c r="J81" s="189"/>
      <c r="K81" s="189"/>
      <c r="L81" s="189"/>
      <c r="M81" s="192"/>
      <c r="N81" s="189"/>
      <c r="O81" s="189"/>
      <c r="P81" s="189"/>
      <c r="Q81" s="189"/>
      <c r="R81" s="192"/>
      <c r="S81" s="189"/>
      <c r="T81" s="189"/>
      <c r="U81" s="189"/>
      <c r="V81" s="189"/>
      <c r="W81" s="191" t="str">
        <f t="shared" si="3"/>
        <v/>
      </c>
      <c r="X81" s="189"/>
      <c r="Y81" s="189"/>
      <c r="Z81" s="189"/>
      <c r="AA81" s="189"/>
      <c r="AB81" s="189"/>
      <c r="AC81" s="189"/>
      <c r="AD81" s="189"/>
      <c r="AE81" s="189"/>
      <c r="AF81" s="189"/>
      <c r="AG81" s="192"/>
      <c r="AH81" s="192"/>
      <c r="AI81" s="189"/>
      <c r="AJ81" s="189"/>
      <c r="AK81" s="189"/>
      <c r="AL81" s="189"/>
      <c r="AM81" s="191" t="str">
        <f t="shared" si="5"/>
        <v/>
      </c>
      <c r="AN81" s="191" t="str">
        <f>IF($A81="","",IF(COUNTIF('Decision Queue'!$A$5:$A$204,$A81)+COUNTIF('Decision Register'!$A$5:$A$304,$A81)&gt;1,"DUPLICATE ID","OK"))</f>
        <v/>
      </c>
      <c r="AO81" t="s">
        <v>689</v>
      </c>
    </row>
    <row r="82" spans="1:41" ht="42" customHeight="1">
      <c r="A82" s="191" t="str">
        <f t="shared" si="4"/>
        <v/>
      </c>
      <c r="B82" s="189"/>
      <c r="C82" s="189"/>
      <c r="D82" s="189"/>
      <c r="E82" s="268"/>
      <c r="F82" s="189"/>
      <c r="G82" s="189"/>
      <c r="H82" s="189"/>
      <c r="I82" s="189"/>
      <c r="J82" s="189"/>
      <c r="K82" s="189"/>
      <c r="L82" s="189"/>
      <c r="M82" s="192"/>
      <c r="N82" s="189"/>
      <c r="O82" s="189"/>
      <c r="P82" s="189"/>
      <c r="Q82" s="189"/>
      <c r="R82" s="192"/>
      <c r="S82" s="189"/>
      <c r="T82" s="189"/>
      <c r="U82" s="189"/>
      <c r="V82" s="189"/>
      <c r="W82" s="191" t="str">
        <f t="shared" si="3"/>
        <v/>
      </c>
      <c r="X82" s="189"/>
      <c r="Y82" s="189"/>
      <c r="Z82" s="189"/>
      <c r="AA82" s="189"/>
      <c r="AB82" s="189"/>
      <c r="AC82" s="189"/>
      <c r="AD82" s="189"/>
      <c r="AE82" s="189"/>
      <c r="AF82" s="189"/>
      <c r="AG82" s="192"/>
      <c r="AH82" s="192"/>
      <c r="AI82" s="189"/>
      <c r="AJ82" s="189"/>
      <c r="AK82" s="189"/>
      <c r="AL82" s="189"/>
      <c r="AM82" s="191" t="str">
        <f t="shared" si="5"/>
        <v/>
      </c>
      <c r="AN82" s="191" t="str">
        <f>IF($A82="","",IF(COUNTIF('Decision Queue'!$A$5:$A$204,$A82)+COUNTIF('Decision Register'!$A$5:$A$304,$A82)&gt;1,"DUPLICATE ID","OK"))</f>
        <v/>
      </c>
      <c r="AO82" t="s">
        <v>690</v>
      </c>
    </row>
    <row r="83" spans="1:41" ht="42" customHeight="1">
      <c r="A83" s="191" t="str">
        <f t="shared" si="4"/>
        <v/>
      </c>
      <c r="B83" s="189"/>
      <c r="C83" s="189"/>
      <c r="D83" s="189"/>
      <c r="E83" s="268"/>
      <c r="F83" s="189"/>
      <c r="G83" s="189"/>
      <c r="H83" s="189"/>
      <c r="I83" s="189"/>
      <c r="J83" s="189"/>
      <c r="K83" s="189"/>
      <c r="L83" s="189"/>
      <c r="M83" s="192"/>
      <c r="N83" s="189"/>
      <c r="O83" s="189"/>
      <c r="P83" s="189"/>
      <c r="Q83" s="189"/>
      <c r="R83" s="192"/>
      <c r="S83" s="189"/>
      <c r="T83" s="189"/>
      <c r="U83" s="189"/>
      <c r="V83" s="189"/>
      <c r="W83" s="191" t="str">
        <f t="shared" si="3"/>
        <v/>
      </c>
      <c r="X83" s="189"/>
      <c r="Y83" s="189"/>
      <c r="Z83" s="189"/>
      <c r="AA83" s="189"/>
      <c r="AB83" s="189"/>
      <c r="AC83" s="189"/>
      <c r="AD83" s="189"/>
      <c r="AE83" s="189"/>
      <c r="AF83" s="189"/>
      <c r="AG83" s="192"/>
      <c r="AH83" s="192"/>
      <c r="AI83" s="189"/>
      <c r="AJ83" s="189"/>
      <c r="AK83" s="189"/>
      <c r="AL83" s="189"/>
      <c r="AM83" s="191" t="str">
        <f t="shared" si="5"/>
        <v/>
      </c>
      <c r="AN83" s="191" t="str">
        <f>IF($A83="","",IF(COUNTIF('Decision Queue'!$A$5:$A$204,$A83)+COUNTIF('Decision Register'!$A$5:$A$304,$A83)&gt;1,"DUPLICATE ID","OK"))</f>
        <v/>
      </c>
      <c r="AO83" t="s">
        <v>691</v>
      </c>
    </row>
    <row r="84" spans="1:41" ht="42" customHeight="1">
      <c r="A84" s="191" t="str">
        <f t="shared" si="4"/>
        <v/>
      </c>
      <c r="B84" s="189"/>
      <c r="C84" s="189"/>
      <c r="D84" s="189"/>
      <c r="E84" s="268"/>
      <c r="F84" s="189"/>
      <c r="G84" s="189"/>
      <c r="H84" s="189"/>
      <c r="I84" s="189"/>
      <c r="J84" s="189"/>
      <c r="K84" s="189"/>
      <c r="L84" s="189"/>
      <c r="M84" s="192"/>
      <c r="N84" s="189"/>
      <c r="O84" s="189"/>
      <c r="P84" s="189"/>
      <c r="Q84" s="189"/>
      <c r="R84" s="192"/>
      <c r="S84" s="189"/>
      <c r="T84" s="189"/>
      <c r="U84" s="189"/>
      <c r="V84" s="189"/>
      <c r="W84" s="191" t="str">
        <f t="shared" si="3"/>
        <v/>
      </c>
      <c r="X84" s="189"/>
      <c r="Y84" s="189"/>
      <c r="Z84" s="189"/>
      <c r="AA84" s="189"/>
      <c r="AB84" s="189"/>
      <c r="AC84" s="189"/>
      <c r="AD84" s="189"/>
      <c r="AE84" s="189"/>
      <c r="AF84" s="189"/>
      <c r="AG84" s="192"/>
      <c r="AH84" s="192"/>
      <c r="AI84" s="189"/>
      <c r="AJ84" s="189"/>
      <c r="AK84" s="189"/>
      <c r="AL84" s="189"/>
      <c r="AM84" s="191" t="str">
        <f t="shared" si="5"/>
        <v/>
      </c>
      <c r="AN84" s="191" t="str">
        <f>IF($A84="","",IF(COUNTIF('Decision Queue'!$A$5:$A$204,$A84)+COUNTIF('Decision Register'!$A$5:$A$304,$A84)&gt;1,"DUPLICATE ID","OK"))</f>
        <v/>
      </c>
      <c r="AO84" t="s">
        <v>692</v>
      </c>
    </row>
    <row r="85" spans="1:41" ht="42" customHeight="1">
      <c r="A85" s="191" t="str">
        <f t="shared" si="4"/>
        <v/>
      </c>
      <c r="B85" s="189"/>
      <c r="C85" s="189"/>
      <c r="D85" s="189"/>
      <c r="E85" s="268"/>
      <c r="F85" s="189"/>
      <c r="G85" s="189"/>
      <c r="H85" s="189"/>
      <c r="I85" s="189"/>
      <c r="J85" s="189"/>
      <c r="K85" s="189"/>
      <c r="L85" s="189"/>
      <c r="M85" s="192"/>
      <c r="N85" s="189"/>
      <c r="O85" s="189"/>
      <c r="P85" s="189"/>
      <c r="Q85" s="189"/>
      <c r="R85" s="192"/>
      <c r="S85" s="189"/>
      <c r="T85" s="189"/>
      <c r="U85" s="189"/>
      <c r="V85" s="189"/>
      <c r="W85" s="191" t="str">
        <f t="shared" si="3"/>
        <v/>
      </c>
      <c r="X85" s="189"/>
      <c r="Y85" s="189"/>
      <c r="Z85" s="189"/>
      <c r="AA85" s="189"/>
      <c r="AB85" s="189"/>
      <c r="AC85" s="189"/>
      <c r="AD85" s="189"/>
      <c r="AE85" s="189"/>
      <c r="AF85" s="189"/>
      <c r="AG85" s="192"/>
      <c r="AH85" s="192"/>
      <c r="AI85" s="189"/>
      <c r="AJ85" s="189"/>
      <c r="AK85" s="189"/>
      <c r="AL85" s="189"/>
      <c r="AM85" s="191" t="str">
        <f t="shared" si="5"/>
        <v/>
      </c>
      <c r="AN85" s="191" t="str">
        <f>IF($A85="","",IF(COUNTIF('Decision Queue'!$A$5:$A$204,$A85)+COUNTIF('Decision Register'!$A$5:$A$304,$A85)&gt;1,"DUPLICATE ID","OK"))</f>
        <v/>
      </c>
      <c r="AO85" t="s">
        <v>693</v>
      </c>
    </row>
    <row r="86" spans="1:41" ht="42" customHeight="1">
      <c r="A86" s="191" t="str">
        <f t="shared" si="4"/>
        <v/>
      </c>
      <c r="B86" s="189"/>
      <c r="C86" s="189"/>
      <c r="D86" s="189"/>
      <c r="E86" s="268"/>
      <c r="F86" s="189"/>
      <c r="G86" s="189"/>
      <c r="H86" s="189"/>
      <c r="I86" s="189"/>
      <c r="J86" s="189"/>
      <c r="K86" s="189"/>
      <c r="L86" s="189"/>
      <c r="M86" s="192"/>
      <c r="N86" s="189"/>
      <c r="O86" s="189"/>
      <c r="P86" s="189"/>
      <c r="Q86" s="189"/>
      <c r="R86" s="192"/>
      <c r="S86" s="189"/>
      <c r="T86" s="189"/>
      <c r="U86" s="189"/>
      <c r="V86" s="189"/>
      <c r="W86" s="191" t="str">
        <f t="shared" si="3"/>
        <v/>
      </c>
      <c r="X86" s="189"/>
      <c r="Y86" s="189"/>
      <c r="Z86" s="189"/>
      <c r="AA86" s="189"/>
      <c r="AB86" s="189"/>
      <c r="AC86" s="189"/>
      <c r="AD86" s="189"/>
      <c r="AE86" s="189"/>
      <c r="AF86" s="189"/>
      <c r="AG86" s="192"/>
      <c r="AH86" s="192"/>
      <c r="AI86" s="189"/>
      <c r="AJ86" s="189"/>
      <c r="AK86" s="189"/>
      <c r="AL86" s="189"/>
      <c r="AM86" s="191" t="str">
        <f t="shared" si="5"/>
        <v/>
      </c>
      <c r="AN86" s="191" t="str">
        <f>IF($A86="","",IF(COUNTIF('Decision Queue'!$A$5:$A$204,$A86)+COUNTIF('Decision Register'!$A$5:$A$304,$A86)&gt;1,"DUPLICATE ID","OK"))</f>
        <v/>
      </c>
      <c r="AO86" t="s">
        <v>694</v>
      </c>
    </row>
    <row r="87" spans="1:41" ht="42" customHeight="1">
      <c r="A87" s="191" t="str">
        <f t="shared" si="4"/>
        <v/>
      </c>
      <c r="B87" s="189"/>
      <c r="C87" s="189"/>
      <c r="D87" s="189"/>
      <c r="E87" s="268"/>
      <c r="F87" s="189"/>
      <c r="G87" s="189"/>
      <c r="H87" s="189"/>
      <c r="I87" s="189"/>
      <c r="J87" s="189"/>
      <c r="K87" s="189"/>
      <c r="L87" s="189"/>
      <c r="M87" s="192"/>
      <c r="N87" s="189"/>
      <c r="O87" s="189"/>
      <c r="P87" s="189"/>
      <c r="Q87" s="189"/>
      <c r="R87" s="192"/>
      <c r="S87" s="189"/>
      <c r="T87" s="189"/>
      <c r="U87" s="189"/>
      <c r="V87" s="189"/>
      <c r="W87" s="191" t="str">
        <f t="shared" si="3"/>
        <v/>
      </c>
      <c r="X87" s="189"/>
      <c r="Y87" s="189"/>
      <c r="Z87" s="189"/>
      <c r="AA87" s="189"/>
      <c r="AB87" s="189"/>
      <c r="AC87" s="189"/>
      <c r="AD87" s="189"/>
      <c r="AE87" s="189"/>
      <c r="AF87" s="189"/>
      <c r="AG87" s="192"/>
      <c r="AH87" s="192"/>
      <c r="AI87" s="189"/>
      <c r="AJ87" s="189"/>
      <c r="AK87" s="189"/>
      <c r="AL87" s="189"/>
      <c r="AM87" s="191" t="str">
        <f t="shared" si="5"/>
        <v/>
      </c>
      <c r="AN87" s="191" t="str">
        <f>IF($A87="","",IF(COUNTIF('Decision Queue'!$A$5:$A$204,$A87)+COUNTIF('Decision Register'!$A$5:$A$304,$A87)&gt;1,"DUPLICATE ID","OK"))</f>
        <v/>
      </c>
      <c r="AO87" t="s">
        <v>695</v>
      </c>
    </row>
    <row r="88" spans="1:41" ht="42" customHeight="1">
      <c r="A88" s="191" t="str">
        <f t="shared" si="4"/>
        <v/>
      </c>
      <c r="B88" s="189"/>
      <c r="C88" s="189"/>
      <c r="D88" s="189"/>
      <c r="E88" s="268"/>
      <c r="F88" s="189"/>
      <c r="G88" s="189"/>
      <c r="H88" s="189"/>
      <c r="I88" s="189"/>
      <c r="J88" s="189"/>
      <c r="K88" s="189"/>
      <c r="L88" s="189"/>
      <c r="M88" s="192"/>
      <c r="N88" s="189"/>
      <c r="O88" s="189"/>
      <c r="P88" s="189"/>
      <c r="Q88" s="189"/>
      <c r="R88" s="192"/>
      <c r="S88" s="189"/>
      <c r="T88" s="189"/>
      <c r="U88" s="189"/>
      <c r="V88" s="189"/>
      <c r="W88" s="191" t="str">
        <f t="shared" si="3"/>
        <v/>
      </c>
      <c r="X88" s="189"/>
      <c r="Y88" s="189"/>
      <c r="Z88" s="189"/>
      <c r="AA88" s="189"/>
      <c r="AB88" s="189"/>
      <c r="AC88" s="189"/>
      <c r="AD88" s="189"/>
      <c r="AE88" s="189"/>
      <c r="AF88" s="189"/>
      <c r="AG88" s="192"/>
      <c r="AH88" s="192"/>
      <c r="AI88" s="189"/>
      <c r="AJ88" s="189"/>
      <c r="AK88" s="189"/>
      <c r="AL88" s="189"/>
      <c r="AM88" s="191" t="str">
        <f t="shared" si="5"/>
        <v/>
      </c>
      <c r="AN88" s="191" t="str">
        <f>IF($A88="","",IF(COUNTIF('Decision Queue'!$A$5:$A$204,$A88)+COUNTIF('Decision Register'!$A$5:$A$304,$A88)&gt;1,"DUPLICATE ID","OK"))</f>
        <v/>
      </c>
      <c r="AO88" t="s">
        <v>696</v>
      </c>
    </row>
    <row r="89" spans="1:41" ht="42" customHeight="1">
      <c r="A89" s="191" t="str">
        <f t="shared" si="4"/>
        <v/>
      </c>
      <c r="B89" s="189"/>
      <c r="C89" s="189"/>
      <c r="D89" s="189"/>
      <c r="E89" s="268"/>
      <c r="F89" s="189"/>
      <c r="G89" s="189"/>
      <c r="H89" s="189"/>
      <c r="I89" s="189"/>
      <c r="J89" s="189"/>
      <c r="K89" s="189"/>
      <c r="L89" s="189"/>
      <c r="M89" s="192"/>
      <c r="N89" s="189"/>
      <c r="O89" s="189"/>
      <c r="P89" s="189"/>
      <c r="Q89" s="189"/>
      <c r="R89" s="192"/>
      <c r="S89" s="189"/>
      <c r="T89" s="189"/>
      <c r="U89" s="189"/>
      <c r="V89" s="189"/>
      <c r="W89" s="191" t="str">
        <f t="shared" si="3"/>
        <v/>
      </c>
      <c r="X89" s="189"/>
      <c r="Y89" s="189"/>
      <c r="Z89" s="189"/>
      <c r="AA89" s="189"/>
      <c r="AB89" s="189"/>
      <c r="AC89" s="189"/>
      <c r="AD89" s="189"/>
      <c r="AE89" s="189"/>
      <c r="AF89" s="189"/>
      <c r="AG89" s="192"/>
      <c r="AH89" s="192"/>
      <c r="AI89" s="189"/>
      <c r="AJ89" s="189"/>
      <c r="AK89" s="189"/>
      <c r="AL89" s="189"/>
      <c r="AM89" s="191" t="str">
        <f t="shared" si="5"/>
        <v/>
      </c>
      <c r="AN89" s="191" t="str">
        <f>IF($A89="","",IF(COUNTIF('Decision Queue'!$A$5:$A$204,$A89)+COUNTIF('Decision Register'!$A$5:$A$304,$A89)&gt;1,"DUPLICATE ID","OK"))</f>
        <v/>
      </c>
      <c r="AO89" t="s">
        <v>697</v>
      </c>
    </row>
    <row r="90" spans="1:41" ht="42" customHeight="1">
      <c r="A90" s="191" t="str">
        <f t="shared" si="4"/>
        <v/>
      </c>
      <c r="B90" s="189"/>
      <c r="C90" s="189"/>
      <c r="D90" s="189"/>
      <c r="E90" s="268"/>
      <c r="F90" s="189"/>
      <c r="G90" s="189"/>
      <c r="H90" s="189"/>
      <c r="I90" s="189"/>
      <c r="J90" s="189"/>
      <c r="K90" s="189"/>
      <c r="L90" s="189"/>
      <c r="M90" s="192"/>
      <c r="N90" s="189"/>
      <c r="O90" s="189"/>
      <c r="P90" s="189"/>
      <c r="Q90" s="189"/>
      <c r="R90" s="192"/>
      <c r="S90" s="189"/>
      <c r="T90" s="189"/>
      <c r="U90" s="189"/>
      <c r="V90" s="189"/>
      <c r="W90" s="191" t="str">
        <f t="shared" si="3"/>
        <v/>
      </c>
      <c r="X90" s="189"/>
      <c r="Y90" s="189"/>
      <c r="Z90" s="189"/>
      <c r="AA90" s="189"/>
      <c r="AB90" s="189"/>
      <c r="AC90" s="189"/>
      <c r="AD90" s="189"/>
      <c r="AE90" s="189"/>
      <c r="AF90" s="189"/>
      <c r="AG90" s="192"/>
      <c r="AH90" s="192"/>
      <c r="AI90" s="189"/>
      <c r="AJ90" s="189"/>
      <c r="AK90" s="189"/>
      <c r="AL90" s="189"/>
      <c r="AM90" s="191" t="str">
        <f t="shared" si="5"/>
        <v/>
      </c>
      <c r="AN90" s="191" t="str">
        <f>IF($A90="","",IF(COUNTIF('Decision Queue'!$A$5:$A$204,$A90)+COUNTIF('Decision Register'!$A$5:$A$304,$A90)&gt;1,"DUPLICATE ID","OK"))</f>
        <v/>
      </c>
      <c r="AO90" t="s">
        <v>698</v>
      </c>
    </row>
    <row r="91" spans="1:41" ht="42" customHeight="1">
      <c r="A91" s="191" t="str">
        <f t="shared" si="4"/>
        <v/>
      </c>
      <c r="B91" s="189"/>
      <c r="C91" s="189"/>
      <c r="D91" s="189"/>
      <c r="E91" s="268"/>
      <c r="F91" s="189"/>
      <c r="G91" s="189"/>
      <c r="H91" s="189"/>
      <c r="I91" s="189"/>
      <c r="J91" s="189"/>
      <c r="K91" s="189"/>
      <c r="L91" s="189"/>
      <c r="M91" s="192"/>
      <c r="N91" s="189"/>
      <c r="O91" s="189"/>
      <c r="P91" s="189"/>
      <c r="Q91" s="189"/>
      <c r="R91" s="192"/>
      <c r="S91" s="189"/>
      <c r="T91" s="189"/>
      <c r="U91" s="189"/>
      <c r="V91" s="189"/>
      <c r="W91" s="191" t="str">
        <f t="shared" si="3"/>
        <v/>
      </c>
      <c r="X91" s="189"/>
      <c r="Y91" s="189"/>
      <c r="Z91" s="189"/>
      <c r="AA91" s="189"/>
      <c r="AB91" s="189"/>
      <c r="AC91" s="189"/>
      <c r="AD91" s="189"/>
      <c r="AE91" s="189"/>
      <c r="AF91" s="189"/>
      <c r="AG91" s="192"/>
      <c r="AH91" s="192"/>
      <c r="AI91" s="189"/>
      <c r="AJ91" s="189"/>
      <c r="AK91" s="189"/>
      <c r="AL91" s="189"/>
      <c r="AM91" s="191" t="str">
        <f t="shared" si="5"/>
        <v/>
      </c>
      <c r="AN91" s="191" t="str">
        <f>IF($A91="","",IF(COUNTIF('Decision Queue'!$A$5:$A$204,$A91)+COUNTIF('Decision Register'!$A$5:$A$304,$A91)&gt;1,"DUPLICATE ID","OK"))</f>
        <v/>
      </c>
      <c r="AO91" t="s">
        <v>699</v>
      </c>
    </row>
    <row r="92" spans="1:41" ht="42" customHeight="1">
      <c r="A92" s="191" t="str">
        <f t="shared" si="4"/>
        <v/>
      </c>
      <c r="B92" s="189"/>
      <c r="C92" s="189"/>
      <c r="D92" s="189"/>
      <c r="E92" s="268"/>
      <c r="F92" s="189"/>
      <c r="G92" s="189"/>
      <c r="H92" s="189"/>
      <c r="I92" s="189"/>
      <c r="J92" s="189"/>
      <c r="K92" s="189"/>
      <c r="L92" s="189"/>
      <c r="M92" s="192"/>
      <c r="N92" s="189"/>
      <c r="O92" s="189"/>
      <c r="P92" s="189"/>
      <c r="Q92" s="189"/>
      <c r="R92" s="192"/>
      <c r="S92" s="189"/>
      <c r="T92" s="189"/>
      <c r="U92" s="189"/>
      <c r="V92" s="189"/>
      <c r="W92" s="191" t="str">
        <f t="shared" si="3"/>
        <v/>
      </c>
      <c r="X92" s="189"/>
      <c r="Y92" s="189"/>
      <c r="Z92" s="189"/>
      <c r="AA92" s="189"/>
      <c r="AB92" s="189"/>
      <c r="AC92" s="189"/>
      <c r="AD92" s="189"/>
      <c r="AE92" s="189"/>
      <c r="AF92" s="189"/>
      <c r="AG92" s="192"/>
      <c r="AH92" s="192"/>
      <c r="AI92" s="189"/>
      <c r="AJ92" s="189"/>
      <c r="AK92" s="189"/>
      <c r="AL92" s="189"/>
      <c r="AM92" s="191" t="str">
        <f t="shared" si="5"/>
        <v/>
      </c>
      <c r="AN92" s="191" t="str">
        <f>IF($A92="","",IF(COUNTIF('Decision Queue'!$A$5:$A$204,$A92)+COUNTIF('Decision Register'!$A$5:$A$304,$A92)&gt;1,"DUPLICATE ID","OK"))</f>
        <v/>
      </c>
      <c r="AO92" t="s">
        <v>700</v>
      </c>
    </row>
    <row r="93" spans="1:41" ht="42" customHeight="1">
      <c r="A93" s="191" t="str">
        <f t="shared" si="4"/>
        <v/>
      </c>
      <c r="B93" s="189"/>
      <c r="C93" s="189"/>
      <c r="D93" s="189"/>
      <c r="E93" s="268"/>
      <c r="F93" s="189"/>
      <c r="G93" s="189"/>
      <c r="H93" s="189"/>
      <c r="I93" s="189"/>
      <c r="J93" s="189"/>
      <c r="K93" s="189"/>
      <c r="L93" s="189"/>
      <c r="M93" s="192"/>
      <c r="N93" s="189"/>
      <c r="O93" s="189"/>
      <c r="P93" s="189"/>
      <c r="Q93" s="189"/>
      <c r="R93" s="192"/>
      <c r="S93" s="189"/>
      <c r="T93" s="189"/>
      <c r="U93" s="189"/>
      <c r="V93" s="189"/>
      <c r="W93" s="191" t="str">
        <f t="shared" si="3"/>
        <v/>
      </c>
      <c r="X93" s="189"/>
      <c r="Y93" s="189"/>
      <c r="Z93" s="189"/>
      <c r="AA93" s="189"/>
      <c r="AB93" s="189"/>
      <c r="AC93" s="189"/>
      <c r="AD93" s="189"/>
      <c r="AE93" s="189"/>
      <c r="AF93" s="189"/>
      <c r="AG93" s="192"/>
      <c r="AH93" s="192"/>
      <c r="AI93" s="189"/>
      <c r="AJ93" s="189"/>
      <c r="AK93" s="189"/>
      <c r="AL93" s="189"/>
      <c r="AM93" s="191" t="str">
        <f t="shared" si="5"/>
        <v/>
      </c>
      <c r="AN93" s="191" t="str">
        <f>IF($A93="","",IF(COUNTIF('Decision Queue'!$A$5:$A$204,$A93)+COUNTIF('Decision Register'!$A$5:$A$304,$A93)&gt;1,"DUPLICATE ID","OK"))</f>
        <v/>
      </c>
      <c r="AO93" t="s">
        <v>701</v>
      </c>
    </row>
    <row r="94" spans="1:41" ht="42" customHeight="1">
      <c r="A94" s="191" t="str">
        <f t="shared" si="4"/>
        <v/>
      </c>
      <c r="B94" s="189"/>
      <c r="C94" s="189"/>
      <c r="D94" s="189"/>
      <c r="E94" s="268"/>
      <c r="F94" s="189"/>
      <c r="G94" s="189"/>
      <c r="H94" s="189"/>
      <c r="I94" s="189"/>
      <c r="J94" s="189"/>
      <c r="K94" s="189"/>
      <c r="L94" s="189"/>
      <c r="M94" s="192"/>
      <c r="N94" s="189"/>
      <c r="O94" s="189"/>
      <c r="P94" s="189"/>
      <c r="Q94" s="189"/>
      <c r="R94" s="192"/>
      <c r="S94" s="189"/>
      <c r="T94" s="189"/>
      <c r="U94" s="189"/>
      <c r="V94" s="189"/>
      <c r="W94" s="191" t="str">
        <f t="shared" si="3"/>
        <v/>
      </c>
      <c r="X94" s="189"/>
      <c r="Y94" s="189"/>
      <c r="Z94" s="189"/>
      <c r="AA94" s="189"/>
      <c r="AB94" s="189"/>
      <c r="AC94" s="189"/>
      <c r="AD94" s="189"/>
      <c r="AE94" s="189"/>
      <c r="AF94" s="189"/>
      <c r="AG94" s="192"/>
      <c r="AH94" s="192"/>
      <c r="AI94" s="189"/>
      <c r="AJ94" s="189"/>
      <c r="AK94" s="189"/>
      <c r="AL94" s="189"/>
      <c r="AM94" s="191" t="str">
        <f t="shared" si="5"/>
        <v/>
      </c>
      <c r="AN94" s="191" t="str">
        <f>IF($A94="","",IF(COUNTIF('Decision Queue'!$A$5:$A$204,$A94)+COUNTIF('Decision Register'!$A$5:$A$304,$A94)&gt;1,"DUPLICATE ID","OK"))</f>
        <v/>
      </c>
      <c r="AO94" t="s">
        <v>702</v>
      </c>
    </row>
    <row r="95" spans="1:41" ht="42" customHeight="1">
      <c r="A95" s="191" t="str">
        <f t="shared" si="4"/>
        <v/>
      </c>
      <c r="B95" s="189"/>
      <c r="C95" s="189"/>
      <c r="D95" s="189"/>
      <c r="E95" s="268"/>
      <c r="F95" s="189"/>
      <c r="G95" s="189"/>
      <c r="H95" s="189"/>
      <c r="I95" s="189"/>
      <c r="J95" s="189"/>
      <c r="K95" s="189"/>
      <c r="L95" s="189"/>
      <c r="M95" s="192"/>
      <c r="N95" s="189"/>
      <c r="O95" s="189"/>
      <c r="P95" s="189"/>
      <c r="Q95" s="189"/>
      <c r="R95" s="192"/>
      <c r="S95" s="189"/>
      <c r="T95" s="189"/>
      <c r="U95" s="189"/>
      <c r="V95" s="189"/>
      <c r="W95" s="191" t="str">
        <f t="shared" si="3"/>
        <v/>
      </c>
      <c r="X95" s="189"/>
      <c r="Y95" s="189"/>
      <c r="Z95" s="189"/>
      <c r="AA95" s="189"/>
      <c r="AB95" s="189"/>
      <c r="AC95" s="189"/>
      <c r="AD95" s="189"/>
      <c r="AE95" s="189"/>
      <c r="AF95" s="189"/>
      <c r="AG95" s="192"/>
      <c r="AH95" s="192"/>
      <c r="AI95" s="189"/>
      <c r="AJ95" s="189"/>
      <c r="AK95" s="189"/>
      <c r="AL95" s="189"/>
      <c r="AM95" s="191" t="str">
        <f t="shared" si="5"/>
        <v/>
      </c>
      <c r="AN95" s="191" t="str">
        <f>IF($A95="","",IF(COUNTIF('Decision Queue'!$A$5:$A$204,$A95)+COUNTIF('Decision Register'!$A$5:$A$304,$A95)&gt;1,"DUPLICATE ID","OK"))</f>
        <v/>
      </c>
      <c r="AO95" t="s">
        <v>703</v>
      </c>
    </row>
    <row r="96" spans="1:41" ht="42" customHeight="1">
      <c r="A96" s="191" t="str">
        <f t="shared" si="4"/>
        <v/>
      </c>
      <c r="B96" s="189"/>
      <c r="C96" s="189"/>
      <c r="D96" s="189"/>
      <c r="E96" s="268"/>
      <c r="F96" s="189"/>
      <c r="G96" s="189"/>
      <c r="H96" s="189"/>
      <c r="I96" s="189"/>
      <c r="J96" s="189"/>
      <c r="K96" s="189"/>
      <c r="L96" s="189"/>
      <c r="M96" s="192"/>
      <c r="N96" s="189"/>
      <c r="O96" s="189"/>
      <c r="P96" s="189"/>
      <c r="Q96" s="189"/>
      <c r="R96" s="192"/>
      <c r="S96" s="189"/>
      <c r="T96" s="189"/>
      <c r="U96" s="189"/>
      <c r="V96" s="189"/>
      <c r="W96" s="191" t="str">
        <f t="shared" si="3"/>
        <v/>
      </c>
      <c r="X96" s="189"/>
      <c r="Y96" s="189"/>
      <c r="Z96" s="189"/>
      <c r="AA96" s="189"/>
      <c r="AB96" s="189"/>
      <c r="AC96" s="189"/>
      <c r="AD96" s="189"/>
      <c r="AE96" s="189"/>
      <c r="AF96" s="189"/>
      <c r="AG96" s="192"/>
      <c r="AH96" s="192"/>
      <c r="AI96" s="189"/>
      <c r="AJ96" s="189"/>
      <c r="AK96" s="189"/>
      <c r="AL96" s="189"/>
      <c r="AM96" s="191" t="str">
        <f t="shared" si="5"/>
        <v/>
      </c>
      <c r="AN96" s="191" t="str">
        <f>IF($A96="","",IF(COUNTIF('Decision Queue'!$A$5:$A$204,$A96)+COUNTIF('Decision Register'!$A$5:$A$304,$A96)&gt;1,"DUPLICATE ID","OK"))</f>
        <v/>
      </c>
      <c r="AO96" t="s">
        <v>704</v>
      </c>
    </row>
    <row r="97" spans="1:41" ht="42" customHeight="1">
      <c r="A97" s="191" t="str">
        <f t="shared" si="4"/>
        <v/>
      </c>
      <c r="B97" s="189"/>
      <c r="C97" s="189"/>
      <c r="D97" s="189"/>
      <c r="E97" s="268"/>
      <c r="F97" s="189"/>
      <c r="G97" s="189"/>
      <c r="H97" s="189"/>
      <c r="I97" s="189"/>
      <c r="J97" s="189"/>
      <c r="K97" s="189"/>
      <c r="L97" s="189"/>
      <c r="M97" s="192"/>
      <c r="N97" s="189"/>
      <c r="O97" s="189"/>
      <c r="P97" s="189"/>
      <c r="Q97" s="189"/>
      <c r="R97" s="192"/>
      <c r="S97" s="189"/>
      <c r="T97" s="189"/>
      <c r="U97" s="189"/>
      <c r="V97" s="189"/>
      <c r="W97" s="191" t="str">
        <f t="shared" si="3"/>
        <v/>
      </c>
      <c r="X97" s="189"/>
      <c r="Y97" s="189"/>
      <c r="Z97" s="189"/>
      <c r="AA97" s="189"/>
      <c r="AB97" s="189"/>
      <c r="AC97" s="189"/>
      <c r="AD97" s="189"/>
      <c r="AE97" s="189"/>
      <c r="AF97" s="189"/>
      <c r="AG97" s="192"/>
      <c r="AH97" s="192"/>
      <c r="AI97" s="189"/>
      <c r="AJ97" s="189"/>
      <c r="AK97" s="189"/>
      <c r="AL97" s="189"/>
      <c r="AM97" s="191" t="str">
        <f t="shared" si="5"/>
        <v/>
      </c>
      <c r="AN97" s="191" t="str">
        <f>IF($A97="","",IF(COUNTIF('Decision Queue'!$A$5:$A$204,$A97)+COUNTIF('Decision Register'!$A$5:$A$304,$A97)&gt;1,"DUPLICATE ID","OK"))</f>
        <v/>
      </c>
      <c r="AO97" t="s">
        <v>705</v>
      </c>
    </row>
    <row r="98" spans="1:41" ht="42" customHeight="1">
      <c r="A98" s="191" t="str">
        <f t="shared" si="4"/>
        <v/>
      </c>
      <c r="B98" s="189"/>
      <c r="C98" s="189"/>
      <c r="D98" s="189"/>
      <c r="E98" s="268"/>
      <c r="F98" s="189"/>
      <c r="G98" s="189"/>
      <c r="H98" s="189"/>
      <c r="I98" s="189"/>
      <c r="J98" s="189"/>
      <c r="K98" s="189"/>
      <c r="L98" s="189"/>
      <c r="M98" s="192"/>
      <c r="N98" s="189"/>
      <c r="O98" s="189"/>
      <c r="P98" s="189"/>
      <c r="Q98" s="189"/>
      <c r="R98" s="192"/>
      <c r="S98" s="189"/>
      <c r="T98" s="189"/>
      <c r="U98" s="189"/>
      <c r="V98" s="189"/>
      <c r="W98" s="191" t="str">
        <f t="shared" si="3"/>
        <v/>
      </c>
      <c r="X98" s="189"/>
      <c r="Y98" s="189"/>
      <c r="Z98" s="189"/>
      <c r="AA98" s="189"/>
      <c r="AB98" s="189"/>
      <c r="AC98" s="189"/>
      <c r="AD98" s="189"/>
      <c r="AE98" s="189"/>
      <c r="AF98" s="189"/>
      <c r="AG98" s="192"/>
      <c r="AH98" s="192"/>
      <c r="AI98" s="189"/>
      <c r="AJ98" s="189"/>
      <c r="AK98" s="189"/>
      <c r="AL98" s="189"/>
      <c r="AM98" s="191" t="str">
        <f t="shared" si="5"/>
        <v/>
      </c>
      <c r="AN98" s="191" t="str">
        <f>IF($A98="","",IF(COUNTIF('Decision Queue'!$A$5:$A$204,$A98)+COUNTIF('Decision Register'!$A$5:$A$304,$A98)&gt;1,"DUPLICATE ID","OK"))</f>
        <v/>
      </c>
      <c r="AO98" t="s">
        <v>706</v>
      </c>
    </row>
    <row r="99" spans="1:41" ht="42" customHeight="1">
      <c r="A99" s="191" t="str">
        <f t="shared" si="4"/>
        <v/>
      </c>
      <c r="B99" s="189"/>
      <c r="C99" s="189"/>
      <c r="D99" s="189"/>
      <c r="E99" s="268"/>
      <c r="F99" s="189"/>
      <c r="G99" s="189"/>
      <c r="H99" s="189"/>
      <c r="I99" s="189"/>
      <c r="J99" s="189"/>
      <c r="K99" s="189"/>
      <c r="L99" s="189"/>
      <c r="M99" s="192"/>
      <c r="N99" s="189"/>
      <c r="O99" s="189"/>
      <c r="P99" s="189"/>
      <c r="Q99" s="189"/>
      <c r="R99" s="192"/>
      <c r="S99" s="189"/>
      <c r="T99" s="189"/>
      <c r="U99" s="189"/>
      <c r="V99" s="189"/>
      <c r="W99" s="191" t="str">
        <f t="shared" si="3"/>
        <v/>
      </c>
      <c r="X99" s="189"/>
      <c r="Y99" s="189"/>
      <c r="Z99" s="189"/>
      <c r="AA99" s="189"/>
      <c r="AB99" s="189"/>
      <c r="AC99" s="189"/>
      <c r="AD99" s="189"/>
      <c r="AE99" s="189"/>
      <c r="AF99" s="189"/>
      <c r="AG99" s="192"/>
      <c r="AH99" s="192"/>
      <c r="AI99" s="189"/>
      <c r="AJ99" s="189"/>
      <c r="AK99" s="189"/>
      <c r="AL99" s="189"/>
      <c r="AM99" s="191" t="str">
        <f t="shared" si="5"/>
        <v/>
      </c>
      <c r="AN99" s="191" t="str">
        <f>IF($A99="","",IF(COUNTIF('Decision Queue'!$A$5:$A$204,$A99)+COUNTIF('Decision Register'!$A$5:$A$304,$A99)&gt;1,"DUPLICATE ID","OK"))</f>
        <v/>
      </c>
      <c r="AO99" t="s">
        <v>707</v>
      </c>
    </row>
    <row r="100" spans="1:41" ht="42" customHeight="1">
      <c r="A100" s="191" t="str">
        <f t="shared" si="4"/>
        <v/>
      </c>
      <c r="B100" s="189"/>
      <c r="C100" s="189"/>
      <c r="D100" s="189"/>
      <c r="E100" s="268"/>
      <c r="F100" s="189"/>
      <c r="G100" s="189"/>
      <c r="H100" s="189"/>
      <c r="I100" s="189"/>
      <c r="J100" s="189"/>
      <c r="K100" s="189"/>
      <c r="L100" s="189"/>
      <c r="M100" s="192"/>
      <c r="N100" s="189"/>
      <c r="O100" s="189"/>
      <c r="P100" s="189"/>
      <c r="Q100" s="189"/>
      <c r="R100" s="192"/>
      <c r="S100" s="189"/>
      <c r="T100" s="189"/>
      <c r="U100" s="189"/>
      <c r="V100" s="189"/>
      <c r="W100" s="191" t="str">
        <f t="shared" si="3"/>
        <v/>
      </c>
      <c r="X100" s="189"/>
      <c r="Y100" s="189"/>
      <c r="Z100" s="189"/>
      <c r="AA100" s="189"/>
      <c r="AB100" s="189"/>
      <c r="AC100" s="189"/>
      <c r="AD100" s="189"/>
      <c r="AE100" s="189"/>
      <c r="AF100" s="189"/>
      <c r="AG100" s="192"/>
      <c r="AH100" s="192"/>
      <c r="AI100" s="189"/>
      <c r="AJ100" s="189"/>
      <c r="AK100" s="189"/>
      <c r="AL100" s="189"/>
      <c r="AM100" s="191" t="str">
        <f t="shared" si="5"/>
        <v/>
      </c>
      <c r="AN100" s="191" t="str">
        <f>IF($A100="","",IF(COUNTIF('Decision Queue'!$A$5:$A$204,$A100)+COUNTIF('Decision Register'!$A$5:$A$304,$A100)&gt;1,"DUPLICATE ID","OK"))</f>
        <v/>
      </c>
      <c r="AO100" t="s">
        <v>708</v>
      </c>
    </row>
    <row r="101" spans="1:41" ht="42" customHeight="1">
      <c r="A101" s="191" t="str">
        <f t="shared" si="4"/>
        <v/>
      </c>
      <c r="B101" s="189"/>
      <c r="C101" s="189"/>
      <c r="D101" s="189"/>
      <c r="E101" s="268"/>
      <c r="F101" s="189"/>
      <c r="G101" s="189"/>
      <c r="H101" s="189"/>
      <c r="I101" s="189"/>
      <c r="J101" s="189"/>
      <c r="K101" s="189"/>
      <c r="L101" s="189"/>
      <c r="M101" s="192"/>
      <c r="N101" s="189"/>
      <c r="O101" s="189"/>
      <c r="P101" s="189"/>
      <c r="Q101" s="189"/>
      <c r="R101" s="192"/>
      <c r="S101" s="189"/>
      <c r="T101" s="189"/>
      <c r="U101" s="189"/>
      <c r="V101" s="189"/>
      <c r="W101" s="191" t="str">
        <f t="shared" si="3"/>
        <v/>
      </c>
      <c r="X101" s="189"/>
      <c r="Y101" s="189"/>
      <c r="Z101" s="189"/>
      <c r="AA101" s="189"/>
      <c r="AB101" s="189"/>
      <c r="AC101" s="189"/>
      <c r="AD101" s="189"/>
      <c r="AE101" s="189"/>
      <c r="AF101" s="189"/>
      <c r="AG101" s="192"/>
      <c r="AH101" s="192"/>
      <c r="AI101" s="189"/>
      <c r="AJ101" s="189"/>
      <c r="AK101" s="189"/>
      <c r="AL101" s="189"/>
      <c r="AM101" s="191" t="str">
        <f t="shared" si="5"/>
        <v/>
      </c>
      <c r="AN101" s="191" t="str">
        <f>IF($A101="","",IF(COUNTIF('Decision Queue'!$A$5:$A$204,$A101)+COUNTIF('Decision Register'!$A$5:$A$304,$A101)&gt;1,"DUPLICATE ID","OK"))</f>
        <v/>
      </c>
      <c r="AO101" t="s">
        <v>709</v>
      </c>
    </row>
    <row r="102" spans="1:41" ht="42" customHeight="1">
      <c r="A102" s="191" t="str">
        <f t="shared" si="4"/>
        <v/>
      </c>
      <c r="B102" s="189"/>
      <c r="C102" s="189"/>
      <c r="D102" s="189"/>
      <c r="E102" s="268"/>
      <c r="F102" s="189"/>
      <c r="G102" s="189"/>
      <c r="H102" s="189"/>
      <c r="I102" s="189"/>
      <c r="J102" s="189"/>
      <c r="K102" s="189"/>
      <c r="L102" s="189"/>
      <c r="M102" s="192"/>
      <c r="N102" s="189"/>
      <c r="O102" s="189"/>
      <c r="P102" s="189"/>
      <c r="Q102" s="189"/>
      <c r="R102" s="192"/>
      <c r="S102" s="189"/>
      <c r="T102" s="189"/>
      <c r="U102" s="189"/>
      <c r="V102" s="189"/>
      <c r="W102" s="191" t="str">
        <f t="shared" si="3"/>
        <v/>
      </c>
      <c r="X102" s="189"/>
      <c r="Y102" s="189"/>
      <c r="Z102" s="189"/>
      <c r="AA102" s="189"/>
      <c r="AB102" s="189"/>
      <c r="AC102" s="189"/>
      <c r="AD102" s="189"/>
      <c r="AE102" s="189"/>
      <c r="AF102" s="189"/>
      <c r="AG102" s="192"/>
      <c r="AH102" s="192"/>
      <c r="AI102" s="189"/>
      <c r="AJ102" s="189"/>
      <c r="AK102" s="189"/>
      <c r="AL102" s="189"/>
      <c r="AM102" s="191" t="str">
        <f t="shared" si="5"/>
        <v/>
      </c>
      <c r="AN102" s="191" t="str">
        <f>IF($A102="","",IF(COUNTIF('Decision Queue'!$A$5:$A$204,$A102)+COUNTIF('Decision Register'!$A$5:$A$304,$A102)&gt;1,"DUPLICATE ID","OK"))</f>
        <v/>
      </c>
      <c r="AO102" t="s">
        <v>710</v>
      </c>
    </row>
    <row r="103" spans="1:41" ht="42" customHeight="1">
      <c r="A103" s="191" t="str">
        <f t="shared" si="4"/>
        <v/>
      </c>
      <c r="B103" s="189"/>
      <c r="C103" s="189"/>
      <c r="D103" s="189"/>
      <c r="E103" s="268"/>
      <c r="F103" s="189"/>
      <c r="G103" s="189"/>
      <c r="H103" s="189"/>
      <c r="I103" s="189"/>
      <c r="J103" s="189"/>
      <c r="K103" s="189"/>
      <c r="L103" s="189"/>
      <c r="M103" s="192"/>
      <c r="N103" s="189"/>
      <c r="O103" s="189"/>
      <c r="P103" s="189"/>
      <c r="Q103" s="189"/>
      <c r="R103" s="192"/>
      <c r="S103" s="189"/>
      <c r="T103" s="189"/>
      <c r="U103" s="189"/>
      <c r="V103" s="189"/>
      <c r="W103" s="191" t="str">
        <f t="shared" si="3"/>
        <v/>
      </c>
      <c r="X103" s="189"/>
      <c r="Y103" s="189"/>
      <c r="Z103" s="189"/>
      <c r="AA103" s="189"/>
      <c r="AB103" s="189"/>
      <c r="AC103" s="189"/>
      <c r="AD103" s="189"/>
      <c r="AE103" s="189"/>
      <c r="AF103" s="189"/>
      <c r="AG103" s="192"/>
      <c r="AH103" s="192"/>
      <c r="AI103" s="189"/>
      <c r="AJ103" s="189"/>
      <c r="AK103" s="189"/>
      <c r="AL103" s="189"/>
      <c r="AM103" s="191" t="str">
        <f t="shared" si="5"/>
        <v/>
      </c>
      <c r="AN103" s="191" t="str">
        <f>IF($A103="","",IF(COUNTIF('Decision Queue'!$A$5:$A$204,$A103)+COUNTIF('Decision Register'!$A$5:$A$304,$A103)&gt;1,"DUPLICATE ID","OK"))</f>
        <v/>
      </c>
      <c r="AO103" t="s">
        <v>711</v>
      </c>
    </row>
    <row r="104" spans="1:41" ht="42" customHeight="1">
      <c r="A104" s="191" t="str">
        <f t="shared" si="4"/>
        <v/>
      </c>
      <c r="B104" s="189"/>
      <c r="C104" s="189"/>
      <c r="D104" s="189"/>
      <c r="E104" s="268"/>
      <c r="F104" s="189"/>
      <c r="G104" s="189"/>
      <c r="H104" s="189"/>
      <c r="I104" s="189"/>
      <c r="J104" s="189"/>
      <c r="K104" s="189"/>
      <c r="L104" s="189"/>
      <c r="M104" s="192"/>
      <c r="N104" s="189"/>
      <c r="O104" s="189"/>
      <c r="P104" s="189"/>
      <c r="Q104" s="189"/>
      <c r="R104" s="192"/>
      <c r="S104" s="189"/>
      <c r="T104" s="189"/>
      <c r="U104" s="189"/>
      <c r="V104" s="189"/>
      <c r="W104" s="191" t="str">
        <f t="shared" si="3"/>
        <v/>
      </c>
      <c r="X104" s="189"/>
      <c r="Y104" s="189"/>
      <c r="Z104" s="189"/>
      <c r="AA104" s="189"/>
      <c r="AB104" s="189"/>
      <c r="AC104" s="189"/>
      <c r="AD104" s="189"/>
      <c r="AE104" s="189"/>
      <c r="AF104" s="189"/>
      <c r="AG104" s="192"/>
      <c r="AH104" s="192"/>
      <c r="AI104" s="189"/>
      <c r="AJ104" s="189"/>
      <c r="AK104" s="189"/>
      <c r="AL104" s="189"/>
      <c r="AM104" s="191" t="str">
        <f t="shared" si="5"/>
        <v/>
      </c>
      <c r="AN104" s="191" t="str">
        <f>IF($A104="","",IF(COUNTIF('Decision Queue'!$A$5:$A$204,$A104)+COUNTIF('Decision Register'!$A$5:$A$304,$A104)&gt;1,"DUPLICATE ID","OK"))</f>
        <v/>
      </c>
      <c r="AO104" t="s">
        <v>712</v>
      </c>
    </row>
    <row r="105" spans="1:41" ht="42" customHeight="1">
      <c r="A105" s="191" t="str">
        <f t="shared" si="4"/>
        <v/>
      </c>
      <c r="B105" s="189"/>
      <c r="C105" s="189"/>
      <c r="D105" s="189"/>
      <c r="E105" s="268"/>
      <c r="F105" s="189"/>
      <c r="G105" s="189"/>
      <c r="H105" s="189"/>
      <c r="I105" s="189"/>
      <c r="J105" s="189"/>
      <c r="K105" s="189"/>
      <c r="L105" s="189"/>
      <c r="M105" s="192"/>
      <c r="N105" s="189"/>
      <c r="O105" s="189"/>
      <c r="P105" s="189"/>
      <c r="Q105" s="189"/>
      <c r="R105" s="192"/>
      <c r="S105" s="189"/>
      <c r="T105" s="189"/>
      <c r="U105" s="189"/>
      <c r="V105" s="189"/>
      <c r="W105" s="191" t="str">
        <f t="shared" si="3"/>
        <v/>
      </c>
      <c r="X105" s="189"/>
      <c r="Y105" s="189"/>
      <c r="Z105" s="189"/>
      <c r="AA105" s="189"/>
      <c r="AB105" s="189"/>
      <c r="AC105" s="189"/>
      <c r="AD105" s="189"/>
      <c r="AE105" s="189"/>
      <c r="AF105" s="189"/>
      <c r="AG105" s="192"/>
      <c r="AH105" s="192"/>
      <c r="AI105" s="189"/>
      <c r="AJ105" s="189"/>
      <c r="AK105" s="189"/>
      <c r="AL105" s="189"/>
      <c r="AM105" s="191" t="str">
        <f t="shared" si="5"/>
        <v/>
      </c>
      <c r="AN105" s="191" t="str">
        <f>IF($A105="","",IF(COUNTIF('Decision Queue'!$A$5:$A$204,$A105)+COUNTIF('Decision Register'!$A$5:$A$304,$A105)&gt;1,"DUPLICATE ID","OK"))</f>
        <v/>
      </c>
      <c r="AO105" t="s">
        <v>713</v>
      </c>
    </row>
    <row r="106" spans="1:41" ht="42" customHeight="1">
      <c r="A106" s="191" t="str">
        <f t="shared" si="4"/>
        <v/>
      </c>
      <c r="B106" s="189"/>
      <c r="C106" s="189"/>
      <c r="D106" s="189"/>
      <c r="E106" s="268"/>
      <c r="F106" s="189"/>
      <c r="G106" s="189"/>
      <c r="H106" s="189"/>
      <c r="I106" s="189"/>
      <c r="J106" s="189"/>
      <c r="K106" s="189"/>
      <c r="L106" s="189"/>
      <c r="M106" s="192"/>
      <c r="N106" s="189"/>
      <c r="O106" s="189"/>
      <c r="P106" s="189"/>
      <c r="Q106" s="189"/>
      <c r="R106" s="192"/>
      <c r="S106" s="189"/>
      <c r="T106" s="189"/>
      <c r="U106" s="189"/>
      <c r="V106" s="189"/>
      <c r="W106" s="191" t="str">
        <f t="shared" si="3"/>
        <v/>
      </c>
      <c r="X106" s="189"/>
      <c r="Y106" s="189"/>
      <c r="Z106" s="189"/>
      <c r="AA106" s="189"/>
      <c r="AB106" s="189"/>
      <c r="AC106" s="189"/>
      <c r="AD106" s="189"/>
      <c r="AE106" s="189"/>
      <c r="AF106" s="189"/>
      <c r="AG106" s="192"/>
      <c r="AH106" s="192"/>
      <c r="AI106" s="189"/>
      <c r="AJ106" s="189"/>
      <c r="AK106" s="189"/>
      <c r="AL106" s="189"/>
      <c r="AM106" s="191" t="str">
        <f t="shared" si="5"/>
        <v/>
      </c>
      <c r="AN106" s="191" t="str">
        <f>IF($A106="","",IF(COUNTIF('Decision Queue'!$A$5:$A$204,$A106)+COUNTIF('Decision Register'!$A$5:$A$304,$A106)&gt;1,"DUPLICATE ID","OK"))</f>
        <v/>
      </c>
      <c r="AO106" t="s">
        <v>714</v>
      </c>
    </row>
    <row r="107" spans="1:41" ht="42" customHeight="1">
      <c r="A107" s="191" t="str">
        <f t="shared" si="4"/>
        <v/>
      </c>
      <c r="B107" s="189"/>
      <c r="C107" s="189"/>
      <c r="D107" s="189"/>
      <c r="E107" s="268"/>
      <c r="F107" s="189"/>
      <c r="G107" s="189"/>
      <c r="H107" s="189"/>
      <c r="I107" s="189"/>
      <c r="J107" s="189"/>
      <c r="K107" s="189"/>
      <c r="L107" s="189"/>
      <c r="M107" s="192"/>
      <c r="N107" s="189"/>
      <c r="O107" s="189"/>
      <c r="P107" s="189"/>
      <c r="Q107" s="189"/>
      <c r="R107" s="192"/>
      <c r="S107" s="189"/>
      <c r="T107" s="189"/>
      <c r="U107" s="189"/>
      <c r="V107" s="189"/>
      <c r="W107" s="191" t="str">
        <f t="shared" si="3"/>
        <v/>
      </c>
      <c r="X107" s="189"/>
      <c r="Y107" s="189"/>
      <c r="Z107" s="189"/>
      <c r="AA107" s="189"/>
      <c r="AB107" s="189"/>
      <c r="AC107" s="189"/>
      <c r="AD107" s="189"/>
      <c r="AE107" s="189"/>
      <c r="AF107" s="189"/>
      <c r="AG107" s="192"/>
      <c r="AH107" s="192"/>
      <c r="AI107" s="189"/>
      <c r="AJ107" s="189"/>
      <c r="AK107" s="189"/>
      <c r="AL107" s="189"/>
      <c r="AM107" s="191" t="str">
        <f t="shared" si="5"/>
        <v/>
      </c>
      <c r="AN107" s="191" t="str">
        <f>IF($A107="","",IF(COUNTIF('Decision Queue'!$A$5:$A$204,$A107)+COUNTIF('Decision Register'!$A$5:$A$304,$A107)&gt;1,"DUPLICATE ID","OK"))</f>
        <v/>
      </c>
      <c r="AO107" t="s">
        <v>715</v>
      </c>
    </row>
    <row r="108" spans="1:41" ht="42" customHeight="1">
      <c r="A108" s="191" t="str">
        <f t="shared" si="4"/>
        <v/>
      </c>
      <c r="B108" s="189"/>
      <c r="C108" s="189"/>
      <c r="D108" s="189"/>
      <c r="E108" s="268"/>
      <c r="F108" s="189"/>
      <c r="G108" s="189"/>
      <c r="H108" s="189"/>
      <c r="I108" s="189"/>
      <c r="J108" s="189"/>
      <c r="K108" s="189"/>
      <c r="L108" s="189"/>
      <c r="M108" s="192"/>
      <c r="N108" s="189"/>
      <c r="O108" s="189"/>
      <c r="P108" s="189"/>
      <c r="Q108" s="189"/>
      <c r="R108" s="192"/>
      <c r="S108" s="189"/>
      <c r="T108" s="189"/>
      <c r="U108" s="189"/>
      <c r="V108" s="189"/>
      <c r="W108" s="191" t="str">
        <f t="shared" si="3"/>
        <v/>
      </c>
      <c r="X108" s="189"/>
      <c r="Y108" s="189"/>
      <c r="Z108" s="189"/>
      <c r="AA108" s="189"/>
      <c r="AB108" s="189"/>
      <c r="AC108" s="189"/>
      <c r="AD108" s="189"/>
      <c r="AE108" s="189"/>
      <c r="AF108" s="189"/>
      <c r="AG108" s="192"/>
      <c r="AH108" s="192"/>
      <c r="AI108" s="189"/>
      <c r="AJ108" s="189"/>
      <c r="AK108" s="189"/>
      <c r="AL108" s="189"/>
      <c r="AM108" s="191" t="str">
        <f t="shared" si="5"/>
        <v/>
      </c>
      <c r="AN108" s="191" t="str">
        <f>IF($A108="","",IF(COUNTIF('Decision Queue'!$A$5:$A$204,$A108)+COUNTIF('Decision Register'!$A$5:$A$304,$A108)&gt;1,"DUPLICATE ID","OK"))</f>
        <v/>
      </c>
      <c r="AO108" t="s">
        <v>716</v>
      </c>
    </row>
    <row r="109" spans="1:41" ht="42" customHeight="1">
      <c r="A109" s="191" t="str">
        <f t="shared" si="4"/>
        <v/>
      </c>
      <c r="B109" s="189"/>
      <c r="C109" s="189"/>
      <c r="D109" s="189"/>
      <c r="E109" s="268"/>
      <c r="F109" s="189"/>
      <c r="G109" s="189"/>
      <c r="H109" s="189"/>
      <c r="I109" s="189"/>
      <c r="J109" s="189"/>
      <c r="K109" s="189"/>
      <c r="L109" s="189"/>
      <c r="M109" s="192"/>
      <c r="N109" s="189"/>
      <c r="O109" s="189"/>
      <c r="P109" s="189"/>
      <c r="Q109" s="189"/>
      <c r="R109" s="192"/>
      <c r="S109" s="189"/>
      <c r="T109" s="189"/>
      <c r="U109" s="189"/>
      <c r="V109" s="189"/>
      <c r="W109" s="191" t="str">
        <f t="shared" si="3"/>
        <v/>
      </c>
      <c r="X109" s="189"/>
      <c r="Y109" s="189"/>
      <c r="Z109" s="189"/>
      <c r="AA109" s="189"/>
      <c r="AB109" s="189"/>
      <c r="AC109" s="189"/>
      <c r="AD109" s="189"/>
      <c r="AE109" s="189"/>
      <c r="AF109" s="189"/>
      <c r="AG109" s="192"/>
      <c r="AH109" s="192"/>
      <c r="AI109" s="189"/>
      <c r="AJ109" s="189"/>
      <c r="AK109" s="189"/>
      <c r="AL109" s="189"/>
      <c r="AM109" s="191" t="str">
        <f t="shared" si="5"/>
        <v/>
      </c>
      <c r="AN109" s="191" t="str">
        <f>IF($A109="","",IF(COUNTIF('Decision Queue'!$A$5:$A$204,$A109)+COUNTIF('Decision Register'!$A$5:$A$304,$A109)&gt;1,"DUPLICATE ID","OK"))</f>
        <v/>
      </c>
      <c r="AO109" t="s">
        <v>717</v>
      </c>
    </row>
    <row r="110" spans="1:41" ht="42" customHeight="1">
      <c r="A110" s="191" t="str">
        <f t="shared" si="4"/>
        <v/>
      </c>
      <c r="B110" s="189"/>
      <c r="C110" s="189"/>
      <c r="D110" s="189"/>
      <c r="E110" s="268"/>
      <c r="F110" s="189"/>
      <c r="G110" s="189"/>
      <c r="H110" s="189"/>
      <c r="I110" s="189"/>
      <c r="J110" s="189"/>
      <c r="K110" s="189"/>
      <c r="L110" s="189"/>
      <c r="M110" s="192"/>
      <c r="N110" s="189"/>
      <c r="O110" s="189"/>
      <c r="P110" s="189"/>
      <c r="Q110" s="189"/>
      <c r="R110" s="192"/>
      <c r="S110" s="189"/>
      <c r="T110" s="189"/>
      <c r="U110" s="189"/>
      <c r="V110" s="189"/>
      <c r="W110" s="191" t="str">
        <f t="shared" si="3"/>
        <v/>
      </c>
      <c r="X110" s="189"/>
      <c r="Y110" s="189"/>
      <c r="Z110" s="189"/>
      <c r="AA110" s="189"/>
      <c r="AB110" s="189"/>
      <c r="AC110" s="189"/>
      <c r="AD110" s="189"/>
      <c r="AE110" s="189"/>
      <c r="AF110" s="189"/>
      <c r="AG110" s="192"/>
      <c r="AH110" s="192"/>
      <c r="AI110" s="189"/>
      <c r="AJ110" s="189"/>
      <c r="AK110" s="189"/>
      <c r="AL110" s="189"/>
      <c r="AM110" s="191" t="str">
        <f t="shared" si="5"/>
        <v/>
      </c>
      <c r="AN110" s="191" t="str">
        <f>IF($A110="","",IF(COUNTIF('Decision Queue'!$A$5:$A$204,$A110)+COUNTIF('Decision Register'!$A$5:$A$304,$A110)&gt;1,"DUPLICATE ID","OK"))</f>
        <v/>
      </c>
      <c r="AO110" t="s">
        <v>718</v>
      </c>
    </row>
    <row r="111" spans="1:41" ht="42" customHeight="1">
      <c r="A111" s="191" t="str">
        <f t="shared" si="4"/>
        <v/>
      </c>
      <c r="B111" s="189"/>
      <c r="C111" s="189"/>
      <c r="D111" s="189"/>
      <c r="E111" s="268"/>
      <c r="F111" s="189"/>
      <c r="G111" s="189"/>
      <c r="H111" s="189"/>
      <c r="I111" s="189"/>
      <c r="J111" s="189"/>
      <c r="K111" s="189"/>
      <c r="L111" s="189"/>
      <c r="M111" s="192"/>
      <c r="N111" s="189"/>
      <c r="O111" s="189"/>
      <c r="P111" s="189"/>
      <c r="Q111" s="189"/>
      <c r="R111" s="192"/>
      <c r="S111" s="189"/>
      <c r="T111" s="189"/>
      <c r="U111" s="189"/>
      <c r="V111" s="189"/>
      <c r="W111" s="191" t="str">
        <f t="shared" si="3"/>
        <v/>
      </c>
      <c r="X111" s="189"/>
      <c r="Y111" s="189"/>
      <c r="Z111" s="189"/>
      <c r="AA111" s="189"/>
      <c r="AB111" s="189"/>
      <c r="AC111" s="189"/>
      <c r="AD111" s="189"/>
      <c r="AE111" s="189"/>
      <c r="AF111" s="189"/>
      <c r="AG111" s="192"/>
      <c r="AH111" s="192"/>
      <c r="AI111" s="189"/>
      <c r="AJ111" s="189"/>
      <c r="AK111" s="189"/>
      <c r="AL111" s="189"/>
      <c r="AM111" s="191" t="str">
        <f t="shared" si="5"/>
        <v/>
      </c>
      <c r="AN111" s="191" t="str">
        <f>IF($A111="","",IF(COUNTIF('Decision Queue'!$A$5:$A$204,$A111)+COUNTIF('Decision Register'!$A$5:$A$304,$A111)&gt;1,"DUPLICATE ID","OK"))</f>
        <v/>
      </c>
      <c r="AO111" t="s">
        <v>719</v>
      </c>
    </row>
    <row r="112" spans="1:41" ht="42" customHeight="1">
      <c r="A112" s="191" t="str">
        <f t="shared" si="4"/>
        <v/>
      </c>
      <c r="B112" s="189"/>
      <c r="C112" s="189"/>
      <c r="D112" s="189"/>
      <c r="E112" s="268"/>
      <c r="F112" s="189"/>
      <c r="G112" s="189"/>
      <c r="H112" s="189"/>
      <c r="I112" s="189"/>
      <c r="J112" s="189"/>
      <c r="K112" s="189"/>
      <c r="L112" s="189"/>
      <c r="M112" s="192"/>
      <c r="N112" s="189"/>
      <c r="O112" s="189"/>
      <c r="P112" s="189"/>
      <c r="Q112" s="189"/>
      <c r="R112" s="192"/>
      <c r="S112" s="189"/>
      <c r="T112" s="189"/>
      <c r="U112" s="189"/>
      <c r="V112" s="189"/>
      <c r="W112" s="191" t="str">
        <f t="shared" si="3"/>
        <v/>
      </c>
      <c r="X112" s="189"/>
      <c r="Y112" s="189"/>
      <c r="Z112" s="189"/>
      <c r="AA112" s="189"/>
      <c r="AB112" s="189"/>
      <c r="AC112" s="189"/>
      <c r="AD112" s="189"/>
      <c r="AE112" s="189"/>
      <c r="AF112" s="189"/>
      <c r="AG112" s="192"/>
      <c r="AH112" s="192"/>
      <c r="AI112" s="189"/>
      <c r="AJ112" s="189"/>
      <c r="AK112" s="189"/>
      <c r="AL112" s="189"/>
      <c r="AM112" s="191" t="str">
        <f t="shared" si="5"/>
        <v/>
      </c>
      <c r="AN112" s="191" t="str">
        <f>IF($A112="","",IF(COUNTIF('Decision Queue'!$A$5:$A$204,$A112)+COUNTIF('Decision Register'!$A$5:$A$304,$A112)&gt;1,"DUPLICATE ID","OK"))</f>
        <v/>
      </c>
      <c r="AO112" t="s">
        <v>720</v>
      </c>
    </row>
    <row r="113" spans="1:41" ht="42" customHeight="1">
      <c r="A113" s="191" t="str">
        <f t="shared" si="4"/>
        <v/>
      </c>
      <c r="B113" s="189"/>
      <c r="C113" s="189"/>
      <c r="D113" s="189"/>
      <c r="E113" s="268"/>
      <c r="F113" s="189"/>
      <c r="G113" s="189"/>
      <c r="H113" s="189"/>
      <c r="I113" s="189"/>
      <c r="J113" s="189"/>
      <c r="K113" s="189"/>
      <c r="L113" s="189"/>
      <c r="M113" s="192"/>
      <c r="N113" s="189"/>
      <c r="O113" s="189"/>
      <c r="P113" s="189"/>
      <c r="Q113" s="189"/>
      <c r="R113" s="192"/>
      <c r="S113" s="189"/>
      <c r="T113" s="189"/>
      <c r="U113" s="189"/>
      <c r="V113" s="189"/>
      <c r="W113" s="191" t="str">
        <f t="shared" si="3"/>
        <v/>
      </c>
      <c r="X113" s="189"/>
      <c r="Y113" s="189"/>
      <c r="Z113" s="189"/>
      <c r="AA113" s="189"/>
      <c r="AB113" s="189"/>
      <c r="AC113" s="189"/>
      <c r="AD113" s="189"/>
      <c r="AE113" s="189"/>
      <c r="AF113" s="189"/>
      <c r="AG113" s="192"/>
      <c r="AH113" s="192"/>
      <c r="AI113" s="189"/>
      <c r="AJ113" s="189"/>
      <c r="AK113" s="189"/>
      <c r="AL113" s="189"/>
      <c r="AM113" s="191" t="str">
        <f t="shared" si="5"/>
        <v/>
      </c>
      <c r="AN113" s="191" t="str">
        <f>IF($A113="","",IF(COUNTIF('Decision Queue'!$A$5:$A$204,$A113)+COUNTIF('Decision Register'!$A$5:$A$304,$A113)&gt;1,"DUPLICATE ID","OK"))</f>
        <v/>
      </c>
      <c r="AO113" t="s">
        <v>721</v>
      </c>
    </row>
    <row r="114" spans="1:41" ht="42" customHeight="1">
      <c r="A114" s="191" t="str">
        <f t="shared" si="4"/>
        <v/>
      </c>
      <c r="B114" s="189"/>
      <c r="C114" s="189"/>
      <c r="D114" s="189"/>
      <c r="E114" s="268"/>
      <c r="F114" s="189"/>
      <c r="G114" s="189"/>
      <c r="H114" s="189"/>
      <c r="I114" s="189"/>
      <c r="J114" s="189"/>
      <c r="K114" s="189"/>
      <c r="L114" s="189"/>
      <c r="M114" s="192"/>
      <c r="N114" s="189"/>
      <c r="O114" s="189"/>
      <c r="P114" s="189"/>
      <c r="Q114" s="189"/>
      <c r="R114" s="192"/>
      <c r="S114" s="189"/>
      <c r="T114" s="189"/>
      <c r="U114" s="189"/>
      <c r="V114" s="189"/>
      <c r="W114" s="191" t="str">
        <f t="shared" si="3"/>
        <v/>
      </c>
      <c r="X114" s="189"/>
      <c r="Y114" s="189"/>
      <c r="Z114" s="189"/>
      <c r="AA114" s="189"/>
      <c r="AB114" s="189"/>
      <c r="AC114" s="189"/>
      <c r="AD114" s="189"/>
      <c r="AE114" s="189"/>
      <c r="AF114" s="189"/>
      <c r="AG114" s="192"/>
      <c r="AH114" s="192"/>
      <c r="AI114" s="189"/>
      <c r="AJ114" s="189"/>
      <c r="AK114" s="189"/>
      <c r="AL114" s="189"/>
      <c r="AM114" s="191" t="str">
        <f t="shared" si="5"/>
        <v/>
      </c>
      <c r="AN114" s="191" t="str">
        <f>IF($A114="","",IF(COUNTIF('Decision Queue'!$A$5:$A$204,$A114)+COUNTIF('Decision Register'!$A$5:$A$304,$A114)&gt;1,"DUPLICATE ID","OK"))</f>
        <v/>
      </c>
      <c r="AO114" t="s">
        <v>722</v>
      </c>
    </row>
    <row r="115" spans="1:41" ht="42" customHeight="1">
      <c r="A115" s="191" t="str">
        <f t="shared" si="4"/>
        <v/>
      </c>
      <c r="B115" s="189"/>
      <c r="C115" s="189"/>
      <c r="D115" s="189"/>
      <c r="E115" s="268"/>
      <c r="F115" s="189"/>
      <c r="G115" s="189"/>
      <c r="H115" s="189"/>
      <c r="I115" s="189"/>
      <c r="J115" s="189"/>
      <c r="K115" s="189"/>
      <c r="L115" s="189"/>
      <c r="M115" s="192"/>
      <c r="N115" s="189"/>
      <c r="O115" s="189"/>
      <c r="P115" s="189"/>
      <c r="Q115" s="189"/>
      <c r="R115" s="192"/>
      <c r="S115" s="189"/>
      <c r="T115" s="189"/>
      <c r="U115" s="189"/>
      <c r="V115" s="189"/>
      <c r="W115" s="191" t="str">
        <f t="shared" si="3"/>
        <v/>
      </c>
      <c r="X115" s="189"/>
      <c r="Y115" s="189"/>
      <c r="Z115" s="189"/>
      <c r="AA115" s="189"/>
      <c r="AB115" s="189"/>
      <c r="AC115" s="189"/>
      <c r="AD115" s="189"/>
      <c r="AE115" s="189"/>
      <c r="AF115" s="189"/>
      <c r="AG115" s="192"/>
      <c r="AH115" s="192"/>
      <c r="AI115" s="189"/>
      <c r="AJ115" s="189"/>
      <c r="AK115" s="189"/>
      <c r="AL115" s="189"/>
      <c r="AM115" s="191" t="str">
        <f t="shared" si="5"/>
        <v/>
      </c>
      <c r="AN115" s="191" t="str">
        <f>IF($A115="","",IF(COUNTIF('Decision Queue'!$A$5:$A$204,$A115)+COUNTIF('Decision Register'!$A$5:$A$304,$A115)&gt;1,"DUPLICATE ID","OK"))</f>
        <v/>
      </c>
      <c r="AO115" t="s">
        <v>723</v>
      </c>
    </row>
    <row r="116" spans="1:41" ht="42" customHeight="1">
      <c r="A116" s="191" t="str">
        <f t="shared" si="4"/>
        <v/>
      </c>
      <c r="B116" s="189"/>
      <c r="C116" s="189"/>
      <c r="D116" s="189"/>
      <c r="E116" s="268"/>
      <c r="F116" s="189"/>
      <c r="G116" s="189"/>
      <c r="H116" s="189"/>
      <c r="I116" s="189"/>
      <c r="J116" s="189"/>
      <c r="K116" s="189"/>
      <c r="L116" s="189"/>
      <c r="M116" s="192"/>
      <c r="N116" s="189"/>
      <c r="O116" s="189"/>
      <c r="P116" s="189"/>
      <c r="Q116" s="189"/>
      <c r="R116" s="192"/>
      <c r="S116" s="189"/>
      <c r="T116" s="189"/>
      <c r="U116" s="189"/>
      <c r="V116" s="189"/>
      <c r="W116" s="191" t="str">
        <f t="shared" si="3"/>
        <v/>
      </c>
      <c r="X116" s="189"/>
      <c r="Y116" s="189"/>
      <c r="Z116" s="189"/>
      <c r="AA116" s="189"/>
      <c r="AB116" s="189"/>
      <c r="AC116" s="189"/>
      <c r="AD116" s="189"/>
      <c r="AE116" s="189"/>
      <c r="AF116" s="189"/>
      <c r="AG116" s="192"/>
      <c r="AH116" s="192"/>
      <c r="AI116" s="189"/>
      <c r="AJ116" s="189"/>
      <c r="AK116" s="189"/>
      <c r="AL116" s="189"/>
      <c r="AM116" s="191" t="str">
        <f t="shared" si="5"/>
        <v/>
      </c>
      <c r="AN116" s="191" t="str">
        <f>IF($A116="","",IF(COUNTIF('Decision Queue'!$A$5:$A$204,$A116)+COUNTIF('Decision Register'!$A$5:$A$304,$A116)&gt;1,"DUPLICATE ID","OK"))</f>
        <v/>
      </c>
      <c r="AO116" t="s">
        <v>724</v>
      </c>
    </row>
    <row r="117" spans="1:41" ht="42" customHeight="1">
      <c r="A117" s="191" t="str">
        <f t="shared" si="4"/>
        <v/>
      </c>
      <c r="B117" s="189"/>
      <c r="C117" s="189"/>
      <c r="D117" s="189"/>
      <c r="E117" s="268"/>
      <c r="F117" s="189"/>
      <c r="G117" s="189"/>
      <c r="H117" s="189"/>
      <c r="I117" s="189"/>
      <c r="J117" s="189"/>
      <c r="K117" s="189"/>
      <c r="L117" s="189"/>
      <c r="M117" s="192"/>
      <c r="N117" s="189"/>
      <c r="O117" s="189"/>
      <c r="P117" s="189"/>
      <c r="Q117" s="189"/>
      <c r="R117" s="192"/>
      <c r="S117" s="189"/>
      <c r="T117" s="189"/>
      <c r="U117" s="189"/>
      <c r="V117" s="189"/>
      <c r="W117" s="191" t="str">
        <f t="shared" si="3"/>
        <v/>
      </c>
      <c r="X117" s="189"/>
      <c r="Y117" s="189"/>
      <c r="Z117" s="189"/>
      <c r="AA117" s="189"/>
      <c r="AB117" s="189"/>
      <c r="AC117" s="189"/>
      <c r="AD117" s="189"/>
      <c r="AE117" s="189"/>
      <c r="AF117" s="189"/>
      <c r="AG117" s="192"/>
      <c r="AH117" s="192"/>
      <c r="AI117" s="189"/>
      <c r="AJ117" s="189"/>
      <c r="AK117" s="189"/>
      <c r="AL117" s="189"/>
      <c r="AM117" s="191" t="str">
        <f t="shared" si="5"/>
        <v/>
      </c>
      <c r="AN117" s="191" t="str">
        <f>IF($A117="","",IF(COUNTIF('Decision Queue'!$A$5:$A$204,$A117)+COUNTIF('Decision Register'!$A$5:$A$304,$A117)&gt;1,"DUPLICATE ID","OK"))</f>
        <v/>
      </c>
      <c r="AO117" t="s">
        <v>725</v>
      </c>
    </row>
    <row r="118" spans="1:41" ht="42" customHeight="1">
      <c r="A118" s="191" t="str">
        <f t="shared" si="4"/>
        <v/>
      </c>
      <c r="B118" s="189"/>
      <c r="C118" s="189"/>
      <c r="D118" s="189"/>
      <c r="E118" s="268"/>
      <c r="F118" s="189"/>
      <c r="G118" s="189"/>
      <c r="H118" s="189"/>
      <c r="I118" s="189"/>
      <c r="J118" s="189"/>
      <c r="K118" s="189"/>
      <c r="L118" s="189"/>
      <c r="M118" s="192"/>
      <c r="N118" s="189"/>
      <c r="O118" s="189"/>
      <c r="P118" s="189"/>
      <c r="Q118" s="189"/>
      <c r="R118" s="192"/>
      <c r="S118" s="189"/>
      <c r="T118" s="189"/>
      <c r="U118" s="189"/>
      <c r="V118" s="189"/>
      <c r="W118" s="191" t="str">
        <f t="shared" si="3"/>
        <v/>
      </c>
      <c r="X118" s="189"/>
      <c r="Y118" s="189"/>
      <c r="Z118" s="189"/>
      <c r="AA118" s="189"/>
      <c r="AB118" s="189"/>
      <c r="AC118" s="189"/>
      <c r="AD118" s="189"/>
      <c r="AE118" s="189"/>
      <c r="AF118" s="189"/>
      <c r="AG118" s="192"/>
      <c r="AH118" s="192"/>
      <c r="AI118" s="189"/>
      <c r="AJ118" s="189"/>
      <c r="AK118" s="189"/>
      <c r="AL118" s="189"/>
      <c r="AM118" s="191" t="str">
        <f t="shared" si="5"/>
        <v/>
      </c>
      <c r="AN118" s="191" t="str">
        <f>IF($A118="","",IF(COUNTIF('Decision Queue'!$A$5:$A$204,$A118)+COUNTIF('Decision Register'!$A$5:$A$304,$A118)&gt;1,"DUPLICATE ID","OK"))</f>
        <v/>
      </c>
      <c r="AO118" t="s">
        <v>726</v>
      </c>
    </row>
    <row r="119" spans="1:41" ht="42" customHeight="1">
      <c r="A119" s="191" t="str">
        <f t="shared" si="4"/>
        <v/>
      </c>
      <c r="B119" s="189"/>
      <c r="C119" s="189"/>
      <c r="D119" s="189"/>
      <c r="E119" s="268"/>
      <c r="F119" s="189"/>
      <c r="G119" s="189"/>
      <c r="H119" s="189"/>
      <c r="I119" s="189"/>
      <c r="J119" s="189"/>
      <c r="K119" s="189"/>
      <c r="L119" s="189"/>
      <c r="M119" s="192"/>
      <c r="N119" s="189"/>
      <c r="O119" s="189"/>
      <c r="P119" s="189"/>
      <c r="Q119" s="189"/>
      <c r="R119" s="192"/>
      <c r="S119" s="189"/>
      <c r="T119" s="189"/>
      <c r="U119" s="189"/>
      <c r="V119" s="189"/>
      <c r="W119" s="191" t="str">
        <f t="shared" si="3"/>
        <v/>
      </c>
      <c r="X119" s="189"/>
      <c r="Y119" s="189"/>
      <c r="Z119" s="189"/>
      <c r="AA119" s="189"/>
      <c r="AB119" s="189"/>
      <c r="AC119" s="189"/>
      <c r="AD119" s="189"/>
      <c r="AE119" s="189"/>
      <c r="AF119" s="189"/>
      <c r="AG119" s="192"/>
      <c r="AH119" s="192"/>
      <c r="AI119" s="189"/>
      <c r="AJ119" s="189"/>
      <c r="AK119" s="189"/>
      <c r="AL119" s="189"/>
      <c r="AM119" s="191" t="str">
        <f t="shared" si="5"/>
        <v/>
      </c>
      <c r="AN119" s="191" t="str">
        <f>IF($A119="","",IF(COUNTIF('Decision Queue'!$A$5:$A$204,$A119)+COUNTIF('Decision Register'!$A$5:$A$304,$A119)&gt;1,"DUPLICATE ID","OK"))</f>
        <v/>
      </c>
      <c r="AO119" t="s">
        <v>727</v>
      </c>
    </row>
    <row r="120" spans="1:41" ht="42" customHeight="1">
      <c r="A120" s="191" t="str">
        <f t="shared" si="4"/>
        <v/>
      </c>
      <c r="B120" s="189"/>
      <c r="C120" s="189"/>
      <c r="D120" s="189"/>
      <c r="E120" s="268"/>
      <c r="F120" s="189"/>
      <c r="G120" s="189"/>
      <c r="H120" s="189"/>
      <c r="I120" s="189"/>
      <c r="J120" s="189"/>
      <c r="K120" s="189"/>
      <c r="L120" s="189"/>
      <c r="M120" s="192"/>
      <c r="N120" s="189"/>
      <c r="O120" s="189"/>
      <c r="P120" s="189"/>
      <c r="Q120" s="189"/>
      <c r="R120" s="192"/>
      <c r="S120" s="189"/>
      <c r="T120" s="189"/>
      <c r="U120" s="189"/>
      <c r="V120" s="189"/>
      <c r="W120" s="191" t="str">
        <f t="shared" si="3"/>
        <v/>
      </c>
      <c r="X120" s="189"/>
      <c r="Y120" s="189"/>
      <c r="Z120" s="189"/>
      <c r="AA120" s="189"/>
      <c r="AB120" s="189"/>
      <c r="AC120" s="189"/>
      <c r="AD120" s="189"/>
      <c r="AE120" s="189"/>
      <c r="AF120" s="189"/>
      <c r="AG120" s="192"/>
      <c r="AH120" s="192"/>
      <c r="AI120" s="189"/>
      <c r="AJ120" s="189"/>
      <c r="AK120" s="189"/>
      <c r="AL120" s="189"/>
      <c r="AM120" s="191" t="str">
        <f t="shared" si="5"/>
        <v/>
      </c>
      <c r="AN120" s="191" t="str">
        <f>IF($A120="","",IF(COUNTIF('Decision Queue'!$A$5:$A$204,$A120)+COUNTIF('Decision Register'!$A$5:$A$304,$A120)&gt;1,"DUPLICATE ID","OK"))</f>
        <v/>
      </c>
      <c r="AO120" t="s">
        <v>728</v>
      </c>
    </row>
    <row r="121" spans="1:41" ht="42" customHeight="1">
      <c r="A121" s="191" t="str">
        <f t="shared" si="4"/>
        <v/>
      </c>
      <c r="B121" s="189"/>
      <c r="C121" s="189"/>
      <c r="D121" s="189"/>
      <c r="E121" s="268"/>
      <c r="F121" s="189"/>
      <c r="G121" s="189"/>
      <c r="H121" s="189"/>
      <c r="I121" s="189"/>
      <c r="J121" s="189"/>
      <c r="K121" s="189"/>
      <c r="L121" s="189"/>
      <c r="M121" s="192"/>
      <c r="N121" s="189"/>
      <c r="O121" s="189"/>
      <c r="P121" s="189"/>
      <c r="Q121" s="189"/>
      <c r="R121" s="192"/>
      <c r="S121" s="189"/>
      <c r="T121" s="189"/>
      <c r="U121" s="189"/>
      <c r="V121" s="189"/>
      <c r="W121" s="191" t="str">
        <f t="shared" si="3"/>
        <v/>
      </c>
      <c r="X121" s="189"/>
      <c r="Y121" s="189"/>
      <c r="Z121" s="189"/>
      <c r="AA121" s="189"/>
      <c r="AB121" s="189"/>
      <c r="AC121" s="189"/>
      <c r="AD121" s="189"/>
      <c r="AE121" s="189"/>
      <c r="AF121" s="189"/>
      <c r="AG121" s="192"/>
      <c r="AH121" s="192"/>
      <c r="AI121" s="189"/>
      <c r="AJ121" s="189"/>
      <c r="AK121" s="189"/>
      <c r="AL121" s="189"/>
      <c r="AM121" s="191" t="str">
        <f t="shared" si="5"/>
        <v/>
      </c>
      <c r="AN121" s="191" t="str">
        <f>IF($A121="","",IF(COUNTIF('Decision Queue'!$A$5:$A$204,$A121)+COUNTIF('Decision Register'!$A$5:$A$304,$A121)&gt;1,"DUPLICATE ID","OK"))</f>
        <v/>
      </c>
      <c r="AO121" t="s">
        <v>729</v>
      </c>
    </row>
    <row r="122" spans="1:41" ht="42" customHeight="1">
      <c r="A122" s="191" t="str">
        <f t="shared" si="4"/>
        <v/>
      </c>
      <c r="B122" s="189"/>
      <c r="C122" s="189"/>
      <c r="D122" s="189"/>
      <c r="E122" s="268"/>
      <c r="F122" s="189"/>
      <c r="G122" s="189"/>
      <c r="H122" s="189"/>
      <c r="I122" s="189"/>
      <c r="J122" s="189"/>
      <c r="K122" s="189"/>
      <c r="L122" s="189"/>
      <c r="M122" s="192"/>
      <c r="N122" s="189"/>
      <c r="O122" s="189"/>
      <c r="P122" s="189"/>
      <c r="Q122" s="189"/>
      <c r="R122" s="192"/>
      <c r="S122" s="189"/>
      <c r="T122" s="189"/>
      <c r="U122" s="189"/>
      <c r="V122" s="189"/>
      <c r="W122" s="191" t="str">
        <f t="shared" si="3"/>
        <v/>
      </c>
      <c r="X122" s="189"/>
      <c r="Y122" s="189"/>
      <c r="Z122" s="189"/>
      <c r="AA122" s="189"/>
      <c r="AB122" s="189"/>
      <c r="AC122" s="189"/>
      <c r="AD122" s="189"/>
      <c r="AE122" s="189"/>
      <c r="AF122" s="189"/>
      <c r="AG122" s="192"/>
      <c r="AH122" s="192"/>
      <c r="AI122" s="189"/>
      <c r="AJ122" s="189"/>
      <c r="AK122" s="189"/>
      <c r="AL122" s="189"/>
      <c r="AM122" s="191" t="str">
        <f t="shared" si="5"/>
        <v/>
      </c>
      <c r="AN122" s="191" t="str">
        <f>IF($A122="","",IF(COUNTIF('Decision Queue'!$A$5:$A$204,$A122)+COUNTIF('Decision Register'!$A$5:$A$304,$A122)&gt;1,"DUPLICATE ID","OK"))</f>
        <v/>
      </c>
      <c r="AO122" t="s">
        <v>730</v>
      </c>
    </row>
    <row r="123" spans="1:41" ht="42" customHeight="1">
      <c r="A123" s="191" t="str">
        <f t="shared" si="4"/>
        <v/>
      </c>
      <c r="B123" s="189"/>
      <c r="C123" s="189"/>
      <c r="D123" s="189"/>
      <c r="E123" s="268"/>
      <c r="F123" s="189"/>
      <c r="G123" s="189"/>
      <c r="H123" s="189"/>
      <c r="I123" s="189"/>
      <c r="J123" s="189"/>
      <c r="K123" s="189"/>
      <c r="L123" s="189"/>
      <c r="M123" s="192"/>
      <c r="N123" s="189"/>
      <c r="O123" s="189"/>
      <c r="P123" s="189"/>
      <c r="Q123" s="189"/>
      <c r="R123" s="192"/>
      <c r="S123" s="189"/>
      <c r="T123" s="189"/>
      <c r="U123" s="189"/>
      <c r="V123" s="189"/>
      <c r="W123" s="191" t="str">
        <f t="shared" si="3"/>
        <v/>
      </c>
      <c r="X123" s="189"/>
      <c r="Y123" s="189"/>
      <c r="Z123" s="189"/>
      <c r="AA123" s="189"/>
      <c r="AB123" s="189"/>
      <c r="AC123" s="189"/>
      <c r="AD123" s="189"/>
      <c r="AE123" s="189"/>
      <c r="AF123" s="189"/>
      <c r="AG123" s="192"/>
      <c r="AH123" s="192"/>
      <c r="AI123" s="189"/>
      <c r="AJ123" s="189"/>
      <c r="AK123" s="189"/>
      <c r="AL123" s="189"/>
      <c r="AM123" s="191" t="str">
        <f t="shared" si="5"/>
        <v/>
      </c>
      <c r="AN123" s="191" t="str">
        <f>IF($A123="","",IF(COUNTIF('Decision Queue'!$A$5:$A$204,$A123)+COUNTIF('Decision Register'!$A$5:$A$304,$A123)&gt;1,"DUPLICATE ID","OK"))</f>
        <v/>
      </c>
      <c r="AO123" t="s">
        <v>731</v>
      </c>
    </row>
    <row r="124" spans="1:41" ht="42" customHeight="1">
      <c r="A124" s="191" t="str">
        <f t="shared" si="4"/>
        <v/>
      </c>
      <c r="B124" s="189"/>
      <c r="C124" s="189"/>
      <c r="D124" s="189"/>
      <c r="E124" s="268"/>
      <c r="F124" s="189"/>
      <c r="G124" s="189"/>
      <c r="H124" s="189"/>
      <c r="I124" s="189"/>
      <c r="J124" s="189"/>
      <c r="K124" s="189"/>
      <c r="L124" s="189"/>
      <c r="M124" s="192"/>
      <c r="N124" s="189"/>
      <c r="O124" s="189"/>
      <c r="P124" s="189"/>
      <c r="Q124" s="189"/>
      <c r="R124" s="192"/>
      <c r="S124" s="189"/>
      <c r="T124" s="189"/>
      <c r="U124" s="189"/>
      <c r="V124" s="189"/>
      <c r="W124" s="191" t="str">
        <f t="shared" si="3"/>
        <v/>
      </c>
      <c r="X124" s="189"/>
      <c r="Y124" s="189"/>
      <c r="Z124" s="189"/>
      <c r="AA124" s="189"/>
      <c r="AB124" s="189"/>
      <c r="AC124" s="189"/>
      <c r="AD124" s="189"/>
      <c r="AE124" s="189"/>
      <c r="AF124" s="189"/>
      <c r="AG124" s="192"/>
      <c r="AH124" s="192"/>
      <c r="AI124" s="189"/>
      <c r="AJ124" s="189"/>
      <c r="AK124" s="189"/>
      <c r="AL124" s="189"/>
      <c r="AM124" s="191" t="str">
        <f t="shared" si="5"/>
        <v/>
      </c>
      <c r="AN124" s="191" t="str">
        <f>IF($A124="","",IF(COUNTIF('Decision Queue'!$A$5:$A$204,$A124)+COUNTIF('Decision Register'!$A$5:$A$304,$A124)&gt;1,"DUPLICATE ID","OK"))</f>
        <v/>
      </c>
      <c r="AO124" t="s">
        <v>732</v>
      </c>
    </row>
    <row r="125" spans="1:41" ht="42" customHeight="1">
      <c r="A125" s="191" t="str">
        <f t="shared" si="4"/>
        <v/>
      </c>
      <c r="B125" s="189"/>
      <c r="C125" s="189"/>
      <c r="D125" s="189"/>
      <c r="E125" s="268"/>
      <c r="F125" s="189"/>
      <c r="G125" s="189"/>
      <c r="H125" s="189"/>
      <c r="I125" s="189"/>
      <c r="J125" s="189"/>
      <c r="K125" s="189"/>
      <c r="L125" s="189"/>
      <c r="M125" s="192"/>
      <c r="N125" s="189"/>
      <c r="O125" s="189"/>
      <c r="P125" s="189"/>
      <c r="Q125" s="189"/>
      <c r="R125" s="192"/>
      <c r="S125" s="189"/>
      <c r="T125" s="189"/>
      <c r="U125" s="189"/>
      <c r="V125" s="189"/>
      <c r="W125" s="191" t="str">
        <f t="shared" si="3"/>
        <v/>
      </c>
      <c r="X125" s="189"/>
      <c r="Y125" s="189"/>
      <c r="Z125" s="189"/>
      <c r="AA125" s="189"/>
      <c r="AB125" s="189"/>
      <c r="AC125" s="189"/>
      <c r="AD125" s="189"/>
      <c r="AE125" s="189"/>
      <c r="AF125" s="189"/>
      <c r="AG125" s="192"/>
      <c r="AH125" s="192"/>
      <c r="AI125" s="189"/>
      <c r="AJ125" s="189"/>
      <c r="AK125" s="189"/>
      <c r="AL125" s="189"/>
      <c r="AM125" s="191" t="str">
        <f t="shared" si="5"/>
        <v/>
      </c>
      <c r="AN125" s="191" t="str">
        <f>IF($A125="","",IF(COUNTIF('Decision Queue'!$A$5:$A$204,$A125)+COUNTIF('Decision Register'!$A$5:$A$304,$A125)&gt;1,"DUPLICATE ID","OK"))</f>
        <v/>
      </c>
      <c r="AO125" t="s">
        <v>733</v>
      </c>
    </row>
    <row r="126" spans="1:41" ht="42" customHeight="1">
      <c r="A126" s="191" t="str">
        <f t="shared" si="4"/>
        <v/>
      </c>
      <c r="B126" s="189"/>
      <c r="C126" s="189"/>
      <c r="D126" s="189"/>
      <c r="E126" s="268"/>
      <c r="F126" s="189"/>
      <c r="G126" s="189"/>
      <c r="H126" s="189"/>
      <c r="I126" s="189"/>
      <c r="J126" s="189"/>
      <c r="K126" s="189"/>
      <c r="L126" s="189"/>
      <c r="M126" s="192"/>
      <c r="N126" s="189"/>
      <c r="O126" s="189"/>
      <c r="P126" s="189"/>
      <c r="Q126" s="189"/>
      <c r="R126" s="192"/>
      <c r="S126" s="189"/>
      <c r="T126" s="189"/>
      <c r="U126" s="189"/>
      <c r="V126" s="189"/>
      <c r="W126" s="191" t="str">
        <f t="shared" si="3"/>
        <v/>
      </c>
      <c r="X126" s="189"/>
      <c r="Y126" s="189"/>
      <c r="Z126" s="189"/>
      <c r="AA126" s="189"/>
      <c r="AB126" s="189"/>
      <c r="AC126" s="189"/>
      <c r="AD126" s="189"/>
      <c r="AE126" s="189"/>
      <c r="AF126" s="189"/>
      <c r="AG126" s="192"/>
      <c r="AH126" s="192"/>
      <c r="AI126" s="189"/>
      <c r="AJ126" s="189"/>
      <c r="AK126" s="189"/>
      <c r="AL126" s="189"/>
      <c r="AM126" s="191" t="str">
        <f t="shared" si="5"/>
        <v/>
      </c>
      <c r="AN126" s="191" t="str">
        <f>IF($A126="","",IF(COUNTIF('Decision Queue'!$A$5:$A$204,$A126)+COUNTIF('Decision Register'!$A$5:$A$304,$A126)&gt;1,"DUPLICATE ID","OK"))</f>
        <v/>
      </c>
      <c r="AO126" t="s">
        <v>734</v>
      </c>
    </row>
    <row r="127" spans="1:41" ht="42" customHeight="1">
      <c r="A127" s="191" t="str">
        <f t="shared" si="4"/>
        <v/>
      </c>
      <c r="B127" s="189"/>
      <c r="C127" s="189"/>
      <c r="D127" s="189"/>
      <c r="E127" s="268"/>
      <c r="F127" s="189"/>
      <c r="G127" s="189"/>
      <c r="H127" s="189"/>
      <c r="I127" s="189"/>
      <c r="J127" s="189"/>
      <c r="K127" s="189"/>
      <c r="L127" s="189"/>
      <c r="M127" s="192"/>
      <c r="N127" s="189"/>
      <c r="O127" s="189"/>
      <c r="P127" s="189"/>
      <c r="Q127" s="189"/>
      <c r="R127" s="192"/>
      <c r="S127" s="189"/>
      <c r="T127" s="189"/>
      <c r="U127" s="189"/>
      <c r="V127" s="189"/>
      <c r="W127" s="191" t="str">
        <f t="shared" si="3"/>
        <v/>
      </c>
      <c r="X127" s="189"/>
      <c r="Y127" s="189"/>
      <c r="Z127" s="189"/>
      <c r="AA127" s="189"/>
      <c r="AB127" s="189"/>
      <c r="AC127" s="189"/>
      <c r="AD127" s="189"/>
      <c r="AE127" s="189"/>
      <c r="AF127" s="189"/>
      <c r="AG127" s="192"/>
      <c r="AH127" s="192"/>
      <c r="AI127" s="189"/>
      <c r="AJ127" s="189"/>
      <c r="AK127" s="189"/>
      <c r="AL127" s="189"/>
      <c r="AM127" s="191" t="str">
        <f t="shared" si="5"/>
        <v/>
      </c>
      <c r="AN127" s="191" t="str">
        <f>IF($A127="","",IF(COUNTIF('Decision Queue'!$A$5:$A$204,$A127)+COUNTIF('Decision Register'!$A$5:$A$304,$A127)&gt;1,"DUPLICATE ID","OK"))</f>
        <v/>
      </c>
      <c r="AO127" t="s">
        <v>735</v>
      </c>
    </row>
    <row r="128" spans="1:41" ht="42" customHeight="1">
      <c r="A128" s="191" t="str">
        <f t="shared" si="4"/>
        <v/>
      </c>
      <c r="B128" s="189"/>
      <c r="C128" s="189"/>
      <c r="D128" s="189"/>
      <c r="E128" s="268"/>
      <c r="F128" s="189"/>
      <c r="G128" s="189"/>
      <c r="H128" s="189"/>
      <c r="I128" s="189"/>
      <c r="J128" s="189"/>
      <c r="K128" s="189"/>
      <c r="L128" s="189"/>
      <c r="M128" s="192"/>
      <c r="N128" s="189"/>
      <c r="O128" s="189"/>
      <c r="P128" s="189"/>
      <c r="Q128" s="189"/>
      <c r="R128" s="192"/>
      <c r="S128" s="189"/>
      <c r="T128" s="189"/>
      <c r="U128" s="189"/>
      <c r="V128" s="189"/>
      <c r="W128" s="191" t="str">
        <f t="shared" si="3"/>
        <v/>
      </c>
      <c r="X128" s="189"/>
      <c r="Y128" s="189"/>
      <c r="Z128" s="189"/>
      <c r="AA128" s="189"/>
      <c r="AB128" s="189"/>
      <c r="AC128" s="189"/>
      <c r="AD128" s="189"/>
      <c r="AE128" s="189"/>
      <c r="AF128" s="189"/>
      <c r="AG128" s="192"/>
      <c r="AH128" s="192"/>
      <c r="AI128" s="189"/>
      <c r="AJ128" s="189"/>
      <c r="AK128" s="189"/>
      <c r="AL128" s="189"/>
      <c r="AM128" s="191" t="str">
        <f t="shared" si="5"/>
        <v/>
      </c>
      <c r="AN128" s="191" t="str">
        <f>IF($A128="","",IF(COUNTIF('Decision Queue'!$A$5:$A$204,$A128)+COUNTIF('Decision Register'!$A$5:$A$304,$A128)&gt;1,"DUPLICATE ID","OK"))</f>
        <v/>
      </c>
      <c r="AO128" t="s">
        <v>736</v>
      </c>
    </row>
    <row r="129" spans="1:41" ht="42" customHeight="1">
      <c r="A129" s="191" t="str">
        <f t="shared" si="4"/>
        <v/>
      </c>
      <c r="B129" s="189"/>
      <c r="C129" s="189"/>
      <c r="D129" s="189"/>
      <c r="E129" s="268"/>
      <c r="F129" s="189"/>
      <c r="G129" s="189"/>
      <c r="H129" s="189"/>
      <c r="I129" s="189"/>
      <c r="J129" s="189"/>
      <c r="K129" s="189"/>
      <c r="L129" s="189"/>
      <c r="M129" s="192"/>
      <c r="N129" s="189"/>
      <c r="O129" s="189"/>
      <c r="P129" s="189"/>
      <c r="Q129" s="189"/>
      <c r="R129" s="192"/>
      <c r="S129" s="189"/>
      <c r="T129" s="189"/>
      <c r="U129" s="189"/>
      <c r="V129" s="189"/>
      <c r="W129" s="191" t="str">
        <f t="shared" si="3"/>
        <v/>
      </c>
      <c r="X129" s="189"/>
      <c r="Y129" s="189"/>
      <c r="Z129" s="189"/>
      <c r="AA129" s="189"/>
      <c r="AB129" s="189"/>
      <c r="AC129" s="189"/>
      <c r="AD129" s="189"/>
      <c r="AE129" s="189"/>
      <c r="AF129" s="189"/>
      <c r="AG129" s="192"/>
      <c r="AH129" s="192"/>
      <c r="AI129" s="189"/>
      <c r="AJ129" s="189"/>
      <c r="AK129" s="189"/>
      <c r="AL129" s="189"/>
      <c r="AM129" s="191" t="str">
        <f t="shared" si="5"/>
        <v/>
      </c>
      <c r="AN129" s="191" t="str">
        <f>IF($A129="","",IF(COUNTIF('Decision Queue'!$A$5:$A$204,$A129)+COUNTIF('Decision Register'!$A$5:$A$304,$A129)&gt;1,"DUPLICATE ID","OK"))</f>
        <v/>
      </c>
      <c r="AO129" t="s">
        <v>737</v>
      </c>
    </row>
    <row r="130" spans="1:41" ht="42" customHeight="1">
      <c r="A130" s="191" t="str">
        <f t="shared" si="4"/>
        <v/>
      </c>
      <c r="B130" s="189"/>
      <c r="C130" s="189"/>
      <c r="D130" s="189"/>
      <c r="E130" s="268"/>
      <c r="F130" s="189"/>
      <c r="G130" s="189"/>
      <c r="H130" s="189"/>
      <c r="I130" s="189"/>
      <c r="J130" s="189"/>
      <c r="K130" s="189"/>
      <c r="L130" s="189"/>
      <c r="M130" s="192"/>
      <c r="N130" s="189"/>
      <c r="O130" s="189"/>
      <c r="P130" s="189"/>
      <c r="Q130" s="189"/>
      <c r="R130" s="192"/>
      <c r="S130" s="189"/>
      <c r="T130" s="189"/>
      <c r="U130" s="189"/>
      <c r="V130" s="189"/>
      <c r="W130" s="191" t="str">
        <f t="shared" si="3"/>
        <v/>
      </c>
      <c r="X130" s="189"/>
      <c r="Y130" s="189"/>
      <c r="Z130" s="189"/>
      <c r="AA130" s="189"/>
      <c r="AB130" s="189"/>
      <c r="AC130" s="189"/>
      <c r="AD130" s="189"/>
      <c r="AE130" s="189"/>
      <c r="AF130" s="189"/>
      <c r="AG130" s="192"/>
      <c r="AH130" s="192"/>
      <c r="AI130" s="189"/>
      <c r="AJ130" s="189"/>
      <c r="AK130" s="189"/>
      <c r="AL130" s="189"/>
      <c r="AM130" s="191" t="str">
        <f t="shared" si="5"/>
        <v/>
      </c>
      <c r="AN130" s="191" t="str">
        <f>IF($A130="","",IF(COUNTIF('Decision Queue'!$A$5:$A$204,$A130)+COUNTIF('Decision Register'!$A$5:$A$304,$A130)&gt;1,"DUPLICATE ID","OK"))</f>
        <v/>
      </c>
      <c r="AO130" t="s">
        <v>738</v>
      </c>
    </row>
    <row r="131" spans="1:41" ht="42" customHeight="1">
      <c r="A131" s="191" t="str">
        <f t="shared" si="4"/>
        <v/>
      </c>
      <c r="B131" s="189"/>
      <c r="C131" s="189"/>
      <c r="D131" s="189"/>
      <c r="E131" s="268"/>
      <c r="F131" s="189"/>
      <c r="G131" s="189"/>
      <c r="H131" s="189"/>
      <c r="I131" s="189"/>
      <c r="J131" s="189"/>
      <c r="K131" s="189"/>
      <c r="L131" s="189"/>
      <c r="M131" s="192"/>
      <c r="N131" s="189"/>
      <c r="O131" s="189"/>
      <c r="P131" s="189"/>
      <c r="Q131" s="189"/>
      <c r="R131" s="192"/>
      <c r="S131" s="189"/>
      <c r="T131" s="189"/>
      <c r="U131" s="189"/>
      <c r="V131" s="189"/>
      <c r="W131" s="191" t="str">
        <f t="shared" si="3"/>
        <v/>
      </c>
      <c r="X131" s="189"/>
      <c r="Y131" s="189"/>
      <c r="Z131" s="189"/>
      <c r="AA131" s="189"/>
      <c r="AB131" s="189"/>
      <c r="AC131" s="189"/>
      <c r="AD131" s="189"/>
      <c r="AE131" s="189"/>
      <c r="AF131" s="189"/>
      <c r="AG131" s="192"/>
      <c r="AH131" s="192"/>
      <c r="AI131" s="189"/>
      <c r="AJ131" s="189"/>
      <c r="AK131" s="189"/>
      <c r="AL131" s="189"/>
      <c r="AM131" s="191" t="str">
        <f t="shared" si="5"/>
        <v/>
      </c>
      <c r="AN131" s="191" t="str">
        <f>IF($A131="","",IF(COUNTIF('Decision Queue'!$A$5:$A$204,$A131)+COUNTIF('Decision Register'!$A$5:$A$304,$A131)&gt;1,"DUPLICATE ID","OK"))</f>
        <v/>
      </c>
      <c r="AO131" t="s">
        <v>739</v>
      </c>
    </row>
    <row r="132" spans="1:41" ht="42" customHeight="1">
      <c r="A132" s="191" t="str">
        <f t="shared" si="4"/>
        <v/>
      </c>
      <c r="B132" s="189"/>
      <c r="C132" s="189"/>
      <c r="D132" s="189"/>
      <c r="E132" s="268"/>
      <c r="F132" s="189"/>
      <c r="G132" s="189"/>
      <c r="H132" s="189"/>
      <c r="I132" s="189"/>
      <c r="J132" s="189"/>
      <c r="K132" s="189"/>
      <c r="L132" s="189"/>
      <c r="M132" s="192"/>
      <c r="N132" s="189"/>
      <c r="O132" s="189"/>
      <c r="P132" s="189"/>
      <c r="Q132" s="189"/>
      <c r="R132" s="192"/>
      <c r="S132" s="189"/>
      <c r="T132" s="189"/>
      <c r="U132" s="189"/>
      <c r="V132" s="189"/>
      <c r="W132" s="191" t="str">
        <f t="shared" si="3"/>
        <v/>
      </c>
      <c r="X132" s="189"/>
      <c r="Y132" s="189"/>
      <c r="Z132" s="189"/>
      <c r="AA132" s="189"/>
      <c r="AB132" s="189"/>
      <c r="AC132" s="189"/>
      <c r="AD132" s="189"/>
      <c r="AE132" s="189"/>
      <c r="AF132" s="189"/>
      <c r="AG132" s="192"/>
      <c r="AH132" s="192"/>
      <c r="AI132" s="189"/>
      <c r="AJ132" s="189"/>
      <c r="AK132" s="189"/>
      <c r="AL132" s="189"/>
      <c r="AM132" s="191" t="str">
        <f t="shared" si="5"/>
        <v/>
      </c>
      <c r="AN132" s="191" t="str">
        <f>IF($A132="","",IF(COUNTIF('Decision Queue'!$A$5:$A$204,$A132)+COUNTIF('Decision Register'!$A$5:$A$304,$A132)&gt;1,"DUPLICATE ID","OK"))</f>
        <v/>
      </c>
      <c r="AO132" t="s">
        <v>740</v>
      </c>
    </row>
    <row r="133" spans="1:41" ht="42" customHeight="1">
      <c r="A133" s="191" t="str">
        <f t="shared" si="4"/>
        <v/>
      </c>
      <c r="B133" s="189"/>
      <c r="C133" s="189"/>
      <c r="D133" s="189"/>
      <c r="E133" s="268"/>
      <c r="F133" s="189"/>
      <c r="G133" s="189"/>
      <c r="H133" s="189"/>
      <c r="I133" s="189"/>
      <c r="J133" s="189"/>
      <c r="K133" s="189"/>
      <c r="L133" s="189"/>
      <c r="M133" s="192"/>
      <c r="N133" s="189"/>
      <c r="O133" s="189"/>
      <c r="P133" s="189"/>
      <c r="Q133" s="189"/>
      <c r="R133" s="192"/>
      <c r="S133" s="189"/>
      <c r="T133" s="189"/>
      <c r="U133" s="189"/>
      <c r="V133" s="189"/>
      <c r="W133" s="191" t="str">
        <f t="shared" ref="W133:W196" si="6">IF($B133="","",IF(OR($G133="Completed",$G133="Cancelled"),"INACTIVE","ACTIVE"))</f>
        <v/>
      </c>
      <c r="X133" s="189"/>
      <c r="Y133" s="189"/>
      <c r="Z133" s="189"/>
      <c r="AA133" s="189"/>
      <c r="AB133" s="189"/>
      <c r="AC133" s="189"/>
      <c r="AD133" s="189"/>
      <c r="AE133" s="189"/>
      <c r="AF133" s="189"/>
      <c r="AG133" s="192"/>
      <c r="AH133" s="192"/>
      <c r="AI133" s="189"/>
      <c r="AJ133" s="189"/>
      <c r="AK133" s="189"/>
      <c r="AL133" s="189"/>
      <c r="AM133" s="191" t="str">
        <f t="shared" si="5"/>
        <v/>
      </c>
      <c r="AN133" s="191" t="str">
        <f>IF($A133="","",IF(COUNTIF('Decision Queue'!$A$5:$A$204,$A133)+COUNTIF('Decision Register'!$A$5:$A$304,$A133)&gt;1,"DUPLICATE ID","OK"))</f>
        <v/>
      </c>
      <c r="AO133" t="s">
        <v>741</v>
      </c>
    </row>
    <row r="134" spans="1:41" ht="42" customHeight="1">
      <c r="A134" s="191" t="str">
        <f t="shared" si="4"/>
        <v/>
      </c>
      <c r="B134" s="189"/>
      <c r="C134" s="189"/>
      <c r="D134" s="189"/>
      <c r="E134" s="268"/>
      <c r="F134" s="189"/>
      <c r="G134" s="189"/>
      <c r="H134" s="189"/>
      <c r="I134" s="189"/>
      <c r="J134" s="189"/>
      <c r="K134" s="189"/>
      <c r="L134" s="189"/>
      <c r="M134" s="192"/>
      <c r="N134" s="189"/>
      <c r="O134" s="189"/>
      <c r="P134" s="189"/>
      <c r="Q134" s="189"/>
      <c r="R134" s="192"/>
      <c r="S134" s="189"/>
      <c r="T134" s="189"/>
      <c r="U134" s="189"/>
      <c r="V134" s="189"/>
      <c r="W134" s="191" t="str">
        <f t="shared" si="6"/>
        <v/>
      </c>
      <c r="X134" s="189"/>
      <c r="Y134" s="189"/>
      <c r="Z134" s="189"/>
      <c r="AA134" s="189"/>
      <c r="AB134" s="189"/>
      <c r="AC134" s="189"/>
      <c r="AD134" s="189"/>
      <c r="AE134" s="189"/>
      <c r="AF134" s="189"/>
      <c r="AG134" s="192"/>
      <c r="AH134" s="192"/>
      <c r="AI134" s="189"/>
      <c r="AJ134" s="189"/>
      <c r="AK134" s="189"/>
      <c r="AL134" s="189"/>
      <c r="AM134" s="191" t="str">
        <f t="shared" si="5"/>
        <v/>
      </c>
      <c r="AN134" s="191" t="str">
        <f>IF($A134="","",IF(COUNTIF('Decision Queue'!$A$5:$A$204,$A134)+COUNTIF('Decision Register'!$A$5:$A$304,$A134)&gt;1,"DUPLICATE ID","OK"))</f>
        <v/>
      </c>
      <c r="AO134" t="s">
        <v>742</v>
      </c>
    </row>
    <row r="135" spans="1:41" ht="42" customHeight="1">
      <c r="A135" s="191" t="str">
        <f t="shared" ref="A135:A198" si="7">IF($B135="","",SUBSTITUTE($AO135,"HISTK-","HIST-"))</f>
        <v/>
      </c>
      <c r="B135" s="189"/>
      <c r="C135" s="189"/>
      <c r="D135" s="189"/>
      <c r="E135" s="268"/>
      <c r="F135" s="189"/>
      <c r="G135" s="189"/>
      <c r="H135" s="189"/>
      <c r="I135" s="189"/>
      <c r="J135" s="189"/>
      <c r="K135" s="189"/>
      <c r="L135" s="189"/>
      <c r="M135" s="192"/>
      <c r="N135" s="189"/>
      <c r="O135" s="189"/>
      <c r="P135" s="189"/>
      <c r="Q135" s="189"/>
      <c r="R135" s="192"/>
      <c r="S135" s="189"/>
      <c r="T135" s="189"/>
      <c r="U135" s="189"/>
      <c r="V135" s="189"/>
      <c r="W135" s="191" t="str">
        <f t="shared" si="6"/>
        <v/>
      </c>
      <c r="X135" s="189"/>
      <c r="Y135" s="189"/>
      <c r="Z135" s="189"/>
      <c r="AA135" s="189"/>
      <c r="AB135" s="189"/>
      <c r="AC135" s="189"/>
      <c r="AD135" s="189"/>
      <c r="AE135" s="189"/>
      <c r="AF135" s="189"/>
      <c r="AG135" s="192"/>
      <c r="AH135" s="192"/>
      <c r="AI135" s="189"/>
      <c r="AJ135" s="189"/>
      <c r="AK135" s="189"/>
      <c r="AL135" s="189"/>
      <c r="AM135" s="191" t="str">
        <f t="shared" ref="AM135:AM198" si="8">IF($B135="","","Historical/manual")</f>
        <v/>
      </c>
      <c r="AN135" s="191" t="str">
        <f>IF($A135="","",IF(COUNTIF('Decision Queue'!$A$5:$A$204,$A135)+COUNTIF('Decision Register'!$A$5:$A$304,$A135)&gt;1,"DUPLICATE ID","OK"))</f>
        <v/>
      </c>
      <c r="AO135" t="s">
        <v>743</v>
      </c>
    </row>
    <row r="136" spans="1:41" ht="42" customHeight="1">
      <c r="A136" s="191" t="str">
        <f t="shared" si="7"/>
        <v/>
      </c>
      <c r="B136" s="189"/>
      <c r="C136" s="189"/>
      <c r="D136" s="189"/>
      <c r="E136" s="268"/>
      <c r="F136" s="189"/>
      <c r="G136" s="189"/>
      <c r="H136" s="189"/>
      <c r="I136" s="189"/>
      <c r="J136" s="189"/>
      <c r="K136" s="189"/>
      <c r="L136" s="189"/>
      <c r="M136" s="192"/>
      <c r="N136" s="189"/>
      <c r="O136" s="189"/>
      <c r="P136" s="189"/>
      <c r="Q136" s="189"/>
      <c r="R136" s="192"/>
      <c r="S136" s="189"/>
      <c r="T136" s="189"/>
      <c r="U136" s="189"/>
      <c r="V136" s="189"/>
      <c r="W136" s="191" t="str">
        <f t="shared" si="6"/>
        <v/>
      </c>
      <c r="X136" s="189"/>
      <c r="Y136" s="189"/>
      <c r="Z136" s="189"/>
      <c r="AA136" s="189"/>
      <c r="AB136" s="189"/>
      <c r="AC136" s="189"/>
      <c r="AD136" s="189"/>
      <c r="AE136" s="189"/>
      <c r="AF136" s="189"/>
      <c r="AG136" s="192"/>
      <c r="AH136" s="192"/>
      <c r="AI136" s="189"/>
      <c r="AJ136" s="189"/>
      <c r="AK136" s="189"/>
      <c r="AL136" s="189"/>
      <c r="AM136" s="191" t="str">
        <f t="shared" si="8"/>
        <v/>
      </c>
      <c r="AN136" s="191" t="str">
        <f>IF($A136="","",IF(COUNTIF('Decision Queue'!$A$5:$A$204,$A136)+COUNTIF('Decision Register'!$A$5:$A$304,$A136)&gt;1,"DUPLICATE ID","OK"))</f>
        <v/>
      </c>
      <c r="AO136" t="s">
        <v>744</v>
      </c>
    </row>
    <row r="137" spans="1:41" ht="42" customHeight="1">
      <c r="A137" s="191" t="str">
        <f t="shared" si="7"/>
        <v/>
      </c>
      <c r="B137" s="189"/>
      <c r="C137" s="189"/>
      <c r="D137" s="189"/>
      <c r="E137" s="268"/>
      <c r="F137" s="189"/>
      <c r="G137" s="189"/>
      <c r="H137" s="189"/>
      <c r="I137" s="189"/>
      <c r="J137" s="189"/>
      <c r="K137" s="189"/>
      <c r="L137" s="189"/>
      <c r="M137" s="192"/>
      <c r="N137" s="189"/>
      <c r="O137" s="189"/>
      <c r="P137" s="189"/>
      <c r="Q137" s="189"/>
      <c r="R137" s="192"/>
      <c r="S137" s="189"/>
      <c r="T137" s="189"/>
      <c r="U137" s="189"/>
      <c r="V137" s="189"/>
      <c r="W137" s="191" t="str">
        <f t="shared" si="6"/>
        <v/>
      </c>
      <c r="X137" s="189"/>
      <c r="Y137" s="189"/>
      <c r="Z137" s="189"/>
      <c r="AA137" s="189"/>
      <c r="AB137" s="189"/>
      <c r="AC137" s="189"/>
      <c r="AD137" s="189"/>
      <c r="AE137" s="189"/>
      <c r="AF137" s="189"/>
      <c r="AG137" s="192"/>
      <c r="AH137" s="192"/>
      <c r="AI137" s="189"/>
      <c r="AJ137" s="189"/>
      <c r="AK137" s="189"/>
      <c r="AL137" s="189"/>
      <c r="AM137" s="191" t="str">
        <f t="shared" si="8"/>
        <v/>
      </c>
      <c r="AN137" s="191" t="str">
        <f>IF($A137="","",IF(COUNTIF('Decision Queue'!$A$5:$A$204,$A137)+COUNTIF('Decision Register'!$A$5:$A$304,$A137)&gt;1,"DUPLICATE ID","OK"))</f>
        <v/>
      </c>
      <c r="AO137" t="s">
        <v>745</v>
      </c>
    </row>
    <row r="138" spans="1:41" ht="42" customHeight="1">
      <c r="A138" s="191" t="str">
        <f t="shared" si="7"/>
        <v/>
      </c>
      <c r="B138" s="189"/>
      <c r="C138" s="189"/>
      <c r="D138" s="189"/>
      <c r="E138" s="268"/>
      <c r="F138" s="189"/>
      <c r="G138" s="189"/>
      <c r="H138" s="189"/>
      <c r="I138" s="189"/>
      <c r="J138" s="189"/>
      <c r="K138" s="189"/>
      <c r="L138" s="189"/>
      <c r="M138" s="192"/>
      <c r="N138" s="189"/>
      <c r="O138" s="189"/>
      <c r="P138" s="189"/>
      <c r="Q138" s="189"/>
      <c r="R138" s="192"/>
      <c r="S138" s="189"/>
      <c r="T138" s="189"/>
      <c r="U138" s="189"/>
      <c r="V138" s="189"/>
      <c r="W138" s="191" t="str">
        <f t="shared" si="6"/>
        <v/>
      </c>
      <c r="X138" s="189"/>
      <c r="Y138" s="189"/>
      <c r="Z138" s="189"/>
      <c r="AA138" s="189"/>
      <c r="AB138" s="189"/>
      <c r="AC138" s="189"/>
      <c r="AD138" s="189"/>
      <c r="AE138" s="189"/>
      <c r="AF138" s="189"/>
      <c r="AG138" s="192"/>
      <c r="AH138" s="192"/>
      <c r="AI138" s="189"/>
      <c r="AJ138" s="189"/>
      <c r="AK138" s="189"/>
      <c r="AL138" s="189"/>
      <c r="AM138" s="191" t="str">
        <f t="shared" si="8"/>
        <v/>
      </c>
      <c r="AN138" s="191" t="str">
        <f>IF($A138="","",IF(COUNTIF('Decision Queue'!$A$5:$A$204,$A138)+COUNTIF('Decision Register'!$A$5:$A$304,$A138)&gt;1,"DUPLICATE ID","OK"))</f>
        <v/>
      </c>
      <c r="AO138" t="s">
        <v>746</v>
      </c>
    </row>
    <row r="139" spans="1:41" ht="42" customHeight="1">
      <c r="A139" s="191" t="str">
        <f t="shared" si="7"/>
        <v/>
      </c>
      <c r="B139" s="189"/>
      <c r="C139" s="189"/>
      <c r="D139" s="189"/>
      <c r="E139" s="268"/>
      <c r="F139" s="189"/>
      <c r="G139" s="189"/>
      <c r="H139" s="189"/>
      <c r="I139" s="189"/>
      <c r="J139" s="189"/>
      <c r="K139" s="189"/>
      <c r="L139" s="189"/>
      <c r="M139" s="192"/>
      <c r="N139" s="189"/>
      <c r="O139" s="189"/>
      <c r="P139" s="189"/>
      <c r="Q139" s="189"/>
      <c r="R139" s="192"/>
      <c r="S139" s="189"/>
      <c r="T139" s="189"/>
      <c r="U139" s="189"/>
      <c r="V139" s="189"/>
      <c r="W139" s="191" t="str">
        <f t="shared" si="6"/>
        <v/>
      </c>
      <c r="X139" s="189"/>
      <c r="Y139" s="189"/>
      <c r="Z139" s="189"/>
      <c r="AA139" s="189"/>
      <c r="AB139" s="189"/>
      <c r="AC139" s="189"/>
      <c r="AD139" s="189"/>
      <c r="AE139" s="189"/>
      <c r="AF139" s="189"/>
      <c r="AG139" s="192"/>
      <c r="AH139" s="192"/>
      <c r="AI139" s="189"/>
      <c r="AJ139" s="189"/>
      <c r="AK139" s="189"/>
      <c r="AL139" s="189"/>
      <c r="AM139" s="191" t="str">
        <f t="shared" si="8"/>
        <v/>
      </c>
      <c r="AN139" s="191" t="str">
        <f>IF($A139="","",IF(COUNTIF('Decision Queue'!$A$5:$A$204,$A139)+COUNTIF('Decision Register'!$A$5:$A$304,$A139)&gt;1,"DUPLICATE ID","OK"))</f>
        <v/>
      </c>
      <c r="AO139" t="s">
        <v>747</v>
      </c>
    </row>
    <row r="140" spans="1:41" ht="42" customHeight="1">
      <c r="A140" s="191" t="str">
        <f t="shared" si="7"/>
        <v/>
      </c>
      <c r="B140" s="189"/>
      <c r="C140" s="189"/>
      <c r="D140" s="189"/>
      <c r="E140" s="268"/>
      <c r="F140" s="189"/>
      <c r="G140" s="189"/>
      <c r="H140" s="189"/>
      <c r="I140" s="189"/>
      <c r="J140" s="189"/>
      <c r="K140" s="189"/>
      <c r="L140" s="189"/>
      <c r="M140" s="192"/>
      <c r="N140" s="189"/>
      <c r="O140" s="189"/>
      <c r="P140" s="189"/>
      <c r="Q140" s="189"/>
      <c r="R140" s="192"/>
      <c r="S140" s="189"/>
      <c r="T140" s="189"/>
      <c r="U140" s="189"/>
      <c r="V140" s="189"/>
      <c r="W140" s="191" t="str">
        <f t="shared" si="6"/>
        <v/>
      </c>
      <c r="X140" s="189"/>
      <c r="Y140" s="189"/>
      <c r="Z140" s="189"/>
      <c r="AA140" s="189"/>
      <c r="AB140" s="189"/>
      <c r="AC140" s="189"/>
      <c r="AD140" s="189"/>
      <c r="AE140" s="189"/>
      <c r="AF140" s="189"/>
      <c r="AG140" s="192"/>
      <c r="AH140" s="192"/>
      <c r="AI140" s="189"/>
      <c r="AJ140" s="189"/>
      <c r="AK140" s="189"/>
      <c r="AL140" s="189"/>
      <c r="AM140" s="191" t="str">
        <f t="shared" si="8"/>
        <v/>
      </c>
      <c r="AN140" s="191" t="str">
        <f>IF($A140="","",IF(COUNTIF('Decision Queue'!$A$5:$A$204,$A140)+COUNTIF('Decision Register'!$A$5:$A$304,$A140)&gt;1,"DUPLICATE ID","OK"))</f>
        <v/>
      </c>
      <c r="AO140" t="s">
        <v>748</v>
      </c>
    </row>
    <row r="141" spans="1:41" ht="42" customHeight="1">
      <c r="A141" s="191" t="str">
        <f t="shared" si="7"/>
        <v/>
      </c>
      <c r="B141" s="189"/>
      <c r="C141" s="189"/>
      <c r="D141" s="189"/>
      <c r="E141" s="268"/>
      <c r="F141" s="189"/>
      <c r="G141" s="189"/>
      <c r="H141" s="189"/>
      <c r="I141" s="189"/>
      <c r="J141" s="189"/>
      <c r="K141" s="189"/>
      <c r="L141" s="189"/>
      <c r="M141" s="192"/>
      <c r="N141" s="189"/>
      <c r="O141" s="189"/>
      <c r="P141" s="189"/>
      <c r="Q141" s="189"/>
      <c r="R141" s="192"/>
      <c r="S141" s="189"/>
      <c r="T141" s="189"/>
      <c r="U141" s="189"/>
      <c r="V141" s="189"/>
      <c r="W141" s="191" t="str">
        <f t="shared" si="6"/>
        <v/>
      </c>
      <c r="X141" s="189"/>
      <c r="Y141" s="189"/>
      <c r="Z141" s="189"/>
      <c r="AA141" s="189"/>
      <c r="AB141" s="189"/>
      <c r="AC141" s="189"/>
      <c r="AD141" s="189"/>
      <c r="AE141" s="189"/>
      <c r="AF141" s="189"/>
      <c r="AG141" s="192"/>
      <c r="AH141" s="192"/>
      <c r="AI141" s="189"/>
      <c r="AJ141" s="189"/>
      <c r="AK141" s="189"/>
      <c r="AL141" s="189"/>
      <c r="AM141" s="191" t="str">
        <f t="shared" si="8"/>
        <v/>
      </c>
      <c r="AN141" s="191" t="str">
        <f>IF($A141="","",IF(COUNTIF('Decision Queue'!$A$5:$A$204,$A141)+COUNTIF('Decision Register'!$A$5:$A$304,$A141)&gt;1,"DUPLICATE ID","OK"))</f>
        <v/>
      </c>
      <c r="AO141" t="s">
        <v>749</v>
      </c>
    </row>
    <row r="142" spans="1:41" ht="42" customHeight="1">
      <c r="A142" s="191" t="str">
        <f t="shared" si="7"/>
        <v/>
      </c>
      <c r="B142" s="189"/>
      <c r="C142" s="189"/>
      <c r="D142" s="189"/>
      <c r="E142" s="268"/>
      <c r="F142" s="189"/>
      <c r="G142" s="189"/>
      <c r="H142" s="189"/>
      <c r="I142" s="189"/>
      <c r="J142" s="189"/>
      <c r="K142" s="189"/>
      <c r="L142" s="189"/>
      <c r="M142" s="192"/>
      <c r="N142" s="189"/>
      <c r="O142" s="189"/>
      <c r="P142" s="189"/>
      <c r="Q142" s="189"/>
      <c r="R142" s="192"/>
      <c r="S142" s="189"/>
      <c r="T142" s="189"/>
      <c r="U142" s="189"/>
      <c r="V142" s="189"/>
      <c r="W142" s="191" t="str">
        <f t="shared" si="6"/>
        <v/>
      </c>
      <c r="X142" s="189"/>
      <c r="Y142" s="189"/>
      <c r="Z142" s="189"/>
      <c r="AA142" s="189"/>
      <c r="AB142" s="189"/>
      <c r="AC142" s="189"/>
      <c r="AD142" s="189"/>
      <c r="AE142" s="189"/>
      <c r="AF142" s="189"/>
      <c r="AG142" s="192"/>
      <c r="AH142" s="192"/>
      <c r="AI142" s="189"/>
      <c r="AJ142" s="189"/>
      <c r="AK142" s="189"/>
      <c r="AL142" s="189"/>
      <c r="AM142" s="191" t="str">
        <f t="shared" si="8"/>
        <v/>
      </c>
      <c r="AN142" s="191" t="str">
        <f>IF($A142="","",IF(COUNTIF('Decision Queue'!$A$5:$A$204,$A142)+COUNTIF('Decision Register'!$A$5:$A$304,$A142)&gt;1,"DUPLICATE ID","OK"))</f>
        <v/>
      </c>
      <c r="AO142" t="s">
        <v>750</v>
      </c>
    </row>
    <row r="143" spans="1:41" ht="42" customHeight="1">
      <c r="A143" s="191" t="str">
        <f t="shared" si="7"/>
        <v/>
      </c>
      <c r="B143" s="189"/>
      <c r="C143" s="189"/>
      <c r="D143" s="189"/>
      <c r="E143" s="268"/>
      <c r="F143" s="189"/>
      <c r="G143" s="189"/>
      <c r="H143" s="189"/>
      <c r="I143" s="189"/>
      <c r="J143" s="189"/>
      <c r="K143" s="189"/>
      <c r="L143" s="189"/>
      <c r="M143" s="192"/>
      <c r="N143" s="189"/>
      <c r="O143" s="189"/>
      <c r="P143" s="189"/>
      <c r="Q143" s="189"/>
      <c r="R143" s="192"/>
      <c r="S143" s="189"/>
      <c r="T143" s="189"/>
      <c r="U143" s="189"/>
      <c r="V143" s="189"/>
      <c r="W143" s="191" t="str">
        <f t="shared" si="6"/>
        <v/>
      </c>
      <c r="X143" s="189"/>
      <c r="Y143" s="189"/>
      <c r="Z143" s="189"/>
      <c r="AA143" s="189"/>
      <c r="AB143" s="189"/>
      <c r="AC143" s="189"/>
      <c r="AD143" s="189"/>
      <c r="AE143" s="189"/>
      <c r="AF143" s="189"/>
      <c r="AG143" s="192"/>
      <c r="AH143" s="192"/>
      <c r="AI143" s="189"/>
      <c r="AJ143" s="189"/>
      <c r="AK143" s="189"/>
      <c r="AL143" s="189"/>
      <c r="AM143" s="191" t="str">
        <f t="shared" si="8"/>
        <v/>
      </c>
      <c r="AN143" s="191" t="str">
        <f>IF($A143="","",IF(COUNTIF('Decision Queue'!$A$5:$A$204,$A143)+COUNTIF('Decision Register'!$A$5:$A$304,$A143)&gt;1,"DUPLICATE ID","OK"))</f>
        <v/>
      </c>
      <c r="AO143" t="s">
        <v>751</v>
      </c>
    </row>
    <row r="144" spans="1:41" ht="42" customHeight="1">
      <c r="A144" s="191" t="str">
        <f t="shared" si="7"/>
        <v/>
      </c>
      <c r="B144" s="189"/>
      <c r="C144" s="189"/>
      <c r="D144" s="189"/>
      <c r="E144" s="268"/>
      <c r="F144" s="189"/>
      <c r="G144" s="189"/>
      <c r="H144" s="189"/>
      <c r="I144" s="189"/>
      <c r="J144" s="189"/>
      <c r="K144" s="189"/>
      <c r="L144" s="189"/>
      <c r="M144" s="192"/>
      <c r="N144" s="189"/>
      <c r="O144" s="189"/>
      <c r="P144" s="189"/>
      <c r="Q144" s="189"/>
      <c r="R144" s="192"/>
      <c r="S144" s="189"/>
      <c r="T144" s="189"/>
      <c r="U144" s="189"/>
      <c r="V144" s="189"/>
      <c r="W144" s="191" t="str">
        <f t="shared" si="6"/>
        <v/>
      </c>
      <c r="X144" s="189"/>
      <c r="Y144" s="189"/>
      <c r="Z144" s="189"/>
      <c r="AA144" s="189"/>
      <c r="AB144" s="189"/>
      <c r="AC144" s="189"/>
      <c r="AD144" s="189"/>
      <c r="AE144" s="189"/>
      <c r="AF144" s="189"/>
      <c r="AG144" s="192"/>
      <c r="AH144" s="192"/>
      <c r="AI144" s="189"/>
      <c r="AJ144" s="189"/>
      <c r="AK144" s="189"/>
      <c r="AL144" s="189"/>
      <c r="AM144" s="191" t="str">
        <f t="shared" si="8"/>
        <v/>
      </c>
      <c r="AN144" s="191" t="str">
        <f>IF($A144="","",IF(COUNTIF('Decision Queue'!$A$5:$A$204,$A144)+COUNTIF('Decision Register'!$A$5:$A$304,$A144)&gt;1,"DUPLICATE ID","OK"))</f>
        <v/>
      </c>
      <c r="AO144" t="s">
        <v>752</v>
      </c>
    </row>
    <row r="145" spans="1:41" ht="42" customHeight="1">
      <c r="A145" s="191" t="str">
        <f t="shared" si="7"/>
        <v/>
      </c>
      <c r="B145" s="189"/>
      <c r="C145" s="189"/>
      <c r="D145" s="189"/>
      <c r="E145" s="268"/>
      <c r="F145" s="189"/>
      <c r="G145" s="189"/>
      <c r="H145" s="189"/>
      <c r="I145" s="189"/>
      <c r="J145" s="189"/>
      <c r="K145" s="189"/>
      <c r="L145" s="189"/>
      <c r="M145" s="192"/>
      <c r="N145" s="189"/>
      <c r="O145" s="189"/>
      <c r="P145" s="189"/>
      <c r="Q145" s="189"/>
      <c r="R145" s="192"/>
      <c r="S145" s="189"/>
      <c r="T145" s="189"/>
      <c r="U145" s="189"/>
      <c r="V145" s="189"/>
      <c r="W145" s="191" t="str">
        <f t="shared" si="6"/>
        <v/>
      </c>
      <c r="X145" s="189"/>
      <c r="Y145" s="189"/>
      <c r="Z145" s="189"/>
      <c r="AA145" s="189"/>
      <c r="AB145" s="189"/>
      <c r="AC145" s="189"/>
      <c r="AD145" s="189"/>
      <c r="AE145" s="189"/>
      <c r="AF145" s="189"/>
      <c r="AG145" s="192"/>
      <c r="AH145" s="192"/>
      <c r="AI145" s="189"/>
      <c r="AJ145" s="189"/>
      <c r="AK145" s="189"/>
      <c r="AL145" s="189"/>
      <c r="AM145" s="191" t="str">
        <f t="shared" si="8"/>
        <v/>
      </c>
      <c r="AN145" s="191" t="str">
        <f>IF($A145="","",IF(COUNTIF('Decision Queue'!$A$5:$A$204,$A145)+COUNTIF('Decision Register'!$A$5:$A$304,$A145)&gt;1,"DUPLICATE ID","OK"))</f>
        <v/>
      </c>
      <c r="AO145" t="s">
        <v>753</v>
      </c>
    </row>
    <row r="146" spans="1:41" ht="42" customHeight="1">
      <c r="A146" s="191" t="str">
        <f t="shared" si="7"/>
        <v/>
      </c>
      <c r="B146" s="189"/>
      <c r="C146" s="189"/>
      <c r="D146" s="189"/>
      <c r="E146" s="268"/>
      <c r="F146" s="189"/>
      <c r="G146" s="189"/>
      <c r="H146" s="189"/>
      <c r="I146" s="189"/>
      <c r="J146" s="189"/>
      <c r="K146" s="189"/>
      <c r="L146" s="189"/>
      <c r="M146" s="192"/>
      <c r="N146" s="189"/>
      <c r="O146" s="189"/>
      <c r="P146" s="189"/>
      <c r="Q146" s="189"/>
      <c r="R146" s="192"/>
      <c r="S146" s="189"/>
      <c r="T146" s="189"/>
      <c r="U146" s="189"/>
      <c r="V146" s="189"/>
      <c r="W146" s="191" t="str">
        <f t="shared" si="6"/>
        <v/>
      </c>
      <c r="X146" s="189"/>
      <c r="Y146" s="189"/>
      <c r="Z146" s="189"/>
      <c r="AA146" s="189"/>
      <c r="AB146" s="189"/>
      <c r="AC146" s="189"/>
      <c r="AD146" s="189"/>
      <c r="AE146" s="189"/>
      <c r="AF146" s="189"/>
      <c r="AG146" s="192"/>
      <c r="AH146" s="192"/>
      <c r="AI146" s="189"/>
      <c r="AJ146" s="189"/>
      <c r="AK146" s="189"/>
      <c r="AL146" s="189"/>
      <c r="AM146" s="191" t="str">
        <f t="shared" si="8"/>
        <v/>
      </c>
      <c r="AN146" s="191" t="str">
        <f>IF($A146="","",IF(COUNTIF('Decision Queue'!$A$5:$A$204,$A146)+COUNTIF('Decision Register'!$A$5:$A$304,$A146)&gt;1,"DUPLICATE ID","OK"))</f>
        <v/>
      </c>
      <c r="AO146" t="s">
        <v>754</v>
      </c>
    </row>
    <row r="147" spans="1:41" ht="42" customHeight="1">
      <c r="A147" s="191" t="str">
        <f t="shared" si="7"/>
        <v/>
      </c>
      <c r="B147" s="189"/>
      <c r="C147" s="189"/>
      <c r="D147" s="189"/>
      <c r="E147" s="268"/>
      <c r="F147" s="189"/>
      <c r="G147" s="189"/>
      <c r="H147" s="189"/>
      <c r="I147" s="189"/>
      <c r="J147" s="189"/>
      <c r="K147" s="189"/>
      <c r="L147" s="189"/>
      <c r="M147" s="192"/>
      <c r="N147" s="189"/>
      <c r="O147" s="189"/>
      <c r="P147" s="189"/>
      <c r="Q147" s="189"/>
      <c r="R147" s="192"/>
      <c r="S147" s="189"/>
      <c r="T147" s="189"/>
      <c r="U147" s="189"/>
      <c r="V147" s="189"/>
      <c r="W147" s="191" t="str">
        <f t="shared" si="6"/>
        <v/>
      </c>
      <c r="X147" s="189"/>
      <c r="Y147" s="189"/>
      <c r="Z147" s="189"/>
      <c r="AA147" s="189"/>
      <c r="AB147" s="189"/>
      <c r="AC147" s="189"/>
      <c r="AD147" s="189"/>
      <c r="AE147" s="189"/>
      <c r="AF147" s="189"/>
      <c r="AG147" s="192"/>
      <c r="AH147" s="192"/>
      <c r="AI147" s="189"/>
      <c r="AJ147" s="189"/>
      <c r="AK147" s="189"/>
      <c r="AL147" s="189"/>
      <c r="AM147" s="191" t="str">
        <f t="shared" si="8"/>
        <v/>
      </c>
      <c r="AN147" s="191" t="str">
        <f>IF($A147="","",IF(COUNTIF('Decision Queue'!$A$5:$A$204,$A147)+COUNTIF('Decision Register'!$A$5:$A$304,$A147)&gt;1,"DUPLICATE ID","OK"))</f>
        <v/>
      </c>
      <c r="AO147" t="s">
        <v>755</v>
      </c>
    </row>
    <row r="148" spans="1:41" ht="42" customHeight="1">
      <c r="A148" s="191" t="str">
        <f t="shared" si="7"/>
        <v/>
      </c>
      <c r="B148" s="189"/>
      <c r="C148" s="189"/>
      <c r="D148" s="189"/>
      <c r="E148" s="268"/>
      <c r="F148" s="189"/>
      <c r="G148" s="189"/>
      <c r="H148" s="189"/>
      <c r="I148" s="189"/>
      <c r="J148" s="189"/>
      <c r="K148" s="189"/>
      <c r="L148" s="189"/>
      <c r="M148" s="192"/>
      <c r="N148" s="189"/>
      <c r="O148" s="189"/>
      <c r="P148" s="189"/>
      <c r="Q148" s="189"/>
      <c r="R148" s="192"/>
      <c r="S148" s="189"/>
      <c r="T148" s="189"/>
      <c r="U148" s="189"/>
      <c r="V148" s="189"/>
      <c r="W148" s="191" t="str">
        <f t="shared" si="6"/>
        <v/>
      </c>
      <c r="X148" s="189"/>
      <c r="Y148" s="189"/>
      <c r="Z148" s="189"/>
      <c r="AA148" s="189"/>
      <c r="AB148" s="189"/>
      <c r="AC148" s="189"/>
      <c r="AD148" s="189"/>
      <c r="AE148" s="189"/>
      <c r="AF148" s="189"/>
      <c r="AG148" s="192"/>
      <c r="AH148" s="192"/>
      <c r="AI148" s="189"/>
      <c r="AJ148" s="189"/>
      <c r="AK148" s="189"/>
      <c r="AL148" s="189"/>
      <c r="AM148" s="191" t="str">
        <f t="shared" si="8"/>
        <v/>
      </c>
      <c r="AN148" s="191" t="str">
        <f>IF($A148="","",IF(COUNTIF('Decision Queue'!$A$5:$A$204,$A148)+COUNTIF('Decision Register'!$A$5:$A$304,$A148)&gt;1,"DUPLICATE ID","OK"))</f>
        <v/>
      </c>
      <c r="AO148" t="s">
        <v>756</v>
      </c>
    </row>
    <row r="149" spans="1:41" ht="42" customHeight="1">
      <c r="A149" s="191" t="str">
        <f t="shared" si="7"/>
        <v/>
      </c>
      <c r="B149" s="189"/>
      <c r="C149" s="189"/>
      <c r="D149" s="189"/>
      <c r="E149" s="268"/>
      <c r="F149" s="189"/>
      <c r="G149" s="189"/>
      <c r="H149" s="189"/>
      <c r="I149" s="189"/>
      <c r="J149" s="189"/>
      <c r="K149" s="189"/>
      <c r="L149" s="189"/>
      <c r="M149" s="192"/>
      <c r="N149" s="189"/>
      <c r="O149" s="189"/>
      <c r="P149" s="189"/>
      <c r="Q149" s="189"/>
      <c r="R149" s="192"/>
      <c r="S149" s="189"/>
      <c r="T149" s="189"/>
      <c r="U149" s="189"/>
      <c r="V149" s="189"/>
      <c r="W149" s="191" t="str">
        <f t="shared" si="6"/>
        <v/>
      </c>
      <c r="X149" s="189"/>
      <c r="Y149" s="189"/>
      <c r="Z149" s="189"/>
      <c r="AA149" s="189"/>
      <c r="AB149" s="189"/>
      <c r="AC149" s="189"/>
      <c r="AD149" s="189"/>
      <c r="AE149" s="189"/>
      <c r="AF149" s="189"/>
      <c r="AG149" s="192"/>
      <c r="AH149" s="192"/>
      <c r="AI149" s="189"/>
      <c r="AJ149" s="189"/>
      <c r="AK149" s="189"/>
      <c r="AL149" s="189"/>
      <c r="AM149" s="191" t="str">
        <f t="shared" si="8"/>
        <v/>
      </c>
      <c r="AN149" s="191" t="str">
        <f>IF($A149="","",IF(COUNTIF('Decision Queue'!$A$5:$A$204,$A149)+COUNTIF('Decision Register'!$A$5:$A$304,$A149)&gt;1,"DUPLICATE ID","OK"))</f>
        <v/>
      </c>
      <c r="AO149" t="s">
        <v>757</v>
      </c>
    </row>
    <row r="150" spans="1:41" ht="42" customHeight="1">
      <c r="A150" s="191" t="str">
        <f t="shared" si="7"/>
        <v/>
      </c>
      <c r="B150" s="189"/>
      <c r="C150" s="189"/>
      <c r="D150" s="189"/>
      <c r="E150" s="268"/>
      <c r="F150" s="189"/>
      <c r="G150" s="189"/>
      <c r="H150" s="189"/>
      <c r="I150" s="189"/>
      <c r="J150" s="189"/>
      <c r="K150" s="189"/>
      <c r="L150" s="189"/>
      <c r="M150" s="192"/>
      <c r="N150" s="189"/>
      <c r="O150" s="189"/>
      <c r="P150" s="189"/>
      <c r="Q150" s="189"/>
      <c r="R150" s="192"/>
      <c r="S150" s="189"/>
      <c r="T150" s="189"/>
      <c r="U150" s="189"/>
      <c r="V150" s="189"/>
      <c r="W150" s="191" t="str">
        <f t="shared" si="6"/>
        <v/>
      </c>
      <c r="X150" s="189"/>
      <c r="Y150" s="189"/>
      <c r="Z150" s="189"/>
      <c r="AA150" s="189"/>
      <c r="AB150" s="189"/>
      <c r="AC150" s="189"/>
      <c r="AD150" s="189"/>
      <c r="AE150" s="189"/>
      <c r="AF150" s="189"/>
      <c r="AG150" s="192"/>
      <c r="AH150" s="192"/>
      <c r="AI150" s="189"/>
      <c r="AJ150" s="189"/>
      <c r="AK150" s="189"/>
      <c r="AL150" s="189"/>
      <c r="AM150" s="191" t="str">
        <f t="shared" si="8"/>
        <v/>
      </c>
      <c r="AN150" s="191" t="str">
        <f>IF($A150="","",IF(COUNTIF('Decision Queue'!$A$5:$A$204,$A150)+COUNTIF('Decision Register'!$A$5:$A$304,$A150)&gt;1,"DUPLICATE ID","OK"))</f>
        <v/>
      </c>
      <c r="AO150" t="s">
        <v>758</v>
      </c>
    </row>
    <row r="151" spans="1:41" ht="42" customHeight="1">
      <c r="A151" s="191" t="str">
        <f t="shared" si="7"/>
        <v/>
      </c>
      <c r="B151" s="189"/>
      <c r="C151" s="189"/>
      <c r="D151" s="189"/>
      <c r="E151" s="268"/>
      <c r="F151" s="189"/>
      <c r="G151" s="189"/>
      <c r="H151" s="189"/>
      <c r="I151" s="189"/>
      <c r="J151" s="189"/>
      <c r="K151" s="189"/>
      <c r="L151" s="189"/>
      <c r="M151" s="192"/>
      <c r="N151" s="189"/>
      <c r="O151" s="189"/>
      <c r="P151" s="189"/>
      <c r="Q151" s="189"/>
      <c r="R151" s="192"/>
      <c r="S151" s="189"/>
      <c r="T151" s="189"/>
      <c r="U151" s="189"/>
      <c r="V151" s="189"/>
      <c r="W151" s="191" t="str">
        <f t="shared" si="6"/>
        <v/>
      </c>
      <c r="X151" s="189"/>
      <c r="Y151" s="189"/>
      <c r="Z151" s="189"/>
      <c r="AA151" s="189"/>
      <c r="AB151" s="189"/>
      <c r="AC151" s="189"/>
      <c r="AD151" s="189"/>
      <c r="AE151" s="189"/>
      <c r="AF151" s="189"/>
      <c r="AG151" s="192"/>
      <c r="AH151" s="192"/>
      <c r="AI151" s="189"/>
      <c r="AJ151" s="189"/>
      <c r="AK151" s="189"/>
      <c r="AL151" s="189"/>
      <c r="AM151" s="191" t="str">
        <f t="shared" si="8"/>
        <v/>
      </c>
      <c r="AN151" s="191" t="str">
        <f>IF($A151="","",IF(COUNTIF('Decision Queue'!$A$5:$A$204,$A151)+COUNTIF('Decision Register'!$A$5:$A$304,$A151)&gt;1,"DUPLICATE ID","OK"))</f>
        <v/>
      </c>
      <c r="AO151" t="s">
        <v>759</v>
      </c>
    </row>
    <row r="152" spans="1:41" ht="42" customHeight="1">
      <c r="A152" s="191" t="str">
        <f t="shared" si="7"/>
        <v/>
      </c>
      <c r="B152" s="189"/>
      <c r="C152" s="189"/>
      <c r="D152" s="189"/>
      <c r="E152" s="268"/>
      <c r="F152" s="189"/>
      <c r="G152" s="189"/>
      <c r="H152" s="189"/>
      <c r="I152" s="189"/>
      <c r="J152" s="189"/>
      <c r="K152" s="189"/>
      <c r="L152" s="189"/>
      <c r="M152" s="192"/>
      <c r="N152" s="189"/>
      <c r="O152" s="189"/>
      <c r="P152" s="189"/>
      <c r="Q152" s="189"/>
      <c r="R152" s="192"/>
      <c r="S152" s="189"/>
      <c r="T152" s="189"/>
      <c r="U152" s="189"/>
      <c r="V152" s="189"/>
      <c r="W152" s="191" t="str">
        <f t="shared" si="6"/>
        <v/>
      </c>
      <c r="X152" s="189"/>
      <c r="Y152" s="189"/>
      <c r="Z152" s="189"/>
      <c r="AA152" s="189"/>
      <c r="AB152" s="189"/>
      <c r="AC152" s="189"/>
      <c r="AD152" s="189"/>
      <c r="AE152" s="189"/>
      <c r="AF152" s="189"/>
      <c r="AG152" s="192"/>
      <c r="AH152" s="192"/>
      <c r="AI152" s="189"/>
      <c r="AJ152" s="189"/>
      <c r="AK152" s="189"/>
      <c r="AL152" s="189"/>
      <c r="AM152" s="191" t="str">
        <f t="shared" si="8"/>
        <v/>
      </c>
      <c r="AN152" s="191" t="str">
        <f>IF($A152="","",IF(COUNTIF('Decision Queue'!$A$5:$A$204,$A152)+COUNTIF('Decision Register'!$A$5:$A$304,$A152)&gt;1,"DUPLICATE ID","OK"))</f>
        <v/>
      </c>
      <c r="AO152" t="s">
        <v>760</v>
      </c>
    </row>
    <row r="153" spans="1:41" ht="42" customHeight="1">
      <c r="A153" s="191" t="str">
        <f t="shared" si="7"/>
        <v/>
      </c>
      <c r="B153" s="189"/>
      <c r="C153" s="189"/>
      <c r="D153" s="189"/>
      <c r="E153" s="268"/>
      <c r="F153" s="189"/>
      <c r="G153" s="189"/>
      <c r="H153" s="189"/>
      <c r="I153" s="189"/>
      <c r="J153" s="189"/>
      <c r="K153" s="189"/>
      <c r="L153" s="189"/>
      <c r="M153" s="192"/>
      <c r="N153" s="189"/>
      <c r="O153" s="189"/>
      <c r="P153" s="189"/>
      <c r="Q153" s="189"/>
      <c r="R153" s="192"/>
      <c r="S153" s="189"/>
      <c r="T153" s="189"/>
      <c r="U153" s="189"/>
      <c r="V153" s="189"/>
      <c r="W153" s="191" t="str">
        <f t="shared" si="6"/>
        <v/>
      </c>
      <c r="X153" s="189"/>
      <c r="Y153" s="189"/>
      <c r="Z153" s="189"/>
      <c r="AA153" s="189"/>
      <c r="AB153" s="189"/>
      <c r="AC153" s="189"/>
      <c r="AD153" s="189"/>
      <c r="AE153" s="189"/>
      <c r="AF153" s="189"/>
      <c r="AG153" s="192"/>
      <c r="AH153" s="192"/>
      <c r="AI153" s="189"/>
      <c r="AJ153" s="189"/>
      <c r="AK153" s="189"/>
      <c r="AL153" s="189"/>
      <c r="AM153" s="191" t="str">
        <f t="shared" si="8"/>
        <v/>
      </c>
      <c r="AN153" s="191" t="str">
        <f>IF($A153="","",IF(COUNTIF('Decision Queue'!$A$5:$A$204,$A153)+COUNTIF('Decision Register'!$A$5:$A$304,$A153)&gt;1,"DUPLICATE ID","OK"))</f>
        <v/>
      </c>
      <c r="AO153" t="s">
        <v>761</v>
      </c>
    </row>
    <row r="154" spans="1:41" ht="42" customHeight="1">
      <c r="A154" s="191" t="str">
        <f t="shared" si="7"/>
        <v/>
      </c>
      <c r="B154" s="189"/>
      <c r="C154" s="189"/>
      <c r="D154" s="189"/>
      <c r="E154" s="268"/>
      <c r="F154" s="189"/>
      <c r="G154" s="189"/>
      <c r="H154" s="189"/>
      <c r="I154" s="189"/>
      <c r="J154" s="189"/>
      <c r="K154" s="189"/>
      <c r="L154" s="189"/>
      <c r="M154" s="192"/>
      <c r="N154" s="189"/>
      <c r="O154" s="189"/>
      <c r="P154" s="189"/>
      <c r="Q154" s="189"/>
      <c r="R154" s="192"/>
      <c r="S154" s="189"/>
      <c r="T154" s="189"/>
      <c r="U154" s="189"/>
      <c r="V154" s="189"/>
      <c r="W154" s="191" t="str">
        <f t="shared" si="6"/>
        <v/>
      </c>
      <c r="X154" s="189"/>
      <c r="Y154" s="189"/>
      <c r="Z154" s="189"/>
      <c r="AA154" s="189"/>
      <c r="AB154" s="189"/>
      <c r="AC154" s="189"/>
      <c r="AD154" s="189"/>
      <c r="AE154" s="189"/>
      <c r="AF154" s="189"/>
      <c r="AG154" s="192"/>
      <c r="AH154" s="192"/>
      <c r="AI154" s="189"/>
      <c r="AJ154" s="189"/>
      <c r="AK154" s="189"/>
      <c r="AL154" s="189"/>
      <c r="AM154" s="191" t="str">
        <f t="shared" si="8"/>
        <v/>
      </c>
      <c r="AN154" s="191" t="str">
        <f>IF($A154="","",IF(COUNTIF('Decision Queue'!$A$5:$A$204,$A154)+COUNTIF('Decision Register'!$A$5:$A$304,$A154)&gt;1,"DUPLICATE ID","OK"))</f>
        <v/>
      </c>
      <c r="AO154" t="s">
        <v>762</v>
      </c>
    </row>
    <row r="155" spans="1:41" ht="42" customHeight="1">
      <c r="A155" s="191" t="str">
        <f t="shared" si="7"/>
        <v/>
      </c>
      <c r="B155" s="189"/>
      <c r="C155" s="189"/>
      <c r="D155" s="189"/>
      <c r="E155" s="268"/>
      <c r="F155" s="189"/>
      <c r="G155" s="189"/>
      <c r="H155" s="189"/>
      <c r="I155" s="189"/>
      <c r="J155" s="189"/>
      <c r="K155" s="189"/>
      <c r="L155" s="189"/>
      <c r="M155" s="192"/>
      <c r="N155" s="189"/>
      <c r="O155" s="189"/>
      <c r="P155" s="189"/>
      <c r="Q155" s="189"/>
      <c r="R155" s="192"/>
      <c r="S155" s="189"/>
      <c r="T155" s="189"/>
      <c r="U155" s="189"/>
      <c r="V155" s="189"/>
      <c r="W155" s="191" t="str">
        <f t="shared" si="6"/>
        <v/>
      </c>
      <c r="X155" s="189"/>
      <c r="Y155" s="189"/>
      <c r="Z155" s="189"/>
      <c r="AA155" s="189"/>
      <c r="AB155" s="189"/>
      <c r="AC155" s="189"/>
      <c r="AD155" s="189"/>
      <c r="AE155" s="189"/>
      <c r="AF155" s="189"/>
      <c r="AG155" s="192"/>
      <c r="AH155" s="192"/>
      <c r="AI155" s="189"/>
      <c r="AJ155" s="189"/>
      <c r="AK155" s="189"/>
      <c r="AL155" s="189"/>
      <c r="AM155" s="191" t="str">
        <f t="shared" si="8"/>
        <v/>
      </c>
      <c r="AN155" s="191" t="str">
        <f>IF($A155="","",IF(COUNTIF('Decision Queue'!$A$5:$A$204,$A155)+COUNTIF('Decision Register'!$A$5:$A$304,$A155)&gt;1,"DUPLICATE ID","OK"))</f>
        <v/>
      </c>
      <c r="AO155" t="s">
        <v>763</v>
      </c>
    </row>
    <row r="156" spans="1:41" ht="42" customHeight="1">
      <c r="A156" s="191" t="str">
        <f t="shared" si="7"/>
        <v/>
      </c>
      <c r="B156" s="189"/>
      <c r="C156" s="189"/>
      <c r="D156" s="189"/>
      <c r="E156" s="268"/>
      <c r="F156" s="189"/>
      <c r="G156" s="189"/>
      <c r="H156" s="189"/>
      <c r="I156" s="189"/>
      <c r="J156" s="189"/>
      <c r="K156" s="189"/>
      <c r="L156" s="189"/>
      <c r="M156" s="192"/>
      <c r="N156" s="189"/>
      <c r="O156" s="189"/>
      <c r="P156" s="189"/>
      <c r="Q156" s="189"/>
      <c r="R156" s="192"/>
      <c r="S156" s="189"/>
      <c r="T156" s="189"/>
      <c r="U156" s="189"/>
      <c r="V156" s="189"/>
      <c r="W156" s="191" t="str">
        <f t="shared" si="6"/>
        <v/>
      </c>
      <c r="X156" s="189"/>
      <c r="Y156" s="189"/>
      <c r="Z156" s="189"/>
      <c r="AA156" s="189"/>
      <c r="AB156" s="189"/>
      <c r="AC156" s="189"/>
      <c r="AD156" s="189"/>
      <c r="AE156" s="189"/>
      <c r="AF156" s="189"/>
      <c r="AG156" s="192"/>
      <c r="AH156" s="192"/>
      <c r="AI156" s="189"/>
      <c r="AJ156" s="189"/>
      <c r="AK156" s="189"/>
      <c r="AL156" s="189"/>
      <c r="AM156" s="191" t="str">
        <f t="shared" si="8"/>
        <v/>
      </c>
      <c r="AN156" s="191" t="str">
        <f>IF($A156="","",IF(COUNTIF('Decision Queue'!$A$5:$A$204,$A156)+COUNTIF('Decision Register'!$A$5:$A$304,$A156)&gt;1,"DUPLICATE ID","OK"))</f>
        <v/>
      </c>
      <c r="AO156" t="s">
        <v>764</v>
      </c>
    </row>
    <row r="157" spans="1:41" ht="42" customHeight="1">
      <c r="A157" s="191" t="str">
        <f t="shared" si="7"/>
        <v/>
      </c>
      <c r="B157" s="189"/>
      <c r="C157" s="189"/>
      <c r="D157" s="189"/>
      <c r="E157" s="268"/>
      <c r="F157" s="189"/>
      <c r="G157" s="189"/>
      <c r="H157" s="189"/>
      <c r="I157" s="189"/>
      <c r="J157" s="189"/>
      <c r="K157" s="189"/>
      <c r="L157" s="189"/>
      <c r="M157" s="192"/>
      <c r="N157" s="189"/>
      <c r="O157" s="189"/>
      <c r="P157" s="189"/>
      <c r="Q157" s="189"/>
      <c r="R157" s="192"/>
      <c r="S157" s="189"/>
      <c r="T157" s="189"/>
      <c r="U157" s="189"/>
      <c r="V157" s="189"/>
      <c r="W157" s="191" t="str">
        <f t="shared" si="6"/>
        <v/>
      </c>
      <c r="X157" s="189"/>
      <c r="Y157" s="189"/>
      <c r="Z157" s="189"/>
      <c r="AA157" s="189"/>
      <c r="AB157" s="189"/>
      <c r="AC157" s="189"/>
      <c r="AD157" s="189"/>
      <c r="AE157" s="189"/>
      <c r="AF157" s="189"/>
      <c r="AG157" s="192"/>
      <c r="AH157" s="192"/>
      <c r="AI157" s="189"/>
      <c r="AJ157" s="189"/>
      <c r="AK157" s="189"/>
      <c r="AL157" s="189"/>
      <c r="AM157" s="191" t="str">
        <f t="shared" si="8"/>
        <v/>
      </c>
      <c r="AN157" s="191" t="str">
        <f>IF($A157="","",IF(COUNTIF('Decision Queue'!$A$5:$A$204,$A157)+COUNTIF('Decision Register'!$A$5:$A$304,$A157)&gt;1,"DUPLICATE ID","OK"))</f>
        <v/>
      </c>
      <c r="AO157" t="s">
        <v>765</v>
      </c>
    </row>
    <row r="158" spans="1:41" ht="42" customHeight="1">
      <c r="A158" s="191" t="str">
        <f t="shared" si="7"/>
        <v/>
      </c>
      <c r="B158" s="189"/>
      <c r="C158" s="189"/>
      <c r="D158" s="189"/>
      <c r="E158" s="268"/>
      <c r="F158" s="189"/>
      <c r="G158" s="189"/>
      <c r="H158" s="189"/>
      <c r="I158" s="189"/>
      <c r="J158" s="189"/>
      <c r="K158" s="189"/>
      <c r="L158" s="189"/>
      <c r="M158" s="192"/>
      <c r="N158" s="189"/>
      <c r="O158" s="189"/>
      <c r="P158" s="189"/>
      <c r="Q158" s="189"/>
      <c r="R158" s="192"/>
      <c r="S158" s="189"/>
      <c r="T158" s="189"/>
      <c r="U158" s="189"/>
      <c r="V158" s="189"/>
      <c r="W158" s="191" t="str">
        <f t="shared" si="6"/>
        <v/>
      </c>
      <c r="X158" s="189"/>
      <c r="Y158" s="189"/>
      <c r="Z158" s="189"/>
      <c r="AA158" s="189"/>
      <c r="AB158" s="189"/>
      <c r="AC158" s="189"/>
      <c r="AD158" s="189"/>
      <c r="AE158" s="189"/>
      <c r="AF158" s="189"/>
      <c r="AG158" s="192"/>
      <c r="AH158" s="192"/>
      <c r="AI158" s="189"/>
      <c r="AJ158" s="189"/>
      <c r="AK158" s="189"/>
      <c r="AL158" s="189"/>
      <c r="AM158" s="191" t="str">
        <f t="shared" si="8"/>
        <v/>
      </c>
      <c r="AN158" s="191" t="str">
        <f>IF($A158="","",IF(COUNTIF('Decision Queue'!$A$5:$A$204,$A158)+COUNTIF('Decision Register'!$A$5:$A$304,$A158)&gt;1,"DUPLICATE ID","OK"))</f>
        <v/>
      </c>
      <c r="AO158" t="s">
        <v>766</v>
      </c>
    </row>
    <row r="159" spans="1:41" ht="42" customHeight="1">
      <c r="A159" s="191" t="str">
        <f t="shared" si="7"/>
        <v/>
      </c>
      <c r="B159" s="189"/>
      <c r="C159" s="189"/>
      <c r="D159" s="189"/>
      <c r="E159" s="268"/>
      <c r="F159" s="189"/>
      <c r="G159" s="189"/>
      <c r="H159" s="189"/>
      <c r="I159" s="189"/>
      <c r="J159" s="189"/>
      <c r="K159" s="189"/>
      <c r="L159" s="189"/>
      <c r="M159" s="192"/>
      <c r="N159" s="189"/>
      <c r="O159" s="189"/>
      <c r="P159" s="189"/>
      <c r="Q159" s="189"/>
      <c r="R159" s="192"/>
      <c r="S159" s="189"/>
      <c r="T159" s="189"/>
      <c r="U159" s="189"/>
      <c r="V159" s="189"/>
      <c r="W159" s="191" t="str">
        <f t="shared" si="6"/>
        <v/>
      </c>
      <c r="X159" s="189"/>
      <c r="Y159" s="189"/>
      <c r="Z159" s="189"/>
      <c r="AA159" s="189"/>
      <c r="AB159" s="189"/>
      <c r="AC159" s="189"/>
      <c r="AD159" s="189"/>
      <c r="AE159" s="189"/>
      <c r="AF159" s="189"/>
      <c r="AG159" s="192"/>
      <c r="AH159" s="192"/>
      <c r="AI159" s="189"/>
      <c r="AJ159" s="189"/>
      <c r="AK159" s="189"/>
      <c r="AL159" s="189"/>
      <c r="AM159" s="191" t="str">
        <f t="shared" si="8"/>
        <v/>
      </c>
      <c r="AN159" s="191" t="str">
        <f>IF($A159="","",IF(COUNTIF('Decision Queue'!$A$5:$A$204,$A159)+COUNTIF('Decision Register'!$A$5:$A$304,$A159)&gt;1,"DUPLICATE ID","OK"))</f>
        <v/>
      </c>
      <c r="AO159" t="s">
        <v>767</v>
      </c>
    </row>
    <row r="160" spans="1:41" ht="42" customHeight="1">
      <c r="A160" s="191" t="str">
        <f t="shared" si="7"/>
        <v/>
      </c>
      <c r="B160" s="189"/>
      <c r="C160" s="189"/>
      <c r="D160" s="189"/>
      <c r="E160" s="268"/>
      <c r="F160" s="189"/>
      <c r="G160" s="189"/>
      <c r="H160" s="189"/>
      <c r="I160" s="189"/>
      <c r="J160" s="189"/>
      <c r="K160" s="189"/>
      <c r="L160" s="189"/>
      <c r="M160" s="192"/>
      <c r="N160" s="189"/>
      <c r="O160" s="189"/>
      <c r="P160" s="189"/>
      <c r="Q160" s="189"/>
      <c r="R160" s="192"/>
      <c r="S160" s="189"/>
      <c r="T160" s="189"/>
      <c r="U160" s="189"/>
      <c r="V160" s="189"/>
      <c r="W160" s="191" t="str">
        <f t="shared" si="6"/>
        <v/>
      </c>
      <c r="X160" s="189"/>
      <c r="Y160" s="189"/>
      <c r="Z160" s="189"/>
      <c r="AA160" s="189"/>
      <c r="AB160" s="189"/>
      <c r="AC160" s="189"/>
      <c r="AD160" s="189"/>
      <c r="AE160" s="189"/>
      <c r="AF160" s="189"/>
      <c r="AG160" s="192"/>
      <c r="AH160" s="192"/>
      <c r="AI160" s="189"/>
      <c r="AJ160" s="189"/>
      <c r="AK160" s="189"/>
      <c r="AL160" s="189"/>
      <c r="AM160" s="191" t="str">
        <f t="shared" si="8"/>
        <v/>
      </c>
      <c r="AN160" s="191" t="str">
        <f>IF($A160="","",IF(COUNTIF('Decision Queue'!$A$5:$A$204,$A160)+COUNTIF('Decision Register'!$A$5:$A$304,$A160)&gt;1,"DUPLICATE ID","OK"))</f>
        <v/>
      </c>
      <c r="AO160" t="s">
        <v>768</v>
      </c>
    </row>
    <row r="161" spans="1:41" ht="42" customHeight="1">
      <c r="A161" s="191" t="str">
        <f t="shared" si="7"/>
        <v/>
      </c>
      <c r="B161" s="189"/>
      <c r="C161" s="189"/>
      <c r="D161" s="189"/>
      <c r="E161" s="268"/>
      <c r="F161" s="189"/>
      <c r="G161" s="189"/>
      <c r="H161" s="189"/>
      <c r="I161" s="189"/>
      <c r="J161" s="189"/>
      <c r="K161" s="189"/>
      <c r="L161" s="189"/>
      <c r="M161" s="192"/>
      <c r="N161" s="189"/>
      <c r="O161" s="189"/>
      <c r="P161" s="189"/>
      <c r="Q161" s="189"/>
      <c r="R161" s="192"/>
      <c r="S161" s="189"/>
      <c r="T161" s="189"/>
      <c r="U161" s="189"/>
      <c r="V161" s="189"/>
      <c r="W161" s="191" t="str">
        <f t="shared" si="6"/>
        <v/>
      </c>
      <c r="X161" s="189"/>
      <c r="Y161" s="189"/>
      <c r="Z161" s="189"/>
      <c r="AA161" s="189"/>
      <c r="AB161" s="189"/>
      <c r="AC161" s="189"/>
      <c r="AD161" s="189"/>
      <c r="AE161" s="189"/>
      <c r="AF161" s="189"/>
      <c r="AG161" s="192"/>
      <c r="AH161" s="192"/>
      <c r="AI161" s="189"/>
      <c r="AJ161" s="189"/>
      <c r="AK161" s="189"/>
      <c r="AL161" s="189"/>
      <c r="AM161" s="191" t="str">
        <f t="shared" si="8"/>
        <v/>
      </c>
      <c r="AN161" s="191" t="str">
        <f>IF($A161="","",IF(COUNTIF('Decision Queue'!$A$5:$A$204,$A161)+COUNTIF('Decision Register'!$A$5:$A$304,$A161)&gt;1,"DUPLICATE ID","OK"))</f>
        <v/>
      </c>
      <c r="AO161" t="s">
        <v>769</v>
      </c>
    </row>
    <row r="162" spans="1:41" ht="42" customHeight="1">
      <c r="A162" s="191" t="str">
        <f t="shared" si="7"/>
        <v/>
      </c>
      <c r="B162" s="189"/>
      <c r="C162" s="189"/>
      <c r="D162" s="189"/>
      <c r="E162" s="268"/>
      <c r="F162" s="189"/>
      <c r="G162" s="189"/>
      <c r="H162" s="189"/>
      <c r="I162" s="189"/>
      <c r="J162" s="189"/>
      <c r="K162" s="189"/>
      <c r="L162" s="189"/>
      <c r="M162" s="192"/>
      <c r="N162" s="189"/>
      <c r="O162" s="189"/>
      <c r="P162" s="189"/>
      <c r="Q162" s="189"/>
      <c r="R162" s="192"/>
      <c r="S162" s="189"/>
      <c r="T162" s="189"/>
      <c r="U162" s="189"/>
      <c r="V162" s="189"/>
      <c r="W162" s="191" t="str">
        <f t="shared" si="6"/>
        <v/>
      </c>
      <c r="X162" s="189"/>
      <c r="Y162" s="189"/>
      <c r="Z162" s="189"/>
      <c r="AA162" s="189"/>
      <c r="AB162" s="189"/>
      <c r="AC162" s="189"/>
      <c r="AD162" s="189"/>
      <c r="AE162" s="189"/>
      <c r="AF162" s="189"/>
      <c r="AG162" s="192"/>
      <c r="AH162" s="192"/>
      <c r="AI162" s="189"/>
      <c r="AJ162" s="189"/>
      <c r="AK162" s="189"/>
      <c r="AL162" s="189"/>
      <c r="AM162" s="191" t="str">
        <f t="shared" si="8"/>
        <v/>
      </c>
      <c r="AN162" s="191" t="str">
        <f>IF($A162="","",IF(COUNTIF('Decision Queue'!$A$5:$A$204,$A162)+COUNTIF('Decision Register'!$A$5:$A$304,$A162)&gt;1,"DUPLICATE ID","OK"))</f>
        <v/>
      </c>
      <c r="AO162" t="s">
        <v>770</v>
      </c>
    </row>
    <row r="163" spans="1:41" ht="42" customHeight="1">
      <c r="A163" s="191" t="str">
        <f t="shared" si="7"/>
        <v/>
      </c>
      <c r="B163" s="189"/>
      <c r="C163" s="189"/>
      <c r="D163" s="189"/>
      <c r="E163" s="268"/>
      <c r="F163" s="189"/>
      <c r="G163" s="189"/>
      <c r="H163" s="189"/>
      <c r="I163" s="189"/>
      <c r="J163" s="189"/>
      <c r="K163" s="189"/>
      <c r="L163" s="189"/>
      <c r="M163" s="192"/>
      <c r="N163" s="189"/>
      <c r="O163" s="189"/>
      <c r="P163" s="189"/>
      <c r="Q163" s="189"/>
      <c r="R163" s="192"/>
      <c r="S163" s="189"/>
      <c r="T163" s="189"/>
      <c r="U163" s="189"/>
      <c r="V163" s="189"/>
      <c r="W163" s="191" t="str">
        <f t="shared" si="6"/>
        <v/>
      </c>
      <c r="X163" s="189"/>
      <c r="Y163" s="189"/>
      <c r="Z163" s="189"/>
      <c r="AA163" s="189"/>
      <c r="AB163" s="189"/>
      <c r="AC163" s="189"/>
      <c r="AD163" s="189"/>
      <c r="AE163" s="189"/>
      <c r="AF163" s="189"/>
      <c r="AG163" s="192"/>
      <c r="AH163" s="192"/>
      <c r="AI163" s="189"/>
      <c r="AJ163" s="189"/>
      <c r="AK163" s="189"/>
      <c r="AL163" s="189"/>
      <c r="AM163" s="191" t="str">
        <f t="shared" si="8"/>
        <v/>
      </c>
      <c r="AN163" s="191" t="str">
        <f>IF($A163="","",IF(COUNTIF('Decision Queue'!$A$5:$A$204,$A163)+COUNTIF('Decision Register'!$A$5:$A$304,$A163)&gt;1,"DUPLICATE ID","OK"))</f>
        <v/>
      </c>
      <c r="AO163" t="s">
        <v>771</v>
      </c>
    </row>
    <row r="164" spans="1:41" ht="42" customHeight="1">
      <c r="A164" s="191" t="str">
        <f t="shared" si="7"/>
        <v/>
      </c>
      <c r="B164" s="189"/>
      <c r="C164" s="189"/>
      <c r="D164" s="189"/>
      <c r="E164" s="268"/>
      <c r="F164" s="189"/>
      <c r="G164" s="189"/>
      <c r="H164" s="189"/>
      <c r="I164" s="189"/>
      <c r="J164" s="189"/>
      <c r="K164" s="189"/>
      <c r="L164" s="189"/>
      <c r="M164" s="192"/>
      <c r="N164" s="189"/>
      <c r="O164" s="189"/>
      <c r="P164" s="189"/>
      <c r="Q164" s="189"/>
      <c r="R164" s="192"/>
      <c r="S164" s="189"/>
      <c r="T164" s="189"/>
      <c r="U164" s="189"/>
      <c r="V164" s="189"/>
      <c r="W164" s="191" t="str">
        <f t="shared" si="6"/>
        <v/>
      </c>
      <c r="X164" s="189"/>
      <c r="Y164" s="189"/>
      <c r="Z164" s="189"/>
      <c r="AA164" s="189"/>
      <c r="AB164" s="189"/>
      <c r="AC164" s="189"/>
      <c r="AD164" s="189"/>
      <c r="AE164" s="189"/>
      <c r="AF164" s="189"/>
      <c r="AG164" s="192"/>
      <c r="AH164" s="192"/>
      <c r="AI164" s="189"/>
      <c r="AJ164" s="189"/>
      <c r="AK164" s="189"/>
      <c r="AL164" s="189"/>
      <c r="AM164" s="191" t="str">
        <f t="shared" si="8"/>
        <v/>
      </c>
      <c r="AN164" s="191" t="str">
        <f>IF($A164="","",IF(COUNTIF('Decision Queue'!$A$5:$A$204,$A164)+COUNTIF('Decision Register'!$A$5:$A$304,$A164)&gt;1,"DUPLICATE ID","OK"))</f>
        <v/>
      </c>
      <c r="AO164" t="s">
        <v>772</v>
      </c>
    </row>
    <row r="165" spans="1:41" ht="42" customHeight="1">
      <c r="A165" s="191" t="str">
        <f t="shared" si="7"/>
        <v/>
      </c>
      <c r="B165" s="189"/>
      <c r="C165" s="189"/>
      <c r="D165" s="189"/>
      <c r="E165" s="268"/>
      <c r="F165" s="189"/>
      <c r="G165" s="189"/>
      <c r="H165" s="189"/>
      <c r="I165" s="189"/>
      <c r="J165" s="189"/>
      <c r="K165" s="189"/>
      <c r="L165" s="189"/>
      <c r="M165" s="192"/>
      <c r="N165" s="189"/>
      <c r="O165" s="189"/>
      <c r="P165" s="189"/>
      <c r="Q165" s="189"/>
      <c r="R165" s="192"/>
      <c r="S165" s="189"/>
      <c r="T165" s="189"/>
      <c r="U165" s="189"/>
      <c r="V165" s="189"/>
      <c r="W165" s="191" t="str">
        <f t="shared" si="6"/>
        <v/>
      </c>
      <c r="X165" s="189"/>
      <c r="Y165" s="189"/>
      <c r="Z165" s="189"/>
      <c r="AA165" s="189"/>
      <c r="AB165" s="189"/>
      <c r="AC165" s="189"/>
      <c r="AD165" s="189"/>
      <c r="AE165" s="189"/>
      <c r="AF165" s="189"/>
      <c r="AG165" s="192"/>
      <c r="AH165" s="192"/>
      <c r="AI165" s="189"/>
      <c r="AJ165" s="189"/>
      <c r="AK165" s="189"/>
      <c r="AL165" s="189"/>
      <c r="AM165" s="191" t="str">
        <f t="shared" si="8"/>
        <v/>
      </c>
      <c r="AN165" s="191" t="str">
        <f>IF($A165="","",IF(COUNTIF('Decision Queue'!$A$5:$A$204,$A165)+COUNTIF('Decision Register'!$A$5:$A$304,$A165)&gt;1,"DUPLICATE ID","OK"))</f>
        <v/>
      </c>
      <c r="AO165" t="s">
        <v>773</v>
      </c>
    </row>
    <row r="166" spans="1:41" ht="42" customHeight="1">
      <c r="A166" s="191" t="str">
        <f t="shared" si="7"/>
        <v/>
      </c>
      <c r="B166" s="189"/>
      <c r="C166" s="189"/>
      <c r="D166" s="189"/>
      <c r="E166" s="268"/>
      <c r="F166" s="189"/>
      <c r="G166" s="189"/>
      <c r="H166" s="189"/>
      <c r="I166" s="189"/>
      <c r="J166" s="189"/>
      <c r="K166" s="189"/>
      <c r="L166" s="189"/>
      <c r="M166" s="192"/>
      <c r="N166" s="189"/>
      <c r="O166" s="189"/>
      <c r="P166" s="189"/>
      <c r="Q166" s="189"/>
      <c r="R166" s="192"/>
      <c r="S166" s="189"/>
      <c r="T166" s="189"/>
      <c r="U166" s="189"/>
      <c r="V166" s="189"/>
      <c r="W166" s="191" t="str">
        <f t="shared" si="6"/>
        <v/>
      </c>
      <c r="X166" s="189"/>
      <c r="Y166" s="189"/>
      <c r="Z166" s="189"/>
      <c r="AA166" s="189"/>
      <c r="AB166" s="189"/>
      <c r="AC166" s="189"/>
      <c r="AD166" s="189"/>
      <c r="AE166" s="189"/>
      <c r="AF166" s="189"/>
      <c r="AG166" s="192"/>
      <c r="AH166" s="192"/>
      <c r="AI166" s="189"/>
      <c r="AJ166" s="189"/>
      <c r="AK166" s="189"/>
      <c r="AL166" s="189"/>
      <c r="AM166" s="191" t="str">
        <f t="shared" si="8"/>
        <v/>
      </c>
      <c r="AN166" s="191" t="str">
        <f>IF($A166="","",IF(COUNTIF('Decision Queue'!$A$5:$A$204,$A166)+COUNTIF('Decision Register'!$A$5:$A$304,$A166)&gt;1,"DUPLICATE ID","OK"))</f>
        <v/>
      </c>
      <c r="AO166" t="s">
        <v>774</v>
      </c>
    </row>
    <row r="167" spans="1:41" ht="42" customHeight="1">
      <c r="A167" s="191" t="str">
        <f t="shared" si="7"/>
        <v/>
      </c>
      <c r="B167" s="189"/>
      <c r="C167" s="189"/>
      <c r="D167" s="189"/>
      <c r="E167" s="268"/>
      <c r="F167" s="189"/>
      <c r="G167" s="189"/>
      <c r="H167" s="189"/>
      <c r="I167" s="189"/>
      <c r="J167" s="189"/>
      <c r="K167" s="189"/>
      <c r="L167" s="189"/>
      <c r="M167" s="192"/>
      <c r="N167" s="189"/>
      <c r="O167" s="189"/>
      <c r="P167" s="189"/>
      <c r="Q167" s="189"/>
      <c r="R167" s="192"/>
      <c r="S167" s="189"/>
      <c r="T167" s="189"/>
      <c r="U167" s="189"/>
      <c r="V167" s="189"/>
      <c r="W167" s="191" t="str">
        <f t="shared" si="6"/>
        <v/>
      </c>
      <c r="X167" s="189"/>
      <c r="Y167" s="189"/>
      <c r="Z167" s="189"/>
      <c r="AA167" s="189"/>
      <c r="AB167" s="189"/>
      <c r="AC167" s="189"/>
      <c r="AD167" s="189"/>
      <c r="AE167" s="189"/>
      <c r="AF167" s="189"/>
      <c r="AG167" s="192"/>
      <c r="AH167" s="192"/>
      <c r="AI167" s="189"/>
      <c r="AJ167" s="189"/>
      <c r="AK167" s="189"/>
      <c r="AL167" s="189"/>
      <c r="AM167" s="191" t="str">
        <f t="shared" si="8"/>
        <v/>
      </c>
      <c r="AN167" s="191" t="str">
        <f>IF($A167="","",IF(COUNTIF('Decision Queue'!$A$5:$A$204,$A167)+COUNTIF('Decision Register'!$A$5:$A$304,$A167)&gt;1,"DUPLICATE ID","OK"))</f>
        <v/>
      </c>
      <c r="AO167" t="s">
        <v>775</v>
      </c>
    </row>
    <row r="168" spans="1:41" ht="42" customHeight="1">
      <c r="A168" s="191" t="str">
        <f t="shared" si="7"/>
        <v/>
      </c>
      <c r="B168" s="189"/>
      <c r="C168" s="189"/>
      <c r="D168" s="189"/>
      <c r="E168" s="268"/>
      <c r="F168" s="189"/>
      <c r="G168" s="189"/>
      <c r="H168" s="189"/>
      <c r="I168" s="189"/>
      <c r="J168" s="189"/>
      <c r="K168" s="189"/>
      <c r="L168" s="189"/>
      <c r="M168" s="192"/>
      <c r="N168" s="189"/>
      <c r="O168" s="189"/>
      <c r="P168" s="189"/>
      <c r="Q168" s="189"/>
      <c r="R168" s="192"/>
      <c r="S168" s="189"/>
      <c r="T168" s="189"/>
      <c r="U168" s="189"/>
      <c r="V168" s="189"/>
      <c r="W168" s="191" t="str">
        <f t="shared" si="6"/>
        <v/>
      </c>
      <c r="X168" s="189"/>
      <c r="Y168" s="189"/>
      <c r="Z168" s="189"/>
      <c r="AA168" s="189"/>
      <c r="AB168" s="189"/>
      <c r="AC168" s="189"/>
      <c r="AD168" s="189"/>
      <c r="AE168" s="189"/>
      <c r="AF168" s="189"/>
      <c r="AG168" s="192"/>
      <c r="AH168" s="192"/>
      <c r="AI168" s="189"/>
      <c r="AJ168" s="189"/>
      <c r="AK168" s="189"/>
      <c r="AL168" s="189"/>
      <c r="AM168" s="191" t="str">
        <f t="shared" si="8"/>
        <v/>
      </c>
      <c r="AN168" s="191" t="str">
        <f>IF($A168="","",IF(COUNTIF('Decision Queue'!$A$5:$A$204,$A168)+COUNTIF('Decision Register'!$A$5:$A$304,$A168)&gt;1,"DUPLICATE ID","OK"))</f>
        <v/>
      </c>
      <c r="AO168" t="s">
        <v>776</v>
      </c>
    </row>
    <row r="169" spans="1:41" ht="42" customHeight="1">
      <c r="A169" s="191" t="str">
        <f t="shared" si="7"/>
        <v/>
      </c>
      <c r="B169" s="189"/>
      <c r="C169" s="189"/>
      <c r="D169" s="189"/>
      <c r="E169" s="268"/>
      <c r="F169" s="189"/>
      <c r="G169" s="189"/>
      <c r="H169" s="189"/>
      <c r="I169" s="189"/>
      <c r="J169" s="189"/>
      <c r="K169" s="189"/>
      <c r="L169" s="189"/>
      <c r="M169" s="192"/>
      <c r="N169" s="189"/>
      <c r="O169" s="189"/>
      <c r="P169" s="189"/>
      <c r="Q169" s="189"/>
      <c r="R169" s="192"/>
      <c r="S169" s="189"/>
      <c r="T169" s="189"/>
      <c r="U169" s="189"/>
      <c r="V169" s="189"/>
      <c r="W169" s="191" t="str">
        <f t="shared" si="6"/>
        <v/>
      </c>
      <c r="X169" s="189"/>
      <c r="Y169" s="189"/>
      <c r="Z169" s="189"/>
      <c r="AA169" s="189"/>
      <c r="AB169" s="189"/>
      <c r="AC169" s="189"/>
      <c r="AD169" s="189"/>
      <c r="AE169" s="189"/>
      <c r="AF169" s="189"/>
      <c r="AG169" s="192"/>
      <c r="AH169" s="192"/>
      <c r="AI169" s="189"/>
      <c r="AJ169" s="189"/>
      <c r="AK169" s="189"/>
      <c r="AL169" s="189"/>
      <c r="AM169" s="191" t="str">
        <f t="shared" si="8"/>
        <v/>
      </c>
      <c r="AN169" s="191" t="str">
        <f>IF($A169="","",IF(COUNTIF('Decision Queue'!$A$5:$A$204,$A169)+COUNTIF('Decision Register'!$A$5:$A$304,$A169)&gt;1,"DUPLICATE ID","OK"))</f>
        <v/>
      </c>
      <c r="AO169" t="s">
        <v>777</v>
      </c>
    </row>
    <row r="170" spans="1:41" ht="42" customHeight="1">
      <c r="A170" s="191" t="str">
        <f t="shared" si="7"/>
        <v/>
      </c>
      <c r="B170" s="189"/>
      <c r="C170" s="189"/>
      <c r="D170" s="189"/>
      <c r="E170" s="268"/>
      <c r="F170" s="189"/>
      <c r="G170" s="189"/>
      <c r="H170" s="189"/>
      <c r="I170" s="189"/>
      <c r="J170" s="189"/>
      <c r="K170" s="189"/>
      <c r="L170" s="189"/>
      <c r="M170" s="192"/>
      <c r="N170" s="189"/>
      <c r="O170" s="189"/>
      <c r="P170" s="189"/>
      <c r="Q170" s="189"/>
      <c r="R170" s="192"/>
      <c r="S170" s="189"/>
      <c r="T170" s="189"/>
      <c r="U170" s="189"/>
      <c r="V170" s="189"/>
      <c r="W170" s="191" t="str">
        <f t="shared" si="6"/>
        <v/>
      </c>
      <c r="X170" s="189"/>
      <c r="Y170" s="189"/>
      <c r="Z170" s="189"/>
      <c r="AA170" s="189"/>
      <c r="AB170" s="189"/>
      <c r="AC170" s="189"/>
      <c r="AD170" s="189"/>
      <c r="AE170" s="189"/>
      <c r="AF170" s="189"/>
      <c r="AG170" s="192"/>
      <c r="AH170" s="192"/>
      <c r="AI170" s="189"/>
      <c r="AJ170" s="189"/>
      <c r="AK170" s="189"/>
      <c r="AL170" s="189"/>
      <c r="AM170" s="191" t="str">
        <f t="shared" si="8"/>
        <v/>
      </c>
      <c r="AN170" s="191" t="str">
        <f>IF($A170="","",IF(COUNTIF('Decision Queue'!$A$5:$A$204,$A170)+COUNTIF('Decision Register'!$A$5:$A$304,$A170)&gt;1,"DUPLICATE ID","OK"))</f>
        <v/>
      </c>
      <c r="AO170" t="s">
        <v>778</v>
      </c>
    </row>
    <row r="171" spans="1:41" ht="42" customHeight="1">
      <c r="A171" s="191" t="str">
        <f t="shared" si="7"/>
        <v/>
      </c>
      <c r="B171" s="189"/>
      <c r="C171" s="189"/>
      <c r="D171" s="189"/>
      <c r="E171" s="268"/>
      <c r="F171" s="189"/>
      <c r="G171" s="189"/>
      <c r="H171" s="189"/>
      <c r="I171" s="189"/>
      <c r="J171" s="189"/>
      <c r="K171" s="189"/>
      <c r="L171" s="189"/>
      <c r="M171" s="192"/>
      <c r="N171" s="189"/>
      <c r="O171" s="189"/>
      <c r="P171" s="189"/>
      <c r="Q171" s="189"/>
      <c r="R171" s="192"/>
      <c r="S171" s="189"/>
      <c r="T171" s="189"/>
      <c r="U171" s="189"/>
      <c r="V171" s="189"/>
      <c r="W171" s="191" t="str">
        <f t="shared" si="6"/>
        <v/>
      </c>
      <c r="X171" s="189"/>
      <c r="Y171" s="189"/>
      <c r="Z171" s="189"/>
      <c r="AA171" s="189"/>
      <c r="AB171" s="189"/>
      <c r="AC171" s="189"/>
      <c r="AD171" s="189"/>
      <c r="AE171" s="189"/>
      <c r="AF171" s="189"/>
      <c r="AG171" s="192"/>
      <c r="AH171" s="192"/>
      <c r="AI171" s="189"/>
      <c r="AJ171" s="189"/>
      <c r="AK171" s="189"/>
      <c r="AL171" s="189"/>
      <c r="AM171" s="191" t="str">
        <f t="shared" si="8"/>
        <v/>
      </c>
      <c r="AN171" s="191" t="str">
        <f>IF($A171="","",IF(COUNTIF('Decision Queue'!$A$5:$A$204,$A171)+COUNTIF('Decision Register'!$A$5:$A$304,$A171)&gt;1,"DUPLICATE ID","OK"))</f>
        <v/>
      </c>
      <c r="AO171" t="s">
        <v>779</v>
      </c>
    </row>
    <row r="172" spans="1:41" ht="42" customHeight="1">
      <c r="A172" s="191" t="str">
        <f t="shared" si="7"/>
        <v/>
      </c>
      <c r="B172" s="189"/>
      <c r="C172" s="189"/>
      <c r="D172" s="189"/>
      <c r="E172" s="268"/>
      <c r="F172" s="189"/>
      <c r="G172" s="189"/>
      <c r="H172" s="189"/>
      <c r="I172" s="189"/>
      <c r="J172" s="189"/>
      <c r="K172" s="189"/>
      <c r="L172" s="189"/>
      <c r="M172" s="192"/>
      <c r="N172" s="189"/>
      <c r="O172" s="189"/>
      <c r="P172" s="189"/>
      <c r="Q172" s="189"/>
      <c r="R172" s="192"/>
      <c r="S172" s="189"/>
      <c r="T172" s="189"/>
      <c r="U172" s="189"/>
      <c r="V172" s="189"/>
      <c r="W172" s="191" t="str">
        <f t="shared" si="6"/>
        <v/>
      </c>
      <c r="X172" s="189"/>
      <c r="Y172" s="189"/>
      <c r="Z172" s="189"/>
      <c r="AA172" s="189"/>
      <c r="AB172" s="189"/>
      <c r="AC172" s="189"/>
      <c r="AD172" s="189"/>
      <c r="AE172" s="189"/>
      <c r="AF172" s="189"/>
      <c r="AG172" s="192"/>
      <c r="AH172" s="192"/>
      <c r="AI172" s="189"/>
      <c r="AJ172" s="189"/>
      <c r="AK172" s="189"/>
      <c r="AL172" s="189"/>
      <c r="AM172" s="191" t="str">
        <f t="shared" si="8"/>
        <v/>
      </c>
      <c r="AN172" s="191" t="str">
        <f>IF($A172="","",IF(COUNTIF('Decision Queue'!$A$5:$A$204,$A172)+COUNTIF('Decision Register'!$A$5:$A$304,$A172)&gt;1,"DUPLICATE ID","OK"))</f>
        <v/>
      </c>
      <c r="AO172" t="s">
        <v>780</v>
      </c>
    </row>
    <row r="173" spans="1:41" ht="42" customHeight="1">
      <c r="A173" s="191" t="str">
        <f t="shared" si="7"/>
        <v/>
      </c>
      <c r="B173" s="189"/>
      <c r="C173" s="189"/>
      <c r="D173" s="189"/>
      <c r="E173" s="268"/>
      <c r="F173" s="189"/>
      <c r="G173" s="189"/>
      <c r="H173" s="189"/>
      <c r="I173" s="189"/>
      <c r="J173" s="189"/>
      <c r="K173" s="189"/>
      <c r="L173" s="189"/>
      <c r="M173" s="192"/>
      <c r="N173" s="189"/>
      <c r="O173" s="189"/>
      <c r="P173" s="189"/>
      <c r="Q173" s="189"/>
      <c r="R173" s="192"/>
      <c r="S173" s="189"/>
      <c r="T173" s="189"/>
      <c r="U173" s="189"/>
      <c r="V173" s="189"/>
      <c r="W173" s="191" t="str">
        <f t="shared" si="6"/>
        <v/>
      </c>
      <c r="X173" s="189"/>
      <c r="Y173" s="189"/>
      <c r="Z173" s="189"/>
      <c r="AA173" s="189"/>
      <c r="AB173" s="189"/>
      <c r="AC173" s="189"/>
      <c r="AD173" s="189"/>
      <c r="AE173" s="189"/>
      <c r="AF173" s="189"/>
      <c r="AG173" s="192"/>
      <c r="AH173" s="192"/>
      <c r="AI173" s="189"/>
      <c r="AJ173" s="189"/>
      <c r="AK173" s="189"/>
      <c r="AL173" s="189"/>
      <c r="AM173" s="191" t="str">
        <f t="shared" si="8"/>
        <v/>
      </c>
      <c r="AN173" s="191" t="str">
        <f>IF($A173="","",IF(COUNTIF('Decision Queue'!$A$5:$A$204,$A173)+COUNTIF('Decision Register'!$A$5:$A$304,$A173)&gt;1,"DUPLICATE ID","OK"))</f>
        <v/>
      </c>
      <c r="AO173" t="s">
        <v>781</v>
      </c>
    </row>
    <row r="174" spans="1:41" ht="42" customHeight="1">
      <c r="A174" s="191" t="str">
        <f t="shared" si="7"/>
        <v/>
      </c>
      <c r="B174" s="189"/>
      <c r="C174" s="189"/>
      <c r="D174" s="189"/>
      <c r="E174" s="268"/>
      <c r="F174" s="189"/>
      <c r="G174" s="189"/>
      <c r="H174" s="189"/>
      <c r="I174" s="189"/>
      <c r="J174" s="189"/>
      <c r="K174" s="189"/>
      <c r="L174" s="189"/>
      <c r="M174" s="192"/>
      <c r="N174" s="189"/>
      <c r="O174" s="189"/>
      <c r="P174" s="189"/>
      <c r="Q174" s="189"/>
      <c r="R174" s="192"/>
      <c r="S174" s="189"/>
      <c r="T174" s="189"/>
      <c r="U174" s="189"/>
      <c r="V174" s="189"/>
      <c r="W174" s="191" t="str">
        <f t="shared" si="6"/>
        <v/>
      </c>
      <c r="X174" s="189"/>
      <c r="Y174" s="189"/>
      <c r="Z174" s="189"/>
      <c r="AA174" s="189"/>
      <c r="AB174" s="189"/>
      <c r="AC174" s="189"/>
      <c r="AD174" s="189"/>
      <c r="AE174" s="189"/>
      <c r="AF174" s="189"/>
      <c r="AG174" s="192"/>
      <c r="AH174" s="192"/>
      <c r="AI174" s="189"/>
      <c r="AJ174" s="189"/>
      <c r="AK174" s="189"/>
      <c r="AL174" s="189"/>
      <c r="AM174" s="191" t="str">
        <f t="shared" si="8"/>
        <v/>
      </c>
      <c r="AN174" s="191" t="str">
        <f>IF($A174="","",IF(COUNTIF('Decision Queue'!$A$5:$A$204,$A174)+COUNTIF('Decision Register'!$A$5:$A$304,$A174)&gt;1,"DUPLICATE ID","OK"))</f>
        <v/>
      </c>
      <c r="AO174" t="s">
        <v>782</v>
      </c>
    </row>
    <row r="175" spans="1:41" ht="42" customHeight="1">
      <c r="A175" s="191" t="str">
        <f t="shared" si="7"/>
        <v/>
      </c>
      <c r="B175" s="189"/>
      <c r="C175" s="189"/>
      <c r="D175" s="189"/>
      <c r="E175" s="268"/>
      <c r="F175" s="189"/>
      <c r="G175" s="189"/>
      <c r="H175" s="189"/>
      <c r="I175" s="189"/>
      <c r="J175" s="189"/>
      <c r="K175" s="189"/>
      <c r="L175" s="189"/>
      <c r="M175" s="192"/>
      <c r="N175" s="189"/>
      <c r="O175" s="189"/>
      <c r="P175" s="189"/>
      <c r="Q175" s="189"/>
      <c r="R175" s="192"/>
      <c r="S175" s="189"/>
      <c r="T175" s="189"/>
      <c r="U175" s="189"/>
      <c r="V175" s="189"/>
      <c r="W175" s="191" t="str">
        <f t="shared" si="6"/>
        <v/>
      </c>
      <c r="X175" s="189"/>
      <c r="Y175" s="189"/>
      <c r="Z175" s="189"/>
      <c r="AA175" s="189"/>
      <c r="AB175" s="189"/>
      <c r="AC175" s="189"/>
      <c r="AD175" s="189"/>
      <c r="AE175" s="189"/>
      <c r="AF175" s="189"/>
      <c r="AG175" s="192"/>
      <c r="AH175" s="192"/>
      <c r="AI175" s="189"/>
      <c r="AJ175" s="189"/>
      <c r="AK175" s="189"/>
      <c r="AL175" s="189"/>
      <c r="AM175" s="191" t="str">
        <f t="shared" si="8"/>
        <v/>
      </c>
      <c r="AN175" s="191" t="str">
        <f>IF($A175="","",IF(COUNTIF('Decision Queue'!$A$5:$A$204,$A175)+COUNTIF('Decision Register'!$A$5:$A$304,$A175)&gt;1,"DUPLICATE ID","OK"))</f>
        <v/>
      </c>
      <c r="AO175" t="s">
        <v>783</v>
      </c>
    </row>
    <row r="176" spans="1:41" ht="42" customHeight="1">
      <c r="A176" s="191" t="str">
        <f t="shared" si="7"/>
        <v/>
      </c>
      <c r="B176" s="189"/>
      <c r="C176" s="189"/>
      <c r="D176" s="189"/>
      <c r="E176" s="268"/>
      <c r="F176" s="189"/>
      <c r="G176" s="189"/>
      <c r="H176" s="189"/>
      <c r="I176" s="189"/>
      <c r="J176" s="189"/>
      <c r="K176" s="189"/>
      <c r="L176" s="189"/>
      <c r="M176" s="192"/>
      <c r="N176" s="189"/>
      <c r="O176" s="189"/>
      <c r="P176" s="189"/>
      <c r="Q176" s="189"/>
      <c r="R176" s="192"/>
      <c r="S176" s="189"/>
      <c r="T176" s="189"/>
      <c r="U176" s="189"/>
      <c r="V176" s="189"/>
      <c r="W176" s="191" t="str">
        <f t="shared" si="6"/>
        <v/>
      </c>
      <c r="X176" s="189"/>
      <c r="Y176" s="189"/>
      <c r="Z176" s="189"/>
      <c r="AA176" s="189"/>
      <c r="AB176" s="189"/>
      <c r="AC176" s="189"/>
      <c r="AD176" s="189"/>
      <c r="AE176" s="189"/>
      <c r="AF176" s="189"/>
      <c r="AG176" s="192"/>
      <c r="AH176" s="192"/>
      <c r="AI176" s="189"/>
      <c r="AJ176" s="189"/>
      <c r="AK176" s="189"/>
      <c r="AL176" s="189"/>
      <c r="AM176" s="191" t="str">
        <f t="shared" si="8"/>
        <v/>
      </c>
      <c r="AN176" s="191" t="str">
        <f>IF($A176="","",IF(COUNTIF('Decision Queue'!$A$5:$A$204,$A176)+COUNTIF('Decision Register'!$A$5:$A$304,$A176)&gt;1,"DUPLICATE ID","OK"))</f>
        <v/>
      </c>
      <c r="AO176" t="s">
        <v>784</v>
      </c>
    </row>
    <row r="177" spans="1:41" ht="42" customHeight="1">
      <c r="A177" s="191" t="str">
        <f t="shared" si="7"/>
        <v/>
      </c>
      <c r="B177" s="189"/>
      <c r="C177" s="189"/>
      <c r="D177" s="189"/>
      <c r="E177" s="268"/>
      <c r="F177" s="189"/>
      <c r="G177" s="189"/>
      <c r="H177" s="189"/>
      <c r="I177" s="189"/>
      <c r="J177" s="189"/>
      <c r="K177" s="189"/>
      <c r="L177" s="189"/>
      <c r="M177" s="192"/>
      <c r="N177" s="189"/>
      <c r="O177" s="189"/>
      <c r="P177" s="189"/>
      <c r="Q177" s="189"/>
      <c r="R177" s="192"/>
      <c r="S177" s="189"/>
      <c r="T177" s="189"/>
      <c r="U177" s="189"/>
      <c r="V177" s="189"/>
      <c r="W177" s="191" t="str">
        <f t="shared" si="6"/>
        <v/>
      </c>
      <c r="X177" s="189"/>
      <c r="Y177" s="189"/>
      <c r="Z177" s="189"/>
      <c r="AA177" s="189"/>
      <c r="AB177" s="189"/>
      <c r="AC177" s="189"/>
      <c r="AD177" s="189"/>
      <c r="AE177" s="189"/>
      <c r="AF177" s="189"/>
      <c r="AG177" s="192"/>
      <c r="AH177" s="192"/>
      <c r="AI177" s="189"/>
      <c r="AJ177" s="189"/>
      <c r="AK177" s="189"/>
      <c r="AL177" s="189"/>
      <c r="AM177" s="191" t="str">
        <f t="shared" si="8"/>
        <v/>
      </c>
      <c r="AN177" s="191" t="str">
        <f>IF($A177="","",IF(COUNTIF('Decision Queue'!$A$5:$A$204,$A177)+COUNTIF('Decision Register'!$A$5:$A$304,$A177)&gt;1,"DUPLICATE ID","OK"))</f>
        <v/>
      </c>
      <c r="AO177" t="s">
        <v>785</v>
      </c>
    </row>
    <row r="178" spans="1:41" ht="42" customHeight="1">
      <c r="A178" s="191" t="str">
        <f t="shared" si="7"/>
        <v/>
      </c>
      <c r="B178" s="189"/>
      <c r="C178" s="189"/>
      <c r="D178" s="189"/>
      <c r="E178" s="268"/>
      <c r="F178" s="189"/>
      <c r="G178" s="189"/>
      <c r="H178" s="189"/>
      <c r="I178" s="189"/>
      <c r="J178" s="189"/>
      <c r="K178" s="189"/>
      <c r="L178" s="189"/>
      <c r="M178" s="192"/>
      <c r="N178" s="189"/>
      <c r="O178" s="189"/>
      <c r="P178" s="189"/>
      <c r="Q178" s="189"/>
      <c r="R178" s="192"/>
      <c r="S178" s="189"/>
      <c r="T178" s="189"/>
      <c r="U178" s="189"/>
      <c r="V178" s="189"/>
      <c r="W178" s="191" t="str">
        <f t="shared" si="6"/>
        <v/>
      </c>
      <c r="X178" s="189"/>
      <c r="Y178" s="189"/>
      <c r="Z178" s="189"/>
      <c r="AA178" s="189"/>
      <c r="AB178" s="189"/>
      <c r="AC178" s="189"/>
      <c r="AD178" s="189"/>
      <c r="AE178" s="189"/>
      <c r="AF178" s="189"/>
      <c r="AG178" s="192"/>
      <c r="AH178" s="192"/>
      <c r="AI178" s="189"/>
      <c r="AJ178" s="189"/>
      <c r="AK178" s="189"/>
      <c r="AL178" s="189"/>
      <c r="AM178" s="191" t="str">
        <f t="shared" si="8"/>
        <v/>
      </c>
      <c r="AN178" s="191" t="str">
        <f>IF($A178="","",IF(COUNTIF('Decision Queue'!$A$5:$A$204,$A178)+COUNTIF('Decision Register'!$A$5:$A$304,$A178)&gt;1,"DUPLICATE ID","OK"))</f>
        <v/>
      </c>
      <c r="AO178" t="s">
        <v>786</v>
      </c>
    </row>
    <row r="179" spans="1:41" ht="42" customHeight="1">
      <c r="A179" s="191" t="str">
        <f t="shared" si="7"/>
        <v/>
      </c>
      <c r="B179" s="189"/>
      <c r="C179" s="189"/>
      <c r="D179" s="189"/>
      <c r="E179" s="268"/>
      <c r="F179" s="189"/>
      <c r="G179" s="189"/>
      <c r="H179" s="189"/>
      <c r="I179" s="189"/>
      <c r="J179" s="189"/>
      <c r="K179" s="189"/>
      <c r="L179" s="189"/>
      <c r="M179" s="192"/>
      <c r="N179" s="189"/>
      <c r="O179" s="189"/>
      <c r="P179" s="189"/>
      <c r="Q179" s="189"/>
      <c r="R179" s="192"/>
      <c r="S179" s="189"/>
      <c r="T179" s="189"/>
      <c r="U179" s="189"/>
      <c r="V179" s="189"/>
      <c r="W179" s="191" t="str">
        <f t="shared" si="6"/>
        <v/>
      </c>
      <c r="X179" s="189"/>
      <c r="Y179" s="189"/>
      <c r="Z179" s="189"/>
      <c r="AA179" s="189"/>
      <c r="AB179" s="189"/>
      <c r="AC179" s="189"/>
      <c r="AD179" s="189"/>
      <c r="AE179" s="189"/>
      <c r="AF179" s="189"/>
      <c r="AG179" s="192"/>
      <c r="AH179" s="192"/>
      <c r="AI179" s="189"/>
      <c r="AJ179" s="189"/>
      <c r="AK179" s="189"/>
      <c r="AL179" s="189"/>
      <c r="AM179" s="191" t="str">
        <f t="shared" si="8"/>
        <v/>
      </c>
      <c r="AN179" s="191" t="str">
        <f>IF($A179="","",IF(COUNTIF('Decision Queue'!$A$5:$A$204,$A179)+COUNTIF('Decision Register'!$A$5:$A$304,$A179)&gt;1,"DUPLICATE ID","OK"))</f>
        <v/>
      </c>
      <c r="AO179" t="s">
        <v>787</v>
      </c>
    </row>
    <row r="180" spans="1:41" ht="42" customHeight="1">
      <c r="A180" s="191" t="str">
        <f t="shared" si="7"/>
        <v/>
      </c>
      <c r="B180" s="189"/>
      <c r="C180" s="189"/>
      <c r="D180" s="189"/>
      <c r="E180" s="268"/>
      <c r="F180" s="189"/>
      <c r="G180" s="189"/>
      <c r="H180" s="189"/>
      <c r="I180" s="189"/>
      <c r="J180" s="189"/>
      <c r="K180" s="189"/>
      <c r="L180" s="189"/>
      <c r="M180" s="192"/>
      <c r="N180" s="189"/>
      <c r="O180" s="189"/>
      <c r="P180" s="189"/>
      <c r="Q180" s="189"/>
      <c r="R180" s="192"/>
      <c r="S180" s="189"/>
      <c r="T180" s="189"/>
      <c r="U180" s="189"/>
      <c r="V180" s="189"/>
      <c r="W180" s="191" t="str">
        <f t="shared" si="6"/>
        <v/>
      </c>
      <c r="X180" s="189"/>
      <c r="Y180" s="189"/>
      <c r="Z180" s="189"/>
      <c r="AA180" s="189"/>
      <c r="AB180" s="189"/>
      <c r="AC180" s="189"/>
      <c r="AD180" s="189"/>
      <c r="AE180" s="189"/>
      <c r="AF180" s="189"/>
      <c r="AG180" s="192"/>
      <c r="AH180" s="192"/>
      <c r="AI180" s="189"/>
      <c r="AJ180" s="189"/>
      <c r="AK180" s="189"/>
      <c r="AL180" s="189"/>
      <c r="AM180" s="191" t="str">
        <f t="shared" si="8"/>
        <v/>
      </c>
      <c r="AN180" s="191" t="str">
        <f>IF($A180="","",IF(COUNTIF('Decision Queue'!$A$5:$A$204,$A180)+COUNTIF('Decision Register'!$A$5:$A$304,$A180)&gt;1,"DUPLICATE ID","OK"))</f>
        <v/>
      </c>
      <c r="AO180" t="s">
        <v>788</v>
      </c>
    </row>
    <row r="181" spans="1:41" ht="42" customHeight="1">
      <c r="A181" s="191" t="str">
        <f t="shared" si="7"/>
        <v/>
      </c>
      <c r="B181" s="189"/>
      <c r="C181" s="189"/>
      <c r="D181" s="189"/>
      <c r="E181" s="268"/>
      <c r="F181" s="189"/>
      <c r="G181" s="189"/>
      <c r="H181" s="189"/>
      <c r="I181" s="189"/>
      <c r="J181" s="189"/>
      <c r="K181" s="189"/>
      <c r="L181" s="189"/>
      <c r="M181" s="192"/>
      <c r="N181" s="189"/>
      <c r="O181" s="189"/>
      <c r="P181" s="189"/>
      <c r="Q181" s="189"/>
      <c r="R181" s="192"/>
      <c r="S181" s="189"/>
      <c r="T181" s="189"/>
      <c r="U181" s="189"/>
      <c r="V181" s="189"/>
      <c r="W181" s="191" t="str">
        <f t="shared" si="6"/>
        <v/>
      </c>
      <c r="X181" s="189"/>
      <c r="Y181" s="189"/>
      <c r="Z181" s="189"/>
      <c r="AA181" s="189"/>
      <c r="AB181" s="189"/>
      <c r="AC181" s="189"/>
      <c r="AD181" s="189"/>
      <c r="AE181" s="189"/>
      <c r="AF181" s="189"/>
      <c r="AG181" s="192"/>
      <c r="AH181" s="192"/>
      <c r="AI181" s="189"/>
      <c r="AJ181" s="189"/>
      <c r="AK181" s="189"/>
      <c r="AL181" s="189"/>
      <c r="AM181" s="191" t="str">
        <f t="shared" si="8"/>
        <v/>
      </c>
      <c r="AN181" s="191" t="str">
        <f>IF($A181="","",IF(COUNTIF('Decision Queue'!$A$5:$A$204,$A181)+COUNTIF('Decision Register'!$A$5:$A$304,$A181)&gt;1,"DUPLICATE ID","OK"))</f>
        <v/>
      </c>
      <c r="AO181" t="s">
        <v>789</v>
      </c>
    </row>
    <row r="182" spans="1:41" ht="42" customHeight="1">
      <c r="A182" s="191" t="str">
        <f t="shared" si="7"/>
        <v/>
      </c>
      <c r="B182" s="189"/>
      <c r="C182" s="189"/>
      <c r="D182" s="189"/>
      <c r="E182" s="268"/>
      <c r="F182" s="189"/>
      <c r="G182" s="189"/>
      <c r="H182" s="189"/>
      <c r="I182" s="189"/>
      <c r="J182" s="189"/>
      <c r="K182" s="189"/>
      <c r="L182" s="189"/>
      <c r="M182" s="192"/>
      <c r="N182" s="189"/>
      <c r="O182" s="189"/>
      <c r="P182" s="189"/>
      <c r="Q182" s="189"/>
      <c r="R182" s="192"/>
      <c r="S182" s="189"/>
      <c r="T182" s="189"/>
      <c r="U182" s="189"/>
      <c r="V182" s="189"/>
      <c r="W182" s="191" t="str">
        <f t="shared" si="6"/>
        <v/>
      </c>
      <c r="X182" s="189"/>
      <c r="Y182" s="189"/>
      <c r="Z182" s="189"/>
      <c r="AA182" s="189"/>
      <c r="AB182" s="189"/>
      <c r="AC182" s="189"/>
      <c r="AD182" s="189"/>
      <c r="AE182" s="189"/>
      <c r="AF182" s="189"/>
      <c r="AG182" s="192"/>
      <c r="AH182" s="192"/>
      <c r="AI182" s="189"/>
      <c r="AJ182" s="189"/>
      <c r="AK182" s="189"/>
      <c r="AL182" s="189"/>
      <c r="AM182" s="191" t="str">
        <f t="shared" si="8"/>
        <v/>
      </c>
      <c r="AN182" s="191" t="str">
        <f>IF($A182="","",IF(COUNTIF('Decision Queue'!$A$5:$A$204,$A182)+COUNTIF('Decision Register'!$A$5:$A$304,$A182)&gt;1,"DUPLICATE ID","OK"))</f>
        <v/>
      </c>
      <c r="AO182" t="s">
        <v>790</v>
      </c>
    </row>
    <row r="183" spans="1:41" ht="42" customHeight="1">
      <c r="A183" s="191" t="str">
        <f t="shared" si="7"/>
        <v/>
      </c>
      <c r="B183" s="189"/>
      <c r="C183" s="189"/>
      <c r="D183" s="189"/>
      <c r="E183" s="268"/>
      <c r="F183" s="189"/>
      <c r="G183" s="189"/>
      <c r="H183" s="189"/>
      <c r="I183" s="189"/>
      <c r="J183" s="189"/>
      <c r="K183" s="189"/>
      <c r="L183" s="189"/>
      <c r="M183" s="192"/>
      <c r="N183" s="189"/>
      <c r="O183" s="189"/>
      <c r="P183" s="189"/>
      <c r="Q183" s="189"/>
      <c r="R183" s="192"/>
      <c r="S183" s="189"/>
      <c r="T183" s="189"/>
      <c r="U183" s="189"/>
      <c r="V183" s="189"/>
      <c r="W183" s="191" t="str">
        <f t="shared" si="6"/>
        <v/>
      </c>
      <c r="X183" s="189"/>
      <c r="Y183" s="189"/>
      <c r="Z183" s="189"/>
      <c r="AA183" s="189"/>
      <c r="AB183" s="189"/>
      <c r="AC183" s="189"/>
      <c r="AD183" s="189"/>
      <c r="AE183" s="189"/>
      <c r="AF183" s="189"/>
      <c r="AG183" s="192"/>
      <c r="AH183" s="192"/>
      <c r="AI183" s="189"/>
      <c r="AJ183" s="189"/>
      <c r="AK183" s="189"/>
      <c r="AL183" s="189"/>
      <c r="AM183" s="191" t="str">
        <f t="shared" si="8"/>
        <v/>
      </c>
      <c r="AN183" s="191" t="str">
        <f>IF($A183="","",IF(COUNTIF('Decision Queue'!$A$5:$A$204,$A183)+COUNTIF('Decision Register'!$A$5:$A$304,$A183)&gt;1,"DUPLICATE ID","OK"))</f>
        <v/>
      </c>
      <c r="AO183" t="s">
        <v>791</v>
      </c>
    </row>
    <row r="184" spans="1:41" ht="42" customHeight="1">
      <c r="A184" s="191" t="str">
        <f t="shared" si="7"/>
        <v/>
      </c>
      <c r="B184" s="189"/>
      <c r="C184" s="189"/>
      <c r="D184" s="189"/>
      <c r="E184" s="268"/>
      <c r="F184" s="189"/>
      <c r="G184" s="189"/>
      <c r="H184" s="189"/>
      <c r="I184" s="189"/>
      <c r="J184" s="189"/>
      <c r="K184" s="189"/>
      <c r="L184" s="189"/>
      <c r="M184" s="192"/>
      <c r="N184" s="189"/>
      <c r="O184" s="189"/>
      <c r="P184" s="189"/>
      <c r="Q184" s="189"/>
      <c r="R184" s="192"/>
      <c r="S184" s="189"/>
      <c r="T184" s="189"/>
      <c r="U184" s="189"/>
      <c r="V184" s="189"/>
      <c r="W184" s="191" t="str">
        <f t="shared" si="6"/>
        <v/>
      </c>
      <c r="X184" s="189"/>
      <c r="Y184" s="189"/>
      <c r="Z184" s="189"/>
      <c r="AA184" s="189"/>
      <c r="AB184" s="189"/>
      <c r="AC184" s="189"/>
      <c r="AD184" s="189"/>
      <c r="AE184" s="189"/>
      <c r="AF184" s="189"/>
      <c r="AG184" s="192"/>
      <c r="AH184" s="192"/>
      <c r="AI184" s="189"/>
      <c r="AJ184" s="189"/>
      <c r="AK184" s="189"/>
      <c r="AL184" s="189"/>
      <c r="AM184" s="191" t="str">
        <f t="shared" si="8"/>
        <v/>
      </c>
      <c r="AN184" s="191" t="str">
        <f>IF($A184="","",IF(COUNTIF('Decision Queue'!$A$5:$A$204,$A184)+COUNTIF('Decision Register'!$A$5:$A$304,$A184)&gt;1,"DUPLICATE ID","OK"))</f>
        <v/>
      </c>
      <c r="AO184" t="s">
        <v>792</v>
      </c>
    </row>
    <row r="185" spans="1:41" ht="42" customHeight="1">
      <c r="A185" s="191" t="str">
        <f t="shared" si="7"/>
        <v/>
      </c>
      <c r="B185" s="189"/>
      <c r="C185" s="189"/>
      <c r="D185" s="189"/>
      <c r="E185" s="268"/>
      <c r="F185" s="189"/>
      <c r="G185" s="189"/>
      <c r="H185" s="189"/>
      <c r="I185" s="189"/>
      <c r="J185" s="189"/>
      <c r="K185" s="189"/>
      <c r="L185" s="189"/>
      <c r="M185" s="192"/>
      <c r="N185" s="189"/>
      <c r="O185" s="189"/>
      <c r="P185" s="189"/>
      <c r="Q185" s="189"/>
      <c r="R185" s="192"/>
      <c r="S185" s="189"/>
      <c r="T185" s="189"/>
      <c r="U185" s="189"/>
      <c r="V185" s="189"/>
      <c r="W185" s="191" t="str">
        <f t="shared" si="6"/>
        <v/>
      </c>
      <c r="X185" s="189"/>
      <c r="Y185" s="189"/>
      <c r="Z185" s="189"/>
      <c r="AA185" s="189"/>
      <c r="AB185" s="189"/>
      <c r="AC185" s="189"/>
      <c r="AD185" s="189"/>
      <c r="AE185" s="189"/>
      <c r="AF185" s="189"/>
      <c r="AG185" s="192"/>
      <c r="AH185" s="192"/>
      <c r="AI185" s="189"/>
      <c r="AJ185" s="189"/>
      <c r="AK185" s="189"/>
      <c r="AL185" s="189"/>
      <c r="AM185" s="191" t="str">
        <f t="shared" si="8"/>
        <v/>
      </c>
      <c r="AN185" s="191" t="str">
        <f>IF($A185="","",IF(COUNTIF('Decision Queue'!$A$5:$A$204,$A185)+COUNTIF('Decision Register'!$A$5:$A$304,$A185)&gt;1,"DUPLICATE ID","OK"))</f>
        <v/>
      </c>
      <c r="AO185" t="s">
        <v>793</v>
      </c>
    </row>
    <row r="186" spans="1:41" ht="42" customHeight="1">
      <c r="A186" s="191" t="str">
        <f t="shared" si="7"/>
        <v/>
      </c>
      <c r="B186" s="189"/>
      <c r="C186" s="189"/>
      <c r="D186" s="189"/>
      <c r="E186" s="268"/>
      <c r="F186" s="189"/>
      <c r="G186" s="189"/>
      <c r="H186" s="189"/>
      <c r="I186" s="189"/>
      <c r="J186" s="189"/>
      <c r="K186" s="189"/>
      <c r="L186" s="189"/>
      <c r="M186" s="192"/>
      <c r="N186" s="189"/>
      <c r="O186" s="189"/>
      <c r="P186" s="189"/>
      <c r="Q186" s="189"/>
      <c r="R186" s="192"/>
      <c r="S186" s="189"/>
      <c r="T186" s="189"/>
      <c r="U186" s="189"/>
      <c r="V186" s="189"/>
      <c r="W186" s="191" t="str">
        <f t="shared" si="6"/>
        <v/>
      </c>
      <c r="X186" s="189"/>
      <c r="Y186" s="189"/>
      <c r="Z186" s="189"/>
      <c r="AA186" s="189"/>
      <c r="AB186" s="189"/>
      <c r="AC186" s="189"/>
      <c r="AD186" s="189"/>
      <c r="AE186" s="189"/>
      <c r="AF186" s="189"/>
      <c r="AG186" s="192"/>
      <c r="AH186" s="192"/>
      <c r="AI186" s="189"/>
      <c r="AJ186" s="189"/>
      <c r="AK186" s="189"/>
      <c r="AL186" s="189"/>
      <c r="AM186" s="191" t="str">
        <f t="shared" si="8"/>
        <v/>
      </c>
      <c r="AN186" s="191" t="str">
        <f>IF($A186="","",IF(COUNTIF('Decision Queue'!$A$5:$A$204,$A186)+COUNTIF('Decision Register'!$A$5:$A$304,$A186)&gt;1,"DUPLICATE ID","OK"))</f>
        <v/>
      </c>
      <c r="AO186" t="s">
        <v>794</v>
      </c>
    </row>
    <row r="187" spans="1:41" ht="42" customHeight="1">
      <c r="A187" s="191" t="str">
        <f t="shared" si="7"/>
        <v/>
      </c>
      <c r="B187" s="189"/>
      <c r="C187" s="189"/>
      <c r="D187" s="189"/>
      <c r="E187" s="268"/>
      <c r="F187" s="189"/>
      <c r="G187" s="189"/>
      <c r="H187" s="189"/>
      <c r="I187" s="189"/>
      <c r="J187" s="189"/>
      <c r="K187" s="189"/>
      <c r="L187" s="189"/>
      <c r="M187" s="192"/>
      <c r="N187" s="189"/>
      <c r="O187" s="189"/>
      <c r="P187" s="189"/>
      <c r="Q187" s="189"/>
      <c r="R187" s="192"/>
      <c r="S187" s="189"/>
      <c r="T187" s="189"/>
      <c r="U187" s="189"/>
      <c r="V187" s="189"/>
      <c r="W187" s="191" t="str">
        <f t="shared" si="6"/>
        <v/>
      </c>
      <c r="X187" s="189"/>
      <c r="Y187" s="189"/>
      <c r="Z187" s="189"/>
      <c r="AA187" s="189"/>
      <c r="AB187" s="189"/>
      <c r="AC187" s="189"/>
      <c r="AD187" s="189"/>
      <c r="AE187" s="189"/>
      <c r="AF187" s="189"/>
      <c r="AG187" s="192"/>
      <c r="AH187" s="192"/>
      <c r="AI187" s="189"/>
      <c r="AJ187" s="189"/>
      <c r="AK187" s="189"/>
      <c r="AL187" s="189"/>
      <c r="AM187" s="191" t="str">
        <f t="shared" si="8"/>
        <v/>
      </c>
      <c r="AN187" s="191" t="str">
        <f>IF($A187="","",IF(COUNTIF('Decision Queue'!$A$5:$A$204,$A187)+COUNTIF('Decision Register'!$A$5:$A$304,$A187)&gt;1,"DUPLICATE ID","OK"))</f>
        <v/>
      </c>
      <c r="AO187" t="s">
        <v>795</v>
      </c>
    </row>
    <row r="188" spans="1:41" ht="42" customHeight="1">
      <c r="A188" s="191" t="str">
        <f t="shared" si="7"/>
        <v/>
      </c>
      <c r="B188" s="189"/>
      <c r="C188" s="189"/>
      <c r="D188" s="189"/>
      <c r="E188" s="268"/>
      <c r="F188" s="189"/>
      <c r="G188" s="189"/>
      <c r="H188" s="189"/>
      <c r="I188" s="189"/>
      <c r="J188" s="189"/>
      <c r="K188" s="189"/>
      <c r="L188" s="189"/>
      <c r="M188" s="192"/>
      <c r="N188" s="189"/>
      <c r="O188" s="189"/>
      <c r="P188" s="189"/>
      <c r="Q188" s="189"/>
      <c r="R188" s="192"/>
      <c r="S188" s="189"/>
      <c r="T188" s="189"/>
      <c r="U188" s="189"/>
      <c r="V188" s="189"/>
      <c r="W188" s="191" t="str">
        <f t="shared" si="6"/>
        <v/>
      </c>
      <c r="X188" s="189"/>
      <c r="Y188" s="189"/>
      <c r="Z188" s="189"/>
      <c r="AA188" s="189"/>
      <c r="AB188" s="189"/>
      <c r="AC188" s="189"/>
      <c r="AD188" s="189"/>
      <c r="AE188" s="189"/>
      <c r="AF188" s="189"/>
      <c r="AG188" s="192"/>
      <c r="AH188" s="192"/>
      <c r="AI188" s="189"/>
      <c r="AJ188" s="189"/>
      <c r="AK188" s="189"/>
      <c r="AL188" s="189"/>
      <c r="AM188" s="191" t="str">
        <f t="shared" si="8"/>
        <v/>
      </c>
      <c r="AN188" s="191" t="str">
        <f>IF($A188="","",IF(COUNTIF('Decision Queue'!$A$5:$A$204,$A188)+COUNTIF('Decision Register'!$A$5:$A$304,$A188)&gt;1,"DUPLICATE ID","OK"))</f>
        <v/>
      </c>
      <c r="AO188" t="s">
        <v>796</v>
      </c>
    </row>
    <row r="189" spans="1:41" ht="42" customHeight="1">
      <c r="A189" s="191" t="str">
        <f t="shared" si="7"/>
        <v/>
      </c>
      <c r="B189" s="189"/>
      <c r="C189" s="189"/>
      <c r="D189" s="189"/>
      <c r="E189" s="268"/>
      <c r="F189" s="189"/>
      <c r="G189" s="189"/>
      <c r="H189" s="189"/>
      <c r="I189" s="189"/>
      <c r="J189" s="189"/>
      <c r="K189" s="189"/>
      <c r="L189" s="189"/>
      <c r="M189" s="192"/>
      <c r="N189" s="189"/>
      <c r="O189" s="189"/>
      <c r="P189" s="189"/>
      <c r="Q189" s="189"/>
      <c r="R189" s="192"/>
      <c r="S189" s="189"/>
      <c r="T189" s="189"/>
      <c r="U189" s="189"/>
      <c r="V189" s="189"/>
      <c r="W189" s="191" t="str">
        <f t="shared" si="6"/>
        <v/>
      </c>
      <c r="X189" s="189"/>
      <c r="Y189" s="189"/>
      <c r="Z189" s="189"/>
      <c r="AA189" s="189"/>
      <c r="AB189" s="189"/>
      <c r="AC189" s="189"/>
      <c r="AD189" s="189"/>
      <c r="AE189" s="189"/>
      <c r="AF189" s="189"/>
      <c r="AG189" s="192"/>
      <c r="AH189" s="192"/>
      <c r="AI189" s="189"/>
      <c r="AJ189" s="189"/>
      <c r="AK189" s="189"/>
      <c r="AL189" s="189"/>
      <c r="AM189" s="191" t="str">
        <f t="shared" si="8"/>
        <v/>
      </c>
      <c r="AN189" s="191" t="str">
        <f>IF($A189="","",IF(COUNTIF('Decision Queue'!$A$5:$A$204,$A189)+COUNTIF('Decision Register'!$A$5:$A$304,$A189)&gt;1,"DUPLICATE ID","OK"))</f>
        <v/>
      </c>
      <c r="AO189" t="s">
        <v>797</v>
      </c>
    </row>
    <row r="190" spans="1:41" ht="42" customHeight="1">
      <c r="A190" s="191" t="str">
        <f t="shared" si="7"/>
        <v/>
      </c>
      <c r="B190" s="189"/>
      <c r="C190" s="189"/>
      <c r="D190" s="189"/>
      <c r="E190" s="268"/>
      <c r="F190" s="189"/>
      <c r="G190" s="189"/>
      <c r="H190" s="189"/>
      <c r="I190" s="189"/>
      <c r="J190" s="189"/>
      <c r="K190" s="189"/>
      <c r="L190" s="189"/>
      <c r="M190" s="192"/>
      <c r="N190" s="189"/>
      <c r="O190" s="189"/>
      <c r="P190" s="189"/>
      <c r="Q190" s="189"/>
      <c r="R190" s="192"/>
      <c r="S190" s="189"/>
      <c r="T190" s="189"/>
      <c r="U190" s="189"/>
      <c r="V190" s="189"/>
      <c r="W190" s="191" t="str">
        <f t="shared" si="6"/>
        <v/>
      </c>
      <c r="X190" s="189"/>
      <c r="Y190" s="189"/>
      <c r="Z190" s="189"/>
      <c r="AA190" s="189"/>
      <c r="AB190" s="189"/>
      <c r="AC190" s="189"/>
      <c r="AD190" s="189"/>
      <c r="AE190" s="189"/>
      <c r="AF190" s="189"/>
      <c r="AG190" s="192"/>
      <c r="AH190" s="192"/>
      <c r="AI190" s="189"/>
      <c r="AJ190" s="189"/>
      <c r="AK190" s="189"/>
      <c r="AL190" s="189"/>
      <c r="AM190" s="191" t="str">
        <f t="shared" si="8"/>
        <v/>
      </c>
      <c r="AN190" s="191" t="str">
        <f>IF($A190="","",IF(COUNTIF('Decision Queue'!$A$5:$A$204,$A190)+COUNTIF('Decision Register'!$A$5:$A$304,$A190)&gt;1,"DUPLICATE ID","OK"))</f>
        <v/>
      </c>
      <c r="AO190" t="s">
        <v>798</v>
      </c>
    </row>
    <row r="191" spans="1:41" ht="42" customHeight="1">
      <c r="A191" s="191" t="str">
        <f t="shared" si="7"/>
        <v/>
      </c>
      <c r="B191" s="189"/>
      <c r="C191" s="189"/>
      <c r="D191" s="189"/>
      <c r="E191" s="268"/>
      <c r="F191" s="189"/>
      <c r="G191" s="189"/>
      <c r="H191" s="189"/>
      <c r="I191" s="189"/>
      <c r="J191" s="189"/>
      <c r="K191" s="189"/>
      <c r="L191" s="189"/>
      <c r="M191" s="192"/>
      <c r="N191" s="189"/>
      <c r="O191" s="189"/>
      <c r="P191" s="189"/>
      <c r="Q191" s="189"/>
      <c r="R191" s="192"/>
      <c r="S191" s="189"/>
      <c r="T191" s="189"/>
      <c r="U191" s="189"/>
      <c r="V191" s="189"/>
      <c r="W191" s="191" t="str">
        <f t="shared" si="6"/>
        <v/>
      </c>
      <c r="X191" s="189"/>
      <c r="Y191" s="189"/>
      <c r="Z191" s="189"/>
      <c r="AA191" s="189"/>
      <c r="AB191" s="189"/>
      <c r="AC191" s="189"/>
      <c r="AD191" s="189"/>
      <c r="AE191" s="189"/>
      <c r="AF191" s="189"/>
      <c r="AG191" s="192"/>
      <c r="AH191" s="192"/>
      <c r="AI191" s="189"/>
      <c r="AJ191" s="189"/>
      <c r="AK191" s="189"/>
      <c r="AL191" s="189"/>
      <c r="AM191" s="191" t="str">
        <f t="shared" si="8"/>
        <v/>
      </c>
      <c r="AN191" s="191" t="str">
        <f>IF($A191="","",IF(COUNTIF('Decision Queue'!$A$5:$A$204,$A191)+COUNTIF('Decision Register'!$A$5:$A$304,$A191)&gt;1,"DUPLICATE ID","OK"))</f>
        <v/>
      </c>
      <c r="AO191" t="s">
        <v>799</v>
      </c>
    </row>
    <row r="192" spans="1:41" ht="42" customHeight="1">
      <c r="A192" s="191" t="str">
        <f t="shared" si="7"/>
        <v/>
      </c>
      <c r="B192" s="189"/>
      <c r="C192" s="189"/>
      <c r="D192" s="189"/>
      <c r="E192" s="268"/>
      <c r="F192" s="189"/>
      <c r="G192" s="189"/>
      <c r="H192" s="189"/>
      <c r="I192" s="189"/>
      <c r="J192" s="189"/>
      <c r="K192" s="189"/>
      <c r="L192" s="189"/>
      <c r="M192" s="192"/>
      <c r="N192" s="189"/>
      <c r="O192" s="189"/>
      <c r="P192" s="189"/>
      <c r="Q192" s="189"/>
      <c r="R192" s="192"/>
      <c r="S192" s="189"/>
      <c r="T192" s="189"/>
      <c r="U192" s="189"/>
      <c r="V192" s="189"/>
      <c r="W192" s="191" t="str">
        <f t="shared" si="6"/>
        <v/>
      </c>
      <c r="X192" s="189"/>
      <c r="Y192" s="189"/>
      <c r="Z192" s="189"/>
      <c r="AA192" s="189"/>
      <c r="AB192" s="189"/>
      <c r="AC192" s="189"/>
      <c r="AD192" s="189"/>
      <c r="AE192" s="189"/>
      <c r="AF192" s="189"/>
      <c r="AG192" s="192"/>
      <c r="AH192" s="192"/>
      <c r="AI192" s="189"/>
      <c r="AJ192" s="189"/>
      <c r="AK192" s="189"/>
      <c r="AL192" s="189"/>
      <c r="AM192" s="191" t="str">
        <f t="shared" si="8"/>
        <v/>
      </c>
      <c r="AN192" s="191" t="str">
        <f>IF($A192="","",IF(COUNTIF('Decision Queue'!$A$5:$A$204,$A192)+COUNTIF('Decision Register'!$A$5:$A$304,$A192)&gt;1,"DUPLICATE ID","OK"))</f>
        <v/>
      </c>
      <c r="AO192" t="s">
        <v>800</v>
      </c>
    </row>
    <row r="193" spans="1:41" ht="42" customHeight="1">
      <c r="A193" s="191" t="str">
        <f t="shared" si="7"/>
        <v/>
      </c>
      <c r="B193" s="189"/>
      <c r="C193" s="189"/>
      <c r="D193" s="189"/>
      <c r="E193" s="268"/>
      <c r="F193" s="189"/>
      <c r="G193" s="189"/>
      <c r="H193" s="189"/>
      <c r="I193" s="189"/>
      <c r="J193" s="189"/>
      <c r="K193" s="189"/>
      <c r="L193" s="189"/>
      <c r="M193" s="192"/>
      <c r="N193" s="189"/>
      <c r="O193" s="189"/>
      <c r="P193" s="189"/>
      <c r="Q193" s="189"/>
      <c r="R193" s="192"/>
      <c r="S193" s="189"/>
      <c r="T193" s="189"/>
      <c r="U193" s="189"/>
      <c r="V193" s="189"/>
      <c r="W193" s="191" t="str">
        <f t="shared" si="6"/>
        <v/>
      </c>
      <c r="X193" s="189"/>
      <c r="Y193" s="189"/>
      <c r="Z193" s="189"/>
      <c r="AA193" s="189"/>
      <c r="AB193" s="189"/>
      <c r="AC193" s="189"/>
      <c r="AD193" s="189"/>
      <c r="AE193" s="189"/>
      <c r="AF193" s="189"/>
      <c r="AG193" s="192"/>
      <c r="AH193" s="192"/>
      <c r="AI193" s="189"/>
      <c r="AJ193" s="189"/>
      <c r="AK193" s="189"/>
      <c r="AL193" s="189"/>
      <c r="AM193" s="191" t="str">
        <f t="shared" si="8"/>
        <v/>
      </c>
      <c r="AN193" s="191" t="str">
        <f>IF($A193="","",IF(COUNTIF('Decision Queue'!$A$5:$A$204,$A193)+COUNTIF('Decision Register'!$A$5:$A$304,$A193)&gt;1,"DUPLICATE ID","OK"))</f>
        <v/>
      </c>
      <c r="AO193" t="s">
        <v>801</v>
      </c>
    </row>
    <row r="194" spans="1:41" ht="42" customHeight="1">
      <c r="A194" s="191" t="str">
        <f t="shared" si="7"/>
        <v/>
      </c>
      <c r="B194" s="189"/>
      <c r="C194" s="189"/>
      <c r="D194" s="189"/>
      <c r="E194" s="268"/>
      <c r="F194" s="189"/>
      <c r="G194" s="189"/>
      <c r="H194" s="189"/>
      <c r="I194" s="189"/>
      <c r="J194" s="189"/>
      <c r="K194" s="189"/>
      <c r="L194" s="189"/>
      <c r="M194" s="192"/>
      <c r="N194" s="189"/>
      <c r="O194" s="189"/>
      <c r="P194" s="189"/>
      <c r="Q194" s="189"/>
      <c r="R194" s="192"/>
      <c r="S194" s="189"/>
      <c r="T194" s="189"/>
      <c r="U194" s="189"/>
      <c r="V194" s="189"/>
      <c r="W194" s="191" t="str">
        <f t="shared" si="6"/>
        <v/>
      </c>
      <c r="X194" s="189"/>
      <c r="Y194" s="189"/>
      <c r="Z194" s="189"/>
      <c r="AA194" s="189"/>
      <c r="AB194" s="189"/>
      <c r="AC194" s="189"/>
      <c r="AD194" s="189"/>
      <c r="AE194" s="189"/>
      <c r="AF194" s="189"/>
      <c r="AG194" s="192"/>
      <c r="AH194" s="192"/>
      <c r="AI194" s="189"/>
      <c r="AJ194" s="189"/>
      <c r="AK194" s="189"/>
      <c r="AL194" s="189"/>
      <c r="AM194" s="191" t="str">
        <f t="shared" si="8"/>
        <v/>
      </c>
      <c r="AN194" s="191" t="str">
        <f>IF($A194="","",IF(COUNTIF('Decision Queue'!$A$5:$A$204,$A194)+COUNTIF('Decision Register'!$A$5:$A$304,$A194)&gt;1,"DUPLICATE ID","OK"))</f>
        <v/>
      </c>
      <c r="AO194" t="s">
        <v>802</v>
      </c>
    </row>
    <row r="195" spans="1:41" ht="42" customHeight="1">
      <c r="A195" s="191" t="str">
        <f t="shared" si="7"/>
        <v/>
      </c>
      <c r="B195" s="189"/>
      <c r="C195" s="189"/>
      <c r="D195" s="189"/>
      <c r="E195" s="268"/>
      <c r="F195" s="189"/>
      <c r="G195" s="189"/>
      <c r="H195" s="189"/>
      <c r="I195" s="189"/>
      <c r="J195" s="189"/>
      <c r="K195" s="189"/>
      <c r="L195" s="189"/>
      <c r="M195" s="192"/>
      <c r="N195" s="189"/>
      <c r="O195" s="189"/>
      <c r="P195" s="189"/>
      <c r="Q195" s="189"/>
      <c r="R195" s="192"/>
      <c r="S195" s="189"/>
      <c r="T195" s="189"/>
      <c r="U195" s="189"/>
      <c r="V195" s="189"/>
      <c r="W195" s="191" t="str">
        <f t="shared" si="6"/>
        <v/>
      </c>
      <c r="X195" s="189"/>
      <c r="Y195" s="189"/>
      <c r="Z195" s="189"/>
      <c r="AA195" s="189"/>
      <c r="AB195" s="189"/>
      <c r="AC195" s="189"/>
      <c r="AD195" s="189"/>
      <c r="AE195" s="189"/>
      <c r="AF195" s="189"/>
      <c r="AG195" s="192"/>
      <c r="AH195" s="192"/>
      <c r="AI195" s="189"/>
      <c r="AJ195" s="189"/>
      <c r="AK195" s="189"/>
      <c r="AL195" s="189"/>
      <c r="AM195" s="191" t="str">
        <f t="shared" si="8"/>
        <v/>
      </c>
      <c r="AN195" s="191" t="str">
        <f>IF($A195="","",IF(COUNTIF('Decision Queue'!$A$5:$A$204,$A195)+COUNTIF('Decision Register'!$A$5:$A$304,$A195)&gt;1,"DUPLICATE ID","OK"))</f>
        <v/>
      </c>
      <c r="AO195" t="s">
        <v>803</v>
      </c>
    </row>
    <row r="196" spans="1:41" ht="42" customHeight="1">
      <c r="A196" s="191" t="str">
        <f t="shared" si="7"/>
        <v/>
      </c>
      <c r="B196" s="189"/>
      <c r="C196" s="189"/>
      <c r="D196" s="189"/>
      <c r="E196" s="268"/>
      <c r="F196" s="189"/>
      <c r="G196" s="189"/>
      <c r="H196" s="189"/>
      <c r="I196" s="189"/>
      <c r="J196" s="189"/>
      <c r="K196" s="189"/>
      <c r="L196" s="189"/>
      <c r="M196" s="192"/>
      <c r="N196" s="189"/>
      <c r="O196" s="189"/>
      <c r="P196" s="189"/>
      <c r="Q196" s="189"/>
      <c r="R196" s="192"/>
      <c r="S196" s="189"/>
      <c r="T196" s="189"/>
      <c r="U196" s="189"/>
      <c r="V196" s="189"/>
      <c r="W196" s="191" t="str">
        <f t="shared" si="6"/>
        <v/>
      </c>
      <c r="X196" s="189"/>
      <c r="Y196" s="189"/>
      <c r="Z196" s="189"/>
      <c r="AA196" s="189"/>
      <c r="AB196" s="189"/>
      <c r="AC196" s="189"/>
      <c r="AD196" s="189"/>
      <c r="AE196" s="189"/>
      <c r="AF196" s="189"/>
      <c r="AG196" s="192"/>
      <c r="AH196" s="192"/>
      <c r="AI196" s="189"/>
      <c r="AJ196" s="189"/>
      <c r="AK196" s="189"/>
      <c r="AL196" s="189"/>
      <c r="AM196" s="191" t="str">
        <f t="shared" si="8"/>
        <v/>
      </c>
      <c r="AN196" s="191" t="str">
        <f>IF($A196="","",IF(COUNTIF('Decision Queue'!$A$5:$A$204,$A196)+COUNTIF('Decision Register'!$A$5:$A$304,$A196)&gt;1,"DUPLICATE ID","OK"))</f>
        <v/>
      </c>
      <c r="AO196" t="s">
        <v>804</v>
      </c>
    </row>
    <row r="197" spans="1:41" ht="42" customHeight="1">
      <c r="A197" s="191" t="str">
        <f t="shared" si="7"/>
        <v/>
      </c>
      <c r="B197" s="189"/>
      <c r="C197" s="189"/>
      <c r="D197" s="189"/>
      <c r="E197" s="268"/>
      <c r="F197" s="189"/>
      <c r="G197" s="189"/>
      <c r="H197" s="189"/>
      <c r="I197" s="189"/>
      <c r="J197" s="189"/>
      <c r="K197" s="189"/>
      <c r="L197" s="189"/>
      <c r="M197" s="192"/>
      <c r="N197" s="189"/>
      <c r="O197" s="189"/>
      <c r="P197" s="189"/>
      <c r="Q197" s="189"/>
      <c r="R197" s="192"/>
      <c r="S197" s="189"/>
      <c r="T197" s="189"/>
      <c r="U197" s="189"/>
      <c r="V197" s="189"/>
      <c r="W197" s="191" t="str">
        <f t="shared" ref="W197:W260" si="9">IF($B197="","",IF(OR($G197="Completed",$G197="Cancelled"),"INACTIVE","ACTIVE"))</f>
        <v/>
      </c>
      <c r="X197" s="189"/>
      <c r="Y197" s="189"/>
      <c r="Z197" s="189"/>
      <c r="AA197" s="189"/>
      <c r="AB197" s="189"/>
      <c r="AC197" s="189"/>
      <c r="AD197" s="189"/>
      <c r="AE197" s="189"/>
      <c r="AF197" s="189"/>
      <c r="AG197" s="192"/>
      <c r="AH197" s="192"/>
      <c r="AI197" s="189"/>
      <c r="AJ197" s="189"/>
      <c r="AK197" s="189"/>
      <c r="AL197" s="189"/>
      <c r="AM197" s="191" t="str">
        <f t="shared" si="8"/>
        <v/>
      </c>
      <c r="AN197" s="191" t="str">
        <f>IF($A197="","",IF(COUNTIF('Decision Queue'!$A$5:$A$204,$A197)+COUNTIF('Decision Register'!$A$5:$A$304,$A197)&gt;1,"DUPLICATE ID","OK"))</f>
        <v/>
      </c>
      <c r="AO197" t="s">
        <v>805</v>
      </c>
    </row>
    <row r="198" spans="1:41" ht="42" customHeight="1">
      <c r="A198" s="191" t="str">
        <f t="shared" si="7"/>
        <v/>
      </c>
      <c r="B198" s="189"/>
      <c r="C198" s="189"/>
      <c r="D198" s="189"/>
      <c r="E198" s="268"/>
      <c r="F198" s="189"/>
      <c r="G198" s="189"/>
      <c r="H198" s="189"/>
      <c r="I198" s="189"/>
      <c r="J198" s="189"/>
      <c r="K198" s="189"/>
      <c r="L198" s="189"/>
      <c r="M198" s="192"/>
      <c r="N198" s="189"/>
      <c r="O198" s="189"/>
      <c r="P198" s="189"/>
      <c r="Q198" s="189"/>
      <c r="R198" s="192"/>
      <c r="S198" s="189"/>
      <c r="T198" s="189"/>
      <c r="U198" s="189"/>
      <c r="V198" s="189"/>
      <c r="W198" s="191" t="str">
        <f t="shared" si="9"/>
        <v/>
      </c>
      <c r="X198" s="189"/>
      <c r="Y198" s="189"/>
      <c r="Z198" s="189"/>
      <c r="AA198" s="189"/>
      <c r="AB198" s="189"/>
      <c r="AC198" s="189"/>
      <c r="AD198" s="189"/>
      <c r="AE198" s="189"/>
      <c r="AF198" s="189"/>
      <c r="AG198" s="192"/>
      <c r="AH198" s="192"/>
      <c r="AI198" s="189"/>
      <c r="AJ198" s="189"/>
      <c r="AK198" s="189"/>
      <c r="AL198" s="189"/>
      <c r="AM198" s="191" t="str">
        <f t="shared" si="8"/>
        <v/>
      </c>
      <c r="AN198" s="191" t="str">
        <f>IF($A198="","",IF(COUNTIF('Decision Queue'!$A$5:$A$204,$A198)+COUNTIF('Decision Register'!$A$5:$A$304,$A198)&gt;1,"DUPLICATE ID","OK"))</f>
        <v/>
      </c>
      <c r="AO198" t="s">
        <v>806</v>
      </c>
    </row>
    <row r="199" spans="1:41" ht="42" customHeight="1">
      <c r="A199" s="191" t="str">
        <f t="shared" ref="A199:A262" si="10">IF($B199="","",SUBSTITUTE($AO199,"HISTK-","HIST-"))</f>
        <v/>
      </c>
      <c r="B199" s="189"/>
      <c r="C199" s="189"/>
      <c r="D199" s="189"/>
      <c r="E199" s="268"/>
      <c r="F199" s="189"/>
      <c r="G199" s="189"/>
      <c r="H199" s="189"/>
      <c r="I199" s="189"/>
      <c r="J199" s="189"/>
      <c r="K199" s="189"/>
      <c r="L199" s="189"/>
      <c r="M199" s="192"/>
      <c r="N199" s="189"/>
      <c r="O199" s="189"/>
      <c r="P199" s="189"/>
      <c r="Q199" s="189"/>
      <c r="R199" s="192"/>
      <c r="S199" s="189"/>
      <c r="T199" s="189"/>
      <c r="U199" s="189"/>
      <c r="V199" s="189"/>
      <c r="W199" s="191" t="str">
        <f t="shared" si="9"/>
        <v/>
      </c>
      <c r="X199" s="189"/>
      <c r="Y199" s="189"/>
      <c r="Z199" s="189"/>
      <c r="AA199" s="189"/>
      <c r="AB199" s="189"/>
      <c r="AC199" s="189"/>
      <c r="AD199" s="189"/>
      <c r="AE199" s="189"/>
      <c r="AF199" s="189"/>
      <c r="AG199" s="192"/>
      <c r="AH199" s="192"/>
      <c r="AI199" s="189"/>
      <c r="AJ199" s="189"/>
      <c r="AK199" s="189"/>
      <c r="AL199" s="189"/>
      <c r="AM199" s="191" t="str">
        <f t="shared" ref="AM199:AM262" si="11">IF($B199="","","Historical/manual")</f>
        <v/>
      </c>
      <c r="AN199" s="191" t="str">
        <f>IF($A199="","",IF(COUNTIF('Decision Queue'!$A$5:$A$204,$A199)+COUNTIF('Decision Register'!$A$5:$A$304,$A199)&gt;1,"DUPLICATE ID","OK"))</f>
        <v/>
      </c>
      <c r="AO199" t="s">
        <v>807</v>
      </c>
    </row>
    <row r="200" spans="1:41" ht="42" customHeight="1">
      <c r="A200" s="191" t="str">
        <f t="shared" si="10"/>
        <v/>
      </c>
      <c r="B200" s="189"/>
      <c r="C200" s="189"/>
      <c r="D200" s="189"/>
      <c r="E200" s="268"/>
      <c r="F200" s="189"/>
      <c r="G200" s="189"/>
      <c r="H200" s="189"/>
      <c r="I200" s="189"/>
      <c r="J200" s="189"/>
      <c r="K200" s="189"/>
      <c r="L200" s="189"/>
      <c r="M200" s="192"/>
      <c r="N200" s="189"/>
      <c r="O200" s="189"/>
      <c r="P200" s="189"/>
      <c r="Q200" s="189"/>
      <c r="R200" s="192"/>
      <c r="S200" s="189"/>
      <c r="T200" s="189"/>
      <c r="U200" s="189"/>
      <c r="V200" s="189"/>
      <c r="W200" s="191" t="str">
        <f t="shared" si="9"/>
        <v/>
      </c>
      <c r="X200" s="189"/>
      <c r="Y200" s="189"/>
      <c r="Z200" s="189"/>
      <c r="AA200" s="189"/>
      <c r="AB200" s="189"/>
      <c r="AC200" s="189"/>
      <c r="AD200" s="189"/>
      <c r="AE200" s="189"/>
      <c r="AF200" s="189"/>
      <c r="AG200" s="192"/>
      <c r="AH200" s="192"/>
      <c r="AI200" s="189"/>
      <c r="AJ200" s="189"/>
      <c r="AK200" s="189"/>
      <c r="AL200" s="189"/>
      <c r="AM200" s="191" t="str">
        <f t="shared" si="11"/>
        <v/>
      </c>
      <c r="AN200" s="191" t="str">
        <f>IF($A200="","",IF(COUNTIF('Decision Queue'!$A$5:$A$204,$A200)+COUNTIF('Decision Register'!$A$5:$A$304,$A200)&gt;1,"DUPLICATE ID","OK"))</f>
        <v/>
      </c>
      <c r="AO200" t="s">
        <v>808</v>
      </c>
    </row>
    <row r="201" spans="1:41" ht="42" customHeight="1">
      <c r="A201" s="191" t="str">
        <f t="shared" si="10"/>
        <v/>
      </c>
      <c r="B201" s="189"/>
      <c r="C201" s="189"/>
      <c r="D201" s="189"/>
      <c r="E201" s="268"/>
      <c r="F201" s="189"/>
      <c r="G201" s="189"/>
      <c r="H201" s="189"/>
      <c r="I201" s="189"/>
      <c r="J201" s="189"/>
      <c r="K201" s="189"/>
      <c r="L201" s="189"/>
      <c r="M201" s="192"/>
      <c r="N201" s="189"/>
      <c r="O201" s="189"/>
      <c r="P201" s="189"/>
      <c r="Q201" s="189"/>
      <c r="R201" s="192"/>
      <c r="S201" s="189"/>
      <c r="T201" s="189"/>
      <c r="U201" s="189"/>
      <c r="V201" s="189"/>
      <c r="W201" s="191" t="str">
        <f t="shared" si="9"/>
        <v/>
      </c>
      <c r="X201" s="189"/>
      <c r="Y201" s="189"/>
      <c r="Z201" s="189"/>
      <c r="AA201" s="189"/>
      <c r="AB201" s="189"/>
      <c r="AC201" s="189"/>
      <c r="AD201" s="189"/>
      <c r="AE201" s="189"/>
      <c r="AF201" s="189"/>
      <c r="AG201" s="192"/>
      <c r="AH201" s="192"/>
      <c r="AI201" s="189"/>
      <c r="AJ201" s="189"/>
      <c r="AK201" s="189"/>
      <c r="AL201" s="189"/>
      <c r="AM201" s="191" t="str">
        <f t="shared" si="11"/>
        <v/>
      </c>
      <c r="AN201" s="191" t="str">
        <f>IF($A201="","",IF(COUNTIF('Decision Queue'!$A$5:$A$204,$A201)+COUNTIF('Decision Register'!$A$5:$A$304,$A201)&gt;1,"DUPLICATE ID","OK"))</f>
        <v/>
      </c>
      <c r="AO201" t="s">
        <v>809</v>
      </c>
    </row>
    <row r="202" spans="1:41" ht="42" customHeight="1">
      <c r="A202" s="191" t="str">
        <f t="shared" si="10"/>
        <v/>
      </c>
      <c r="B202" s="189"/>
      <c r="C202" s="189"/>
      <c r="D202" s="189"/>
      <c r="E202" s="268"/>
      <c r="F202" s="189"/>
      <c r="G202" s="189"/>
      <c r="H202" s="189"/>
      <c r="I202" s="189"/>
      <c r="J202" s="189"/>
      <c r="K202" s="189"/>
      <c r="L202" s="189"/>
      <c r="M202" s="192"/>
      <c r="N202" s="189"/>
      <c r="O202" s="189"/>
      <c r="P202" s="189"/>
      <c r="Q202" s="189"/>
      <c r="R202" s="192"/>
      <c r="S202" s="189"/>
      <c r="T202" s="189"/>
      <c r="U202" s="189"/>
      <c r="V202" s="189"/>
      <c r="W202" s="191" t="str">
        <f t="shared" si="9"/>
        <v/>
      </c>
      <c r="X202" s="189"/>
      <c r="Y202" s="189"/>
      <c r="Z202" s="189"/>
      <c r="AA202" s="189"/>
      <c r="AB202" s="189"/>
      <c r="AC202" s="189"/>
      <c r="AD202" s="189"/>
      <c r="AE202" s="189"/>
      <c r="AF202" s="189"/>
      <c r="AG202" s="192"/>
      <c r="AH202" s="192"/>
      <c r="AI202" s="189"/>
      <c r="AJ202" s="189"/>
      <c r="AK202" s="189"/>
      <c r="AL202" s="189"/>
      <c r="AM202" s="191" t="str">
        <f t="shared" si="11"/>
        <v/>
      </c>
      <c r="AN202" s="191" t="str">
        <f>IF($A202="","",IF(COUNTIF('Decision Queue'!$A$5:$A$204,$A202)+COUNTIF('Decision Register'!$A$5:$A$304,$A202)&gt;1,"DUPLICATE ID","OK"))</f>
        <v/>
      </c>
      <c r="AO202" t="s">
        <v>810</v>
      </c>
    </row>
    <row r="203" spans="1:41" ht="42" customHeight="1">
      <c r="A203" s="191" t="str">
        <f t="shared" si="10"/>
        <v/>
      </c>
      <c r="B203" s="189"/>
      <c r="C203" s="189"/>
      <c r="D203" s="189"/>
      <c r="E203" s="268"/>
      <c r="F203" s="189"/>
      <c r="G203" s="189"/>
      <c r="H203" s="189"/>
      <c r="I203" s="189"/>
      <c r="J203" s="189"/>
      <c r="K203" s="189"/>
      <c r="L203" s="189"/>
      <c r="M203" s="192"/>
      <c r="N203" s="189"/>
      <c r="O203" s="189"/>
      <c r="P203" s="189"/>
      <c r="Q203" s="189"/>
      <c r="R203" s="192"/>
      <c r="S203" s="189"/>
      <c r="T203" s="189"/>
      <c r="U203" s="189"/>
      <c r="V203" s="189"/>
      <c r="W203" s="191" t="str">
        <f t="shared" si="9"/>
        <v/>
      </c>
      <c r="X203" s="189"/>
      <c r="Y203" s="189"/>
      <c r="Z203" s="189"/>
      <c r="AA203" s="189"/>
      <c r="AB203" s="189"/>
      <c r="AC203" s="189"/>
      <c r="AD203" s="189"/>
      <c r="AE203" s="189"/>
      <c r="AF203" s="189"/>
      <c r="AG203" s="192"/>
      <c r="AH203" s="192"/>
      <c r="AI203" s="189"/>
      <c r="AJ203" s="189"/>
      <c r="AK203" s="189"/>
      <c r="AL203" s="189"/>
      <c r="AM203" s="191" t="str">
        <f t="shared" si="11"/>
        <v/>
      </c>
      <c r="AN203" s="191" t="str">
        <f>IF($A203="","",IF(COUNTIF('Decision Queue'!$A$5:$A$204,$A203)+COUNTIF('Decision Register'!$A$5:$A$304,$A203)&gt;1,"DUPLICATE ID","OK"))</f>
        <v/>
      </c>
      <c r="AO203" t="s">
        <v>811</v>
      </c>
    </row>
    <row r="204" spans="1:41" ht="42" customHeight="1">
      <c r="A204" s="191" t="str">
        <f t="shared" si="10"/>
        <v/>
      </c>
      <c r="B204" s="189"/>
      <c r="C204" s="189"/>
      <c r="D204" s="189"/>
      <c r="E204" s="268"/>
      <c r="F204" s="189"/>
      <c r="G204" s="189"/>
      <c r="H204" s="189"/>
      <c r="I204" s="189"/>
      <c r="J204" s="189"/>
      <c r="K204" s="189"/>
      <c r="L204" s="189"/>
      <c r="M204" s="192"/>
      <c r="N204" s="189"/>
      <c r="O204" s="189"/>
      <c r="P204" s="189"/>
      <c r="Q204" s="189"/>
      <c r="R204" s="192"/>
      <c r="S204" s="189"/>
      <c r="T204" s="189"/>
      <c r="U204" s="189"/>
      <c r="V204" s="189"/>
      <c r="W204" s="191" t="str">
        <f t="shared" si="9"/>
        <v/>
      </c>
      <c r="X204" s="189"/>
      <c r="Y204" s="189"/>
      <c r="Z204" s="189"/>
      <c r="AA204" s="189"/>
      <c r="AB204" s="189"/>
      <c r="AC204" s="189"/>
      <c r="AD204" s="189"/>
      <c r="AE204" s="189"/>
      <c r="AF204" s="189"/>
      <c r="AG204" s="192"/>
      <c r="AH204" s="192"/>
      <c r="AI204" s="189"/>
      <c r="AJ204" s="189"/>
      <c r="AK204" s="189"/>
      <c r="AL204" s="189"/>
      <c r="AM204" s="191" t="str">
        <f t="shared" si="11"/>
        <v/>
      </c>
      <c r="AN204" s="191" t="str">
        <f>IF($A204="","",IF(COUNTIF('Decision Queue'!$A$5:$A$204,$A204)+COUNTIF('Decision Register'!$A$5:$A$304,$A204)&gt;1,"DUPLICATE ID","OK"))</f>
        <v/>
      </c>
      <c r="AO204" t="s">
        <v>812</v>
      </c>
    </row>
    <row r="205" spans="1:41" ht="42" customHeight="1">
      <c r="A205" s="191" t="str">
        <f t="shared" si="10"/>
        <v/>
      </c>
      <c r="B205" s="189"/>
      <c r="C205" s="189"/>
      <c r="D205" s="189"/>
      <c r="E205" s="268"/>
      <c r="F205" s="189"/>
      <c r="G205" s="189"/>
      <c r="H205" s="189"/>
      <c r="I205" s="189"/>
      <c r="J205" s="189"/>
      <c r="K205" s="189"/>
      <c r="L205" s="189"/>
      <c r="M205" s="192"/>
      <c r="N205" s="189"/>
      <c r="O205" s="189"/>
      <c r="P205" s="189"/>
      <c r="Q205" s="189"/>
      <c r="R205" s="192"/>
      <c r="S205" s="189"/>
      <c r="T205" s="189"/>
      <c r="U205" s="189"/>
      <c r="V205" s="189"/>
      <c r="W205" s="191" t="str">
        <f t="shared" si="9"/>
        <v/>
      </c>
      <c r="X205" s="189"/>
      <c r="Y205" s="189"/>
      <c r="Z205" s="189"/>
      <c r="AA205" s="189"/>
      <c r="AB205" s="189"/>
      <c r="AC205" s="189"/>
      <c r="AD205" s="189"/>
      <c r="AE205" s="189"/>
      <c r="AF205" s="189"/>
      <c r="AG205" s="192"/>
      <c r="AH205" s="192"/>
      <c r="AI205" s="189"/>
      <c r="AJ205" s="189"/>
      <c r="AK205" s="189"/>
      <c r="AL205" s="189"/>
      <c r="AM205" s="191" t="str">
        <f t="shared" si="11"/>
        <v/>
      </c>
      <c r="AN205" s="191" t="str">
        <f>IF($A205="","",IF(COUNTIF('Decision Queue'!$A$5:$A$204,$A205)+COUNTIF('Decision Register'!$A$5:$A$304,$A205)&gt;1,"DUPLICATE ID","OK"))</f>
        <v/>
      </c>
      <c r="AO205" t="s">
        <v>813</v>
      </c>
    </row>
    <row r="206" spans="1:41" ht="42" customHeight="1">
      <c r="A206" s="191" t="str">
        <f t="shared" si="10"/>
        <v/>
      </c>
      <c r="B206" s="189"/>
      <c r="C206" s="189"/>
      <c r="D206" s="189"/>
      <c r="E206" s="268"/>
      <c r="F206" s="189"/>
      <c r="G206" s="189"/>
      <c r="H206" s="189"/>
      <c r="I206" s="189"/>
      <c r="J206" s="189"/>
      <c r="K206" s="189"/>
      <c r="L206" s="189"/>
      <c r="M206" s="192"/>
      <c r="N206" s="189"/>
      <c r="O206" s="189"/>
      <c r="P206" s="189"/>
      <c r="Q206" s="189"/>
      <c r="R206" s="192"/>
      <c r="S206" s="189"/>
      <c r="T206" s="189"/>
      <c r="U206" s="189"/>
      <c r="V206" s="189"/>
      <c r="W206" s="191" t="str">
        <f t="shared" si="9"/>
        <v/>
      </c>
      <c r="X206" s="189"/>
      <c r="Y206" s="189"/>
      <c r="Z206" s="189"/>
      <c r="AA206" s="189"/>
      <c r="AB206" s="189"/>
      <c r="AC206" s="189"/>
      <c r="AD206" s="189"/>
      <c r="AE206" s="189"/>
      <c r="AF206" s="189"/>
      <c r="AG206" s="192"/>
      <c r="AH206" s="192"/>
      <c r="AI206" s="189"/>
      <c r="AJ206" s="189"/>
      <c r="AK206" s="189"/>
      <c r="AL206" s="189"/>
      <c r="AM206" s="191" t="str">
        <f t="shared" si="11"/>
        <v/>
      </c>
      <c r="AN206" s="191" t="str">
        <f>IF($A206="","",IF(COUNTIF('Decision Queue'!$A$5:$A$204,$A206)+COUNTIF('Decision Register'!$A$5:$A$304,$A206)&gt;1,"DUPLICATE ID","OK"))</f>
        <v/>
      </c>
      <c r="AO206" t="s">
        <v>814</v>
      </c>
    </row>
    <row r="207" spans="1:41" ht="42" customHeight="1">
      <c r="A207" s="191" t="str">
        <f t="shared" si="10"/>
        <v/>
      </c>
      <c r="B207" s="189"/>
      <c r="C207" s="189"/>
      <c r="D207" s="189"/>
      <c r="E207" s="268"/>
      <c r="F207" s="189"/>
      <c r="G207" s="189"/>
      <c r="H207" s="189"/>
      <c r="I207" s="189"/>
      <c r="J207" s="189"/>
      <c r="K207" s="189"/>
      <c r="L207" s="189"/>
      <c r="M207" s="192"/>
      <c r="N207" s="189"/>
      <c r="O207" s="189"/>
      <c r="P207" s="189"/>
      <c r="Q207" s="189"/>
      <c r="R207" s="192"/>
      <c r="S207" s="189"/>
      <c r="T207" s="189"/>
      <c r="U207" s="189"/>
      <c r="V207" s="189"/>
      <c r="W207" s="191" t="str">
        <f t="shared" si="9"/>
        <v/>
      </c>
      <c r="X207" s="189"/>
      <c r="Y207" s="189"/>
      <c r="Z207" s="189"/>
      <c r="AA207" s="189"/>
      <c r="AB207" s="189"/>
      <c r="AC207" s="189"/>
      <c r="AD207" s="189"/>
      <c r="AE207" s="189"/>
      <c r="AF207" s="189"/>
      <c r="AG207" s="192"/>
      <c r="AH207" s="192"/>
      <c r="AI207" s="189"/>
      <c r="AJ207" s="189"/>
      <c r="AK207" s="189"/>
      <c r="AL207" s="189"/>
      <c r="AM207" s="191" t="str">
        <f t="shared" si="11"/>
        <v/>
      </c>
      <c r="AN207" s="191" t="str">
        <f>IF($A207="","",IF(COUNTIF('Decision Queue'!$A$5:$A$204,$A207)+COUNTIF('Decision Register'!$A$5:$A$304,$A207)&gt;1,"DUPLICATE ID","OK"))</f>
        <v/>
      </c>
      <c r="AO207" t="s">
        <v>815</v>
      </c>
    </row>
    <row r="208" spans="1:41" ht="42" customHeight="1">
      <c r="A208" s="191" t="str">
        <f t="shared" si="10"/>
        <v/>
      </c>
      <c r="B208" s="189"/>
      <c r="C208" s="189"/>
      <c r="D208" s="189"/>
      <c r="E208" s="268"/>
      <c r="F208" s="189"/>
      <c r="G208" s="189"/>
      <c r="H208" s="189"/>
      <c r="I208" s="189"/>
      <c r="J208" s="189"/>
      <c r="K208" s="189"/>
      <c r="L208" s="189"/>
      <c r="M208" s="192"/>
      <c r="N208" s="189"/>
      <c r="O208" s="189"/>
      <c r="P208" s="189"/>
      <c r="Q208" s="189"/>
      <c r="R208" s="192"/>
      <c r="S208" s="189"/>
      <c r="T208" s="189"/>
      <c r="U208" s="189"/>
      <c r="V208" s="189"/>
      <c r="W208" s="191" t="str">
        <f t="shared" si="9"/>
        <v/>
      </c>
      <c r="X208" s="189"/>
      <c r="Y208" s="189"/>
      <c r="Z208" s="189"/>
      <c r="AA208" s="189"/>
      <c r="AB208" s="189"/>
      <c r="AC208" s="189"/>
      <c r="AD208" s="189"/>
      <c r="AE208" s="189"/>
      <c r="AF208" s="189"/>
      <c r="AG208" s="192"/>
      <c r="AH208" s="192"/>
      <c r="AI208" s="189"/>
      <c r="AJ208" s="189"/>
      <c r="AK208" s="189"/>
      <c r="AL208" s="189"/>
      <c r="AM208" s="191" t="str">
        <f t="shared" si="11"/>
        <v/>
      </c>
      <c r="AN208" s="191" t="str">
        <f>IF($A208="","",IF(COUNTIF('Decision Queue'!$A$5:$A$204,$A208)+COUNTIF('Decision Register'!$A$5:$A$304,$A208)&gt;1,"DUPLICATE ID","OK"))</f>
        <v/>
      </c>
      <c r="AO208" t="s">
        <v>816</v>
      </c>
    </row>
    <row r="209" spans="1:41" ht="42" customHeight="1">
      <c r="A209" s="191" t="str">
        <f t="shared" si="10"/>
        <v/>
      </c>
      <c r="B209" s="189"/>
      <c r="C209" s="189"/>
      <c r="D209" s="189"/>
      <c r="E209" s="268"/>
      <c r="F209" s="189"/>
      <c r="G209" s="189"/>
      <c r="H209" s="189"/>
      <c r="I209" s="189"/>
      <c r="J209" s="189"/>
      <c r="K209" s="189"/>
      <c r="L209" s="189"/>
      <c r="M209" s="192"/>
      <c r="N209" s="189"/>
      <c r="O209" s="189"/>
      <c r="P209" s="189"/>
      <c r="Q209" s="189"/>
      <c r="R209" s="192"/>
      <c r="S209" s="189"/>
      <c r="T209" s="189"/>
      <c r="U209" s="189"/>
      <c r="V209" s="189"/>
      <c r="W209" s="191" t="str">
        <f t="shared" si="9"/>
        <v/>
      </c>
      <c r="X209" s="189"/>
      <c r="Y209" s="189"/>
      <c r="Z209" s="189"/>
      <c r="AA209" s="189"/>
      <c r="AB209" s="189"/>
      <c r="AC209" s="189"/>
      <c r="AD209" s="189"/>
      <c r="AE209" s="189"/>
      <c r="AF209" s="189"/>
      <c r="AG209" s="192"/>
      <c r="AH209" s="192"/>
      <c r="AI209" s="189"/>
      <c r="AJ209" s="189"/>
      <c r="AK209" s="189"/>
      <c r="AL209" s="189"/>
      <c r="AM209" s="191" t="str">
        <f t="shared" si="11"/>
        <v/>
      </c>
      <c r="AN209" s="191" t="str">
        <f>IF($A209="","",IF(COUNTIF('Decision Queue'!$A$5:$A$204,$A209)+COUNTIF('Decision Register'!$A$5:$A$304,$A209)&gt;1,"DUPLICATE ID","OK"))</f>
        <v/>
      </c>
      <c r="AO209" t="s">
        <v>817</v>
      </c>
    </row>
    <row r="210" spans="1:41" ht="42" customHeight="1">
      <c r="A210" s="191" t="str">
        <f t="shared" si="10"/>
        <v/>
      </c>
      <c r="B210" s="189"/>
      <c r="C210" s="189"/>
      <c r="D210" s="189"/>
      <c r="E210" s="268"/>
      <c r="F210" s="189"/>
      <c r="G210" s="189"/>
      <c r="H210" s="189"/>
      <c r="I210" s="189"/>
      <c r="J210" s="189"/>
      <c r="K210" s="189"/>
      <c r="L210" s="189"/>
      <c r="M210" s="192"/>
      <c r="N210" s="189"/>
      <c r="O210" s="189"/>
      <c r="P210" s="189"/>
      <c r="Q210" s="189"/>
      <c r="R210" s="192"/>
      <c r="S210" s="189"/>
      <c r="T210" s="189"/>
      <c r="U210" s="189"/>
      <c r="V210" s="189"/>
      <c r="W210" s="191" t="str">
        <f t="shared" si="9"/>
        <v/>
      </c>
      <c r="X210" s="189"/>
      <c r="Y210" s="189"/>
      <c r="Z210" s="189"/>
      <c r="AA210" s="189"/>
      <c r="AB210" s="189"/>
      <c r="AC210" s="189"/>
      <c r="AD210" s="189"/>
      <c r="AE210" s="189"/>
      <c r="AF210" s="189"/>
      <c r="AG210" s="192"/>
      <c r="AH210" s="192"/>
      <c r="AI210" s="189"/>
      <c r="AJ210" s="189"/>
      <c r="AK210" s="189"/>
      <c r="AL210" s="189"/>
      <c r="AM210" s="191" t="str">
        <f t="shared" si="11"/>
        <v/>
      </c>
      <c r="AN210" s="191" t="str">
        <f>IF($A210="","",IF(COUNTIF('Decision Queue'!$A$5:$A$204,$A210)+COUNTIF('Decision Register'!$A$5:$A$304,$A210)&gt;1,"DUPLICATE ID","OK"))</f>
        <v/>
      </c>
      <c r="AO210" t="s">
        <v>818</v>
      </c>
    </row>
    <row r="211" spans="1:41" ht="42" customHeight="1">
      <c r="A211" s="191" t="str">
        <f t="shared" si="10"/>
        <v/>
      </c>
      <c r="B211" s="189"/>
      <c r="C211" s="189"/>
      <c r="D211" s="189"/>
      <c r="E211" s="268"/>
      <c r="F211" s="189"/>
      <c r="G211" s="189"/>
      <c r="H211" s="189"/>
      <c r="I211" s="189"/>
      <c r="J211" s="189"/>
      <c r="K211" s="189"/>
      <c r="L211" s="189"/>
      <c r="M211" s="192"/>
      <c r="N211" s="189"/>
      <c r="O211" s="189"/>
      <c r="P211" s="189"/>
      <c r="Q211" s="189"/>
      <c r="R211" s="192"/>
      <c r="S211" s="189"/>
      <c r="T211" s="189"/>
      <c r="U211" s="189"/>
      <c r="V211" s="189"/>
      <c r="W211" s="191" t="str">
        <f t="shared" si="9"/>
        <v/>
      </c>
      <c r="X211" s="189"/>
      <c r="Y211" s="189"/>
      <c r="Z211" s="189"/>
      <c r="AA211" s="189"/>
      <c r="AB211" s="189"/>
      <c r="AC211" s="189"/>
      <c r="AD211" s="189"/>
      <c r="AE211" s="189"/>
      <c r="AF211" s="189"/>
      <c r="AG211" s="192"/>
      <c r="AH211" s="192"/>
      <c r="AI211" s="189"/>
      <c r="AJ211" s="189"/>
      <c r="AK211" s="189"/>
      <c r="AL211" s="189"/>
      <c r="AM211" s="191" t="str">
        <f t="shared" si="11"/>
        <v/>
      </c>
      <c r="AN211" s="191" t="str">
        <f>IF($A211="","",IF(COUNTIF('Decision Queue'!$A$5:$A$204,$A211)+COUNTIF('Decision Register'!$A$5:$A$304,$A211)&gt;1,"DUPLICATE ID","OK"))</f>
        <v/>
      </c>
      <c r="AO211" t="s">
        <v>819</v>
      </c>
    </row>
    <row r="212" spans="1:41" ht="42" customHeight="1">
      <c r="A212" s="191" t="str">
        <f t="shared" si="10"/>
        <v/>
      </c>
      <c r="B212" s="189"/>
      <c r="C212" s="189"/>
      <c r="D212" s="189"/>
      <c r="E212" s="268"/>
      <c r="F212" s="189"/>
      <c r="G212" s="189"/>
      <c r="H212" s="189"/>
      <c r="I212" s="189"/>
      <c r="J212" s="189"/>
      <c r="K212" s="189"/>
      <c r="L212" s="189"/>
      <c r="M212" s="192"/>
      <c r="N212" s="189"/>
      <c r="O212" s="189"/>
      <c r="P212" s="189"/>
      <c r="Q212" s="189"/>
      <c r="R212" s="192"/>
      <c r="S212" s="189"/>
      <c r="T212" s="189"/>
      <c r="U212" s="189"/>
      <c r="V212" s="189"/>
      <c r="W212" s="191" t="str">
        <f t="shared" si="9"/>
        <v/>
      </c>
      <c r="X212" s="189"/>
      <c r="Y212" s="189"/>
      <c r="Z212" s="189"/>
      <c r="AA212" s="189"/>
      <c r="AB212" s="189"/>
      <c r="AC212" s="189"/>
      <c r="AD212" s="189"/>
      <c r="AE212" s="189"/>
      <c r="AF212" s="189"/>
      <c r="AG212" s="192"/>
      <c r="AH212" s="192"/>
      <c r="AI212" s="189"/>
      <c r="AJ212" s="189"/>
      <c r="AK212" s="189"/>
      <c r="AL212" s="189"/>
      <c r="AM212" s="191" t="str">
        <f t="shared" si="11"/>
        <v/>
      </c>
      <c r="AN212" s="191" t="str">
        <f>IF($A212="","",IF(COUNTIF('Decision Queue'!$A$5:$A$204,$A212)+COUNTIF('Decision Register'!$A$5:$A$304,$A212)&gt;1,"DUPLICATE ID","OK"))</f>
        <v/>
      </c>
      <c r="AO212" t="s">
        <v>820</v>
      </c>
    </row>
    <row r="213" spans="1:41" ht="42" customHeight="1">
      <c r="A213" s="191" t="str">
        <f t="shared" si="10"/>
        <v/>
      </c>
      <c r="B213" s="189"/>
      <c r="C213" s="189"/>
      <c r="D213" s="189"/>
      <c r="E213" s="268"/>
      <c r="F213" s="189"/>
      <c r="G213" s="189"/>
      <c r="H213" s="189"/>
      <c r="I213" s="189"/>
      <c r="J213" s="189"/>
      <c r="K213" s="189"/>
      <c r="L213" s="189"/>
      <c r="M213" s="192"/>
      <c r="N213" s="189"/>
      <c r="O213" s="189"/>
      <c r="P213" s="189"/>
      <c r="Q213" s="189"/>
      <c r="R213" s="192"/>
      <c r="S213" s="189"/>
      <c r="T213" s="189"/>
      <c r="U213" s="189"/>
      <c r="V213" s="189"/>
      <c r="W213" s="191" t="str">
        <f t="shared" si="9"/>
        <v/>
      </c>
      <c r="X213" s="189"/>
      <c r="Y213" s="189"/>
      <c r="Z213" s="189"/>
      <c r="AA213" s="189"/>
      <c r="AB213" s="189"/>
      <c r="AC213" s="189"/>
      <c r="AD213" s="189"/>
      <c r="AE213" s="189"/>
      <c r="AF213" s="189"/>
      <c r="AG213" s="192"/>
      <c r="AH213" s="192"/>
      <c r="AI213" s="189"/>
      <c r="AJ213" s="189"/>
      <c r="AK213" s="189"/>
      <c r="AL213" s="189"/>
      <c r="AM213" s="191" t="str">
        <f t="shared" si="11"/>
        <v/>
      </c>
      <c r="AN213" s="191" t="str">
        <f>IF($A213="","",IF(COUNTIF('Decision Queue'!$A$5:$A$204,$A213)+COUNTIF('Decision Register'!$A$5:$A$304,$A213)&gt;1,"DUPLICATE ID","OK"))</f>
        <v/>
      </c>
      <c r="AO213" t="s">
        <v>821</v>
      </c>
    </row>
    <row r="214" spans="1:41" ht="42" customHeight="1">
      <c r="A214" s="191" t="str">
        <f t="shared" si="10"/>
        <v/>
      </c>
      <c r="B214" s="189"/>
      <c r="C214" s="189"/>
      <c r="D214" s="189"/>
      <c r="E214" s="268"/>
      <c r="F214" s="189"/>
      <c r="G214" s="189"/>
      <c r="H214" s="189"/>
      <c r="I214" s="189"/>
      <c r="J214" s="189"/>
      <c r="K214" s="189"/>
      <c r="L214" s="189"/>
      <c r="M214" s="192"/>
      <c r="N214" s="189"/>
      <c r="O214" s="189"/>
      <c r="P214" s="189"/>
      <c r="Q214" s="189"/>
      <c r="R214" s="192"/>
      <c r="S214" s="189"/>
      <c r="T214" s="189"/>
      <c r="U214" s="189"/>
      <c r="V214" s="189"/>
      <c r="W214" s="191" t="str">
        <f t="shared" si="9"/>
        <v/>
      </c>
      <c r="X214" s="189"/>
      <c r="Y214" s="189"/>
      <c r="Z214" s="189"/>
      <c r="AA214" s="189"/>
      <c r="AB214" s="189"/>
      <c r="AC214" s="189"/>
      <c r="AD214" s="189"/>
      <c r="AE214" s="189"/>
      <c r="AF214" s="189"/>
      <c r="AG214" s="192"/>
      <c r="AH214" s="192"/>
      <c r="AI214" s="189"/>
      <c r="AJ214" s="189"/>
      <c r="AK214" s="189"/>
      <c r="AL214" s="189"/>
      <c r="AM214" s="191" t="str">
        <f t="shared" si="11"/>
        <v/>
      </c>
      <c r="AN214" s="191" t="str">
        <f>IF($A214="","",IF(COUNTIF('Decision Queue'!$A$5:$A$204,$A214)+COUNTIF('Decision Register'!$A$5:$A$304,$A214)&gt;1,"DUPLICATE ID","OK"))</f>
        <v/>
      </c>
      <c r="AO214" t="s">
        <v>822</v>
      </c>
    </row>
    <row r="215" spans="1:41" ht="42" customHeight="1">
      <c r="A215" s="191" t="str">
        <f t="shared" si="10"/>
        <v/>
      </c>
      <c r="B215" s="189"/>
      <c r="C215" s="189"/>
      <c r="D215" s="189"/>
      <c r="E215" s="268"/>
      <c r="F215" s="189"/>
      <c r="G215" s="189"/>
      <c r="H215" s="189"/>
      <c r="I215" s="189"/>
      <c r="J215" s="189"/>
      <c r="K215" s="189"/>
      <c r="L215" s="189"/>
      <c r="M215" s="192"/>
      <c r="N215" s="189"/>
      <c r="O215" s="189"/>
      <c r="P215" s="189"/>
      <c r="Q215" s="189"/>
      <c r="R215" s="192"/>
      <c r="S215" s="189"/>
      <c r="T215" s="189"/>
      <c r="U215" s="189"/>
      <c r="V215" s="189"/>
      <c r="W215" s="191" t="str">
        <f t="shared" si="9"/>
        <v/>
      </c>
      <c r="X215" s="189"/>
      <c r="Y215" s="189"/>
      <c r="Z215" s="189"/>
      <c r="AA215" s="189"/>
      <c r="AB215" s="189"/>
      <c r="AC215" s="189"/>
      <c r="AD215" s="189"/>
      <c r="AE215" s="189"/>
      <c r="AF215" s="189"/>
      <c r="AG215" s="192"/>
      <c r="AH215" s="192"/>
      <c r="AI215" s="189"/>
      <c r="AJ215" s="189"/>
      <c r="AK215" s="189"/>
      <c r="AL215" s="189"/>
      <c r="AM215" s="191" t="str">
        <f t="shared" si="11"/>
        <v/>
      </c>
      <c r="AN215" s="191" t="str">
        <f>IF($A215="","",IF(COUNTIF('Decision Queue'!$A$5:$A$204,$A215)+COUNTIF('Decision Register'!$A$5:$A$304,$A215)&gt;1,"DUPLICATE ID","OK"))</f>
        <v/>
      </c>
      <c r="AO215" t="s">
        <v>823</v>
      </c>
    </row>
    <row r="216" spans="1:41" ht="42" customHeight="1">
      <c r="A216" s="191" t="str">
        <f t="shared" si="10"/>
        <v/>
      </c>
      <c r="B216" s="189"/>
      <c r="C216" s="189"/>
      <c r="D216" s="189"/>
      <c r="E216" s="268"/>
      <c r="F216" s="189"/>
      <c r="G216" s="189"/>
      <c r="H216" s="189"/>
      <c r="I216" s="189"/>
      <c r="J216" s="189"/>
      <c r="K216" s="189"/>
      <c r="L216" s="189"/>
      <c r="M216" s="192"/>
      <c r="N216" s="189"/>
      <c r="O216" s="189"/>
      <c r="P216" s="189"/>
      <c r="Q216" s="189"/>
      <c r="R216" s="192"/>
      <c r="S216" s="189"/>
      <c r="T216" s="189"/>
      <c r="U216" s="189"/>
      <c r="V216" s="189"/>
      <c r="W216" s="191" t="str">
        <f t="shared" si="9"/>
        <v/>
      </c>
      <c r="X216" s="189"/>
      <c r="Y216" s="189"/>
      <c r="Z216" s="189"/>
      <c r="AA216" s="189"/>
      <c r="AB216" s="189"/>
      <c r="AC216" s="189"/>
      <c r="AD216" s="189"/>
      <c r="AE216" s="189"/>
      <c r="AF216" s="189"/>
      <c r="AG216" s="192"/>
      <c r="AH216" s="192"/>
      <c r="AI216" s="189"/>
      <c r="AJ216" s="189"/>
      <c r="AK216" s="189"/>
      <c r="AL216" s="189"/>
      <c r="AM216" s="191" t="str">
        <f t="shared" si="11"/>
        <v/>
      </c>
      <c r="AN216" s="191" t="str">
        <f>IF($A216="","",IF(COUNTIF('Decision Queue'!$A$5:$A$204,$A216)+COUNTIF('Decision Register'!$A$5:$A$304,$A216)&gt;1,"DUPLICATE ID","OK"))</f>
        <v/>
      </c>
      <c r="AO216" t="s">
        <v>824</v>
      </c>
    </row>
    <row r="217" spans="1:41" ht="42" customHeight="1">
      <c r="A217" s="191" t="str">
        <f t="shared" si="10"/>
        <v/>
      </c>
      <c r="B217" s="189"/>
      <c r="C217" s="189"/>
      <c r="D217" s="189"/>
      <c r="E217" s="268"/>
      <c r="F217" s="189"/>
      <c r="G217" s="189"/>
      <c r="H217" s="189"/>
      <c r="I217" s="189"/>
      <c r="J217" s="189"/>
      <c r="K217" s="189"/>
      <c r="L217" s="189"/>
      <c r="M217" s="192"/>
      <c r="N217" s="189"/>
      <c r="O217" s="189"/>
      <c r="P217" s="189"/>
      <c r="Q217" s="189"/>
      <c r="R217" s="192"/>
      <c r="S217" s="189"/>
      <c r="T217" s="189"/>
      <c r="U217" s="189"/>
      <c r="V217" s="189"/>
      <c r="W217" s="191" t="str">
        <f t="shared" si="9"/>
        <v/>
      </c>
      <c r="X217" s="189"/>
      <c r="Y217" s="189"/>
      <c r="Z217" s="189"/>
      <c r="AA217" s="189"/>
      <c r="AB217" s="189"/>
      <c r="AC217" s="189"/>
      <c r="AD217" s="189"/>
      <c r="AE217" s="189"/>
      <c r="AF217" s="189"/>
      <c r="AG217" s="192"/>
      <c r="AH217" s="192"/>
      <c r="AI217" s="189"/>
      <c r="AJ217" s="189"/>
      <c r="AK217" s="189"/>
      <c r="AL217" s="189"/>
      <c r="AM217" s="191" t="str">
        <f t="shared" si="11"/>
        <v/>
      </c>
      <c r="AN217" s="191" t="str">
        <f>IF($A217="","",IF(COUNTIF('Decision Queue'!$A$5:$A$204,$A217)+COUNTIF('Decision Register'!$A$5:$A$304,$A217)&gt;1,"DUPLICATE ID","OK"))</f>
        <v/>
      </c>
      <c r="AO217" t="s">
        <v>825</v>
      </c>
    </row>
    <row r="218" spans="1:41" ht="42" customHeight="1">
      <c r="A218" s="191" t="str">
        <f t="shared" si="10"/>
        <v/>
      </c>
      <c r="B218" s="189"/>
      <c r="C218" s="189"/>
      <c r="D218" s="189"/>
      <c r="E218" s="268"/>
      <c r="F218" s="189"/>
      <c r="G218" s="189"/>
      <c r="H218" s="189"/>
      <c r="I218" s="189"/>
      <c r="J218" s="189"/>
      <c r="K218" s="189"/>
      <c r="L218" s="189"/>
      <c r="M218" s="192"/>
      <c r="N218" s="189"/>
      <c r="O218" s="189"/>
      <c r="P218" s="189"/>
      <c r="Q218" s="189"/>
      <c r="R218" s="192"/>
      <c r="S218" s="189"/>
      <c r="T218" s="189"/>
      <c r="U218" s="189"/>
      <c r="V218" s="189"/>
      <c r="W218" s="191" t="str">
        <f t="shared" si="9"/>
        <v/>
      </c>
      <c r="X218" s="189"/>
      <c r="Y218" s="189"/>
      <c r="Z218" s="189"/>
      <c r="AA218" s="189"/>
      <c r="AB218" s="189"/>
      <c r="AC218" s="189"/>
      <c r="AD218" s="189"/>
      <c r="AE218" s="189"/>
      <c r="AF218" s="189"/>
      <c r="AG218" s="192"/>
      <c r="AH218" s="192"/>
      <c r="AI218" s="189"/>
      <c r="AJ218" s="189"/>
      <c r="AK218" s="189"/>
      <c r="AL218" s="189"/>
      <c r="AM218" s="191" t="str">
        <f t="shared" si="11"/>
        <v/>
      </c>
      <c r="AN218" s="191" t="str">
        <f>IF($A218="","",IF(COUNTIF('Decision Queue'!$A$5:$A$204,$A218)+COUNTIF('Decision Register'!$A$5:$A$304,$A218)&gt;1,"DUPLICATE ID","OK"))</f>
        <v/>
      </c>
      <c r="AO218" t="s">
        <v>826</v>
      </c>
    </row>
    <row r="219" spans="1:41" ht="42" customHeight="1">
      <c r="A219" s="191" t="str">
        <f t="shared" si="10"/>
        <v/>
      </c>
      <c r="B219" s="189"/>
      <c r="C219" s="189"/>
      <c r="D219" s="189"/>
      <c r="E219" s="268"/>
      <c r="F219" s="189"/>
      <c r="G219" s="189"/>
      <c r="H219" s="189"/>
      <c r="I219" s="189"/>
      <c r="J219" s="189"/>
      <c r="K219" s="189"/>
      <c r="L219" s="189"/>
      <c r="M219" s="192"/>
      <c r="N219" s="189"/>
      <c r="O219" s="189"/>
      <c r="P219" s="189"/>
      <c r="Q219" s="189"/>
      <c r="R219" s="192"/>
      <c r="S219" s="189"/>
      <c r="T219" s="189"/>
      <c r="U219" s="189"/>
      <c r="V219" s="189"/>
      <c r="W219" s="191" t="str">
        <f t="shared" si="9"/>
        <v/>
      </c>
      <c r="X219" s="189"/>
      <c r="Y219" s="189"/>
      <c r="Z219" s="189"/>
      <c r="AA219" s="189"/>
      <c r="AB219" s="189"/>
      <c r="AC219" s="189"/>
      <c r="AD219" s="189"/>
      <c r="AE219" s="189"/>
      <c r="AF219" s="189"/>
      <c r="AG219" s="192"/>
      <c r="AH219" s="192"/>
      <c r="AI219" s="189"/>
      <c r="AJ219" s="189"/>
      <c r="AK219" s="189"/>
      <c r="AL219" s="189"/>
      <c r="AM219" s="191" t="str">
        <f t="shared" si="11"/>
        <v/>
      </c>
      <c r="AN219" s="191" t="str">
        <f>IF($A219="","",IF(COUNTIF('Decision Queue'!$A$5:$A$204,$A219)+COUNTIF('Decision Register'!$A$5:$A$304,$A219)&gt;1,"DUPLICATE ID","OK"))</f>
        <v/>
      </c>
      <c r="AO219" t="s">
        <v>827</v>
      </c>
    </row>
    <row r="220" spans="1:41" ht="42" customHeight="1">
      <c r="A220" s="191" t="str">
        <f t="shared" si="10"/>
        <v/>
      </c>
      <c r="B220" s="189"/>
      <c r="C220" s="189"/>
      <c r="D220" s="189"/>
      <c r="E220" s="268"/>
      <c r="F220" s="189"/>
      <c r="G220" s="189"/>
      <c r="H220" s="189"/>
      <c r="I220" s="189"/>
      <c r="J220" s="189"/>
      <c r="K220" s="189"/>
      <c r="L220" s="189"/>
      <c r="M220" s="192"/>
      <c r="N220" s="189"/>
      <c r="O220" s="189"/>
      <c r="P220" s="189"/>
      <c r="Q220" s="189"/>
      <c r="R220" s="192"/>
      <c r="S220" s="189"/>
      <c r="T220" s="189"/>
      <c r="U220" s="189"/>
      <c r="V220" s="189"/>
      <c r="W220" s="191" t="str">
        <f t="shared" si="9"/>
        <v/>
      </c>
      <c r="X220" s="189"/>
      <c r="Y220" s="189"/>
      <c r="Z220" s="189"/>
      <c r="AA220" s="189"/>
      <c r="AB220" s="189"/>
      <c r="AC220" s="189"/>
      <c r="AD220" s="189"/>
      <c r="AE220" s="189"/>
      <c r="AF220" s="189"/>
      <c r="AG220" s="192"/>
      <c r="AH220" s="192"/>
      <c r="AI220" s="189"/>
      <c r="AJ220" s="189"/>
      <c r="AK220" s="189"/>
      <c r="AL220" s="189"/>
      <c r="AM220" s="191" t="str">
        <f t="shared" si="11"/>
        <v/>
      </c>
      <c r="AN220" s="191" t="str">
        <f>IF($A220="","",IF(COUNTIF('Decision Queue'!$A$5:$A$204,$A220)+COUNTIF('Decision Register'!$A$5:$A$304,$A220)&gt;1,"DUPLICATE ID","OK"))</f>
        <v/>
      </c>
      <c r="AO220" t="s">
        <v>828</v>
      </c>
    </row>
    <row r="221" spans="1:41" ht="42" customHeight="1">
      <c r="A221" s="191" t="str">
        <f t="shared" si="10"/>
        <v/>
      </c>
      <c r="B221" s="189"/>
      <c r="C221" s="189"/>
      <c r="D221" s="189"/>
      <c r="E221" s="268"/>
      <c r="F221" s="189"/>
      <c r="G221" s="189"/>
      <c r="H221" s="189"/>
      <c r="I221" s="189"/>
      <c r="J221" s="189"/>
      <c r="K221" s="189"/>
      <c r="L221" s="189"/>
      <c r="M221" s="192"/>
      <c r="N221" s="189"/>
      <c r="O221" s="189"/>
      <c r="P221" s="189"/>
      <c r="Q221" s="189"/>
      <c r="R221" s="192"/>
      <c r="S221" s="189"/>
      <c r="T221" s="189"/>
      <c r="U221" s="189"/>
      <c r="V221" s="189"/>
      <c r="W221" s="191" t="str">
        <f t="shared" si="9"/>
        <v/>
      </c>
      <c r="X221" s="189"/>
      <c r="Y221" s="189"/>
      <c r="Z221" s="189"/>
      <c r="AA221" s="189"/>
      <c r="AB221" s="189"/>
      <c r="AC221" s="189"/>
      <c r="AD221" s="189"/>
      <c r="AE221" s="189"/>
      <c r="AF221" s="189"/>
      <c r="AG221" s="192"/>
      <c r="AH221" s="192"/>
      <c r="AI221" s="189"/>
      <c r="AJ221" s="189"/>
      <c r="AK221" s="189"/>
      <c r="AL221" s="189"/>
      <c r="AM221" s="191" t="str">
        <f t="shared" si="11"/>
        <v/>
      </c>
      <c r="AN221" s="191" t="str">
        <f>IF($A221="","",IF(COUNTIF('Decision Queue'!$A$5:$A$204,$A221)+COUNTIF('Decision Register'!$A$5:$A$304,$A221)&gt;1,"DUPLICATE ID","OK"))</f>
        <v/>
      </c>
      <c r="AO221" t="s">
        <v>829</v>
      </c>
    </row>
    <row r="222" spans="1:41" ht="42" customHeight="1">
      <c r="A222" s="191" t="str">
        <f t="shared" si="10"/>
        <v/>
      </c>
      <c r="B222" s="189"/>
      <c r="C222" s="189"/>
      <c r="D222" s="189"/>
      <c r="E222" s="268"/>
      <c r="F222" s="189"/>
      <c r="G222" s="189"/>
      <c r="H222" s="189"/>
      <c r="I222" s="189"/>
      <c r="J222" s="189"/>
      <c r="K222" s="189"/>
      <c r="L222" s="189"/>
      <c r="M222" s="192"/>
      <c r="N222" s="189"/>
      <c r="O222" s="189"/>
      <c r="P222" s="189"/>
      <c r="Q222" s="189"/>
      <c r="R222" s="192"/>
      <c r="S222" s="189"/>
      <c r="T222" s="189"/>
      <c r="U222" s="189"/>
      <c r="V222" s="189"/>
      <c r="W222" s="191" t="str">
        <f t="shared" si="9"/>
        <v/>
      </c>
      <c r="X222" s="189"/>
      <c r="Y222" s="189"/>
      <c r="Z222" s="189"/>
      <c r="AA222" s="189"/>
      <c r="AB222" s="189"/>
      <c r="AC222" s="189"/>
      <c r="AD222" s="189"/>
      <c r="AE222" s="189"/>
      <c r="AF222" s="189"/>
      <c r="AG222" s="192"/>
      <c r="AH222" s="192"/>
      <c r="AI222" s="189"/>
      <c r="AJ222" s="189"/>
      <c r="AK222" s="189"/>
      <c r="AL222" s="189"/>
      <c r="AM222" s="191" t="str">
        <f t="shared" si="11"/>
        <v/>
      </c>
      <c r="AN222" s="191" t="str">
        <f>IF($A222="","",IF(COUNTIF('Decision Queue'!$A$5:$A$204,$A222)+COUNTIF('Decision Register'!$A$5:$A$304,$A222)&gt;1,"DUPLICATE ID","OK"))</f>
        <v/>
      </c>
      <c r="AO222" t="s">
        <v>830</v>
      </c>
    </row>
    <row r="223" spans="1:41" ht="42" customHeight="1">
      <c r="A223" s="191" t="str">
        <f t="shared" si="10"/>
        <v/>
      </c>
      <c r="B223" s="189"/>
      <c r="C223" s="189"/>
      <c r="D223" s="189"/>
      <c r="E223" s="268"/>
      <c r="F223" s="189"/>
      <c r="G223" s="189"/>
      <c r="H223" s="189"/>
      <c r="I223" s="189"/>
      <c r="J223" s="189"/>
      <c r="K223" s="189"/>
      <c r="L223" s="189"/>
      <c r="M223" s="192"/>
      <c r="N223" s="189"/>
      <c r="O223" s="189"/>
      <c r="P223" s="189"/>
      <c r="Q223" s="189"/>
      <c r="R223" s="192"/>
      <c r="S223" s="189"/>
      <c r="T223" s="189"/>
      <c r="U223" s="189"/>
      <c r="V223" s="189"/>
      <c r="W223" s="191" t="str">
        <f t="shared" si="9"/>
        <v/>
      </c>
      <c r="X223" s="189"/>
      <c r="Y223" s="189"/>
      <c r="Z223" s="189"/>
      <c r="AA223" s="189"/>
      <c r="AB223" s="189"/>
      <c r="AC223" s="189"/>
      <c r="AD223" s="189"/>
      <c r="AE223" s="189"/>
      <c r="AF223" s="189"/>
      <c r="AG223" s="192"/>
      <c r="AH223" s="192"/>
      <c r="AI223" s="189"/>
      <c r="AJ223" s="189"/>
      <c r="AK223" s="189"/>
      <c r="AL223" s="189"/>
      <c r="AM223" s="191" t="str">
        <f t="shared" si="11"/>
        <v/>
      </c>
      <c r="AN223" s="191" t="str">
        <f>IF($A223="","",IF(COUNTIF('Decision Queue'!$A$5:$A$204,$A223)+COUNTIF('Decision Register'!$A$5:$A$304,$A223)&gt;1,"DUPLICATE ID","OK"))</f>
        <v/>
      </c>
      <c r="AO223" t="s">
        <v>831</v>
      </c>
    </row>
    <row r="224" spans="1:41" ht="42" customHeight="1">
      <c r="A224" s="191" t="str">
        <f t="shared" si="10"/>
        <v/>
      </c>
      <c r="B224" s="189"/>
      <c r="C224" s="189"/>
      <c r="D224" s="189"/>
      <c r="E224" s="268"/>
      <c r="F224" s="189"/>
      <c r="G224" s="189"/>
      <c r="H224" s="189"/>
      <c r="I224" s="189"/>
      <c r="J224" s="189"/>
      <c r="K224" s="189"/>
      <c r="L224" s="189"/>
      <c r="M224" s="192"/>
      <c r="N224" s="189"/>
      <c r="O224" s="189"/>
      <c r="P224" s="189"/>
      <c r="Q224" s="189"/>
      <c r="R224" s="192"/>
      <c r="S224" s="189"/>
      <c r="T224" s="189"/>
      <c r="U224" s="189"/>
      <c r="V224" s="189"/>
      <c r="W224" s="191" t="str">
        <f t="shared" si="9"/>
        <v/>
      </c>
      <c r="X224" s="189"/>
      <c r="Y224" s="189"/>
      <c r="Z224" s="189"/>
      <c r="AA224" s="189"/>
      <c r="AB224" s="189"/>
      <c r="AC224" s="189"/>
      <c r="AD224" s="189"/>
      <c r="AE224" s="189"/>
      <c r="AF224" s="189"/>
      <c r="AG224" s="192"/>
      <c r="AH224" s="192"/>
      <c r="AI224" s="189"/>
      <c r="AJ224" s="189"/>
      <c r="AK224" s="189"/>
      <c r="AL224" s="189"/>
      <c r="AM224" s="191" t="str">
        <f t="shared" si="11"/>
        <v/>
      </c>
      <c r="AN224" s="191" t="str">
        <f>IF($A224="","",IF(COUNTIF('Decision Queue'!$A$5:$A$204,$A224)+COUNTIF('Decision Register'!$A$5:$A$304,$A224)&gt;1,"DUPLICATE ID","OK"))</f>
        <v/>
      </c>
      <c r="AO224" t="s">
        <v>832</v>
      </c>
    </row>
    <row r="225" spans="1:41" ht="42" customHeight="1">
      <c r="A225" s="191" t="str">
        <f t="shared" si="10"/>
        <v/>
      </c>
      <c r="B225" s="189"/>
      <c r="C225" s="189"/>
      <c r="D225" s="189"/>
      <c r="E225" s="268"/>
      <c r="F225" s="189"/>
      <c r="G225" s="189"/>
      <c r="H225" s="189"/>
      <c r="I225" s="189"/>
      <c r="J225" s="189"/>
      <c r="K225" s="189"/>
      <c r="L225" s="189"/>
      <c r="M225" s="192"/>
      <c r="N225" s="189"/>
      <c r="O225" s="189"/>
      <c r="P225" s="189"/>
      <c r="Q225" s="189"/>
      <c r="R225" s="192"/>
      <c r="S225" s="189"/>
      <c r="T225" s="189"/>
      <c r="U225" s="189"/>
      <c r="V225" s="189"/>
      <c r="W225" s="191" t="str">
        <f t="shared" si="9"/>
        <v/>
      </c>
      <c r="X225" s="189"/>
      <c r="Y225" s="189"/>
      <c r="Z225" s="189"/>
      <c r="AA225" s="189"/>
      <c r="AB225" s="189"/>
      <c r="AC225" s="189"/>
      <c r="AD225" s="189"/>
      <c r="AE225" s="189"/>
      <c r="AF225" s="189"/>
      <c r="AG225" s="192"/>
      <c r="AH225" s="192"/>
      <c r="AI225" s="189"/>
      <c r="AJ225" s="189"/>
      <c r="AK225" s="189"/>
      <c r="AL225" s="189"/>
      <c r="AM225" s="191" t="str">
        <f t="shared" si="11"/>
        <v/>
      </c>
      <c r="AN225" s="191" t="str">
        <f>IF($A225="","",IF(COUNTIF('Decision Queue'!$A$5:$A$204,$A225)+COUNTIF('Decision Register'!$A$5:$A$304,$A225)&gt;1,"DUPLICATE ID","OK"))</f>
        <v/>
      </c>
      <c r="AO225" t="s">
        <v>833</v>
      </c>
    </row>
    <row r="226" spans="1:41" ht="42" customHeight="1">
      <c r="A226" s="191" t="str">
        <f t="shared" si="10"/>
        <v/>
      </c>
      <c r="B226" s="189"/>
      <c r="C226" s="189"/>
      <c r="D226" s="189"/>
      <c r="E226" s="268"/>
      <c r="F226" s="189"/>
      <c r="G226" s="189"/>
      <c r="H226" s="189"/>
      <c r="I226" s="189"/>
      <c r="J226" s="189"/>
      <c r="K226" s="189"/>
      <c r="L226" s="189"/>
      <c r="M226" s="192"/>
      <c r="N226" s="189"/>
      <c r="O226" s="189"/>
      <c r="P226" s="189"/>
      <c r="Q226" s="189"/>
      <c r="R226" s="192"/>
      <c r="S226" s="189"/>
      <c r="T226" s="189"/>
      <c r="U226" s="189"/>
      <c r="V226" s="189"/>
      <c r="W226" s="191" t="str">
        <f t="shared" si="9"/>
        <v/>
      </c>
      <c r="X226" s="189"/>
      <c r="Y226" s="189"/>
      <c r="Z226" s="189"/>
      <c r="AA226" s="189"/>
      <c r="AB226" s="189"/>
      <c r="AC226" s="189"/>
      <c r="AD226" s="189"/>
      <c r="AE226" s="189"/>
      <c r="AF226" s="189"/>
      <c r="AG226" s="192"/>
      <c r="AH226" s="192"/>
      <c r="AI226" s="189"/>
      <c r="AJ226" s="189"/>
      <c r="AK226" s="189"/>
      <c r="AL226" s="189"/>
      <c r="AM226" s="191" t="str">
        <f t="shared" si="11"/>
        <v/>
      </c>
      <c r="AN226" s="191" t="str">
        <f>IF($A226="","",IF(COUNTIF('Decision Queue'!$A$5:$A$204,$A226)+COUNTIF('Decision Register'!$A$5:$A$304,$A226)&gt;1,"DUPLICATE ID","OK"))</f>
        <v/>
      </c>
      <c r="AO226" t="s">
        <v>834</v>
      </c>
    </row>
    <row r="227" spans="1:41" ht="42" customHeight="1">
      <c r="A227" s="191" t="str">
        <f t="shared" si="10"/>
        <v/>
      </c>
      <c r="B227" s="189"/>
      <c r="C227" s="189"/>
      <c r="D227" s="189"/>
      <c r="E227" s="268"/>
      <c r="F227" s="189"/>
      <c r="G227" s="189"/>
      <c r="H227" s="189"/>
      <c r="I227" s="189"/>
      <c r="J227" s="189"/>
      <c r="K227" s="189"/>
      <c r="L227" s="189"/>
      <c r="M227" s="192"/>
      <c r="N227" s="189"/>
      <c r="O227" s="189"/>
      <c r="P227" s="189"/>
      <c r="Q227" s="189"/>
      <c r="R227" s="192"/>
      <c r="S227" s="189"/>
      <c r="T227" s="189"/>
      <c r="U227" s="189"/>
      <c r="V227" s="189"/>
      <c r="W227" s="191" t="str">
        <f t="shared" si="9"/>
        <v/>
      </c>
      <c r="X227" s="189"/>
      <c r="Y227" s="189"/>
      <c r="Z227" s="189"/>
      <c r="AA227" s="189"/>
      <c r="AB227" s="189"/>
      <c r="AC227" s="189"/>
      <c r="AD227" s="189"/>
      <c r="AE227" s="189"/>
      <c r="AF227" s="189"/>
      <c r="AG227" s="192"/>
      <c r="AH227" s="192"/>
      <c r="AI227" s="189"/>
      <c r="AJ227" s="189"/>
      <c r="AK227" s="189"/>
      <c r="AL227" s="189"/>
      <c r="AM227" s="191" t="str">
        <f t="shared" si="11"/>
        <v/>
      </c>
      <c r="AN227" s="191" t="str">
        <f>IF($A227="","",IF(COUNTIF('Decision Queue'!$A$5:$A$204,$A227)+COUNTIF('Decision Register'!$A$5:$A$304,$A227)&gt;1,"DUPLICATE ID","OK"))</f>
        <v/>
      </c>
      <c r="AO227" t="s">
        <v>835</v>
      </c>
    </row>
    <row r="228" spans="1:41" ht="42" customHeight="1">
      <c r="A228" s="191" t="str">
        <f t="shared" si="10"/>
        <v/>
      </c>
      <c r="B228" s="189"/>
      <c r="C228" s="189"/>
      <c r="D228" s="189"/>
      <c r="E228" s="268"/>
      <c r="F228" s="189"/>
      <c r="G228" s="189"/>
      <c r="H228" s="189"/>
      <c r="I228" s="189"/>
      <c r="J228" s="189"/>
      <c r="K228" s="189"/>
      <c r="L228" s="189"/>
      <c r="M228" s="192"/>
      <c r="N228" s="189"/>
      <c r="O228" s="189"/>
      <c r="P228" s="189"/>
      <c r="Q228" s="189"/>
      <c r="R228" s="192"/>
      <c r="S228" s="189"/>
      <c r="T228" s="189"/>
      <c r="U228" s="189"/>
      <c r="V228" s="189"/>
      <c r="W228" s="191" t="str">
        <f t="shared" si="9"/>
        <v/>
      </c>
      <c r="X228" s="189"/>
      <c r="Y228" s="189"/>
      <c r="Z228" s="189"/>
      <c r="AA228" s="189"/>
      <c r="AB228" s="189"/>
      <c r="AC228" s="189"/>
      <c r="AD228" s="189"/>
      <c r="AE228" s="189"/>
      <c r="AF228" s="189"/>
      <c r="AG228" s="192"/>
      <c r="AH228" s="192"/>
      <c r="AI228" s="189"/>
      <c r="AJ228" s="189"/>
      <c r="AK228" s="189"/>
      <c r="AL228" s="189"/>
      <c r="AM228" s="191" t="str">
        <f t="shared" si="11"/>
        <v/>
      </c>
      <c r="AN228" s="191" t="str">
        <f>IF($A228="","",IF(COUNTIF('Decision Queue'!$A$5:$A$204,$A228)+COUNTIF('Decision Register'!$A$5:$A$304,$A228)&gt;1,"DUPLICATE ID","OK"))</f>
        <v/>
      </c>
      <c r="AO228" t="s">
        <v>836</v>
      </c>
    </row>
    <row r="229" spans="1:41" ht="42" customHeight="1">
      <c r="A229" s="191" t="str">
        <f t="shared" si="10"/>
        <v/>
      </c>
      <c r="B229" s="189"/>
      <c r="C229" s="189"/>
      <c r="D229" s="189"/>
      <c r="E229" s="268"/>
      <c r="F229" s="189"/>
      <c r="G229" s="189"/>
      <c r="H229" s="189"/>
      <c r="I229" s="189"/>
      <c r="J229" s="189"/>
      <c r="K229" s="189"/>
      <c r="L229" s="189"/>
      <c r="M229" s="192"/>
      <c r="N229" s="189"/>
      <c r="O229" s="189"/>
      <c r="P229" s="189"/>
      <c r="Q229" s="189"/>
      <c r="R229" s="192"/>
      <c r="S229" s="189"/>
      <c r="T229" s="189"/>
      <c r="U229" s="189"/>
      <c r="V229" s="189"/>
      <c r="W229" s="191" t="str">
        <f t="shared" si="9"/>
        <v/>
      </c>
      <c r="X229" s="189"/>
      <c r="Y229" s="189"/>
      <c r="Z229" s="189"/>
      <c r="AA229" s="189"/>
      <c r="AB229" s="189"/>
      <c r="AC229" s="189"/>
      <c r="AD229" s="189"/>
      <c r="AE229" s="189"/>
      <c r="AF229" s="189"/>
      <c r="AG229" s="192"/>
      <c r="AH229" s="192"/>
      <c r="AI229" s="189"/>
      <c r="AJ229" s="189"/>
      <c r="AK229" s="189"/>
      <c r="AL229" s="189"/>
      <c r="AM229" s="191" t="str">
        <f t="shared" si="11"/>
        <v/>
      </c>
      <c r="AN229" s="191" t="str">
        <f>IF($A229="","",IF(COUNTIF('Decision Queue'!$A$5:$A$204,$A229)+COUNTIF('Decision Register'!$A$5:$A$304,$A229)&gt;1,"DUPLICATE ID","OK"))</f>
        <v/>
      </c>
      <c r="AO229" t="s">
        <v>837</v>
      </c>
    </row>
    <row r="230" spans="1:41" ht="42" customHeight="1">
      <c r="A230" s="191" t="str">
        <f t="shared" si="10"/>
        <v/>
      </c>
      <c r="B230" s="189"/>
      <c r="C230" s="189"/>
      <c r="D230" s="189"/>
      <c r="E230" s="268"/>
      <c r="F230" s="189"/>
      <c r="G230" s="189"/>
      <c r="H230" s="189"/>
      <c r="I230" s="189"/>
      <c r="J230" s="189"/>
      <c r="K230" s="189"/>
      <c r="L230" s="189"/>
      <c r="M230" s="192"/>
      <c r="N230" s="189"/>
      <c r="O230" s="189"/>
      <c r="P230" s="189"/>
      <c r="Q230" s="189"/>
      <c r="R230" s="192"/>
      <c r="S230" s="189"/>
      <c r="T230" s="189"/>
      <c r="U230" s="189"/>
      <c r="V230" s="189"/>
      <c r="W230" s="191" t="str">
        <f t="shared" si="9"/>
        <v/>
      </c>
      <c r="X230" s="189"/>
      <c r="Y230" s="189"/>
      <c r="Z230" s="189"/>
      <c r="AA230" s="189"/>
      <c r="AB230" s="189"/>
      <c r="AC230" s="189"/>
      <c r="AD230" s="189"/>
      <c r="AE230" s="189"/>
      <c r="AF230" s="189"/>
      <c r="AG230" s="192"/>
      <c r="AH230" s="192"/>
      <c r="AI230" s="189"/>
      <c r="AJ230" s="189"/>
      <c r="AK230" s="189"/>
      <c r="AL230" s="189"/>
      <c r="AM230" s="191" t="str">
        <f t="shared" si="11"/>
        <v/>
      </c>
      <c r="AN230" s="191" t="str">
        <f>IF($A230="","",IF(COUNTIF('Decision Queue'!$A$5:$A$204,$A230)+COUNTIF('Decision Register'!$A$5:$A$304,$A230)&gt;1,"DUPLICATE ID","OK"))</f>
        <v/>
      </c>
      <c r="AO230" t="s">
        <v>838</v>
      </c>
    </row>
    <row r="231" spans="1:41" ht="42" customHeight="1">
      <c r="A231" s="191" t="str">
        <f t="shared" si="10"/>
        <v/>
      </c>
      <c r="B231" s="189"/>
      <c r="C231" s="189"/>
      <c r="D231" s="189"/>
      <c r="E231" s="268"/>
      <c r="F231" s="189"/>
      <c r="G231" s="189"/>
      <c r="H231" s="189"/>
      <c r="I231" s="189"/>
      <c r="J231" s="189"/>
      <c r="K231" s="189"/>
      <c r="L231" s="189"/>
      <c r="M231" s="192"/>
      <c r="N231" s="189"/>
      <c r="O231" s="189"/>
      <c r="P231" s="189"/>
      <c r="Q231" s="189"/>
      <c r="R231" s="192"/>
      <c r="S231" s="189"/>
      <c r="T231" s="189"/>
      <c r="U231" s="189"/>
      <c r="V231" s="189"/>
      <c r="W231" s="191" t="str">
        <f t="shared" si="9"/>
        <v/>
      </c>
      <c r="X231" s="189"/>
      <c r="Y231" s="189"/>
      <c r="Z231" s="189"/>
      <c r="AA231" s="189"/>
      <c r="AB231" s="189"/>
      <c r="AC231" s="189"/>
      <c r="AD231" s="189"/>
      <c r="AE231" s="189"/>
      <c r="AF231" s="189"/>
      <c r="AG231" s="192"/>
      <c r="AH231" s="192"/>
      <c r="AI231" s="189"/>
      <c r="AJ231" s="189"/>
      <c r="AK231" s="189"/>
      <c r="AL231" s="189"/>
      <c r="AM231" s="191" t="str">
        <f t="shared" si="11"/>
        <v/>
      </c>
      <c r="AN231" s="191" t="str">
        <f>IF($A231="","",IF(COUNTIF('Decision Queue'!$A$5:$A$204,$A231)+COUNTIF('Decision Register'!$A$5:$A$304,$A231)&gt;1,"DUPLICATE ID","OK"))</f>
        <v/>
      </c>
      <c r="AO231" t="s">
        <v>839</v>
      </c>
    </row>
    <row r="232" spans="1:41" ht="42" customHeight="1">
      <c r="A232" s="191" t="str">
        <f t="shared" si="10"/>
        <v/>
      </c>
      <c r="B232" s="189"/>
      <c r="C232" s="189"/>
      <c r="D232" s="189"/>
      <c r="E232" s="268"/>
      <c r="F232" s="189"/>
      <c r="G232" s="189"/>
      <c r="H232" s="189"/>
      <c r="I232" s="189"/>
      <c r="J232" s="189"/>
      <c r="K232" s="189"/>
      <c r="L232" s="189"/>
      <c r="M232" s="192"/>
      <c r="N232" s="189"/>
      <c r="O232" s="189"/>
      <c r="P232" s="189"/>
      <c r="Q232" s="189"/>
      <c r="R232" s="192"/>
      <c r="S232" s="189"/>
      <c r="T232" s="189"/>
      <c r="U232" s="189"/>
      <c r="V232" s="189"/>
      <c r="W232" s="191" t="str">
        <f t="shared" si="9"/>
        <v/>
      </c>
      <c r="X232" s="189"/>
      <c r="Y232" s="189"/>
      <c r="Z232" s="189"/>
      <c r="AA232" s="189"/>
      <c r="AB232" s="189"/>
      <c r="AC232" s="189"/>
      <c r="AD232" s="189"/>
      <c r="AE232" s="189"/>
      <c r="AF232" s="189"/>
      <c r="AG232" s="192"/>
      <c r="AH232" s="192"/>
      <c r="AI232" s="189"/>
      <c r="AJ232" s="189"/>
      <c r="AK232" s="189"/>
      <c r="AL232" s="189"/>
      <c r="AM232" s="191" t="str">
        <f t="shared" si="11"/>
        <v/>
      </c>
      <c r="AN232" s="191" t="str">
        <f>IF($A232="","",IF(COUNTIF('Decision Queue'!$A$5:$A$204,$A232)+COUNTIF('Decision Register'!$A$5:$A$304,$A232)&gt;1,"DUPLICATE ID","OK"))</f>
        <v/>
      </c>
      <c r="AO232" t="s">
        <v>840</v>
      </c>
    </row>
    <row r="233" spans="1:41" ht="42" customHeight="1">
      <c r="A233" s="191" t="str">
        <f t="shared" si="10"/>
        <v/>
      </c>
      <c r="B233" s="189"/>
      <c r="C233" s="189"/>
      <c r="D233" s="189"/>
      <c r="E233" s="268"/>
      <c r="F233" s="189"/>
      <c r="G233" s="189"/>
      <c r="H233" s="189"/>
      <c r="I233" s="189"/>
      <c r="J233" s="189"/>
      <c r="K233" s="189"/>
      <c r="L233" s="189"/>
      <c r="M233" s="192"/>
      <c r="N233" s="189"/>
      <c r="O233" s="189"/>
      <c r="P233" s="189"/>
      <c r="Q233" s="189"/>
      <c r="R233" s="192"/>
      <c r="S233" s="189"/>
      <c r="T233" s="189"/>
      <c r="U233" s="189"/>
      <c r="V233" s="189"/>
      <c r="W233" s="191" t="str">
        <f t="shared" si="9"/>
        <v/>
      </c>
      <c r="X233" s="189"/>
      <c r="Y233" s="189"/>
      <c r="Z233" s="189"/>
      <c r="AA233" s="189"/>
      <c r="AB233" s="189"/>
      <c r="AC233" s="189"/>
      <c r="AD233" s="189"/>
      <c r="AE233" s="189"/>
      <c r="AF233" s="189"/>
      <c r="AG233" s="192"/>
      <c r="AH233" s="192"/>
      <c r="AI233" s="189"/>
      <c r="AJ233" s="189"/>
      <c r="AK233" s="189"/>
      <c r="AL233" s="189"/>
      <c r="AM233" s="191" t="str">
        <f t="shared" si="11"/>
        <v/>
      </c>
      <c r="AN233" s="191" t="str">
        <f>IF($A233="","",IF(COUNTIF('Decision Queue'!$A$5:$A$204,$A233)+COUNTIF('Decision Register'!$A$5:$A$304,$A233)&gt;1,"DUPLICATE ID","OK"))</f>
        <v/>
      </c>
      <c r="AO233" t="s">
        <v>841</v>
      </c>
    </row>
    <row r="234" spans="1:41" ht="42" customHeight="1">
      <c r="A234" s="191" t="str">
        <f t="shared" si="10"/>
        <v/>
      </c>
      <c r="B234" s="189"/>
      <c r="C234" s="189"/>
      <c r="D234" s="189"/>
      <c r="E234" s="268"/>
      <c r="F234" s="189"/>
      <c r="G234" s="189"/>
      <c r="H234" s="189"/>
      <c r="I234" s="189"/>
      <c r="J234" s="189"/>
      <c r="K234" s="189"/>
      <c r="L234" s="189"/>
      <c r="M234" s="192"/>
      <c r="N234" s="189"/>
      <c r="O234" s="189"/>
      <c r="P234" s="189"/>
      <c r="Q234" s="189"/>
      <c r="R234" s="192"/>
      <c r="S234" s="189"/>
      <c r="T234" s="189"/>
      <c r="U234" s="189"/>
      <c r="V234" s="189"/>
      <c r="W234" s="191" t="str">
        <f t="shared" si="9"/>
        <v/>
      </c>
      <c r="X234" s="189"/>
      <c r="Y234" s="189"/>
      <c r="Z234" s="189"/>
      <c r="AA234" s="189"/>
      <c r="AB234" s="189"/>
      <c r="AC234" s="189"/>
      <c r="AD234" s="189"/>
      <c r="AE234" s="189"/>
      <c r="AF234" s="189"/>
      <c r="AG234" s="192"/>
      <c r="AH234" s="192"/>
      <c r="AI234" s="189"/>
      <c r="AJ234" s="189"/>
      <c r="AK234" s="189"/>
      <c r="AL234" s="189"/>
      <c r="AM234" s="191" t="str">
        <f t="shared" si="11"/>
        <v/>
      </c>
      <c r="AN234" s="191" t="str">
        <f>IF($A234="","",IF(COUNTIF('Decision Queue'!$A$5:$A$204,$A234)+COUNTIF('Decision Register'!$A$5:$A$304,$A234)&gt;1,"DUPLICATE ID","OK"))</f>
        <v/>
      </c>
      <c r="AO234" t="s">
        <v>842</v>
      </c>
    </row>
    <row r="235" spans="1:41" ht="42" customHeight="1">
      <c r="A235" s="191" t="str">
        <f t="shared" si="10"/>
        <v/>
      </c>
      <c r="B235" s="189"/>
      <c r="C235" s="189"/>
      <c r="D235" s="189"/>
      <c r="E235" s="268"/>
      <c r="F235" s="189"/>
      <c r="G235" s="189"/>
      <c r="H235" s="189"/>
      <c r="I235" s="189"/>
      <c r="J235" s="189"/>
      <c r="K235" s="189"/>
      <c r="L235" s="189"/>
      <c r="M235" s="192"/>
      <c r="N235" s="189"/>
      <c r="O235" s="189"/>
      <c r="P235" s="189"/>
      <c r="Q235" s="189"/>
      <c r="R235" s="192"/>
      <c r="S235" s="189"/>
      <c r="T235" s="189"/>
      <c r="U235" s="189"/>
      <c r="V235" s="189"/>
      <c r="W235" s="191" t="str">
        <f t="shared" si="9"/>
        <v/>
      </c>
      <c r="X235" s="189"/>
      <c r="Y235" s="189"/>
      <c r="Z235" s="189"/>
      <c r="AA235" s="189"/>
      <c r="AB235" s="189"/>
      <c r="AC235" s="189"/>
      <c r="AD235" s="189"/>
      <c r="AE235" s="189"/>
      <c r="AF235" s="189"/>
      <c r="AG235" s="192"/>
      <c r="AH235" s="192"/>
      <c r="AI235" s="189"/>
      <c r="AJ235" s="189"/>
      <c r="AK235" s="189"/>
      <c r="AL235" s="189"/>
      <c r="AM235" s="191" t="str">
        <f t="shared" si="11"/>
        <v/>
      </c>
      <c r="AN235" s="191" t="str">
        <f>IF($A235="","",IF(COUNTIF('Decision Queue'!$A$5:$A$204,$A235)+COUNTIF('Decision Register'!$A$5:$A$304,$A235)&gt;1,"DUPLICATE ID","OK"))</f>
        <v/>
      </c>
      <c r="AO235" t="s">
        <v>843</v>
      </c>
    </row>
    <row r="236" spans="1:41" ht="42" customHeight="1">
      <c r="A236" s="191" t="str">
        <f t="shared" si="10"/>
        <v/>
      </c>
      <c r="B236" s="189"/>
      <c r="C236" s="189"/>
      <c r="D236" s="189"/>
      <c r="E236" s="268"/>
      <c r="F236" s="189"/>
      <c r="G236" s="189"/>
      <c r="H236" s="189"/>
      <c r="I236" s="189"/>
      <c r="J236" s="189"/>
      <c r="K236" s="189"/>
      <c r="L236" s="189"/>
      <c r="M236" s="192"/>
      <c r="N236" s="189"/>
      <c r="O236" s="189"/>
      <c r="P236" s="189"/>
      <c r="Q236" s="189"/>
      <c r="R236" s="192"/>
      <c r="S236" s="189"/>
      <c r="T236" s="189"/>
      <c r="U236" s="189"/>
      <c r="V236" s="189"/>
      <c r="W236" s="191" t="str">
        <f t="shared" si="9"/>
        <v/>
      </c>
      <c r="X236" s="189"/>
      <c r="Y236" s="189"/>
      <c r="Z236" s="189"/>
      <c r="AA236" s="189"/>
      <c r="AB236" s="189"/>
      <c r="AC236" s="189"/>
      <c r="AD236" s="189"/>
      <c r="AE236" s="189"/>
      <c r="AF236" s="189"/>
      <c r="AG236" s="192"/>
      <c r="AH236" s="192"/>
      <c r="AI236" s="189"/>
      <c r="AJ236" s="189"/>
      <c r="AK236" s="189"/>
      <c r="AL236" s="189"/>
      <c r="AM236" s="191" t="str">
        <f t="shared" si="11"/>
        <v/>
      </c>
      <c r="AN236" s="191" t="str">
        <f>IF($A236="","",IF(COUNTIF('Decision Queue'!$A$5:$A$204,$A236)+COUNTIF('Decision Register'!$A$5:$A$304,$A236)&gt;1,"DUPLICATE ID","OK"))</f>
        <v/>
      </c>
      <c r="AO236" t="s">
        <v>844</v>
      </c>
    </row>
    <row r="237" spans="1:41" ht="42" customHeight="1">
      <c r="A237" s="191" t="str">
        <f t="shared" si="10"/>
        <v/>
      </c>
      <c r="B237" s="189"/>
      <c r="C237" s="189"/>
      <c r="D237" s="189"/>
      <c r="E237" s="268"/>
      <c r="F237" s="189"/>
      <c r="G237" s="189"/>
      <c r="H237" s="189"/>
      <c r="I237" s="189"/>
      <c r="J237" s="189"/>
      <c r="K237" s="189"/>
      <c r="L237" s="189"/>
      <c r="M237" s="192"/>
      <c r="N237" s="189"/>
      <c r="O237" s="189"/>
      <c r="P237" s="189"/>
      <c r="Q237" s="189"/>
      <c r="R237" s="192"/>
      <c r="S237" s="189"/>
      <c r="T237" s="189"/>
      <c r="U237" s="189"/>
      <c r="V237" s="189"/>
      <c r="W237" s="191" t="str">
        <f t="shared" si="9"/>
        <v/>
      </c>
      <c r="X237" s="189"/>
      <c r="Y237" s="189"/>
      <c r="Z237" s="189"/>
      <c r="AA237" s="189"/>
      <c r="AB237" s="189"/>
      <c r="AC237" s="189"/>
      <c r="AD237" s="189"/>
      <c r="AE237" s="189"/>
      <c r="AF237" s="189"/>
      <c r="AG237" s="192"/>
      <c r="AH237" s="192"/>
      <c r="AI237" s="189"/>
      <c r="AJ237" s="189"/>
      <c r="AK237" s="189"/>
      <c r="AL237" s="189"/>
      <c r="AM237" s="191" t="str">
        <f t="shared" si="11"/>
        <v/>
      </c>
      <c r="AN237" s="191" t="str">
        <f>IF($A237="","",IF(COUNTIF('Decision Queue'!$A$5:$A$204,$A237)+COUNTIF('Decision Register'!$A$5:$A$304,$A237)&gt;1,"DUPLICATE ID","OK"))</f>
        <v/>
      </c>
      <c r="AO237" t="s">
        <v>845</v>
      </c>
    </row>
    <row r="238" spans="1:41" ht="42" customHeight="1">
      <c r="A238" s="191" t="str">
        <f t="shared" si="10"/>
        <v/>
      </c>
      <c r="B238" s="189"/>
      <c r="C238" s="189"/>
      <c r="D238" s="189"/>
      <c r="E238" s="268"/>
      <c r="F238" s="189"/>
      <c r="G238" s="189"/>
      <c r="H238" s="189"/>
      <c r="I238" s="189"/>
      <c r="J238" s="189"/>
      <c r="K238" s="189"/>
      <c r="L238" s="189"/>
      <c r="M238" s="192"/>
      <c r="N238" s="189"/>
      <c r="O238" s="189"/>
      <c r="P238" s="189"/>
      <c r="Q238" s="189"/>
      <c r="R238" s="192"/>
      <c r="S238" s="189"/>
      <c r="T238" s="189"/>
      <c r="U238" s="189"/>
      <c r="V238" s="189"/>
      <c r="W238" s="191" t="str">
        <f t="shared" si="9"/>
        <v/>
      </c>
      <c r="X238" s="189"/>
      <c r="Y238" s="189"/>
      <c r="Z238" s="189"/>
      <c r="AA238" s="189"/>
      <c r="AB238" s="189"/>
      <c r="AC238" s="189"/>
      <c r="AD238" s="189"/>
      <c r="AE238" s="189"/>
      <c r="AF238" s="189"/>
      <c r="AG238" s="192"/>
      <c r="AH238" s="192"/>
      <c r="AI238" s="189"/>
      <c r="AJ238" s="189"/>
      <c r="AK238" s="189"/>
      <c r="AL238" s="189"/>
      <c r="AM238" s="191" t="str">
        <f t="shared" si="11"/>
        <v/>
      </c>
      <c r="AN238" s="191" t="str">
        <f>IF($A238="","",IF(COUNTIF('Decision Queue'!$A$5:$A$204,$A238)+COUNTIF('Decision Register'!$A$5:$A$304,$A238)&gt;1,"DUPLICATE ID","OK"))</f>
        <v/>
      </c>
      <c r="AO238" t="s">
        <v>846</v>
      </c>
    </row>
    <row r="239" spans="1:41" ht="42" customHeight="1">
      <c r="A239" s="191" t="str">
        <f t="shared" si="10"/>
        <v/>
      </c>
      <c r="B239" s="189"/>
      <c r="C239" s="189"/>
      <c r="D239" s="189"/>
      <c r="E239" s="268"/>
      <c r="F239" s="189"/>
      <c r="G239" s="189"/>
      <c r="H239" s="189"/>
      <c r="I239" s="189"/>
      <c r="J239" s="189"/>
      <c r="K239" s="189"/>
      <c r="L239" s="189"/>
      <c r="M239" s="192"/>
      <c r="N239" s="189"/>
      <c r="O239" s="189"/>
      <c r="P239" s="189"/>
      <c r="Q239" s="189"/>
      <c r="R239" s="192"/>
      <c r="S239" s="189"/>
      <c r="T239" s="189"/>
      <c r="U239" s="189"/>
      <c r="V239" s="189"/>
      <c r="W239" s="191" t="str">
        <f t="shared" si="9"/>
        <v/>
      </c>
      <c r="X239" s="189"/>
      <c r="Y239" s="189"/>
      <c r="Z239" s="189"/>
      <c r="AA239" s="189"/>
      <c r="AB239" s="189"/>
      <c r="AC239" s="189"/>
      <c r="AD239" s="189"/>
      <c r="AE239" s="189"/>
      <c r="AF239" s="189"/>
      <c r="AG239" s="192"/>
      <c r="AH239" s="192"/>
      <c r="AI239" s="189"/>
      <c r="AJ239" s="189"/>
      <c r="AK239" s="189"/>
      <c r="AL239" s="189"/>
      <c r="AM239" s="191" t="str">
        <f t="shared" si="11"/>
        <v/>
      </c>
      <c r="AN239" s="191" t="str">
        <f>IF($A239="","",IF(COUNTIF('Decision Queue'!$A$5:$A$204,$A239)+COUNTIF('Decision Register'!$A$5:$A$304,$A239)&gt;1,"DUPLICATE ID","OK"))</f>
        <v/>
      </c>
      <c r="AO239" t="s">
        <v>847</v>
      </c>
    </row>
    <row r="240" spans="1:41" ht="42" customHeight="1">
      <c r="A240" s="191" t="str">
        <f t="shared" si="10"/>
        <v/>
      </c>
      <c r="B240" s="189"/>
      <c r="C240" s="189"/>
      <c r="D240" s="189"/>
      <c r="E240" s="268"/>
      <c r="F240" s="189"/>
      <c r="G240" s="189"/>
      <c r="H240" s="189"/>
      <c r="I240" s="189"/>
      <c r="J240" s="189"/>
      <c r="K240" s="189"/>
      <c r="L240" s="189"/>
      <c r="M240" s="192"/>
      <c r="N240" s="189"/>
      <c r="O240" s="189"/>
      <c r="P240" s="189"/>
      <c r="Q240" s="189"/>
      <c r="R240" s="192"/>
      <c r="S240" s="189"/>
      <c r="T240" s="189"/>
      <c r="U240" s="189"/>
      <c r="V240" s="189"/>
      <c r="W240" s="191" t="str">
        <f t="shared" si="9"/>
        <v/>
      </c>
      <c r="X240" s="189"/>
      <c r="Y240" s="189"/>
      <c r="Z240" s="189"/>
      <c r="AA240" s="189"/>
      <c r="AB240" s="189"/>
      <c r="AC240" s="189"/>
      <c r="AD240" s="189"/>
      <c r="AE240" s="189"/>
      <c r="AF240" s="189"/>
      <c r="AG240" s="192"/>
      <c r="AH240" s="192"/>
      <c r="AI240" s="189"/>
      <c r="AJ240" s="189"/>
      <c r="AK240" s="189"/>
      <c r="AL240" s="189"/>
      <c r="AM240" s="191" t="str">
        <f t="shared" si="11"/>
        <v/>
      </c>
      <c r="AN240" s="191" t="str">
        <f>IF($A240="","",IF(COUNTIF('Decision Queue'!$A$5:$A$204,$A240)+COUNTIF('Decision Register'!$A$5:$A$304,$A240)&gt;1,"DUPLICATE ID","OK"))</f>
        <v/>
      </c>
      <c r="AO240" t="s">
        <v>848</v>
      </c>
    </row>
    <row r="241" spans="1:41" ht="42" customHeight="1">
      <c r="A241" s="191" t="str">
        <f t="shared" si="10"/>
        <v/>
      </c>
      <c r="B241" s="189"/>
      <c r="C241" s="189"/>
      <c r="D241" s="189"/>
      <c r="E241" s="268"/>
      <c r="F241" s="189"/>
      <c r="G241" s="189"/>
      <c r="H241" s="189"/>
      <c r="I241" s="189"/>
      <c r="J241" s="189"/>
      <c r="K241" s="189"/>
      <c r="L241" s="189"/>
      <c r="M241" s="192"/>
      <c r="N241" s="189"/>
      <c r="O241" s="189"/>
      <c r="P241" s="189"/>
      <c r="Q241" s="189"/>
      <c r="R241" s="192"/>
      <c r="S241" s="189"/>
      <c r="T241" s="189"/>
      <c r="U241" s="189"/>
      <c r="V241" s="189"/>
      <c r="W241" s="191" t="str">
        <f t="shared" si="9"/>
        <v/>
      </c>
      <c r="X241" s="189"/>
      <c r="Y241" s="189"/>
      <c r="Z241" s="189"/>
      <c r="AA241" s="189"/>
      <c r="AB241" s="189"/>
      <c r="AC241" s="189"/>
      <c r="AD241" s="189"/>
      <c r="AE241" s="189"/>
      <c r="AF241" s="189"/>
      <c r="AG241" s="192"/>
      <c r="AH241" s="192"/>
      <c r="AI241" s="189"/>
      <c r="AJ241" s="189"/>
      <c r="AK241" s="189"/>
      <c r="AL241" s="189"/>
      <c r="AM241" s="191" t="str">
        <f t="shared" si="11"/>
        <v/>
      </c>
      <c r="AN241" s="191" t="str">
        <f>IF($A241="","",IF(COUNTIF('Decision Queue'!$A$5:$A$204,$A241)+COUNTIF('Decision Register'!$A$5:$A$304,$A241)&gt;1,"DUPLICATE ID","OK"))</f>
        <v/>
      </c>
      <c r="AO241" t="s">
        <v>849</v>
      </c>
    </row>
    <row r="242" spans="1:41" ht="42" customHeight="1">
      <c r="A242" s="191" t="str">
        <f t="shared" si="10"/>
        <v/>
      </c>
      <c r="B242" s="189"/>
      <c r="C242" s="189"/>
      <c r="D242" s="189"/>
      <c r="E242" s="268"/>
      <c r="F242" s="189"/>
      <c r="G242" s="189"/>
      <c r="H242" s="189"/>
      <c r="I242" s="189"/>
      <c r="J242" s="189"/>
      <c r="K242" s="189"/>
      <c r="L242" s="189"/>
      <c r="M242" s="192"/>
      <c r="N242" s="189"/>
      <c r="O242" s="189"/>
      <c r="P242" s="189"/>
      <c r="Q242" s="189"/>
      <c r="R242" s="192"/>
      <c r="S242" s="189"/>
      <c r="T242" s="189"/>
      <c r="U242" s="189"/>
      <c r="V242" s="189"/>
      <c r="W242" s="191" t="str">
        <f t="shared" si="9"/>
        <v/>
      </c>
      <c r="X242" s="189"/>
      <c r="Y242" s="189"/>
      <c r="Z242" s="189"/>
      <c r="AA242" s="189"/>
      <c r="AB242" s="189"/>
      <c r="AC242" s="189"/>
      <c r="AD242" s="189"/>
      <c r="AE242" s="189"/>
      <c r="AF242" s="189"/>
      <c r="AG242" s="192"/>
      <c r="AH242" s="192"/>
      <c r="AI242" s="189"/>
      <c r="AJ242" s="189"/>
      <c r="AK242" s="189"/>
      <c r="AL242" s="189"/>
      <c r="AM242" s="191" t="str">
        <f t="shared" si="11"/>
        <v/>
      </c>
      <c r="AN242" s="191" t="str">
        <f>IF($A242="","",IF(COUNTIF('Decision Queue'!$A$5:$A$204,$A242)+COUNTIF('Decision Register'!$A$5:$A$304,$A242)&gt;1,"DUPLICATE ID","OK"))</f>
        <v/>
      </c>
      <c r="AO242" t="s">
        <v>850</v>
      </c>
    </row>
    <row r="243" spans="1:41" ht="42" customHeight="1">
      <c r="A243" s="191" t="str">
        <f t="shared" si="10"/>
        <v/>
      </c>
      <c r="B243" s="189"/>
      <c r="C243" s="189"/>
      <c r="D243" s="189"/>
      <c r="E243" s="268"/>
      <c r="F243" s="189"/>
      <c r="G243" s="189"/>
      <c r="H243" s="189"/>
      <c r="I243" s="189"/>
      <c r="J243" s="189"/>
      <c r="K243" s="189"/>
      <c r="L243" s="189"/>
      <c r="M243" s="192"/>
      <c r="N243" s="189"/>
      <c r="O243" s="189"/>
      <c r="P243" s="189"/>
      <c r="Q243" s="189"/>
      <c r="R243" s="192"/>
      <c r="S243" s="189"/>
      <c r="T243" s="189"/>
      <c r="U243" s="189"/>
      <c r="V243" s="189"/>
      <c r="W243" s="191" t="str">
        <f t="shared" si="9"/>
        <v/>
      </c>
      <c r="X243" s="189"/>
      <c r="Y243" s="189"/>
      <c r="Z243" s="189"/>
      <c r="AA243" s="189"/>
      <c r="AB243" s="189"/>
      <c r="AC243" s="189"/>
      <c r="AD243" s="189"/>
      <c r="AE243" s="189"/>
      <c r="AF243" s="189"/>
      <c r="AG243" s="192"/>
      <c r="AH243" s="192"/>
      <c r="AI243" s="189"/>
      <c r="AJ243" s="189"/>
      <c r="AK243" s="189"/>
      <c r="AL243" s="189"/>
      <c r="AM243" s="191" t="str">
        <f t="shared" si="11"/>
        <v/>
      </c>
      <c r="AN243" s="191" t="str">
        <f>IF($A243="","",IF(COUNTIF('Decision Queue'!$A$5:$A$204,$A243)+COUNTIF('Decision Register'!$A$5:$A$304,$A243)&gt;1,"DUPLICATE ID","OK"))</f>
        <v/>
      </c>
      <c r="AO243" t="s">
        <v>851</v>
      </c>
    </row>
    <row r="244" spans="1:41" ht="42" customHeight="1">
      <c r="A244" s="191" t="str">
        <f t="shared" si="10"/>
        <v/>
      </c>
      <c r="B244" s="189"/>
      <c r="C244" s="189"/>
      <c r="D244" s="189"/>
      <c r="E244" s="268"/>
      <c r="F244" s="189"/>
      <c r="G244" s="189"/>
      <c r="H244" s="189"/>
      <c r="I244" s="189"/>
      <c r="J244" s="189"/>
      <c r="K244" s="189"/>
      <c r="L244" s="189"/>
      <c r="M244" s="192"/>
      <c r="N244" s="189"/>
      <c r="O244" s="189"/>
      <c r="P244" s="189"/>
      <c r="Q244" s="189"/>
      <c r="R244" s="192"/>
      <c r="S244" s="189"/>
      <c r="T244" s="189"/>
      <c r="U244" s="189"/>
      <c r="V244" s="189"/>
      <c r="W244" s="191" t="str">
        <f t="shared" si="9"/>
        <v/>
      </c>
      <c r="X244" s="189"/>
      <c r="Y244" s="189"/>
      <c r="Z244" s="189"/>
      <c r="AA244" s="189"/>
      <c r="AB244" s="189"/>
      <c r="AC244" s="189"/>
      <c r="AD244" s="189"/>
      <c r="AE244" s="189"/>
      <c r="AF244" s="189"/>
      <c r="AG244" s="192"/>
      <c r="AH244" s="192"/>
      <c r="AI244" s="189"/>
      <c r="AJ244" s="189"/>
      <c r="AK244" s="189"/>
      <c r="AL244" s="189"/>
      <c r="AM244" s="191" t="str">
        <f t="shared" si="11"/>
        <v/>
      </c>
      <c r="AN244" s="191" t="str">
        <f>IF($A244="","",IF(COUNTIF('Decision Queue'!$A$5:$A$204,$A244)+COUNTIF('Decision Register'!$A$5:$A$304,$A244)&gt;1,"DUPLICATE ID","OK"))</f>
        <v/>
      </c>
      <c r="AO244" t="s">
        <v>852</v>
      </c>
    </row>
    <row r="245" spans="1:41" ht="42" customHeight="1">
      <c r="A245" s="191" t="str">
        <f t="shared" si="10"/>
        <v/>
      </c>
      <c r="B245" s="189"/>
      <c r="C245" s="189"/>
      <c r="D245" s="189"/>
      <c r="E245" s="268"/>
      <c r="F245" s="189"/>
      <c r="G245" s="189"/>
      <c r="H245" s="189"/>
      <c r="I245" s="189"/>
      <c r="J245" s="189"/>
      <c r="K245" s="189"/>
      <c r="L245" s="189"/>
      <c r="M245" s="192"/>
      <c r="N245" s="189"/>
      <c r="O245" s="189"/>
      <c r="P245" s="189"/>
      <c r="Q245" s="189"/>
      <c r="R245" s="192"/>
      <c r="S245" s="189"/>
      <c r="T245" s="189"/>
      <c r="U245" s="189"/>
      <c r="V245" s="189"/>
      <c r="W245" s="191" t="str">
        <f t="shared" si="9"/>
        <v/>
      </c>
      <c r="X245" s="189"/>
      <c r="Y245" s="189"/>
      <c r="Z245" s="189"/>
      <c r="AA245" s="189"/>
      <c r="AB245" s="189"/>
      <c r="AC245" s="189"/>
      <c r="AD245" s="189"/>
      <c r="AE245" s="189"/>
      <c r="AF245" s="189"/>
      <c r="AG245" s="192"/>
      <c r="AH245" s="192"/>
      <c r="AI245" s="189"/>
      <c r="AJ245" s="189"/>
      <c r="AK245" s="189"/>
      <c r="AL245" s="189"/>
      <c r="AM245" s="191" t="str">
        <f t="shared" si="11"/>
        <v/>
      </c>
      <c r="AN245" s="191" t="str">
        <f>IF($A245="","",IF(COUNTIF('Decision Queue'!$A$5:$A$204,$A245)+COUNTIF('Decision Register'!$A$5:$A$304,$A245)&gt;1,"DUPLICATE ID","OK"))</f>
        <v/>
      </c>
      <c r="AO245" t="s">
        <v>853</v>
      </c>
    </row>
    <row r="246" spans="1:41" ht="42" customHeight="1">
      <c r="A246" s="191" t="str">
        <f t="shared" si="10"/>
        <v/>
      </c>
      <c r="B246" s="189"/>
      <c r="C246" s="189"/>
      <c r="D246" s="189"/>
      <c r="E246" s="268"/>
      <c r="F246" s="189"/>
      <c r="G246" s="189"/>
      <c r="H246" s="189"/>
      <c r="I246" s="189"/>
      <c r="J246" s="189"/>
      <c r="K246" s="189"/>
      <c r="L246" s="189"/>
      <c r="M246" s="192"/>
      <c r="N246" s="189"/>
      <c r="O246" s="189"/>
      <c r="P246" s="189"/>
      <c r="Q246" s="189"/>
      <c r="R246" s="192"/>
      <c r="S246" s="189"/>
      <c r="T246" s="189"/>
      <c r="U246" s="189"/>
      <c r="V246" s="189"/>
      <c r="W246" s="191" t="str">
        <f t="shared" si="9"/>
        <v/>
      </c>
      <c r="X246" s="189"/>
      <c r="Y246" s="189"/>
      <c r="Z246" s="189"/>
      <c r="AA246" s="189"/>
      <c r="AB246" s="189"/>
      <c r="AC246" s="189"/>
      <c r="AD246" s="189"/>
      <c r="AE246" s="189"/>
      <c r="AF246" s="189"/>
      <c r="AG246" s="192"/>
      <c r="AH246" s="192"/>
      <c r="AI246" s="189"/>
      <c r="AJ246" s="189"/>
      <c r="AK246" s="189"/>
      <c r="AL246" s="189"/>
      <c r="AM246" s="191" t="str">
        <f t="shared" si="11"/>
        <v/>
      </c>
      <c r="AN246" s="191" t="str">
        <f>IF($A246="","",IF(COUNTIF('Decision Queue'!$A$5:$A$204,$A246)+COUNTIF('Decision Register'!$A$5:$A$304,$A246)&gt;1,"DUPLICATE ID","OK"))</f>
        <v/>
      </c>
      <c r="AO246" t="s">
        <v>854</v>
      </c>
    </row>
    <row r="247" spans="1:41" ht="42" customHeight="1">
      <c r="A247" s="191" t="str">
        <f t="shared" si="10"/>
        <v/>
      </c>
      <c r="B247" s="189"/>
      <c r="C247" s="189"/>
      <c r="D247" s="189"/>
      <c r="E247" s="268"/>
      <c r="F247" s="189"/>
      <c r="G247" s="189"/>
      <c r="H247" s="189"/>
      <c r="I247" s="189"/>
      <c r="J247" s="189"/>
      <c r="K247" s="189"/>
      <c r="L247" s="189"/>
      <c r="M247" s="192"/>
      <c r="N247" s="189"/>
      <c r="O247" s="189"/>
      <c r="P247" s="189"/>
      <c r="Q247" s="189"/>
      <c r="R247" s="192"/>
      <c r="S247" s="189"/>
      <c r="T247" s="189"/>
      <c r="U247" s="189"/>
      <c r="V247" s="189"/>
      <c r="W247" s="191" t="str">
        <f t="shared" si="9"/>
        <v/>
      </c>
      <c r="X247" s="189"/>
      <c r="Y247" s="189"/>
      <c r="Z247" s="189"/>
      <c r="AA247" s="189"/>
      <c r="AB247" s="189"/>
      <c r="AC247" s="189"/>
      <c r="AD247" s="189"/>
      <c r="AE247" s="189"/>
      <c r="AF247" s="189"/>
      <c r="AG247" s="192"/>
      <c r="AH247" s="192"/>
      <c r="AI247" s="189"/>
      <c r="AJ247" s="189"/>
      <c r="AK247" s="189"/>
      <c r="AL247" s="189"/>
      <c r="AM247" s="191" t="str">
        <f t="shared" si="11"/>
        <v/>
      </c>
      <c r="AN247" s="191" t="str">
        <f>IF($A247="","",IF(COUNTIF('Decision Queue'!$A$5:$A$204,$A247)+COUNTIF('Decision Register'!$A$5:$A$304,$A247)&gt;1,"DUPLICATE ID","OK"))</f>
        <v/>
      </c>
      <c r="AO247" t="s">
        <v>855</v>
      </c>
    </row>
    <row r="248" spans="1:41" ht="42" customHeight="1">
      <c r="A248" s="191" t="str">
        <f t="shared" si="10"/>
        <v/>
      </c>
      <c r="B248" s="189"/>
      <c r="C248" s="189"/>
      <c r="D248" s="189"/>
      <c r="E248" s="268"/>
      <c r="F248" s="189"/>
      <c r="G248" s="189"/>
      <c r="H248" s="189"/>
      <c r="I248" s="189"/>
      <c r="J248" s="189"/>
      <c r="K248" s="189"/>
      <c r="L248" s="189"/>
      <c r="M248" s="192"/>
      <c r="N248" s="189"/>
      <c r="O248" s="189"/>
      <c r="P248" s="189"/>
      <c r="Q248" s="189"/>
      <c r="R248" s="192"/>
      <c r="S248" s="189"/>
      <c r="T248" s="189"/>
      <c r="U248" s="189"/>
      <c r="V248" s="189"/>
      <c r="W248" s="191" t="str">
        <f t="shared" si="9"/>
        <v/>
      </c>
      <c r="X248" s="189"/>
      <c r="Y248" s="189"/>
      <c r="Z248" s="189"/>
      <c r="AA248" s="189"/>
      <c r="AB248" s="189"/>
      <c r="AC248" s="189"/>
      <c r="AD248" s="189"/>
      <c r="AE248" s="189"/>
      <c r="AF248" s="189"/>
      <c r="AG248" s="192"/>
      <c r="AH248" s="192"/>
      <c r="AI248" s="189"/>
      <c r="AJ248" s="189"/>
      <c r="AK248" s="189"/>
      <c r="AL248" s="189"/>
      <c r="AM248" s="191" t="str">
        <f t="shared" si="11"/>
        <v/>
      </c>
      <c r="AN248" s="191" t="str">
        <f>IF($A248="","",IF(COUNTIF('Decision Queue'!$A$5:$A$204,$A248)+COUNTIF('Decision Register'!$A$5:$A$304,$A248)&gt;1,"DUPLICATE ID","OK"))</f>
        <v/>
      </c>
      <c r="AO248" t="s">
        <v>856</v>
      </c>
    </row>
    <row r="249" spans="1:41" ht="42" customHeight="1">
      <c r="A249" s="191" t="str">
        <f t="shared" si="10"/>
        <v/>
      </c>
      <c r="B249" s="189"/>
      <c r="C249" s="189"/>
      <c r="D249" s="189"/>
      <c r="E249" s="268"/>
      <c r="F249" s="189"/>
      <c r="G249" s="189"/>
      <c r="H249" s="189"/>
      <c r="I249" s="189"/>
      <c r="J249" s="189"/>
      <c r="K249" s="189"/>
      <c r="L249" s="189"/>
      <c r="M249" s="192"/>
      <c r="N249" s="189"/>
      <c r="O249" s="189"/>
      <c r="P249" s="189"/>
      <c r="Q249" s="189"/>
      <c r="R249" s="192"/>
      <c r="S249" s="189"/>
      <c r="T249" s="189"/>
      <c r="U249" s="189"/>
      <c r="V249" s="189"/>
      <c r="W249" s="191" t="str">
        <f t="shared" si="9"/>
        <v/>
      </c>
      <c r="X249" s="189"/>
      <c r="Y249" s="189"/>
      <c r="Z249" s="189"/>
      <c r="AA249" s="189"/>
      <c r="AB249" s="189"/>
      <c r="AC249" s="189"/>
      <c r="AD249" s="189"/>
      <c r="AE249" s="189"/>
      <c r="AF249" s="189"/>
      <c r="AG249" s="192"/>
      <c r="AH249" s="192"/>
      <c r="AI249" s="189"/>
      <c r="AJ249" s="189"/>
      <c r="AK249" s="189"/>
      <c r="AL249" s="189"/>
      <c r="AM249" s="191" t="str">
        <f t="shared" si="11"/>
        <v/>
      </c>
      <c r="AN249" s="191" t="str">
        <f>IF($A249="","",IF(COUNTIF('Decision Queue'!$A$5:$A$204,$A249)+COUNTIF('Decision Register'!$A$5:$A$304,$A249)&gt;1,"DUPLICATE ID","OK"))</f>
        <v/>
      </c>
      <c r="AO249" t="s">
        <v>857</v>
      </c>
    </row>
    <row r="250" spans="1:41" ht="42" customHeight="1">
      <c r="A250" s="191" t="str">
        <f t="shared" si="10"/>
        <v/>
      </c>
      <c r="B250" s="189"/>
      <c r="C250" s="189"/>
      <c r="D250" s="189"/>
      <c r="E250" s="268"/>
      <c r="F250" s="189"/>
      <c r="G250" s="189"/>
      <c r="H250" s="189"/>
      <c r="I250" s="189"/>
      <c r="J250" s="189"/>
      <c r="K250" s="189"/>
      <c r="L250" s="189"/>
      <c r="M250" s="192"/>
      <c r="N250" s="189"/>
      <c r="O250" s="189"/>
      <c r="P250" s="189"/>
      <c r="Q250" s="189"/>
      <c r="R250" s="192"/>
      <c r="S250" s="189"/>
      <c r="T250" s="189"/>
      <c r="U250" s="189"/>
      <c r="V250" s="189"/>
      <c r="W250" s="191" t="str">
        <f t="shared" si="9"/>
        <v/>
      </c>
      <c r="X250" s="189"/>
      <c r="Y250" s="189"/>
      <c r="Z250" s="189"/>
      <c r="AA250" s="189"/>
      <c r="AB250" s="189"/>
      <c r="AC250" s="189"/>
      <c r="AD250" s="189"/>
      <c r="AE250" s="189"/>
      <c r="AF250" s="189"/>
      <c r="AG250" s="192"/>
      <c r="AH250" s="192"/>
      <c r="AI250" s="189"/>
      <c r="AJ250" s="189"/>
      <c r="AK250" s="189"/>
      <c r="AL250" s="189"/>
      <c r="AM250" s="191" t="str">
        <f t="shared" si="11"/>
        <v/>
      </c>
      <c r="AN250" s="191" t="str">
        <f>IF($A250="","",IF(COUNTIF('Decision Queue'!$A$5:$A$204,$A250)+COUNTIF('Decision Register'!$A$5:$A$304,$A250)&gt;1,"DUPLICATE ID","OK"))</f>
        <v/>
      </c>
      <c r="AO250" t="s">
        <v>858</v>
      </c>
    </row>
    <row r="251" spans="1:41" ht="42" customHeight="1">
      <c r="A251" s="191" t="str">
        <f t="shared" si="10"/>
        <v/>
      </c>
      <c r="B251" s="189"/>
      <c r="C251" s="189"/>
      <c r="D251" s="189"/>
      <c r="E251" s="268"/>
      <c r="F251" s="189"/>
      <c r="G251" s="189"/>
      <c r="H251" s="189"/>
      <c r="I251" s="189"/>
      <c r="J251" s="189"/>
      <c r="K251" s="189"/>
      <c r="L251" s="189"/>
      <c r="M251" s="192"/>
      <c r="N251" s="189"/>
      <c r="O251" s="189"/>
      <c r="P251" s="189"/>
      <c r="Q251" s="189"/>
      <c r="R251" s="192"/>
      <c r="S251" s="189"/>
      <c r="T251" s="189"/>
      <c r="U251" s="189"/>
      <c r="V251" s="189"/>
      <c r="W251" s="191" t="str">
        <f t="shared" si="9"/>
        <v/>
      </c>
      <c r="X251" s="189"/>
      <c r="Y251" s="189"/>
      <c r="Z251" s="189"/>
      <c r="AA251" s="189"/>
      <c r="AB251" s="189"/>
      <c r="AC251" s="189"/>
      <c r="AD251" s="189"/>
      <c r="AE251" s="189"/>
      <c r="AF251" s="189"/>
      <c r="AG251" s="192"/>
      <c r="AH251" s="192"/>
      <c r="AI251" s="189"/>
      <c r="AJ251" s="189"/>
      <c r="AK251" s="189"/>
      <c r="AL251" s="189"/>
      <c r="AM251" s="191" t="str">
        <f t="shared" si="11"/>
        <v/>
      </c>
      <c r="AN251" s="191" t="str">
        <f>IF($A251="","",IF(COUNTIF('Decision Queue'!$A$5:$A$204,$A251)+COUNTIF('Decision Register'!$A$5:$A$304,$A251)&gt;1,"DUPLICATE ID","OK"))</f>
        <v/>
      </c>
      <c r="AO251" t="s">
        <v>859</v>
      </c>
    </row>
    <row r="252" spans="1:41" ht="42" customHeight="1">
      <c r="A252" s="191" t="str">
        <f t="shared" si="10"/>
        <v/>
      </c>
      <c r="B252" s="189"/>
      <c r="C252" s="189"/>
      <c r="D252" s="189"/>
      <c r="E252" s="268"/>
      <c r="F252" s="189"/>
      <c r="G252" s="189"/>
      <c r="H252" s="189"/>
      <c r="I252" s="189"/>
      <c r="J252" s="189"/>
      <c r="K252" s="189"/>
      <c r="L252" s="189"/>
      <c r="M252" s="192"/>
      <c r="N252" s="189"/>
      <c r="O252" s="189"/>
      <c r="P252" s="189"/>
      <c r="Q252" s="189"/>
      <c r="R252" s="192"/>
      <c r="S252" s="189"/>
      <c r="T252" s="189"/>
      <c r="U252" s="189"/>
      <c r="V252" s="189"/>
      <c r="W252" s="191" t="str">
        <f t="shared" si="9"/>
        <v/>
      </c>
      <c r="X252" s="189"/>
      <c r="Y252" s="189"/>
      <c r="Z252" s="189"/>
      <c r="AA252" s="189"/>
      <c r="AB252" s="189"/>
      <c r="AC252" s="189"/>
      <c r="AD252" s="189"/>
      <c r="AE252" s="189"/>
      <c r="AF252" s="189"/>
      <c r="AG252" s="192"/>
      <c r="AH252" s="192"/>
      <c r="AI252" s="189"/>
      <c r="AJ252" s="189"/>
      <c r="AK252" s="189"/>
      <c r="AL252" s="189"/>
      <c r="AM252" s="191" t="str">
        <f t="shared" si="11"/>
        <v/>
      </c>
      <c r="AN252" s="191" t="str">
        <f>IF($A252="","",IF(COUNTIF('Decision Queue'!$A$5:$A$204,$A252)+COUNTIF('Decision Register'!$A$5:$A$304,$A252)&gt;1,"DUPLICATE ID","OK"))</f>
        <v/>
      </c>
      <c r="AO252" t="s">
        <v>860</v>
      </c>
    </row>
    <row r="253" spans="1:41" ht="42" customHeight="1">
      <c r="A253" s="191" t="str">
        <f t="shared" si="10"/>
        <v/>
      </c>
      <c r="B253" s="189"/>
      <c r="C253" s="189"/>
      <c r="D253" s="189"/>
      <c r="E253" s="268"/>
      <c r="F253" s="189"/>
      <c r="G253" s="189"/>
      <c r="H253" s="189"/>
      <c r="I253" s="189"/>
      <c r="J253" s="189"/>
      <c r="K253" s="189"/>
      <c r="L253" s="189"/>
      <c r="M253" s="192"/>
      <c r="N253" s="189"/>
      <c r="O253" s="189"/>
      <c r="P253" s="189"/>
      <c r="Q253" s="189"/>
      <c r="R253" s="192"/>
      <c r="S253" s="189"/>
      <c r="T253" s="189"/>
      <c r="U253" s="189"/>
      <c r="V253" s="189"/>
      <c r="W253" s="191" t="str">
        <f t="shared" si="9"/>
        <v/>
      </c>
      <c r="X253" s="189"/>
      <c r="Y253" s="189"/>
      <c r="Z253" s="189"/>
      <c r="AA253" s="189"/>
      <c r="AB253" s="189"/>
      <c r="AC253" s="189"/>
      <c r="AD253" s="189"/>
      <c r="AE253" s="189"/>
      <c r="AF253" s="189"/>
      <c r="AG253" s="192"/>
      <c r="AH253" s="192"/>
      <c r="AI253" s="189"/>
      <c r="AJ253" s="189"/>
      <c r="AK253" s="189"/>
      <c r="AL253" s="189"/>
      <c r="AM253" s="191" t="str">
        <f t="shared" si="11"/>
        <v/>
      </c>
      <c r="AN253" s="191" t="str">
        <f>IF($A253="","",IF(COUNTIF('Decision Queue'!$A$5:$A$204,$A253)+COUNTIF('Decision Register'!$A$5:$A$304,$A253)&gt;1,"DUPLICATE ID","OK"))</f>
        <v/>
      </c>
      <c r="AO253" t="s">
        <v>861</v>
      </c>
    </row>
    <row r="254" spans="1:41" ht="42" customHeight="1">
      <c r="A254" s="191" t="str">
        <f t="shared" si="10"/>
        <v/>
      </c>
      <c r="B254" s="189"/>
      <c r="C254" s="189"/>
      <c r="D254" s="189"/>
      <c r="E254" s="268"/>
      <c r="F254" s="189"/>
      <c r="G254" s="189"/>
      <c r="H254" s="189"/>
      <c r="I254" s="189"/>
      <c r="J254" s="189"/>
      <c r="K254" s="189"/>
      <c r="L254" s="189"/>
      <c r="M254" s="192"/>
      <c r="N254" s="189"/>
      <c r="O254" s="189"/>
      <c r="P254" s="189"/>
      <c r="Q254" s="189"/>
      <c r="R254" s="192"/>
      <c r="S254" s="189"/>
      <c r="T254" s="189"/>
      <c r="U254" s="189"/>
      <c r="V254" s="189"/>
      <c r="W254" s="191" t="str">
        <f t="shared" si="9"/>
        <v/>
      </c>
      <c r="X254" s="189"/>
      <c r="Y254" s="189"/>
      <c r="Z254" s="189"/>
      <c r="AA254" s="189"/>
      <c r="AB254" s="189"/>
      <c r="AC254" s="189"/>
      <c r="AD254" s="189"/>
      <c r="AE254" s="189"/>
      <c r="AF254" s="189"/>
      <c r="AG254" s="192"/>
      <c r="AH254" s="192"/>
      <c r="AI254" s="189"/>
      <c r="AJ254" s="189"/>
      <c r="AK254" s="189"/>
      <c r="AL254" s="189"/>
      <c r="AM254" s="191" t="str">
        <f t="shared" si="11"/>
        <v/>
      </c>
      <c r="AN254" s="191" t="str">
        <f>IF($A254="","",IF(COUNTIF('Decision Queue'!$A$5:$A$204,$A254)+COUNTIF('Decision Register'!$A$5:$A$304,$A254)&gt;1,"DUPLICATE ID","OK"))</f>
        <v/>
      </c>
      <c r="AO254" t="s">
        <v>862</v>
      </c>
    </row>
    <row r="255" spans="1:41" ht="42" customHeight="1">
      <c r="A255" s="191" t="str">
        <f t="shared" si="10"/>
        <v/>
      </c>
      <c r="B255" s="189"/>
      <c r="C255" s="189"/>
      <c r="D255" s="189"/>
      <c r="E255" s="268"/>
      <c r="F255" s="189"/>
      <c r="G255" s="189"/>
      <c r="H255" s="189"/>
      <c r="I255" s="189"/>
      <c r="J255" s="189"/>
      <c r="K255" s="189"/>
      <c r="L255" s="189"/>
      <c r="M255" s="192"/>
      <c r="N255" s="189"/>
      <c r="O255" s="189"/>
      <c r="P255" s="189"/>
      <c r="Q255" s="189"/>
      <c r="R255" s="192"/>
      <c r="S255" s="189"/>
      <c r="T255" s="189"/>
      <c r="U255" s="189"/>
      <c r="V255" s="189"/>
      <c r="W255" s="191" t="str">
        <f t="shared" si="9"/>
        <v/>
      </c>
      <c r="X255" s="189"/>
      <c r="Y255" s="189"/>
      <c r="Z255" s="189"/>
      <c r="AA255" s="189"/>
      <c r="AB255" s="189"/>
      <c r="AC255" s="189"/>
      <c r="AD255" s="189"/>
      <c r="AE255" s="189"/>
      <c r="AF255" s="189"/>
      <c r="AG255" s="192"/>
      <c r="AH255" s="192"/>
      <c r="AI255" s="189"/>
      <c r="AJ255" s="189"/>
      <c r="AK255" s="189"/>
      <c r="AL255" s="189"/>
      <c r="AM255" s="191" t="str">
        <f t="shared" si="11"/>
        <v/>
      </c>
      <c r="AN255" s="191" t="str">
        <f>IF($A255="","",IF(COUNTIF('Decision Queue'!$A$5:$A$204,$A255)+COUNTIF('Decision Register'!$A$5:$A$304,$A255)&gt;1,"DUPLICATE ID","OK"))</f>
        <v/>
      </c>
      <c r="AO255" t="s">
        <v>863</v>
      </c>
    </row>
    <row r="256" spans="1:41" ht="42" customHeight="1">
      <c r="A256" s="191" t="str">
        <f t="shared" si="10"/>
        <v/>
      </c>
      <c r="B256" s="189"/>
      <c r="C256" s="189"/>
      <c r="D256" s="189"/>
      <c r="E256" s="268"/>
      <c r="F256" s="189"/>
      <c r="G256" s="189"/>
      <c r="H256" s="189"/>
      <c r="I256" s="189"/>
      <c r="J256" s="189"/>
      <c r="K256" s="189"/>
      <c r="L256" s="189"/>
      <c r="M256" s="192"/>
      <c r="N256" s="189"/>
      <c r="O256" s="189"/>
      <c r="P256" s="189"/>
      <c r="Q256" s="189"/>
      <c r="R256" s="192"/>
      <c r="S256" s="189"/>
      <c r="T256" s="189"/>
      <c r="U256" s="189"/>
      <c r="V256" s="189"/>
      <c r="W256" s="191" t="str">
        <f t="shared" si="9"/>
        <v/>
      </c>
      <c r="X256" s="189"/>
      <c r="Y256" s="189"/>
      <c r="Z256" s="189"/>
      <c r="AA256" s="189"/>
      <c r="AB256" s="189"/>
      <c r="AC256" s="189"/>
      <c r="AD256" s="189"/>
      <c r="AE256" s="189"/>
      <c r="AF256" s="189"/>
      <c r="AG256" s="192"/>
      <c r="AH256" s="192"/>
      <c r="AI256" s="189"/>
      <c r="AJ256" s="189"/>
      <c r="AK256" s="189"/>
      <c r="AL256" s="189"/>
      <c r="AM256" s="191" t="str">
        <f t="shared" si="11"/>
        <v/>
      </c>
      <c r="AN256" s="191" t="str">
        <f>IF($A256="","",IF(COUNTIF('Decision Queue'!$A$5:$A$204,$A256)+COUNTIF('Decision Register'!$A$5:$A$304,$A256)&gt;1,"DUPLICATE ID","OK"))</f>
        <v/>
      </c>
      <c r="AO256" t="s">
        <v>864</v>
      </c>
    </row>
    <row r="257" spans="1:41" ht="42" customHeight="1">
      <c r="A257" s="191" t="str">
        <f t="shared" si="10"/>
        <v/>
      </c>
      <c r="B257" s="189"/>
      <c r="C257" s="189"/>
      <c r="D257" s="189"/>
      <c r="E257" s="268"/>
      <c r="F257" s="189"/>
      <c r="G257" s="189"/>
      <c r="H257" s="189"/>
      <c r="I257" s="189"/>
      <c r="J257" s="189"/>
      <c r="K257" s="189"/>
      <c r="L257" s="189"/>
      <c r="M257" s="192"/>
      <c r="N257" s="189"/>
      <c r="O257" s="189"/>
      <c r="P257" s="189"/>
      <c r="Q257" s="189"/>
      <c r="R257" s="192"/>
      <c r="S257" s="189"/>
      <c r="T257" s="189"/>
      <c r="U257" s="189"/>
      <c r="V257" s="189"/>
      <c r="W257" s="191" t="str">
        <f t="shared" si="9"/>
        <v/>
      </c>
      <c r="X257" s="189"/>
      <c r="Y257" s="189"/>
      <c r="Z257" s="189"/>
      <c r="AA257" s="189"/>
      <c r="AB257" s="189"/>
      <c r="AC257" s="189"/>
      <c r="AD257" s="189"/>
      <c r="AE257" s="189"/>
      <c r="AF257" s="189"/>
      <c r="AG257" s="192"/>
      <c r="AH257" s="192"/>
      <c r="AI257" s="189"/>
      <c r="AJ257" s="189"/>
      <c r="AK257" s="189"/>
      <c r="AL257" s="189"/>
      <c r="AM257" s="191" t="str">
        <f t="shared" si="11"/>
        <v/>
      </c>
      <c r="AN257" s="191" t="str">
        <f>IF($A257="","",IF(COUNTIF('Decision Queue'!$A$5:$A$204,$A257)+COUNTIF('Decision Register'!$A$5:$A$304,$A257)&gt;1,"DUPLICATE ID","OK"))</f>
        <v/>
      </c>
      <c r="AO257" t="s">
        <v>865</v>
      </c>
    </row>
    <row r="258" spans="1:41" ht="42" customHeight="1">
      <c r="A258" s="191" t="str">
        <f t="shared" si="10"/>
        <v/>
      </c>
      <c r="B258" s="189"/>
      <c r="C258" s="189"/>
      <c r="D258" s="189"/>
      <c r="E258" s="268"/>
      <c r="F258" s="189"/>
      <c r="G258" s="189"/>
      <c r="H258" s="189"/>
      <c r="I258" s="189"/>
      <c r="J258" s="189"/>
      <c r="K258" s="189"/>
      <c r="L258" s="189"/>
      <c r="M258" s="192"/>
      <c r="N258" s="189"/>
      <c r="O258" s="189"/>
      <c r="P258" s="189"/>
      <c r="Q258" s="189"/>
      <c r="R258" s="192"/>
      <c r="S258" s="189"/>
      <c r="T258" s="189"/>
      <c r="U258" s="189"/>
      <c r="V258" s="189"/>
      <c r="W258" s="191" t="str">
        <f t="shared" si="9"/>
        <v/>
      </c>
      <c r="X258" s="189"/>
      <c r="Y258" s="189"/>
      <c r="Z258" s="189"/>
      <c r="AA258" s="189"/>
      <c r="AB258" s="189"/>
      <c r="AC258" s="189"/>
      <c r="AD258" s="189"/>
      <c r="AE258" s="189"/>
      <c r="AF258" s="189"/>
      <c r="AG258" s="192"/>
      <c r="AH258" s="192"/>
      <c r="AI258" s="189"/>
      <c r="AJ258" s="189"/>
      <c r="AK258" s="189"/>
      <c r="AL258" s="189"/>
      <c r="AM258" s="191" t="str">
        <f t="shared" si="11"/>
        <v/>
      </c>
      <c r="AN258" s="191" t="str">
        <f>IF($A258="","",IF(COUNTIF('Decision Queue'!$A$5:$A$204,$A258)+COUNTIF('Decision Register'!$A$5:$A$304,$A258)&gt;1,"DUPLICATE ID","OK"))</f>
        <v/>
      </c>
      <c r="AO258" t="s">
        <v>866</v>
      </c>
    </row>
    <row r="259" spans="1:41" ht="42" customHeight="1">
      <c r="A259" s="191" t="str">
        <f t="shared" si="10"/>
        <v/>
      </c>
      <c r="B259" s="189"/>
      <c r="C259" s="189"/>
      <c r="D259" s="189"/>
      <c r="E259" s="268"/>
      <c r="F259" s="189"/>
      <c r="G259" s="189"/>
      <c r="H259" s="189"/>
      <c r="I259" s="189"/>
      <c r="J259" s="189"/>
      <c r="K259" s="189"/>
      <c r="L259" s="189"/>
      <c r="M259" s="192"/>
      <c r="N259" s="189"/>
      <c r="O259" s="189"/>
      <c r="P259" s="189"/>
      <c r="Q259" s="189"/>
      <c r="R259" s="192"/>
      <c r="S259" s="189"/>
      <c r="T259" s="189"/>
      <c r="U259" s="189"/>
      <c r="V259" s="189"/>
      <c r="W259" s="191" t="str">
        <f t="shared" si="9"/>
        <v/>
      </c>
      <c r="X259" s="189"/>
      <c r="Y259" s="189"/>
      <c r="Z259" s="189"/>
      <c r="AA259" s="189"/>
      <c r="AB259" s="189"/>
      <c r="AC259" s="189"/>
      <c r="AD259" s="189"/>
      <c r="AE259" s="189"/>
      <c r="AF259" s="189"/>
      <c r="AG259" s="192"/>
      <c r="AH259" s="192"/>
      <c r="AI259" s="189"/>
      <c r="AJ259" s="189"/>
      <c r="AK259" s="189"/>
      <c r="AL259" s="189"/>
      <c r="AM259" s="191" t="str">
        <f t="shared" si="11"/>
        <v/>
      </c>
      <c r="AN259" s="191" t="str">
        <f>IF($A259="","",IF(COUNTIF('Decision Queue'!$A$5:$A$204,$A259)+COUNTIF('Decision Register'!$A$5:$A$304,$A259)&gt;1,"DUPLICATE ID","OK"))</f>
        <v/>
      </c>
      <c r="AO259" t="s">
        <v>867</v>
      </c>
    </row>
    <row r="260" spans="1:41" ht="42" customHeight="1">
      <c r="A260" s="191" t="str">
        <f t="shared" si="10"/>
        <v/>
      </c>
      <c r="B260" s="189"/>
      <c r="C260" s="189"/>
      <c r="D260" s="189"/>
      <c r="E260" s="268"/>
      <c r="F260" s="189"/>
      <c r="G260" s="189"/>
      <c r="H260" s="189"/>
      <c r="I260" s="189"/>
      <c r="J260" s="189"/>
      <c r="K260" s="189"/>
      <c r="L260" s="189"/>
      <c r="M260" s="192"/>
      <c r="N260" s="189"/>
      <c r="O260" s="189"/>
      <c r="P260" s="189"/>
      <c r="Q260" s="189"/>
      <c r="R260" s="192"/>
      <c r="S260" s="189"/>
      <c r="T260" s="189"/>
      <c r="U260" s="189"/>
      <c r="V260" s="189"/>
      <c r="W260" s="191" t="str">
        <f t="shared" si="9"/>
        <v/>
      </c>
      <c r="X260" s="189"/>
      <c r="Y260" s="189"/>
      <c r="Z260" s="189"/>
      <c r="AA260" s="189"/>
      <c r="AB260" s="189"/>
      <c r="AC260" s="189"/>
      <c r="AD260" s="189"/>
      <c r="AE260" s="189"/>
      <c r="AF260" s="189"/>
      <c r="AG260" s="192"/>
      <c r="AH260" s="192"/>
      <c r="AI260" s="189"/>
      <c r="AJ260" s="189"/>
      <c r="AK260" s="189"/>
      <c r="AL260" s="189"/>
      <c r="AM260" s="191" t="str">
        <f t="shared" si="11"/>
        <v/>
      </c>
      <c r="AN260" s="191" t="str">
        <f>IF($A260="","",IF(COUNTIF('Decision Queue'!$A$5:$A$204,$A260)+COUNTIF('Decision Register'!$A$5:$A$304,$A260)&gt;1,"DUPLICATE ID","OK"))</f>
        <v/>
      </c>
      <c r="AO260" t="s">
        <v>868</v>
      </c>
    </row>
    <row r="261" spans="1:41" ht="42" customHeight="1">
      <c r="A261" s="191" t="str">
        <f t="shared" si="10"/>
        <v/>
      </c>
      <c r="B261" s="189"/>
      <c r="C261" s="189"/>
      <c r="D261" s="189"/>
      <c r="E261" s="268"/>
      <c r="F261" s="189"/>
      <c r="G261" s="189"/>
      <c r="H261" s="189"/>
      <c r="I261" s="189"/>
      <c r="J261" s="189"/>
      <c r="K261" s="189"/>
      <c r="L261" s="189"/>
      <c r="M261" s="192"/>
      <c r="N261" s="189"/>
      <c r="O261" s="189"/>
      <c r="P261" s="189"/>
      <c r="Q261" s="189"/>
      <c r="R261" s="192"/>
      <c r="S261" s="189"/>
      <c r="T261" s="189"/>
      <c r="U261" s="189"/>
      <c r="V261" s="189"/>
      <c r="W261" s="191" t="str">
        <f t="shared" ref="W261:W304" si="12">IF($B261="","",IF(OR($G261="Completed",$G261="Cancelled"),"INACTIVE","ACTIVE"))</f>
        <v/>
      </c>
      <c r="X261" s="189"/>
      <c r="Y261" s="189"/>
      <c r="Z261" s="189"/>
      <c r="AA261" s="189"/>
      <c r="AB261" s="189"/>
      <c r="AC261" s="189"/>
      <c r="AD261" s="189"/>
      <c r="AE261" s="189"/>
      <c r="AF261" s="189"/>
      <c r="AG261" s="192"/>
      <c r="AH261" s="192"/>
      <c r="AI261" s="189"/>
      <c r="AJ261" s="189"/>
      <c r="AK261" s="189"/>
      <c r="AL261" s="189"/>
      <c r="AM261" s="191" t="str">
        <f t="shared" si="11"/>
        <v/>
      </c>
      <c r="AN261" s="191" t="str">
        <f>IF($A261="","",IF(COUNTIF('Decision Queue'!$A$5:$A$204,$A261)+COUNTIF('Decision Register'!$A$5:$A$304,$A261)&gt;1,"DUPLICATE ID","OK"))</f>
        <v/>
      </c>
      <c r="AO261" t="s">
        <v>869</v>
      </c>
    </row>
    <row r="262" spans="1:41" ht="42" customHeight="1">
      <c r="A262" s="191" t="str">
        <f t="shared" si="10"/>
        <v/>
      </c>
      <c r="B262" s="189"/>
      <c r="C262" s="189"/>
      <c r="D262" s="189"/>
      <c r="E262" s="268"/>
      <c r="F262" s="189"/>
      <c r="G262" s="189"/>
      <c r="H262" s="189"/>
      <c r="I262" s="189"/>
      <c r="J262" s="189"/>
      <c r="K262" s="189"/>
      <c r="L262" s="189"/>
      <c r="M262" s="192"/>
      <c r="N262" s="189"/>
      <c r="O262" s="189"/>
      <c r="P262" s="189"/>
      <c r="Q262" s="189"/>
      <c r="R262" s="192"/>
      <c r="S262" s="189"/>
      <c r="T262" s="189"/>
      <c r="U262" s="189"/>
      <c r="V262" s="189"/>
      <c r="W262" s="191" t="str">
        <f t="shared" si="12"/>
        <v/>
      </c>
      <c r="X262" s="189"/>
      <c r="Y262" s="189"/>
      <c r="Z262" s="189"/>
      <c r="AA262" s="189"/>
      <c r="AB262" s="189"/>
      <c r="AC262" s="189"/>
      <c r="AD262" s="189"/>
      <c r="AE262" s="189"/>
      <c r="AF262" s="189"/>
      <c r="AG262" s="192"/>
      <c r="AH262" s="192"/>
      <c r="AI262" s="189"/>
      <c r="AJ262" s="189"/>
      <c r="AK262" s="189"/>
      <c r="AL262" s="189"/>
      <c r="AM262" s="191" t="str">
        <f t="shared" si="11"/>
        <v/>
      </c>
      <c r="AN262" s="191" t="str">
        <f>IF($A262="","",IF(COUNTIF('Decision Queue'!$A$5:$A$204,$A262)+COUNTIF('Decision Register'!$A$5:$A$304,$A262)&gt;1,"DUPLICATE ID","OK"))</f>
        <v/>
      </c>
      <c r="AO262" t="s">
        <v>870</v>
      </c>
    </row>
    <row r="263" spans="1:41" ht="42" customHeight="1">
      <c r="A263" s="191" t="str">
        <f t="shared" ref="A263:A304" si="13">IF($B263="","",SUBSTITUTE($AO263,"HISTK-","HIST-"))</f>
        <v/>
      </c>
      <c r="B263" s="189"/>
      <c r="C263" s="189"/>
      <c r="D263" s="189"/>
      <c r="E263" s="268"/>
      <c r="F263" s="189"/>
      <c r="G263" s="189"/>
      <c r="H263" s="189"/>
      <c r="I263" s="189"/>
      <c r="J263" s="189"/>
      <c r="K263" s="189"/>
      <c r="L263" s="189"/>
      <c r="M263" s="192"/>
      <c r="N263" s="189"/>
      <c r="O263" s="189"/>
      <c r="P263" s="189"/>
      <c r="Q263" s="189"/>
      <c r="R263" s="192"/>
      <c r="S263" s="189"/>
      <c r="T263" s="189"/>
      <c r="U263" s="189"/>
      <c r="V263" s="189"/>
      <c r="W263" s="191" t="str">
        <f t="shared" si="12"/>
        <v/>
      </c>
      <c r="X263" s="189"/>
      <c r="Y263" s="189"/>
      <c r="Z263" s="189"/>
      <c r="AA263" s="189"/>
      <c r="AB263" s="189"/>
      <c r="AC263" s="189"/>
      <c r="AD263" s="189"/>
      <c r="AE263" s="189"/>
      <c r="AF263" s="189"/>
      <c r="AG263" s="192"/>
      <c r="AH263" s="192"/>
      <c r="AI263" s="189"/>
      <c r="AJ263" s="189"/>
      <c r="AK263" s="189"/>
      <c r="AL263" s="189"/>
      <c r="AM263" s="191" t="str">
        <f t="shared" ref="AM263:AM304" si="14">IF($B263="","","Historical/manual")</f>
        <v/>
      </c>
      <c r="AN263" s="191" t="str">
        <f>IF($A263="","",IF(COUNTIF('Decision Queue'!$A$5:$A$204,$A263)+COUNTIF('Decision Register'!$A$5:$A$304,$A263)&gt;1,"DUPLICATE ID","OK"))</f>
        <v/>
      </c>
      <c r="AO263" t="s">
        <v>871</v>
      </c>
    </row>
    <row r="264" spans="1:41" ht="42" customHeight="1">
      <c r="A264" s="191" t="str">
        <f t="shared" si="13"/>
        <v/>
      </c>
      <c r="B264" s="189"/>
      <c r="C264" s="189"/>
      <c r="D264" s="189"/>
      <c r="E264" s="268"/>
      <c r="F264" s="189"/>
      <c r="G264" s="189"/>
      <c r="H264" s="189"/>
      <c r="I264" s="189"/>
      <c r="J264" s="189"/>
      <c r="K264" s="189"/>
      <c r="L264" s="189"/>
      <c r="M264" s="192"/>
      <c r="N264" s="189"/>
      <c r="O264" s="189"/>
      <c r="P264" s="189"/>
      <c r="Q264" s="189"/>
      <c r="R264" s="192"/>
      <c r="S264" s="189"/>
      <c r="T264" s="189"/>
      <c r="U264" s="189"/>
      <c r="V264" s="189"/>
      <c r="W264" s="191" t="str">
        <f t="shared" si="12"/>
        <v/>
      </c>
      <c r="X264" s="189"/>
      <c r="Y264" s="189"/>
      <c r="Z264" s="189"/>
      <c r="AA264" s="189"/>
      <c r="AB264" s="189"/>
      <c r="AC264" s="189"/>
      <c r="AD264" s="189"/>
      <c r="AE264" s="189"/>
      <c r="AF264" s="189"/>
      <c r="AG264" s="192"/>
      <c r="AH264" s="192"/>
      <c r="AI264" s="189"/>
      <c r="AJ264" s="189"/>
      <c r="AK264" s="189"/>
      <c r="AL264" s="189"/>
      <c r="AM264" s="191" t="str">
        <f t="shared" si="14"/>
        <v/>
      </c>
      <c r="AN264" s="191" t="str">
        <f>IF($A264="","",IF(COUNTIF('Decision Queue'!$A$5:$A$204,$A264)+COUNTIF('Decision Register'!$A$5:$A$304,$A264)&gt;1,"DUPLICATE ID","OK"))</f>
        <v/>
      </c>
      <c r="AO264" t="s">
        <v>872</v>
      </c>
    </row>
    <row r="265" spans="1:41" ht="42" customHeight="1">
      <c r="A265" s="191" t="str">
        <f t="shared" si="13"/>
        <v/>
      </c>
      <c r="B265" s="189"/>
      <c r="C265" s="189"/>
      <c r="D265" s="189"/>
      <c r="E265" s="268"/>
      <c r="F265" s="189"/>
      <c r="G265" s="189"/>
      <c r="H265" s="189"/>
      <c r="I265" s="189"/>
      <c r="J265" s="189"/>
      <c r="K265" s="189"/>
      <c r="L265" s="189"/>
      <c r="M265" s="192"/>
      <c r="N265" s="189"/>
      <c r="O265" s="189"/>
      <c r="P265" s="189"/>
      <c r="Q265" s="189"/>
      <c r="R265" s="192"/>
      <c r="S265" s="189"/>
      <c r="T265" s="189"/>
      <c r="U265" s="189"/>
      <c r="V265" s="189"/>
      <c r="W265" s="191" t="str">
        <f t="shared" si="12"/>
        <v/>
      </c>
      <c r="X265" s="189"/>
      <c r="Y265" s="189"/>
      <c r="Z265" s="189"/>
      <c r="AA265" s="189"/>
      <c r="AB265" s="189"/>
      <c r="AC265" s="189"/>
      <c r="AD265" s="189"/>
      <c r="AE265" s="189"/>
      <c r="AF265" s="189"/>
      <c r="AG265" s="192"/>
      <c r="AH265" s="192"/>
      <c r="AI265" s="189"/>
      <c r="AJ265" s="189"/>
      <c r="AK265" s="189"/>
      <c r="AL265" s="189"/>
      <c r="AM265" s="191" t="str">
        <f t="shared" si="14"/>
        <v/>
      </c>
      <c r="AN265" s="191" t="str">
        <f>IF($A265="","",IF(COUNTIF('Decision Queue'!$A$5:$A$204,$A265)+COUNTIF('Decision Register'!$A$5:$A$304,$A265)&gt;1,"DUPLICATE ID","OK"))</f>
        <v/>
      </c>
      <c r="AO265" t="s">
        <v>873</v>
      </c>
    </row>
    <row r="266" spans="1:41" ht="42" customHeight="1">
      <c r="A266" s="191" t="str">
        <f t="shared" si="13"/>
        <v/>
      </c>
      <c r="B266" s="189"/>
      <c r="C266" s="189"/>
      <c r="D266" s="189"/>
      <c r="E266" s="268"/>
      <c r="F266" s="189"/>
      <c r="G266" s="189"/>
      <c r="H266" s="189"/>
      <c r="I266" s="189"/>
      <c r="J266" s="189"/>
      <c r="K266" s="189"/>
      <c r="L266" s="189"/>
      <c r="M266" s="192"/>
      <c r="N266" s="189"/>
      <c r="O266" s="189"/>
      <c r="P266" s="189"/>
      <c r="Q266" s="189"/>
      <c r="R266" s="192"/>
      <c r="S266" s="189"/>
      <c r="T266" s="189"/>
      <c r="U266" s="189"/>
      <c r="V266" s="189"/>
      <c r="W266" s="191" t="str">
        <f t="shared" si="12"/>
        <v/>
      </c>
      <c r="X266" s="189"/>
      <c r="Y266" s="189"/>
      <c r="Z266" s="189"/>
      <c r="AA266" s="189"/>
      <c r="AB266" s="189"/>
      <c r="AC266" s="189"/>
      <c r="AD266" s="189"/>
      <c r="AE266" s="189"/>
      <c r="AF266" s="189"/>
      <c r="AG266" s="192"/>
      <c r="AH266" s="192"/>
      <c r="AI266" s="189"/>
      <c r="AJ266" s="189"/>
      <c r="AK266" s="189"/>
      <c r="AL266" s="189"/>
      <c r="AM266" s="191" t="str">
        <f t="shared" si="14"/>
        <v/>
      </c>
      <c r="AN266" s="191" t="str">
        <f>IF($A266="","",IF(COUNTIF('Decision Queue'!$A$5:$A$204,$A266)+COUNTIF('Decision Register'!$A$5:$A$304,$A266)&gt;1,"DUPLICATE ID","OK"))</f>
        <v/>
      </c>
      <c r="AO266" t="s">
        <v>874</v>
      </c>
    </row>
    <row r="267" spans="1:41" ht="42" customHeight="1">
      <c r="A267" s="191" t="str">
        <f t="shared" si="13"/>
        <v/>
      </c>
      <c r="B267" s="189"/>
      <c r="C267" s="189"/>
      <c r="D267" s="189"/>
      <c r="E267" s="268"/>
      <c r="F267" s="189"/>
      <c r="G267" s="189"/>
      <c r="H267" s="189"/>
      <c r="I267" s="189"/>
      <c r="J267" s="189"/>
      <c r="K267" s="189"/>
      <c r="L267" s="189"/>
      <c r="M267" s="192"/>
      <c r="N267" s="189"/>
      <c r="O267" s="189"/>
      <c r="P267" s="189"/>
      <c r="Q267" s="189"/>
      <c r="R267" s="192"/>
      <c r="S267" s="189"/>
      <c r="T267" s="189"/>
      <c r="U267" s="189"/>
      <c r="V267" s="189"/>
      <c r="W267" s="191" t="str">
        <f t="shared" si="12"/>
        <v/>
      </c>
      <c r="X267" s="189"/>
      <c r="Y267" s="189"/>
      <c r="Z267" s="189"/>
      <c r="AA267" s="189"/>
      <c r="AB267" s="189"/>
      <c r="AC267" s="189"/>
      <c r="AD267" s="189"/>
      <c r="AE267" s="189"/>
      <c r="AF267" s="189"/>
      <c r="AG267" s="192"/>
      <c r="AH267" s="192"/>
      <c r="AI267" s="189"/>
      <c r="AJ267" s="189"/>
      <c r="AK267" s="189"/>
      <c r="AL267" s="189"/>
      <c r="AM267" s="191" t="str">
        <f t="shared" si="14"/>
        <v/>
      </c>
      <c r="AN267" s="191" t="str">
        <f>IF($A267="","",IF(COUNTIF('Decision Queue'!$A$5:$A$204,$A267)+COUNTIF('Decision Register'!$A$5:$A$304,$A267)&gt;1,"DUPLICATE ID","OK"))</f>
        <v/>
      </c>
      <c r="AO267" t="s">
        <v>875</v>
      </c>
    </row>
    <row r="268" spans="1:41" ht="42" customHeight="1">
      <c r="A268" s="191" t="str">
        <f t="shared" si="13"/>
        <v/>
      </c>
      <c r="B268" s="189"/>
      <c r="C268" s="189"/>
      <c r="D268" s="189"/>
      <c r="E268" s="268"/>
      <c r="F268" s="189"/>
      <c r="G268" s="189"/>
      <c r="H268" s="189"/>
      <c r="I268" s="189"/>
      <c r="J268" s="189"/>
      <c r="K268" s="189"/>
      <c r="L268" s="189"/>
      <c r="M268" s="192"/>
      <c r="N268" s="189"/>
      <c r="O268" s="189"/>
      <c r="P268" s="189"/>
      <c r="Q268" s="189"/>
      <c r="R268" s="192"/>
      <c r="S268" s="189"/>
      <c r="T268" s="189"/>
      <c r="U268" s="189"/>
      <c r="V268" s="189"/>
      <c r="W268" s="191" t="str">
        <f t="shared" si="12"/>
        <v/>
      </c>
      <c r="X268" s="189"/>
      <c r="Y268" s="189"/>
      <c r="Z268" s="189"/>
      <c r="AA268" s="189"/>
      <c r="AB268" s="189"/>
      <c r="AC268" s="189"/>
      <c r="AD268" s="189"/>
      <c r="AE268" s="189"/>
      <c r="AF268" s="189"/>
      <c r="AG268" s="192"/>
      <c r="AH268" s="192"/>
      <c r="AI268" s="189"/>
      <c r="AJ268" s="189"/>
      <c r="AK268" s="189"/>
      <c r="AL268" s="189"/>
      <c r="AM268" s="191" t="str">
        <f t="shared" si="14"/>
        <v/>
      </c>
      <c r="AN268" s="191" t="str">
        <f>IF($A268="","",IF(COUNTIF('Decision Queue'!$A$5:$A$204,$A268)+COUNTIF('Decision Register'!$A$5:$A$304,$A268)&gt;1,"DUPLICATE ID","OK"))</f>
        <v/>
      </c>
      <c r="AO268" t="s">
        <v>876</v>
      </c>
    </row>
    <row r="269" spans="1:41" ht="42" customHeight="1">
      <c r="A269" s="191" t="str">
        <f t="shared" si="13"/>
        <v/>
      </c>
      <c r="B269" s="189"/>
      <c r="C269" s="189"/>
      <c r="D269" s="189"/>
      <c r="E269" s="268"/>
      <c r="F269" s="189"/>
      <c r="G269" s="189"/>
      <c r="H269" s="189"/>
      <c r="I269" s="189"/>
      <c r="J269" s="189"/>
      <c r="K269" s="189"/>
      <c r="L269" s="189"/>
      <c r="M269" s="192"/>
      <c r="N269" s="189"/>
      <c r="O269" s="189"/>
      <c r="P269" s="189"/>
      <c r="Q269" s="189"/>
      <c r="R269" s="192"/>
      <c r="S269" s="189"/>
      <c r="T269" s="189"/>
      <c r="U269" s="189"/>
      <c r="V269" s="189"/>
      <c r="W269" s="191" t="str">
        <f t="shared" si="12"/>
        <v/>
      </c>
      <c r="X269" s="189"/>
      <c r="Y269" s="189"/>
      <c r="Z269" s="189"/>
      <c r="AA269" s="189"/>
      <c r="AB269" s="189"/>
      <c r="AC269" s="189"/>
      <c r="AD269" s="189"/>
      <c r="AE269" s="189"/>
      <c r="AF269" s="189"/>
      <c r="AG269" s="192"/>
      <c r="AH269" s="192"/>
      <c r="AI269" s="189"/>
      <c r="AJ269" s="189"/>
      <c r="AK269" s="189"/>
      <c r="AL269" s="189"/>
      <c r="AM269" s="191" t="str">
        <f t="shared" si="14"/>
        <v/>
      </c>
      <c r="AN269" s="191" t="str">
        <f>IF($A269="","",IF(COUNTIF('Decision Queue'!$A$5:$A$204,$A269)+COUNTIF('Decision Register'!$A$5:$A$304,$A269)&gt;1,"DUPLICATE ID","OK"))</f>
        <v/>
      </c>
      <c r="AO269" t="s">
        <v>877</v>
      </c>
    </row>
    <row r="270" spans="1:41" ht="42" customHeight="1">
      <c r="A270" s="191" t="str">
        <f t="shared" si="13"/>
        <v/>
      </c>
      <c r="B270" s="189"/>
      <c r="C270" s="189"/>
      <c r="D270" s="189"/>
      <c r="E270" s="268"/>
      <c r="F270" s="189"/>
      <c r="G270" s="189"/>
      <c r="H270" s="189"/>
      <c r="I270" s="189"/>
      <c r="J270" s="189"/>
      <c r="K270" s="189"/>
      <c r="L270" s="189"/>
      <c r="M270" s="192"/>
      <c r="N270" s="189"/>
      <c r="O270" s="189"/>
      <c r="P270" s="189"/>
      <c r="Q270" s="189"/>
      <c r="R270" s="192"/>
      <c r="S270" s="189"/>
      <c r="T270" s="189"/>
      <c r="U270" s="189"/>
      <c r="V270" s="189"/>
      <c r="W270" s="191" t="str">
        <f t="shared" si="12"/>
        <v/>
      </c>
      <c r="X270" s="189"/>
      <c r="Y270" s="189"/>
      <c r="Z270" s="189"/>
      <c r="AA270" s="189"/>
      <c r="AB270" s="189"/>
      <c r="AC270" s="189"/>
      <c r="AD270" s="189"/>
      <c r="AE270" s="189"/>
      <c r="AF270" s="189"/>
      <c r="AG270" s="192"/>
      <c r="AH270" s="192"/>
      <c r="AI270" s="189"/>
      <c r="AJ270" s="189"/>
      <c r="AK270" s="189"/>
      <c r="AL270" s="189"/>
      <c r="AM270" s="191" t="str">
        <f t="shared" si="14"/>
        <v/>
      </c>
      <c r="AN270" s="191" t="str">
        <f>IF($A270="","",IF(COUNTIF('Decision Queue'!$A$5:$A$204,$A270)+COUNTIF('Decision Register'!$A$5:$A$304,$A270)&gt;1,"DUPLICATE ID","OK"))</f>
        <v/>
      </c>
      <c r="AO270" t="s">
        <v>878</v>
      </c>
    </row>
    <row r="271" spans="1:41" ht="42" customHeight="1">
      <c r="A271" s="191" t="str">
        <f t="shared" si="13"/>
        <v/>
      </c>
      <c r="B271" s="189"/>
      <c r="C271" s="189"/>
      <c r="D271" s="189"/>
      <c r="E271" s="268"/>
      <c r="F271" s="189"/>
      <c r="G271" s="189"/>
      <c r="H271" s="189"/>
      <c r="I271" s="189"/>
      <c r="J271" s="189"/>
      <c r="K271" s="189"/>
      <c r="L271" s="189"/>
      <c r="M271" s="192"/>
      <c r="N271" s="189"/>
      <c r="O271" s="189"/>
      <c r="P271" s="189"/>
      <c r="Q271" s="189"/>
      <c r="R271" s="192"/>
      <c r="S271" s="189"/>
      <c r="T271" s="189"/>
      <c r="U271" s="189"/>
      <c r="V271" s="189"/>
      <c r="W271" s="191" t="str">
        <f t="shared" si="12"/>
        <v/>
      </c>
      <c r="X271" s="189"/>
      <c r="Y271" s="189"/>
      <c r="Z271" s="189"/>
      <c r="AA271" s="189"/>
      <c r="AB271" s="189"/>
      <c r="AC271" s="189"/>
      <c r="AD271" s="189"/>
      <c r="AE271" s="189"/>
      <c r="AF271" s="189"/>
      <c r="AG271" s="192"/>
      <c r="AH271" s="192"/>
      <c r="AI271" s="189"/>
      <c r="AJ271" s="189"/>
      <c r="AK271" s="189"/>
      <c r="AL271" s="189"/>
      <c r="AM271" s="191" t="str">
        <f t="shared" si="14"/>
        <v/>
      </c>
      <c r="AN271" s="191" t="str">
        <f>IF($A271="","",IF(COUNTIF('Decision Queue'!$A$5:$A$204,$A271)+COUNTIF('Decision Register'!$A$5:$A$304,$A271)&gt;1,"DUPLICATE ID","OK"))</f>
        <v/>
      </c>
      <c r="AO271" t="s">
        <v>879</v>
      </c>
    </row>
    <row r="272" spans="1:41" ht="42" customHeight="1">
      <c r="A272" s="191" t="str">
        <f t="shared" si="13"/>
        <v/>
      </c>
      <c r="B272" s="189"/>
      <c r="C272" s="189"/>
      <c r="D272" s="189"/>
      <c r="E272" s="268"/>
      <c r="F272" s="189"/>
      <c r="G272" s="189"/>
      <c r="H272" s="189"/>
      <c r="I272" s="189"/>
      <c r="J272" s="189"/>
      <c r="K272" s="189"/>
      <c r="L272" s="189"/>
      <c r="M272" s="192"/>
      <c r="N272" s="189"/>
      <c r="O272" s="189"/>
      <c r="P272" s="189"/>
      <c r="Q272" s="189"/>
      <c r="R272" s="192"/>
      <c r="S272" s="189"/>
      <c r="T272" s="189"/>
      <c r="U272" s="189"/>
      <c r="V272" s="189"/>
      <c r="W272" s="191" t="str">
        <f t="shared" si="12"/>
        <v/>
      </c>
      <c r="X272" s="189"/>
      <c r="Y272" s="189"/>
      <c r="Z272" s="189"/>
      <c r="AA272" s="189"/>
      <c r="AB272" s="189"/>
      <c r="AC272" s="189"/>
      <c r="AD272" s="189"/>
      <c r="AE272" s="189"/>
      <c r="AF272" s="189"/>
      <c r="AG272" s="192"/>
      <c r="AH272" s="192"/>
      <c r="AI272" s="189"/>
      <c r="AJ272" s="189"/>
      <c r="AK272" s="189"/>
      <c r="AL272" s="189"/>
      <c r="AM272" s="191" t="str">
        <f t="shared" si="14"/>
        <v/>
      </c>
      <c r="AN272" s="191" t="str">
        <f>IF($A272="","",IF(COUNTIF('Decision Queue'!$A$5:$A$204,$A272)+COUNTIF('Decision Register'!$A$5:$A$304,$A272)&gt;1,"DUPLICATE ID","OK"))</f>
        <v/>
      </c>
      <c r="AO272" t="s">
        <v>880</v>
      </c>
    </row>
    <row r="273" spans="1:41" ht="42" customHeight="1">
      <c r="A273" s="191" t="str">
        <f t="shared" si="13"/>
        <v/>
      </c>
      <c r="B273" s="189"/>
      <c r="C273" s="189"/>
      <c r="D273" s="189"/>
      <c r="E273" s="268"/>
      <c r="F273" s="189"/>
      <c r="G273" s="189"/>
      <c r="H273" s="189"/>
      <c r="I273" s="189"/>
      <c r="J273" s="189"/>
      <c r="K273" s="189"/>
      <c r="L273" s="189"/>
      <c r="M273" s="192"/>
      <c r="N273" s="189"/>
      <c r="O273" s="189"/>
      <c r="P273" s="189"/>
      <c r="Q273" s="189"/>
      <c r="R273" s="192"/>
      <c r="S273" s="189"/>
      <c r="T273" s="189"/>
      <c r="U273" s="189"/>
      <c r="V273" s="189"/>
      <c r="W273" s="191" t="str">
        <f t="shared" si="12"/>
        <v/>
      </c>
      <c r="X273" s="189"/>
      <c r="Y273" s="189"/>
      <c r="Z273" s="189"/>
      <c r="AA273" s="189"/>
      <c r="AB273" s="189"/>
      <c r="AC273" s="189"/>
      <c r="AD273" s="189"/>
      <c r="AE273" s="189"/>
      <c r="AF273" s="189"/>
      <c r="AG273" s="192"/>
      <c r="AH273" s="192"/>
      <c r="AI273" s="189"/>
      <c r="AJ273" s="189"/>
      <c r="AK273" s="189"/>
      <c r="AL273" s="189"/>
      <c r="AM273" s="191" t="str">
        <f t="shared" si="14"/>
        <v/>
      </c>
      <c r="AN273" s="191" t="str">
        <f>IF($A273="","",IF(COUNTIF('Decision Queue'!$A$5:$A$204,$A273)+COUNTIF('Decision Register'!$A$5:$A$304,$A273)&gt;1,"DUPLICATE ID","OK"))</f>
        <v/>
      </c>
      <c r="AO273" t="s">
        <v>881</v>
      </c>
    </row>
    <row r="274" spans="1:41" ht="42" customHeight="1">
      <c r="A274" s="191" t="str">
        <f t="shared" si="13"/>
        <v/>
      </c>
      <c r="B274" s="189"/>
      <c r="C274" s="189"/>
      <c r="D274" s="189"/>
      <c r="E274" s="268"/>
      <c r="F274" s="189"/>
      <c r="G274" s="189"/>
      <c r="H274" s="189"/>
      <c r="I274" s="189"/>
      <c r="J274" s="189"/>
      <c r="K274" s="189"/>
      <c r="L274" s="189"/>
      <c r="M274" s="192"/>
      <c r="N274" s="189"/>
      <c r="O274" s="189"/>
      <c r="P274" s="189"/>
      <c r="Q274" s="189"/>
      <c r="R274" s="192"/>
      <c r="S274" s="189"/>
      <c r="T274" s="189"/>
      <c r="U274" s="189"/>
      <c r="V274" s="189"/>
      <c r="W274" s="191" t="str">
        <f t="shared" si="12"/>
        <v/>
      </c>
      <c r="X274" s="189"/>
      <c r="Y274" s="189"/>
      <c r="Z274" s="189"/>
      <c r="AA274" s="189"/>
      <c r="AB274" s="189"/>
      <c r="AC274" s="189"/>
      <c r="AD274" s="189"/>
      <c r="AE274" s="189"/>
      <c r="AF274" s="189"/>
      <c r="AG274" s="192"/>
      <c r="AH274" s="192"/>
      <c r="AI274" s="189"/>
      <c r="AJ274" s="189"/>
      <c r="AK274" s="189"/>
      <c r="AL274" s="189"/>
      <c r="AM274" s="191" t="str">
        <f t="shared" si="14"/>
        <v/>
      </c>
      <c r="AN274" s="191" t="str">
        <f>IF($A274="","",IF(COUNTIF('Decision Queue'!$A$5:$A$204,$A274)+COUNTIF('Decision Register'!$A$5:$A$304,$A274)&gt;1,"DUPLICATE ID","OK"))</f>
        <v/>
      </c>
      <c r="AO274" t="s">
        <v>882</v>
      </c>
    </row>
    <row r="275" spans="1:41" ht="42" customHeight="1">
      <c r="A275" s="191" t="str">
        <f t="shared" si="13"/>
        <v/>
      </c>
      <c r="B275" s="189"/>
      <c r="C275" s="189"/>
      <c r="D275" s="189"/>
      <c r="E275" s="268"/>
      <c r="F275" s="189"/>
      <c r="G275" s="189"/>
      <c r="H275" s="189"/>
      <c r="I275" s="189"/>
      <c r="J275" s="189"/>
      <c r="K275" s="189"/>
      <c r="L275" s="189"/>
      <c r="M275" s="192"/>
      <c r="N275" s="189"/>
      <c r="O275" s="189"/>
      <c r="P275" s="189"/>
      <c r="Q275" s="189"/>
      <c r="R275" s="192"/>
      <c r="S275" s="189"/>
      <c r="T275" s="189"/>
      <c r="U275" s="189"/>
      <c r="V275" s="189"/>
      <c r="W275" s="191" t="str">
        <f t="shared" si="12"/>
        <v/>
      </c>
      <c r="X275" s="189"/>
      <c r="Y275" s="189"/>
      <c r="Z275" s="189"/>
      <c r="AA275" s="189"/>
      <c r="AB275" s="189"/>
      <c r="AC275" s="189"/>
      <c r="AD275" s="189"/>
      <c r="AE275" s="189"/>
      <c r="AF275" s="189"/>
      <c r="AG275" s="192"/>
      <c r="AH275" s="192"/>
      <c r="AI275" s="189"/>
      <c r="AJ275" s="189"/>
      <c r="AK275" s="189"/>
      <c r="AL275" s="189"/>
      <c r="AM275" s="191" t="str">
        <f t="shared" si="14"/>
        <v/>
      </c>
      <c r="AN275" s="191" t="str">
        <f>IF($A275="","",IF(COUNTIF('Decision Queue'!$A$5:$A$204,$A275)+COUNTIF('Decision Register'!$A$5:$A$304,$A275)&gt;1,"DUPLICATE ID","OK"))</f>
        <v/>
      </c>
      <c r="AO275" t="s">
        <v>883</v>
      </c>
    </row>
    <row r="276" spans="1:41" ht="42" customHeight="1">
      <c r="A276" s="191" t="str">
        <f t="shared" si="13"/>
        <v/>
      </c>
      <c r="B276" s="189"/>
      <c r="C276" s="189"/>
      <c r="D276" s="189"/>
      <c r="E276" s="268"/>
      <c r="F276" s="189"/>
      <c r="G276" s="189"/>
      <c r="H276" s="189"/>
      <c r="I276" s="189"/>
      <c r="J276" s="189"/>
      <c r="K276" s="189"/>
      <c r="L276" s="189"/>
      <c r="M276" s="192"/>
      <c r="N276" s="189"/>
      <c r="O276" s="189"/>
      <c r="P276" s="189"/>
      <c r="Q276" s="189"/>
      <c r="R276" s="192"/>
      <c r="S276" s="189"/>
      <c r="T276" s="189"/>
      <c r="U276" s="189"/>
      <c r="V276" s="189"/>
      <c r="W276" s="191" t="str">
        <f t="shared" si="12"/>
        <v/>
      </c>
      <c r="X276" s="189"/>
      <c r="Y276" s="189"/>
      <c r="Z276" s="189"/>
      <c r="AA276" s="189"/>
      <c r="AB276" s="189"/>
      <c r="AC276" s="189"/>
      <c r="AD276" s="189"/>
      <c r="AE276" s="189"/>
      <c r="AF276" s="189"/>
      <c r="AG276" s="192"/>
      <c r="AH276" s="192"/>
      <c r="AI276" s="189"/>
      <c r="AJ276" s="189"/>
      <c r="AK276" s="189"/>
      <c r="AL276" s="189"/>
      <c r="AM276" s="191" t="str">
        <f t="shared" si="14"/>
        <v/>
      </c>
      <c r="AN276" s="191" t="str">
        <f>IF($A276="","",IF(COUNTIF('Decision Queue'!$A$5:$A$204,$A276)+COUNTIF('Decision Register'!$A$5:$A$304,$A276)&gt;1,"DUPLICATE ID","OK"))</f>
        <v/>
      </c>
      <c r="AO276" t="s">
        <v>884</v>
      </c>
    </row>
    <row r="277" spans="1:41" ht="42" customHeight="1">
      <c r="A277" s="191" t="str">
        <f t="shared" si="13"/>
        <v/>
      </c>
      <c r="B277" s="189"/>
      <c r="C277" s="189"/>
      <c r="D277" s="189"/>
      <c r="E277" s="268"/>
      <c r="F277" s="189"/>
      <c r="G277" s="189"/>
      <c r="H277" s="189"/>
      <c r="I277" s="189"/>
      <c r="J277" s="189"/>
      <c r="K277" s="189"/>
      <c r="L277" s="189"/>
      <c r="M277" s="192"/>
      <c r="N277" s="189"/>
      <c r="O277" s="189"/>
      <c r="P277" s="189"/>
      <c r="Q277" s="189"/>
      <c r="R277" s="192"/>
      <c r="S277" s="189"/>
      <c r="T277" s="189"/>
      <c r="U277" s="189"/>
      <c r="V277" s="189"/>
      <c r="W277" s="191" t="str">
        <f t="shared" si="12"/>
        <v/>
      </c>
      <c r="X277" s="189"/>
      <c r="Y277" s="189"/>
      <c r="Z277" s="189"/>
      <c r="AA277" s="189"/>
      <c r="AB277" s="189"/>
      <c r="AC277" s="189"/>
      <c r="AD277" s="189"/>
      <c r="AE277" s="189"/>
      <c r="AF277" s="189"/>
      <c r="AG277" s="192"/>
      <c r="AH277" s="192"/>
      <c r="AI277" s="189"/>
      <c r="AJ277" s="189"/>
      <c r="AK277" s="189"/>
      <c r="AL277" s="189"/>
      <c r="AM277" s="191" t="str">
        <f t="shared" si="14"/>
        <v/>
      </c>
      <c r="AN277" s="191" t="str">
        <f>IF($A277="","",IF(COUNTIF('Decision Queue'!$A$5:$A$204,$A277)+COUNTIF('Decision Register'!$A$5:$A$304,$A277)&gt;1,"DUPLICATE ID","OK"))</f>
        <v/>
      </c>
      <c r="AO277" t="s">
        <v>885</v>
      </c>
    </row>
    <row r="278" spans="1:41" ht="42" customHeight="1">
      <c r="A278" s="191" t="str">
        <f t="shared" si="13"/>
        <v/>
      </c>
      <c r="B278" s="189"/>
      <c r="C278" s="189"/>
      <c r="D278" s="189"/>
      <c r="E278" s="268"/>
      <c r="F278" s="189"/>
      <c r="G278" s="189"/>
      <c r="H278" s="189"/>
      <c r="I278" s="189"/>
      <c r="J278" s="189"/>
      <c r="K278" s="189"/>
      <c r="L278" s="189"/>
      <c r="M278" s="192"/>
      <c r="N278" s="189"/>
      <c r="O278" s="189"/>
      <c r="P278" s="189"/>
      <c r="Q278" s="189"/>
      <c r="R278" s="192"/>
      <c r="S278" s="189"/>
      <c r="T278" s="189"/>
      <c r="U278" s="189"/>
      <c r="V278" s="189"/>
      <c r="W278" s="191" t="str">
        <f t="shared" si="12"/>
        <v/>
      </c>
      <c r="X278" s="189"/>
      <c r="Y278" s="189"/>
      <c r="Z278" s="189"/>
      <c r="AA278" s="189"/>
      <c r="AB278" s="189"/>
      <c r="AC278" s="189"/>
      <c r="AD278" s="189"/>
      <c r="AE278" s="189"/>
      <c r="AF278" s="189"/>
      <c r="AG278" s="192"/>
      <c r="AH278" s="192"/>
      <c r="AI278" s="189"/>
      <c r="AJ278" s="189"/>
      <c r="AK278" s="189"/>
      <c r="AL278" s="189"/>
      <c r="AM278" s="191" t="str">
        <f t="shared" si="14"/>
        <v/>
      </c>
      <c r="AN278" s="191" t="str">
        <f>IF($A278="","",IF(COUNTIF('Decision Queue'!$A$5:$A$204,$A278)+COUNTIF('Decision Register'!$A$5:$A$304,$A278)&gt;1,"DUPLICATE ID","OK"))</f>
        <v/>
      </c>
      <c r="AO278" t="s">
        <v>886</v>
      </c>
    </row>
    <row r="279" spans="1:41" ht="42" customHeight="1">
      <c r="A279" s="191" t="str">
        <f t="shared" si="13"/>
        <v/>
      </c>
      <c r="B279" s="189"/>
      <c r="C279" s="189"/>
      <c r="D279" s="189"/>
      <c r="E279" s="268"/>
      <c r="F279" s="189"/>
      <c r="G279" s="189"/>
      <c r="H279" s="189"/>
      <c r="I279" s="189"/>
      <c r="J279" s="189"/>
      <c r="K279" s="189"/>
      <c r="L279" s="189"/>
      <c r="M279" s="192"/>
      <c r="N279" s="189"/>
      <c r="O279" s="189"/>
      <c r="P279" s="189"/>
      <c r="Q279" s="189"/>
      <c r="R279" s="192"/>
      <c r="S279" s="189"/>
      <c r="T279" s="189"/>
      <c r="U279" s="189"/>
      <c r="V279" s="189"/>
      <c r="W279" s="191" t="str">
        <f t="shared" si="12"/>
        <v/>
      </c>
      <c r="X279" s="189"/>
      <c r="Y279" s="189"/>
      <c r="Z279" s="189"/>
      <c r="AA279" s="189"/>
      <c r="AB279" s="189"/>
      <c r="AC279" s="189"/>
      <c r="AD279" s="189"/>
      <c r="AE279" s="189"/>
      <c r="AF279" s="189"/>
      <c r="AG279" s="192"/>
      <c r="AH279" s="192"/>
      <c r="AI279" s="189"/>
      <c r="AJ279" s="189"/>
      <c r="AK279" s="189"/>
      <c r="AL279" s="189"/>
      <c r="AM279" s="191" t="str">
        <f t="shared" si="14"/>
        <v/>
      </c>
      <c r="AN279" s="191" t="str">
        <f>IF($A279="","",IF(COUNTIF('Decision Queue'!$A$5:$A$204,$A279)+COUNTIF('Decision Register'!$A$5:$A$304,$A279)&gt;1,"DUPLICATE ID","OK"))</f>
        <v/>
      </c>
      <c r="AO279" t="s">
        <v>887</v>
      </c>
    </row>
    <row r="280" spans="1:41" ht="42" customHeight="1">
      <c r="A280" s="191" t="str">
        <f t="shared" si="13"/>
        <v/>
      </c>
      <c r="B280" s="189"/>
      <c r="C280" s="189"/>
      <c r="D280" s="189"/>
      <c r="E280" s="268"/>
      <c r="F280" s="189"/>
      <c r="G280" s="189"/>
      <c r="H280" s="189"/>
      <c r="I280" s="189"/>
      <c r="J280" s="189"/>
      <c r="K280" s="189"/>
      <c r="L280" s="189"/>
      <c r="M280" s="192"/>
      <c r="N280" s="189"/>
      <c r="O280" s="189"/>
      <c r="P280" s="189"/>
      <c r="Q280" s="189"/>
      <c r="R280" s="192"/>
      <c r="S280" s="189"/>
      <c r="T280" s="189"/>
      <c r="U280" s="189"/>
      <c r="V280" s="189"/>
      <c r="W280" s="191" t="str">
        <f t="shared" si="12"/>
        <v/>
      </c>
      <c r="X280" s="189"/>
      <c r="Y280" s="189"/>
      <c r="Z280" s="189"/>
      <c r="AA280" s="189"/>
      <c r="AB280" s="189"/>
      <c r="AC280" s="189"/>
      <c r="AD280" s="189"/>
      <c r="AE280" s="189"/>
      <c r="AF280" s="189"/>
      <c r="AG280" s="192"/>
      <c r="AH280" s="192"/>
      <c r="AI280" s="189"/>
      <c r="AJ280" s="189"/>
      <c r="AK280" s="189"/>
      <c r="AL280" s="189"/>
      <c r="AM280" s="191" t="str">
        <f t="shared" si="14"/>
        <v/>
      </c>
      <c r="AN280" s="191" t="str">
        <f>IF($A280="","",IF(COUNTIF('Decision Queue'!$A$5:$A$204,$A280)+COUNTIF('Decision Register'!$A$5:$A$304,$A280)&gt;1,"DUPLICATE ID","OK"))</f>
        <v/>
      </c>
      <c r="AO280" t="s">
        <v>888</v>
      </c>
    </row>
    <row r="281" spans="1:41" ht="42" customHeight="1">
      <c r="A281" s="191" t="str">
        <f t="shared" si="13"/>
        <v/>
      </c>
      <c r="B281" s="189"/>
      <c r="C281" s="189"/>
      <c r="D281" s="189"/>
      <c r="E281" s="268"/>
      <c r="F281" s="189"/>
      <c r="G281" s="189"/>
      <c r="H281" s="189"/>
      <c r="I281" s="189"/>
      <c r="J281" s="189"/>
      <c r="K281" s="189"/>
      <c r="L281" s="189"/>
      <c r="M281" s="192"/>
      <c r="N281" s="189"/>
      <c r="O281" s="189"/>
      <c r="P281" s="189"/>
      <c r="Q281" s="189"/>
      <c r="R281" s="192"/>
      <c r="S281" s="189"/>
      <c r="T281" s="189"/>
      <c r="U281" s="189"/>
      <c r="V281" s="189"/>
      <c r="W281" s="191" t="str">
        <f t="shared" si="12"/>
        <v/>
      </c>
      <c r="X281" s="189"/>
      <c r="Y281" s="189"/>
      <c r="Z281" s="189"/>
      <c r="AA281" s="189"/>
      <c r="AB281" s="189"/>
      <c r="AC281" s="189"/>
      <c r="AD281" s="189"/>
      <c r="AE281" s="189"/>
      <c r="AF281" s="189"/>
      <c r="AG281" s="192"/>
      <c r="AH281" s="192"/>
      <c r="AI281" s="189"/>
      <c r="AJ281" s="189"/>
      <c r="AK281" s="189"/>
      <c r="AL281" s="189"/>
      <c r="AM281" s="191" t="str">
        <f t="shared" si="14"/>
        <v/>
      </c>
      <c r="AN281" s="191" t="str">
        <f>IF($A281="","",IF(COUNTIF('Decision Queue'!$A$5:$A$204,$A281)+COUNTIF('Decision Register'!$A$5:$A$304,$A281)&gt;1,"DUPLICATE ID","OK"))</f>
        <v/>
      </c>
      <c r="AO281" t="s">
        <v>889</v>
      </c>
    </row>
    <row r="282" spans="1:41" ht="42" customHeight="1">
      <c r="A282" s="191" t="str">
        <f t="shared" si="13"/>
        <v/>
      </c>
      <c r="B282" s="189"/>
      <c r="C282" s="189"/>
      <c r="D282" s="189"/>
      <c r="E282" s="268"/>
      <c r="F282" s="189"/>
      <c r="G282" s="189"/>
      <c r="H282" s="189"/>
      <c r="I282" s="189"/>
      <c r="J282" s="189"/>
      <c r="K282" s="189"/>
      <c r="L282" s="189"/>
      <c r="M282" s="192"/>
      <c r="N282" s="189"/>
      <c r="O282" s="189"/>
      <c r="P282" s="189"/>
      <c r="Q282" s="189"/>
      <c r="R282" s="192"/>
      <c r="S282" s="189"/>
      <c r="T282" s="189"/>
      <c r="U282" s="189"/>
      <c r="V282" s="189"/>
      <c r="W282" s="191" t="str">
        <f t="shared" si="12"/>
        <v/>
      </c>
      <c r="X282" s="189"/>
      <c r="Y282" s="189"/>
      <c r="Z282" s="189"/>
      <c r="AA282" s="189"/>
      <c r="AB282" s="189"/>
      <c r="AC282" s="189"/>
      <c r="AD282" s="189"/>
      <c r="AE282" s="189"/>
      <c r="AF282" s="189"/>
      <c r="AG282" s="192"/>
      <c r="AH282" s="192"/>
      <c r="AI282" s="189"/>
      <c r="AJ282" s="189"/>
      <c r="AK282" s="189"/>
      <c r="AL282" s="189"/>
      <c r="AM282" s="191" t="str">
        <f t="shared" si="14"/>
        <v/>
      </c>
      <c r="AN282" s="191" t="str">
        <f>IF($A282="","",IF(COUNTIF('Decision Queue'!$A$5:$A$204,$A282)+COUNTIF('Decision Register'!$A$5:$A$304,$A282)&gt;1,"DUPLICATE ID","OK"))</f>
        <v/>
      </c>
      <c r="AO282" t="s">
        <v>890</v>
      </c>
    </row>
    <row r="283" spans="1:41" ht="42" customHeight="1">
      <c r="A283" s="191" t="str">
        <f t="shared" si="13"/>
        <v/>
      </c>
      <c r="B283" s="189"/>
      <c r="C283" s="189"/>
      <c r="D283" s="189"/>
      <c r="E283" s="268"/>
      <c r="F283" s="189"/>
      <c r="G283" s="189"/>
      <c r="H283" s="189"/>
      <c r="I283" s="189"/>
      <c r="J283" s="189"/>
      <c r="K283" s="189"/>
      <c r="L283" s="189"/>
      <c r="M283" s="192"/>
      <c r="N283" s="189"/>
      <c r="O283" s="189"/>
      <c r="P283" s="189"/>
      <c r="Q283" s="189"/>
      <c r="R283" s="192"/>
      <c r="S283" s="189"/>
      <c r="T283" s="189"/>
      <c r="U283" s="189"/>
      <c r="V283" s="189"/>
      <c r="W283" s="191" t="str">
        <f t="shared" si="12"/>
        <v/>
      </c>
      <c r="X283" s="189"/>
      <c r="Y283" s="189"/>
      <c r="Z283" s="189"/>
      <c r="AA283" s="189"/>
      <c r="AB283" s="189"/>
      <c r="AC283" s="189"/>
      <c r="AD283" s="189"/>
      <c r="AE283" s="189"/>
      <c r="AF283" s="189"/>
      <c r="AG283" s="192"/>
      <c r="AH283" s="192"/>
      <c r="AI283" s="189"/>
      <c r="AJ283" s="189"/>
      <c r="AK283" s="189"/>
      <c r="AL283" s="189"/>
      <c r="AM283" s="191" t="str">
        <f t="shared" si="14"/>
        <v/>
      </c>
      <c r="AN283" s="191" t="str">
        <f>IF($A283="","",IF(COUNTIF('Decision Queue'!$A$5:$A$204,$A283)+COUNTIF('Decision Register'!$A$5:$A$304,$A283)&gt;1,"DUPLICATE ID","OK"))</f>
        <v/>
      </c>
      <c r="AO283" t="s">
        <v>891</v>
      </c>
    </row>
    <row r="284" spans="1:41" ht="42" customHeight="1">
      <c r="A284" s="191" t="str">
        <f t="shared" si="13"/>
        <v/>
      </c>
      <c r="B284" s="189"/>
      <c r="C284" s="189"/>
      <c r="D284" s="189"/>
      <c r="E284" s="268"/>
      <c r="F284" s="189"/>
      <c r="G284" s="189"/>
      <c r="H284" s="189"/>
      <c r="I284" s="189"/>
      <c r="J284" s="189"/>
      <c r="K284" s="189"/>
      <c r="L284" s="189"/>
      <c r="M284" s="192"/>
      <c r="N284" s="189"/>
      <c r="O284" s="189"/>
      <c r="P284" s="189"/>
      <c r="Q284" s="189"/>
      <c r="R284" s="192"/>
      <c r="S284" s="189"/>
      <c r="T284" s="189"/>
      <c r="U284" s="189"/>
      <c r="V284" s="189"/>
      <c r="W284" s="191" t="str">
        <f t="shared" si="12"/>
        <v/>
      </c>
      <c r="X284" s="189"/>
      <c r="Y284" s="189"/>
      <c r="Z284" s="189"/>
      <c r="AA284" s="189"/>
      <c r="AB284" s="189"/>
      <c r="AC284" s="189"/>
      <c r="AD284" s="189"/>
      <c r="AE284" s="189"/>
      <c r="AF284" s="189"/>
      <c r="AG284" s="192"/>
      <c r="AH284" s="192"/>
      <c r="AI284" s="189"/>
      <c r="AJ284" s="189"/>
      <c r="AK284" s="189"/>
      <c r="AL284" s="189"/>
      <c r="AM284" s="191" t="str">
        <f t="shared" si="14"/>
        <v/>
      </c>
      <c r="AN284" s="191" t="str">
        <f>IF($A284="","",IF(COUNTIF('Decision Queue'!$A$5:$A$204,$A284)+COUNTIF('Decision Register'!$A$5:$A$304,$A284)&gt;1,"DUPLICATE ID","OK"))</f>
        <v/>
      </c>
      <c r="AO284" t="s">
        <v>892</v>
      </c>
    </row>
    <row r="285" spans="1:41" ht="42" customHeight="1">
      <c r="A285" s="191" t="str">
        <f t="shared" si="13"/>
        <v/>
      </c>
      <c r="B285" s="189"/>
      <c r="C285" s="189"/>
      <c r="D285" s="189"/>
      <c r="E285" s="268"/>
      <c r="F285" s="189"/>
      <c r="G285" s="189"/>
      <c r="H285" s="189"/>
      <c r="I285" s="189"/>
      <c r="J285" s="189"/>
      <c r="K285" s="189"/>
      <c r="L285" s="189"/>
      <c r="M285" s="192"/>
      <c r="N285" s="189"/>
      <c r="O285" s="189"/>
      <c r="P285" s="189"/>
      <c r="Q285" s="189"/>
      <c r="R285" s="192"/>
      <c r="S285" s="189"/>
      <c r="T285" s="189"/>
      <c r="U285" s="189"/>
      <c r="V285" s="189"/>
      <c r="W285" s="191" t="str">
        <f t="shared" si="12"/>
        <v/>
      </c>
      <c r="X285" s="189"/>
      <c r="Y285" s="189"/>
      <c r="Z285" s="189"/>
      <c r="AA285" s="189"/>
      <c r="AB285" s="189"/>
      <c r="AC285" s="189"/>
      <c r="AD285" s="189"/>
      <c r="AE285" s="189"/>
      <c r="AF285" s="189"/>
      <c r="AG285" s="192"/>
      <c r="AH285" s="192"/>
      <c r="AI285" s="189"/>
      <c r="AJ285" s="189"/>
      <c r="AK285" s="189"/>
      <c r="AL285" s="189"/>
      <c r="AM285" s="191" t="str">
        <f t="shared" si="14"/>
        <v/>
      </c>
      <c r="AN285" s="191" t="str">
        <f>IF($A285="","",IF(COUNTIF('Decision Queue'!$A$5:$A$204,$A285)+COUNTIF('Decision Register'!$A$5:$A$304,$A285)&gt;1,"DUPLICATE ID","OK"))</f>
        <v/>
      </c>
      <c r="AO285" t="s">
        <v>893</v>
      </c>
    </row>
    <row r="286" spans="1:41" ht="42" customHeight="1">
      <c r="A286" s="191" t="str">
        <f t="shared" si="13"/>
        <v/>
      </c>
      <c r="B286" s="189"/>
      <c r="C286" s="189"/>
      <c r="D286" s="189"/>
      <c r="E286" s="268"/>
      <c r="F286" s="189"/>
      <c r="G286" s="189"/>
      <c r="H286" s="189"/>
      <c r="I286" s="189"/>
      <c r="J286" s="189"/>
      <c r="K286" s="189"/>
      <c r="L286" s="189"/>
      <c r="M286" s="192"/>
      <c r="N286" s="189"/>
      <c r="O286" s="189"/>
      <c r="P286" s="189"/>
      <c r="Q286" s="189"/>
      <c r="R286" s="192"/>
      <c r="S286" s="189"/>
      <c r="T286" s="189"/>
      <c r="U286" s="189"/>
      <c r="V286" s="189"/>
      <c r="W286" s="191" t="str">
        <f t="shared" si="12"/>
        <v/>
      </c>
      <c r="X286" s="189"/>
      <c r="Y286" s="189"/>
      <c r="Z286" s="189"/>
      <c r="AA286" s="189"/>
      <c r="AB286" s="189"/>
      <c r="AC286" s="189"/>
      <c r="AD286" s="189"/>
      <c r="AE286" s="189"/>
      <c r="AF286" s="189"/>
      <c r="AG286" s="192"/>
      <c r="AH286" s="192"/>
      <c r="AI286" s="189"/>
      <c r="AJ286" s="189"/>
      <c r="AK286" s="189"/>
      <c r="AL286" s="189"/>
      <c r="AM286" s="191" t="str">
        <f t="shared" si="14"/>
        <v/>
      </c>
      <c r="AN286" s="191" t="str">
        <f>IF($A286="","",IF(COUNTIF('Decision Queue'!$A$5:$A$204,$A286)+COUNTIF('Decision Register'!$A$5:$A$304,$A286)&gt;1,"DUPLICATE ID","OK"))</f>
        <v/>
      </c>
      <c r="AO286" t="s">
        <v>894</v>
      </c>
    </row>
    <row r="287" spans="1:41" ht="42" customHeight="1">
      <c r="A287" s="191" t="str">
        <f t="shared" si="13"/>
        <v/>
      </c>
      <c r="B287" s="189"/>
      <c r="C287" s="189"/>
      <c r="D287" s="189"/>
      <c r="E287" s="268"/>
      <c r="F287" s="189"/>
      <c r="G287" s="189"/>
      <c r="H287" s="189"/>
      <c r="I287" s="189"/>
      <c r="J287" s="189"/>
      <c r="K287" s="189"/>
      <c r="L287" s="189"/>
      <c r="M287" s="192"/>
      <c r="N287" s="189"/>
      <c r="O287" s="189"/>
      <c r="P287" s="189"/>
      <c r="Q287" s="189"/>
      <c r="R287" s="192"/>
      <c r="S287" s="189"/>
      <c r="T287" s="189"/>
      <c r="U287" s="189"/>
      <c r="V287" s="189"/>
      <c r="W287" s="191" t="str">
        <f t="shared" si="12"/>
        <v/>
      </c>
      <c r="X287" s="189"/>
      <c r="Y287" s="189"/>
      <c r="Z287" s="189"/>
      <c r="AA287" s="189"/>
      <c r="AB287" s="189"/>
      <c r="AC287" s="189"/>
      <c r="AD287" s="189"/>
      <c r="AE287" s="189"/>
      <c r="AF287" s="189"/>
      <c r="AG287" s="192"/>
      <c r="AH287" s="192"/>
      <c r="AI287" s="189"/>
      <c r="AJ287" s="189"/>
      <c r="AK287" s="189"/>
      <c r="AL287" s="189"/>
      <c r="AM287" s="191" t="str">
        <f t="shared" si="14"/>
        <v/>
      </c>
      <c r="AN287" s="191" t="str">
        <f>IF($A287="","",IF(COUNTIF('Decision Queue'!$A$5:$A$204,$A287)+COUNTIF('Decision Register'!$A$5:$A$304,$A287)&gt;1,"DUPLICATE ID","OK"))</f>
        <v/>
      </c>
      <c r="AO287" t="s">
        <v>895</v>
      </c>
    </row>
    <row r="288" spans="1:41" ht="42" customHeight="1">
      <c r="A288" s="191" t="str">
        <f t="shared" si="13"/>
        <v/>
      </c>
      <c r="B288" s="189"/>
      <c r="C288" s="189"/>
      <c r="D288" s="189"/>
      <c r="E288" s="268"/>
      <c r="F288" s="189"/>
      <c r="G288" s="189"/>
      <c r="H288" s="189"/>
      <c r="I288" s="189"/>
      <c r="J288" s="189"/>
      <c r="K288" s="189"/>
      <c r="L288" s="189"/>
      <c r="M288" s="192"/>
      <c r="N288" s="189"/>
      <c r="O288" s="189"/>
      <c r="P288" s="189"/>
      <c r="Q288" s="189"/>
      <c r="R288" s="192"/>
      <c r="S288" s="189"/>
      <c r="T288" s="189"/>
      <c r="U288" s="189"/>
      <c r="V288" s="189"/>
      <c r="W288" s="191" t="str">
        <f t="shared" si="12"/>
        <v/>
      </c>
      <c r="X288" s="189"/>
      <c r="Y288" s="189"/>
      <c r="Z288" s="189"/>
      <c r="AA288" s="189"/>
      <c r="AB288" s="189"/>
      <c r="AC288" s="189"/>
      <c r="AD288" s="189"/>
      <c r="AE288" s="189"/>
      <c r="AF288" s="189"/>
      <c r="AG288" s="192"/>
      <c r="AH288" s="192"/>
      <c r="AI288" s="189"/>
      <c r="AJ288" s="189"/>
      <c r="AK288" s="189"/>
      <c r="AL288" s="189"/>
      <c r="AM288" s="191" t="str">
        <f t="shared" si="14"/>
        <v/>
      </c>
      <c r="AN288" s="191" t="str">
        <f>IF($A288="","",IF(COUNTIF('Decision Queue'!$A$5:$A$204,$A288)+COUNTIF('Decision Register'!$A$5:$A$304,$A288)&gt;1,"DUPLICATE ID","OK"))</f>
        <v/>
      </c>
      <c r="AO288" t="s">
        <v>896</v>
      </c>
    </row>
    <row r="289" spans="1:41" ht="42" customHeight="1">
      <c r="A289" s="191" t="str">
        <f t="shared" si="13"/>
        <v/>
      </c>
      <c r="B289" s="189"/>
      <c r="C289" s="189"/>
      <c r="D289" s="189"/>
      <c r="E289" s="268"/>
      <c r="F289" s="189"/>
      <c r="G289" s="189"/>
      <c r="H289" s="189"/>
      <c r="I289" s="189"/>
      <c r="J289" s="189"/>
      <c r="K289" s="189"/>
      <c r="L289" s="189"/>
      <c r="M289" s="192"/>
      <c r="N289" s="189"/>
      <c r="O289" s="189"/>
      <c r="P289" s="189"/>
      <c r="Q289" s="189"/>
      <c r="R289" s="192"/>
      <c r="S289" s="189"/>
      <c r="T289" s="189"/>
      <c r="U289" s="189"/>
      <c r="V289" s="189"/>
      <c r="W289" s="191" t="str">
        <f t="shared" si="12"/>
        <v/>
      </c>
      <c r="X289" s="189"/>
      <c r="Y289" s="189"/>
      <c r="Z289" s="189"/>
      <c r="AA289" s="189"/>
      <c r="AB289" s="189"/>
      <c r="AC289" s="189"/>
      <c r="AD289" s="189"/>
      <c r="AE289" s="189"/>
      <c r="AF289" s="189"/>
      <c r="AG289" s="192"/>
      <c r="AH289" s="192"/>
      <c r="AI289" s="189"/>
      <c r="AJ289" s="189"/>
      <c r="AK289" s="189"/>
      <c r="AL289" s="189"/>
      <c r="AM289" s="191" t="str">
        <f t="shared" si="14"/>
        <v/>
      </c>
      <c r="AN289" s="191" t="str">
        <f>IF($A289="","",IF(COUNTIF('Decision Queue'!$A$5:$A$204,$A289)+COUNTIF('Decision Register'!$A$5:$A$304,$A289)&gt;1,"DUPLICATE ID","OK"))</f>
        <v/>
      </c>
      <c r="AO289" t="s">
        <v>897</v>
      </c>
    </row>
    <row r="290" spans="1:41" ht="42" customHeight="1">
      <c r="A290" s="191" t="str">
        <f t="shared" si="13"/>
        <v/>
      </c>
      <c r="B290" s="189"/>
      <c r="C290" s="189"/>
      <c r="D290" s="189"/>
      <c r="E290" s="268"/>
      <c r="F290" s="189"/>
      <c r="G290" s="189"/>
      <c r="H290" s="189"/>
      <c r="I290" s="189"/>
      <c r="J290" s="189"/>
      <c r="K290" s="189"/>
      <c r="L290" s="189"/>
      <c r="M290" s="192"/>
      <c r="N290" s="189"/>
      <c r="O290" s="189"/>
      <c r="P290" s="189"/>
      <c r="Q290" s="189"/>
      <c r="R290" s="192"/>
      <c r="S290" s="189"/>
      <c r="T290" s="189"/>
      <c r="U290" s="189"/>
      <c r="V290" s="189"/>
      <c r="W290" s="191" t="str">
        <f t="shared" si="12"/>
        <v/>
      </c>
      <c r="X290" s="189"/>
      <c r="Y290" s="189"/>
      <c r="Z290" s="189"/>
      <c r="AA290" s="189"/>
      <c r="AB290" s="189"/>
      <c r="AC290" s="189"/>
      <c r="AD290" s="189"/>
      <c r="AE290" s="189"/>
      <c r="AF290" s="189"/>
      <c r="AG290" s="192"/>
      <c r="AH290" s="192"/>
      <c r="AI290" s="189"/>
      <c r="AJ290" s="189"/>
      <c r="AK290" s="189"/>
      <c r="AL290" s="189"/>
      <c r="AM290" s="191" t="str">
        <f t="shared" si="14"/>
        <v/>
      </c>
      <c r="AN290" s="191" t="str">
        <f>IF($A290="","",IF(COUNTIF('Decision Queue'!$A$5:$A$204,$A290)+COUNTIF('Decision Register'!$A$5:$A$304,$A290)&gt;1,"DUPLICATE ID","OK"))</f>
        <v/>
      </c>
      <c r="AO290" t="s">
        <v>898</v>
      </c>
    </row>
    <row r="291" spans="1:41" ht="42" customHeight="1">
      <c r="A291" s="191" t="str">
        <f t="shared" si="13"/>
        <v/>
      </c>
      <c r="B291" s="189"/>
      <c r="C291" s="189"/>
      <c r="D291" s="189"/>
      <c r="E291" s="268"/>
      <c r="F291" s="189"/>
      <c r="G291" s="189"/>
      <c r="H291" s="189"/>
      <c r="I291" s="189"/>
      <c r="J291" s="189"/>
      <c r="K291" s="189"/>
      <c r="L291" s="189"/>
      <c r="M291" s="192"/>
      <c r="N291" s="189"/>
      <c r="O291" s="189"/>
      <c r="P291" s="189"/>
      <c r="Q291" s="189"/>
      <c r="R291" s="192"/>
      <c r="S291" s="189"/>
      <c r="T291" s="189"/>
      <c r="U291" s="189"/>
      <c r="V291" s="189"/>
      <c r="W291" s="191" t="str">
        <f t="shared" si="12"/>
        <v/>
      </c>
      <c r="X291" s="189"/>
      <c r="Y291" s="189"/>
      <c r="Z291" s="189"/>
      <c r="AA291" s="189"/>
      <c r="AB291" s="189"/>
      <c r="AC291" s="189"/>
      <c r="AD291" s="189"/>
      <c r="AE291" s="189"/>
      <c r="AF291" s="189"/>
      <c r="AG291" s="192"/>
      <c r="AH291" s="192"/>
      <c r="AI291" s="189"/>
      <c r="AJ291" s="189"/>
      <c r="AK291" s="189"/>
      <c r="AL291" s="189"/>
      <c r="AM291" s="191" t="str">
        <f t="shared" si="14"/>
        <v/>
      </c>
      <c r="AN291" s="191" t="str">
        <f>IF($A291="","",IF(COUNTIF('Decision Queue'!$A$5:$A$204,$A291)+COUNTIF('Decision Register'!$A$5:$A$304,$A291)&gt;1,"DUPLICATE ID","OK"))</f>
        <v/>
      </c>
      <c r="AO291" t="s">
        <v>899</v>
      </c>
    </row>
    <row r="292" spans="1:41" ht="42" customHeight="1">
      <c r="A292" s="191" t="str">
        <f t="shared" si="13"/>
        <v/>
      </c>
      <c r="B292" s="189"/>
      <c r="C292" s="189"/>
      <c r="D292" s="189"/>
      <c r="E292" s="268"/>
      <c r="F292" s="189"/>
      <c r="G292" s="189"/>
      <c r="H292" s="189"/>
      <c r="I292" s="189"/>
      <c r="J292" s="189"/>
      <c r="K292" s="189"/>
      <c r="L292" s="189"/>
      <c r="M292" s="192"/>
      <c r="N292" s="189"/>
      <c r="O292" s="189"/>
      <c r="P292" s="189"/>
      <c r="Q292" s="189"/>
      <c r="R292" s="192"/>
      <c r="S292" s="189"/>
      <c r="T292" s="189"/>
      <c r="U292" s="189"/>
      <c r="V292" s="189"/>
      <c r="W292" s="191" t="str">
        <f t="shared" si="12"/>
        <v/>
      </c>
      <c r="X292" s="189"/>
      <c r="Y292" s="189"/>
      <c r="Z292" s="189"/>
      <c r="AA292" s="189"/>
      <c r="AB292" s="189"/>
      <c r="AC292" s="189"/>
      <c r="AD292" s="189"/>
      <c r="AE292" s="189"/>
      <c r="AF292" s="189"/>
      <c r="AG292" s="192"/>
      <c r="AH292" s="192"/>
      <c r="AI292" s="189"/>
      <c r="AJ292" s="189"/>
      <c r="AK292" s="189"/>
      <c r="AL292" s="189"/>
      <c r="AM292" s="191" t="str">
        <f t="shared" si="14"/>
        <v/>
      </c>
      <c r="AN292" s="191" t="str">
        <f>IF($A292="","",IF(COUNTIF('Decision Queue'!$A$5:$A$204,$A292)+COUNTIF('Decision Register'!$A$5:$A$304,$A292)&gt;1,"DUPLICATE ID","OK"))</f>
        <v/>
      </c>
      <c r="AO292" t="s">
        <v>900</v>
      </c>
    </row>
    <row r="293" spans="1:41" ht="42" customHeight="1">
      <c r="A293" s="191" t="str">
        <f t="shared" si="13"/>
        <v/>
      </c>
      <c r="B293" s="189"/>
      <c r="C293" s="189"/>
      <c r="D293" s="189"/>
      <c r="E293" s="268"/>
      <c r="F293" s="189"/>
      <c r="G293" s="189"/>
      <c r="H293" s="189"/>
      <c r="I293" s="189"/>
      <c r="J293" s="189"/>
      <c r="K293" s="189"/>
      <c r="L293" s="189"/>
      <c r="M293" s="192"/>
      <c r="N293" s="189"/>
      <c r="O293" s="189"/>
      <c r="P293" s="189"/>
      <c r="Q293" s="189"/>
      <c r="R293" s="192"/>
      <c r="S293" s="189"/>
      <c r="T293" s="189"/>
      <c r="U293" s="189"/>
      <c r="V293" s="189"/>
      <c r="W293" s="191" t="str">
        <f t="shared" si="12"/>
        <v/>
      </c>
      <c r="X293" s="189"/>
      <c r="Y293" s="189"/>
      <c r="Z293" s="189"/>
      <c r="AA293" s="189"/>
      <c r="AB293" s="189"/>
      <c r="AC293" s="189"/>
      <c r="AD293" s="189"/>
      <c r="AE293" s="189"/>
      <c r="AF293" s="189"/>
      <c r="AG293" s="192"/>
      <c r="AH293" s="192"/>
      <c r="AI293" s="189"/>
      <c r="AJ293" s="189"/>
      <c r="AK293" s="189"/>
      <c r="AL293" s="189"/>
      <c r="AM293" s="191" t="str">
        <f t="shared" si="14"/>
        <v/>
      </c>
      <c r="AN293" s="191" t="str">
        <f>IF($A293="","",IF(COUNTIF('Decision Queue'!$A$5:$A$204,$A293)+COUNTIF('Decision Register'!$A$5:$A$304,$A293)&gt;1,"DUPLICATE ID","OK"))</f>
        <v/>
      </c>
      <c r="AO293" t="s">
        <v>901</v>
      </c>
    </row>
    <row r="294" spans="1:41" ht="42" customHeight="1">
      <c r="A294" s="191" t="str">
        <f t="shared" si="13"/>
        <v/>
      </c>
      <c r="B294" s="189"/>
      <c r="C294" s="189"/>
      <c r="D294" s="189"/>
      <c r="E294" s="268"/>
      <c r="F294" s="189"/>
      <c r="G294" s="189"/>
      <c r="H294" s="189"/>
      <c r="I294" s="189"/>
      <c r="J294" s="189"/>
      <c r="K294" s="189"/>
      <c r="L294" s="189"/>
      <c r="M294" s="192"/>
      <c r="N294" s="189"/>
      <c r="O294" s="189"/>
      <c r="P294" s="189"/>
      <c r="Q294" s="189"/>
      <c r="R294" s="192"/>
      <c r="S294" s="189"/>
      <c r="T294" s="189"/>
      <c r="U294" s="189"/>
      <c r="V294" s="189"/>
      <c r="W294" s="191" t="str">
        <f t="shared" si="12"/>
        <v/>
      </c>
      <c r="X294" s="189"/>
      <c r="Y294" s="189"/>
      <c r="Z294" s="189"/>
      <c r="AA294" s="189"/>
      <c r="AB294" s="189"/>
      <c r="AC294" s="189"/>
      <c r="AD294" s="189"/>
      <c r="AE294" s="189"/>
      <c r="AF294" s="189"/>
      <c r="AG294" s="192"/>
      <c r="AH294" s="192"/>
      <c r="AI294" s="189"/>
      <c r="AJ294" s="189"/>
      <c r="AK294" s="189"/>
      <c r="AL294" s="189"/>
      <c r="AM294" s="191" t="str">
        <f t="shared" si="14"/>
        <v/>
      </c>
      <c r="AN294" s="191" t="str">
        <f>IF($A294="","",IF(COUNTIF('Decision Queue'!$A$5:$A$204,$A294)+COUNTIF('Decision Register'!$A$5:$A$304,$A294)&gt;1,"DUPLICATE ID","OK"))</f>
        <v/>
      </c>
      <c r="AO294" t="s">
        <v>902</v>
      </c>
    </row>
    <row r="295" spans="1:41" ht="42" customHeight="1">
      <c r="A295" s="191" t="str">
        <f t="shared" si="13"/>
        <v/>
      </c>
      <c r="B295" s="189"/>
      <c r="C295" s="189"/>
      <c r="D295" s="189"/>
      <c r="E295" s="268"/>
      <c r="F295" s="189"/>
      <c r="G295" s="189"/>
      <c r="H295" s="189"/>
      <c r="I295" s="189"/>
      <c r="J295" s="189"/>
      <c r="K295" s="189"/>
      <c r="L295" s="189"/>
      <c r="M295" s="192"/>
      <c r="N295" s="189"/>
      <c r="O295" s="189"/>
      <c r="P295" s="189"/>
      <c r="Q295" s="189"/>
      <c r="R295" s="192"/>
      <c r="S295" s="189"/>
      <c r="T295" s="189"/>
      <c r="U295" s="189"/>
      <c r="V295" s="189"/>
      <c r="W295" s="191" t="str">
        <f t="shared" si="12"/>
        <v/>
      </c>
      <c r="X295" s="189"/>
      <c r="Y295" s="189"/>
      <c r="Z295" s="189"/>
      <c r="AA295" s="189"/>
      <c r="AB295" s="189"/>
      <c r="AC295" s="189"/>
      <c r="AD295" s="189"/>
      <c r="AE295" s="189"/>
      <c r="AF295" s="189"/>
      <c r="AG295" s="192"/>
      <c r="AH295" s="192"/>
      <c r="AI295" s="189"/>
      <c r="AJ295" s="189"/>
      <c r="AK295" s="189"/>
      <c r="AL295" s="189"/>
      <c r="AM295" s="191" t="str">
        <f t="shared" si="14"/>
        <v/>
      </c>
      <c r="AN295" s="191" t="str">
        <f>IF($A295="","",IF(COUNTIF('Decision Queue'!$A$5:$A$204,$A295)+COUNTIF('Decision Register'!$A$5:$A$304,$A295)&gt;1,"DUPLICATE ID","OK"))</f>
        <v/>
      </c>
      <c r="AO295" t="s">
        <v>903</v>
      </c>
    </row>
    <row r="296" spans="1:41" ht="42" customHeight="1">
      <c r="A296" s="191" t="str">
        <f t="shared" si="13"/>
        <v/>
      </c>
      <c r="B296" s="189"/>
      <c r="C296" s="189"/>
      <c r="D296" s="189"/>
      <c r="E296" s="268"/>
      <c r="F296" s="189"/>
      <c r="G296" s="189"/>
      <c r="H296" s="189"/>
      <c r="I296" s="189"/>
      <c r="J296" s="189"/>
      <c r="K296" s="189"/>
      <c r="L296" s="189"/>
      <c r="M296" s="192"/>
      <c r="N296" s="189"/>
      <c r="O296" s="189"/>
      <c r="P296" s="189"/>
      <c r="Q296" s="189"/>
      <c r="R296" s="192"/>
      <c r="S296" s="189"/>
      <c r="T296" s="189"/>
      <c r="U296" s="189"/>
      <c r="V296" s="189"/>
      <c r="W296" s="191" t="str">
        <f t="shared" si="12"/>
        <v/>
      </c>
      <c r="X296" s="189"/>
      <c r="Y296" s="189"/>
      <c r="Z296" s="189"/>
      <c r="AA296" s="189"/>
      <c r="AB296" s="189"/>
      <c r="AC296" s="189"/>
      <c r="AD296" s="189"/>
      <c r="AE296" s="189"/>
      <c r="AF296" s="189"/>
      <c r="AG296" s="192"/>
      <c r="AH296" s="192"/>
      <c r="AI296" s="189"/>
      <c r="AJ296" s="189"/>
      <c r="AK296" s="189"/>
      <c r="AL296" s="189"/>
      <c r="AM296" s="191" t="str">
        <f t="shared" si="14"/>
        <v/>
      </c>
      <c r="AN296" s="191" t="str">
        <f>IF($A296="","",IF(COUNTIF('Decision Queue'!$A$5:$A$204,$A296)+COUNTIF('Decision Register'!$A$5:$A$304,$A296)&gt;1,"DUPLICATE ID","OK"))</f>
        <v/>
      </c>
      <c r="AO296" t="s">
        <v>904</v>
      </c>
    </row>
    <row r="297" spans="1:41" ht="42" customHeight="1">
      <c r="A297" s="191" t="str">
        <f t="shared" si="13"/>
        <v/>
      </c>
      <c r="B297" s="189"/>
      <c r="C297" s="189"/>
      <c r="D297" s="189"/>
      <c r="E297" s="268"/>
      <c r="F297" s="189"/>
      <c r="G297" s="189"/>
      <c r="H297" s="189"/>
      <c r="I297" s="189"/>
      <c r="J297" s="189"/>
      <c r="K297" s="189"/>
      <c r="L297" s="189"/>
      <c r="M297" s="192"/>
      <c r="N297" s="189"/>
      <c r="O297" s="189"/>
      <c r="P297" s="189"/>
      <c r="Q297" s="189"/>
      <c r="R297" s="192"/>
      <c r="S297" s="189"/>
      <c r="T297" s="189"/>
      <c r="U297" s="189"/>
      <c r="V297" s="189"/>
      <c r="W297" s="191" t="str">
        <f t="shared" si="12"/>
        <v/>
      </c>
      <c r="X297" s="189"/>
      <c r="Y297" s="189"/>
      <c r="Z297" s="189"/>
      <c r="AA297" s="189"/>
      <c r="AB297" s="189"/>
      <c r="AC297" s="189"/>
      <c r="AD297" s="189"/>
      <c r="AE297" s="189"/>
      <c r="AF297" s="189"/>
      <c r="AG297" s="192"/>
      <c r="AH297" s="192"/>
      <c r="AI297" s="189"/>
      <c r="AJ297" s="189"/>
      <c r="AK297" s="189"/>
      <c r="AL297" s="189"/>
      <c r="AM297" s="191" t="str">
        <f t="shared" si="14"/>
        <v/>
      </c>
      <c r="AN297" s="191" t="str">
        <f>IF($A297="","",IF(COUNTIF('Decision Queue'!$A$5:$A$204,$A297)+COUNTIF('Decision Register'!$A$5:$A$304,$A297)&gt;1,"DUPLICATE ID","OK"))</f>
        <v/>
      </c>
      <c r="AO297" t="s">
        <v>905</v>
      </c>
    </row>
    <row r="298" spans="1:41" ht="42" customHeight="1">
      <c r="A298" s="191" t="str">
        <f t="shared" si="13"/>
        <v/>
      </c>
      <c r="B298" s="189"/>
      <c r="C298" s="189"/>
      <c r="D298" s="189"/>
      <c r="E298" s="268"/>
      <c r="F298" s="189"/>
      <c r="G298" s="189"/>
      <c r="H298" s="189"/>
      <c r="I298" s="189"/>
      <c r="J298" s="189"/>
      <c r="K298" s="189"/>
      <c r="L298" s="189"/>
      <c r="M298" s="192"/>
      <c r="N298" s="189"/>
      <c r="O298" s="189"/>
      <c r="P298" s="189"/>
      <c r="Q298" s="189"/>
      <c r="R298" s="192"/>
      <c r="S298" s="189"/>
      <c r="T298" s="189"/>
      <c r="U298" s="189"/>
      <c r="V298" s="189"/>
      <c r="W298" s="191" t="str">
        <f t="shared" si="12"/>
        <v/>
      </c>
      <c r="X298" s="189"/>
      <c r="Y298" s="189"/>
      <c r="Z298" s="189"/>
      <c r="AA298" s="189"/>
      <c r="AB298" s="189"/>
      <c r="AC298" s="189"/>
      <c r="AD298" s="189"/>
      <c r="AE298" s="189"/>
      <c r="AF298" s="189"/>
      <c r="AG298" s="192"/>
      <c r="AH298" s="192"/>
      <c r="AI298" s="189"/>
      <c r="AJ298" s="189"/>
      <c r="AK298" s="189"/>
      <c r="AL298" s="189"/>
      <c r="AM298" s="191" t="str">
        <f t="shared" si="14"/>
        <v/>
      </c>
      <c r="AN298" s="191" t="str">
        <f>IF($A298="","",IF(COUNTIF('Decision Queue'!$A$5:$A$204,$A298)+COUNTIF('Decision Register'!$A$5:$A$304,$A298)&gt;1,"DUPLICATE ID","OK"))</f>
        <v/>
      </c>
      <c r="AO298" t="s">
        <v>906</v>
      </c>
    </row>
    <row r="299" spans="1:41" ht="42" customHeight="1">
      <c r="A299" s="191" t="str">
        <f t="shared" si="13"/>
        <v/>
      </c>
      <c r="B299" s="189"/>
      <c r="C299" s="189"/>
      <c r="D299" s="189"/>
      <c r="E299" s="268"/>
      <c r="F299" s="189"/>
      <c r="G299" s="189"/>
      <c r="H299" s="189"/>
      <c r="I299" s="189"/>
      <c r="J299" s="189"/>
      <c r="K299" s="189"/>
      <c r="L299" s="189"/>
      <c r="M299" s="192"/>
      <c r="N299" s="189"/>
      <c r="O299" s="189"/>
      <c r="P299" s="189"/>
      <c r="Q299" s="189"/>
      <c r="R299" s="192"/>
      <c r="S299" s="189"/>
      <c r="T299" s="189"/>
      <c r="U299" s="189"/>
      <c r="V299" s="189"/>
      <c r="W299" s="191" t="str">
        <f t="shared" si="12"/>
        <v/>
      </c>
      <c r="X299" s="189"/>
      <c r="Y299" s="189"/>
      <c r="Z299" s="189"/>
      <c r="AA299" s="189"/>
      <c r="AB299" s="189"/>
      <c r="AC299" s="189"/>
      <c r="AD299" s="189"/>
      <c r="AE299" s="189"/>
      <c r="AF299" s="189"/>
      <c r="AG299" s="192"/>
      <c r="AH299" s="192"/>
      <c r="AI299" s="189"/>
      <c r="AJ299" s="189"/>
      <c r="AK299" s="189"/>
      <c r="AL299" s="189"/>
      <c r="AM299" s="191" t="str">
        <f t="shared" si="14"/>
        <v/>
      </c>
      <c r="AN299" s="191" t="str">
        <f>IF($A299="","",IF(COUNTIF('Decision Queue'!$A$5:$A$204,$A299)+COUNTIF('Decision Register'!$A$5:$A$304,$A299)&gt;1,"DUPLICATE ID","OK"))</f>
        <v/>
      </c>
      <c r="AO299" t="s">
        <v>907</v>
      </c>
    </row>
    <row r="300" spans="1:41" ht="42" customHeight="1">
      <c r="A300" s="191" t="str">
        <f t="shared" si="13"/>
        <v/>
      </c>
      <c r="B300" s="189"/>
      <c r="C300" s="189"/>
      <c r="D300" s="189"/>
      <c r="E300" s="268"/>
      <c r="F300" s="189"/>
      <c r="G300" s="189"/>
      <c r="H300" s="189"/>
      <c r="I300" s="189"/>
      <c r="J300" s="189"/>
      <c r="K300" s="189"/>
      <c r="L300" s="189"/>
      <c r="M300" s="192"/>
      <c r="N300" s="189"/>
      <c r="O300" s="189"/>
      <c r="P300" s="189"/>
      <c r="Q300" s="189"/>
      <c r="R300" s="192"/>
      <c r="S300" s="189"/>
      <c r="T300" s="189"/>
      <c r="U300" s="189"/>
      <c r="V300" s="189"/>
      <c r="W300" s="191" t="str">
        <f t="shared" si="12"/>
        <v/>
      </c>
      <c r="X300" s="189"/>
      <c r="Y300" s="189"/>
      <c r="Z300" s="189"/>
      <c r="AA300" s="189"/>
      <c r="AB300" s="189"/>
      <c r="AC300" s="189"/>
      <c r="AD300" s="189"/>
      <c r="AE300" s="189"/>
      <c r="AF300" s="189"/>
      <c r="AG300" s="192"/>
      <c r="AH300" s="192"/>
      <c r="AI300" s="189"/>
      <c r="AJ300" s="189"/>
      <c r="AK300" s="189"/>
      <c r="AL300" s="189"/>
      <c r="AM300" s="191" t="str">
        <f t="shared" si="14"/>
        <v/>
      </c>
      <c r="AN300" s="191" t="str">
        <f>IF($A300="","",IF(COUNTIF('Decision Queue'!$A$5:$A$204,$A300)+COUNTIF('Decision Register'!$A$5:$A$304,$A300)&gt;1,"DUPLICATE ID","OK"))</f>
        <v/>
      </c>
      <c r="AO300" t="s">
        <v>908</v>
      </c>
    </row>
    <row r="301" spans="1:41" ht="42" customHeight="1">
      <c r="A301" s="191" t="str">
        <f t="shared" si="13"/>
        <v/>
      </c>
      <c r="B301" s="189"/>
      <c r="C301" s="189"/>
      <c r="D301" s="189"/>
      <c r="E301" s="268"/>
      <c r="F301" s="189"/>
      <c r="G301" s="189"/>
      <c r="H301" s="189"/>
      <c r="I301" s="189"/>
      <c r="J301" s="189"/>
      <c r="K301" s="189"/>
      <c r="L301" s="189"/>
      <c r="M301" s="192"/>
      <c r="N301" s="189"/>
      <c r="O301" s="189"/>
      <c r="P301" s="189"/>
      <c r="Q301" s="189"/>
      <c r="R301" s="192"/>
      <c r="S301" s="189"/>
      <c r="T301" s="189"/>
      <c r="U301" s="189"/>
      <c r="V301" s="189"/>
      <c r="W301" s="191" t="str">
        <f t="shared" si="12"/>
        <v/>
      </c>
      <c r="X301" s="189"/>
      <c r="Y301" s="189"/>
      <c r="Z301" s="189"/>
      <c r="AA301" s="189"/>
      <c r="AB301" s="189"/>
      <c r="AC301" s="189"/>
      <c r="AD301" s="189"/>
      <c r="AE301" s="189"/>
      <c r="AF301" s="189"/>
      <c r="AG301" s="192"/>
      <c r="AH301" s="192"/>
      <c r="AI301" s="189"/>
      <c r="AJ301" s="189"/>
      <c r="AK301" s="189"/>
      <c r="AL301" s="189"/>
      <c r="AM301" s="191" t="str">
        <f t="shared" si="14"/>
        <v/>
      </c>
      <c r="AN301" s="191" t="str">
        <f>IF($A301="","",IF(COUNTIF('Decision Queue'!$A$5:$A$204,$A301)+COUNTIF('Decision Register'!$A$5:$A$304,$A301)&gt;1,"DUPLICATE ID","OK"))</f>
        <v/>
      </c>
      <c r="AO301" t="s">
        <v>909</v>
      </c>
    </row>
    <row r="302" spans="1:41" ht="42" customHeight="1">
      <c r="A302" s="191" t="str">
        <f t="shared" si="13"/>
        <v/>
      </c>
      <c r="B302" s="189"/>
      <c r="C302" s="189"/>
      <c r="D302" s="189"/>
      <c r="E302" s="268"/>
      <c r="F302" s="189"/>
      <c r="G302" s="189"/>
      <c r="H302" s="189"/>
      <c r="I302" s="189"/>
      <c r="J302" s="189"/>
      <c r="K302" s="189"/>
      <c r="L302" s="189"/>
      <c r="M302" s="192"/>
      <c r="N302" s="189"/>
      <c r="O302" s="189"/>
      <c r="P302" s="189"/>
      <c r="Q302" s="189"/>
      <c r="R302" s="192"/>
      <c r="S302" s="189"/>
      <c r="T302" s="189"/>
      <c r="U302" s="189"/>
      <c r="V302" s="189"/>
      <c r="W302" s="191" t="str">
        <f t="shared" si="12"/>
        <v/>
      </c>
      <c r="X302" s="189"/>
      <c r="Y302" s="189"/>
      <c r="Z302" s="189"/>
      <c r="AA302" s="189"/>
      <c r="AB302" s="189"/>
      <c r="AC302" s="189"/>
      <c r="AD302" s="189"/>
      <c r="AE302" s="189"/>
      <c r="AF302" s="189"/>
      <c r="AG302" s="192"/>
      <c r="AH302" s="192"/>
      <c r="AI302" s="189"/>
      <c r="AJ302" s="189"/>
      <c r="AK302" s="189"/>
      <c r="AL302" s="189"/>
      <c r="AM302" s="191" t="str">
        <f t="shared" si="14"/>
        <v/>
      </c>
      <c r="AN302" s="191" t="str">
        <f>IF($A302="","",IF(COUNTIF('Decision Queue'!$A$5:$A$204,$A302)+COUNTIF('Decision Register'!$A$5:$A$304,$A302)&gt;1,"DUPLICATE ID","OK"))</f>
        <v/>
      </c>
      <c r="AO302" t="s">
        <v>910</v>
      </c>
    </row>
    <row r="303" spans="1:41" ht="42" customHeight="1">
      <c r="A303" s="191" t="str">
        <f t="shared" si="13"/>
        <v/>
      </c>
      <c r="B303" s="189"/>
      <c r="C303" s="189"/>
      <c r="D303" s="189"/>
      <c r="E303" s="268"/>
      <c r="F303" s="189"/>
      <c r="G303" s="189"/>
      <c r="H303" s="189"/>
      <c r="I303" s="189"/>
      <c r="J303" s="189"/>
      <c r="K303" s="189"/>
      <c r="L303" s="189"/>
      <c r="M303" s="192"/>
      <c r="N303" s="189"/>
      <c r="O303" s="189"/>
      <c r="P303" s="189"/>
      <c r="Q303" s="189"/>
      <c r="R303" s="192"/>
      <c r="S303" s="189"/>
      <c r="T303" s="189"/>
      <c r="U303" s="189"/>
      <c r="V303" s="189"/>
      <c r="W303" s="191" t="str">
        <f t="shared" si="12"/>
        <v/>
      </c>
      <c r="X303" s="189"/>
      <c r="Y303" s="189"/>
      <c r="Z303" s="189"/>
      <c r="AA303" s="189"/>
      <c r="AB303" s="189"/>
      <c r="AC303" s="189"/>
      <c r="AD303" s="189"/>
      <c r="AE303" s="189"/>
      <c r="AF303" s="189"/>
      <c r="AG303" s="192"/>
      <c r="AH303" s="192"/>
      <c r="AI303" s="189"/>
      <c r="AJ303" s="189"/>
      <c r="AK303" s="189"/>
      <c r="AL303" s="189"/>
      <c r="AM303" s="191" t="str">
        <f t="shared" si="14"/>
        <v/>
      </c>
      <c r="AN303" s="191" t="str">
        <f>IF($A303="","",IF(COUNTIF('Decision Queue'!$A$5:$A$204,$A303)+COUNTIF('Decision Register'!$A$5:$A$304,$A303)&gt;1,"DUPLICATE ID","OK"))</f>
        <v/>
      </c>
      <c r="AO303" t="s">
        <v>911</v>
      </c>
    </row>
    <row r="304" spans="1:41" ht="42" customHeight="1">
      <c r="A304" s="191" t="str">
        <f t="shared" si="13"/>
        <v/>
      </c>
      <c r="B304" s="189"/>
      <c r="C304" s="189"/>
      <c r="D304" s="189"/>
      <c r="E304" s="268"/>
      <c r="F304" s="189"/>
      <c r="G304" s="189"/>
      <c r="H304" s="189"/>
      <c r="I304" s="189"/>
      <c r="J304" s="189"/>
      <c r="K304" s="189"/>
      <c r="L304" s="189"/>
      <c r="M304" s="192"/>
      <c r="N304" s="189"/>
      <c r="O304" s="189"/>
      <c r="P304" s="189"/>
      <c r="Q304" s="189"/>
      <c r="R304" s="192"/>
      <c r="S304" s="189"/>
      <c r="T304" s="189"/>
      <c r="U304" s="189"/>
      <c r="V304" s="189"/>
      <c r="W304" s="191" t="str">
        <f t="shared" si="12"/>
        <v/>
      </c>
      <c r="X304" s="189"/>
      <c r="Y304" s="189"/>
      <c r="Z304" s="189"/>
      <c r="AA304" s="189"/>
      <c r="AB304" s="189"/>
      <c r="AC304" s="189"/>
      <c r="AD304" s="189"/>
      <c r="AE304" s="189"/>
      <c r="AF304" s="189"/>
      <c r="AG304" s="192"/>
      <c r="AH304" s="192"/>
      <c r="AI304" s="189"/>
      <c r="AJ304" s="189"/>
      <c r="AK304" s="189"/>
      <c r="AL304" s="189"/>
      <c r="AM304" s="191" t="str">
        <f t="shared" si="14"/>
        <v/>
      </c>
      <c r="AN304" s="191" t="str">
        <f>IF($A304="","",IF(COUNTIF('Decision Queue'!$A$5:$A$204,$A304)+COUNTIF('Decision Register'!$A$5:$A$304,$A304)&gt;1,"DUPLICATE ID","OK"))</f>
        <v/>
      </c>
      <c r="AO304" t="s">
        <v>912</v>
      </c>
    </row>
  </sheetData>
  <sheetProtection algorithmName="SHA-512" hashValue="2lbAIsaQMQhnPLfcLBNJheTT/yN6Imiq1TAbaMYCl/m1ykvK/4uaaUbcSNC+wyd6bXcX2s9HQTcnCud7iKokMQ==" saltValue="u4lUOh5CAWRp4PlzlCjH/Q==" spinCount="100000" sheet="1" sort="0" autoFilter="0"/>
  <mergeCells count="3">
    <mergeCell ref="A3:AN3"/>
    <mergeCell ref="A2:AN2"/>
    <mergeCell ref="A1:AN1"/>
  </mergeCells>
  <conditionalFormatting sqref="G5:G304">
    <cfRule type="containsText" dxfId="35" priority="1" operator="containsText" text="Completed"/>
    <cfRule type="containsText" dxfId="34" priority="2" operator="containsText" text="Cancelled"/>
  </conditionalFormatting>
  <conditionalFormatting sqref="K5:K8 K10:K304">
    <cfRule type="containsText" dxfId="33" priority="6" operator="containsText" text="High"/>
  </conditionalFormatting>
  <conditionalFormatting sqref="AN5:AN304">
    <cfRule type="containsText" dxfId="32" priority="3" operator="containsText" text="DUPLICATE"/>
  </conditionalFormatting>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10">
        <x14:dataValidation type="list" allowBlank="1" xr:uid="{00000000-0002-0000-0E00-000000000000}">
          <x14:formula1>
            <xm:f>'Lists &amp; Controls'!$K$5:$K$104</xm:f>
          </x14:formula1>
          <xm:sqref>C5:C304</xm:sqref>
        </x14:dataValidation>
        <x14:dataValidation type="list" allowBlank="1" xr:uid="{00000000-0002-0000-0E00-000001000000}">
          <x14:formula1>
            <xm:f>'Lists &amp; Controls'!$N$5:$N$104</xm:f>
          </x14:formula1>
          <xm:sqref>P10:Q304 AF5:AF304 AA5:AA304 P5:Q8 D5:D304</xm:sqref>
        </x14:dataValidation>
        <x14:dataValidation type="list" allowBlank="1" xr:uid="{00000000-0002-0000-0E00-000002000000}">
          <x14:formula1>
            <xm:f>'Lists &amp; Controls'!$A$5:$A$104</xm:f>
          </x14:formula1>
          <xm:sqref>AE5:AE304 G5:G8 G10:G304</xm:sqref>
        </x14:dataValidation>
        <x14:dataValidation type="list" allowBlank="1" xr:uid="{00000000-0002-0000-0E00-00000E000000}">
          <x14:formula1>
            <xm:f>'Lists &amp; Controls'!$U$5:$U$104</xm:f>
          </x14:formula1>
          <xm:sqref>AM5:AM304</xm:sqref>
        </x14:dataValidation>
        <x14:dataValidation type="list" allowBlank="1" xr:uid="{00000000-0002-0000-0E00-000003000000}">
          <x14:formula1>
            <xm:f>'Lists &amp; Controls'!$I$5:$I$104</xm:f>
          </x14:formula1>
          <xm:sqref>H5:H8 H10:H304</xm:sqref>
        </x14:dataValidation>
        <x14:dataValidation type="list" allowBlank="1" xr:uid="{00000000-0002-0000-0E00-000004000000}">
          <x14:formula1>
            <xm:f>'Lists &amp; Controls'!$J$5:$J$104</xm:f>
          </x14:formula1>
          <xm:sqref>I5:I8 I10:I304</xm:sqref>
        </x14:dataValidation>
        <x14:dataValidation type="list" allowBlank="1" xr:uid="{00000000-0002-0000-0E00-000005000000}">
          <x14:formula1>
            <xm:f>'Lists &amp; Controls'!$H$5:$H$104</xm:f>
          </x14:formula1>
          <xm:sqref>J5:J8 J10:J304</xm:sqref>
        </x14:dataValidation>
        <x14:dataValidation type="list" allowBlank="1" xr:uid="{00000000-0002-0000-0E00-000006000000}">
          <x14:formula1>
            <xm:f>'Lists &amp; Controls'!$C$5:$C$104</xm:f>
          </x14:formula1>
          <xm:sqref>K5:K8 K10:K304</xm:sqref>
        </x14:dataValidation>
        <x14:dataValidation type="list" allowBlank="1" xr:uid="{00000000-0002-0000-0E00-000007000000}">
          <x14:formula1>
            <xm:f>'Lists &amp; Controls'!$F$5:$F$104</xm:f>
          </x14:formula1>
          <xm:sqref>L5:L8 L10:L304</xm:sqref>
        </x14:dataValidation>
        <x14:dataValidation type="list" allowBlank="1" xr:uid="{00000000-0002-0000-0E00-000008000000}">
          <x14:formula1>
            <xm:f>'Lists &amp; Controls'!$G$5:$G$104</xm:f>
          </x14:formula1>
          <xm:sqref>N5:N8 N10:N304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393F4-53C9-487F-84D4-849E87311406}">
  <sheetPr>
    <tabColor theme="7" tint="0.59999389629810485"/>
  </sheetPr>
  <dimension ref="A1:X1420"/>
  <sheetViews>
    <sheetView showGridLines="0" zoomScale="50" zoomScaleNormal="50" workbookViewId="0">
      <pane ySplit="12" topLeftCell="A13" activePane="bottomLeft" state="frozen"/>
      <selection pane="bottomLeft" activeCell="B17" sqref="B17"/>
    </sheetView>
  </sheetViews>
  <sheetFormatPr defaultColWidth="9.1796875" defaultRowHeight="14"/>
  <cols>
    <col min="1" max="1" width="19.81640625" style="208" customWidth="1"/>
    <col min="2" max="2" width="49.1796875" style="208" customWidth="1"/>
    <col min="3" max="3" width="53.54296875" style="208" customWidth="1"/>
    <col min="4" max="4" width="22.54296875" style="208" customWidth="1"/>
    <col min="5" max="5" width="30.54296875" style="263" customWidth="1"/>
    <col min="6" max="6" width="22.54296875" style="208" customWidth="1"/>
    <col min="7" max="8" width="16.81640625" style="250" customWidth="1"/>
    <col min="9" max="10" width="14.7265625" style="250" customWidth="1"/>
    <col min="11" max="11" width="27.1796875" style="250" customWidth="1"/>
    <col min="12" max="12" width="14.7265625" style="250" customWidth="1"/>
    <col min="13" max="13" width="25.26953125" style="242" customWidth="1"/>
    <col min="14" max="14" width="14.7265625" style="242" customWidth="1"/>
    <col min="15" max="15" width="18.26953125" style="243" customWidth="1"/>
    <col min="16" max="16" width="18.81640625" style="242" customWidth="1"/>
    <col min="17" max="18" width="18.26953125" style="242" customWidth="1"/>
    <col min="19" max="19" width="18.26953125" style="208" customWidth="1"/>
    <col min="20" max="20" width="19.453125" style="208" customWidth="1"/>
    <col min="21" max="21" width="25.1796875" style="208" hidden="1" customWidth="1"/>
    <col min="22" max="22" width="48" style="208" customWidth="1"/>
    <col min="23" max="23" width="8" style="208" hidden="1" customWidth="1"/>
    <col min="24" max="16384" width="9.1796875" style="208"/>
  </cols>
  <sheetData>
    <row r="1" spans="1:23" s="202" customFormat="1" ht="38.15" customHeight="1">
      <c r="A1" s="201" t="s">
        <v>913</v>
      </c>
      <c r="E1" s="246"/>
      <c r="G1" s="246"/>
      <c r="H1" s="246"/>
      <c r="I1" s="246"/>
      <c r="J1" s="246"/>
      <c r="K1" s="246"/>
      <c r="L1" s="246"/>
      <c r="P1" s="203"/>
      <c r="Q1" s="203"/>
    </row>
    <row r="2" spans="1:23" ht="25" customHeight="1">
      <c r="A2" s="204" t="s">
        <v>122</v>
      </c>
      <c r="B2" s="204" t="s">
        <v>914</v>
      </c>
      <c r="C2" s="204" t="s">
        <v>915</v>
      </c>
      <c r="D2" s="204" t="s">
        <v>6</v>
      </c>
      <c r="E2" s="247"/>
      <c r="F2" s="205"/>
      <c r="G2" s="247"/>
      <c r="H2" s="247"/>
      <c r="I2" s="247"/>
      <c r="J2" s="247"/>
      <c r="K2" s="247"/>
      <c r="L2" s="247"/>
      <c r="M2" s="205"/>
      <c r="N2" s="205"/>
      <c r="O2" s="205"/>
      <c r="P2" s="205"/>
      <c r="Q2" s="206"/>
      <c r="R2" s="206"/>
      <c r="S2" s="207"/>
      <c r="T2" s="207"/>
      <c r="U2" s="207"/>
      <c r="V2" s="207"/>
      <c r="W2" s="207"/>
    </row>
    <row r="3" spans="1:23" ht="30" customHeight="1">
      <c r="A3" s="209">
        <f ca="1">COUNTIFS(CommitmentsTable[Commitment / deliverable],"&lt;&gt;",CommitmentsTable[Status2],"&lt;&gt;Closed")</f>
        <v>19</v>
      </c>
      <c r="B3" s="209">
        <f>COUNTIF(CommitmentsTable[RAG Status],"*Met/On Track*")</f>
        <v>11</v>
      </c>
      <c r="C3" s="209">
        <f>COUNTIF(CommitmentsTable[RAG Status],"*At Risk/Carried Forward*")</f>
        <v>0</v>
      </c>
      <c r="D3" s="209">
        <f>COUNTIF(CommitmentsTable[RAG Status],"*Late/Missed*")</f>
        <v>0</v>
      </c>
      <c r="E3" s="248"/>
      <c r="F3" s="210"/>
      <c r="G3" s="248"/>
      <c r="H3" s="248"/>
      <c r="I3" s="248"/>
      <c r="J3" s="248"/>
      <c r="K3" s="248"/>
      <c r="L3" s="248"/>
      <c r="M3" s="210"/>
      <c r="N3" s="207"/>
      <c r="O3" s="207"/>
      <c r="P3" s="207"/>
      <c r="Q3" s="211"/>
      <c r="R3" s="211"/>
      <c r="S3" s="207"/>
    </row>
    <row r="4" spans="1:23" ht="15" hidden="1" customHeight="1">
      <c r="A4" s="210"/>
      <c r="B4" s="210"/>
      <c r="C4" s="210"/>
      <c r="D4" s="210"/>
      <c r="E4" s="248"/>
      <c r="F4" s="210"/>
      <c r="G4" s="248"/>
      <c r="H4" s="248"/>
      <c r="I4" s="248"/>
      <c r="J4" s="248"/>
      <c r="K4" s="248"/>
      <c r="L4" s="248"/>
      <c r="M4" s="210"/>
      <c r="N4" s="210"/>
      <c r="O4" s="210"/>
      <c r="P4" s="212"/>
      <c r="Q4" s="212"/>
      <c r="R4" s="207"/>
      <c r="S4" s="207"/>
      <c r="T4" s="207"/>
      <c r="U4" s="207"/>
      <c r="V4" s="207"/>
    </row>
    <row r="5" spans="1:23" ht="15" hidden="1" customHeight="1">
      <c r="A5" s="210"/>
      <c r="B5" s="210"/>
      <c r="C5" s="210"/>
      <c r="D5" s="210"/>
      <c r="E5" s="248"/>
      <c r="F5" s="210"/>
      <c r="G5" s="248"/>
      <c r="H5" s="248"/>
      <c r="I5" s="248"/>
      <c r="J5" s="248"/>
      <c r="K5" s="248"/>
      <c r="L5" s="248"/>
      <c r="M5" s="210"/>
      <c r="N5" s="210"/>
      <c r="O5" s="210"/>
      <c r="P5" s="212"/>
      <c r="Q5" s="212"/>
      <c r="R5" s="207"/>
      <c r="S5" s="207"/>
      <c r="T5" s="207"/>
      <c r="U5" s="207"/>
      <c r="V5" s="207"/>
    </row>
    <row r="6" spans="1:23" ht="15" hidden="1" customHeight="1">
      <c r="A6" s="210"/>
      <c r="B6" s="210"/>
      <c r="C6" s="210"/>
      <c r="D6" s="210"/>
      <c r="E6" s="248"/>
      <c r="F6" s="210"/>
      <c r="G6" s="248"/>
      <c r="H6" s="248"/>
      <c r="I6" s="248"/>
      <c r="J6" s="248"/>
      <c r="K6" s="248"/>
      <c r="L6" s="248"/>
      <c r="M6" s="210"/>
      <c r="N6" s="210"/>
      <c r="O6" s="210"/>
      <c r="P6" s="212"/>
      <c r="Q6" s="212"/>
      <c r="R6" s="207"/>
      <c r="S6" s="207"/>
      <c r="T6" s="207"/>
      <c r="U6" s="207"/>
      <c r="V6" s="207"/>
    </row>
    <row r="7" spans="1:23" ht="15" hidden="1" customHeight="1">
      <c r="A7" s="210"/>
      <c r="B7" s="210"/>
      <c r="C7" s="210"/>
      <c r="D7" s="210"/>
      <c r="E7" s="248"/>
      <c r="F7" s="210"/>
      <c r="G7" s="248"/>
      <c r="H7" s="248"/>
      <c r="I7" s="248"/>
      <c r="J7" s="248"/>
      <c r="K7" s="248"/>
      <c r="L7" s="248"/>
      <c r="M7" s="210"/>
      <c r="N7" s="210"/>
      <c r="O7" s="210"/>
      <c r="P7" s="212"/>
      <c r="Q7" s="212"/>
      <c r="R7" s="207"/>
      <c r="S7" s="207"/>
      <c r="T7" s="207"/>
      <c r="U7" s="207"/>
      <c r="V7" s="207"/>
    </row>
    <row r="8" spans="1:23" ht="19.5" hidden="1" customHeight="1">
      <c r="A8" s="210"/>
      <c r="B8" s="210"/>
      <c r="C8" s="210"/>
      <c r="D8" s="210"/>
      <c r="E8" s="248"/>
      <c r="F8" s="210"/>
      <c r="G8" s="248"/>
      <c r="H8" s="248"/>
      <c r="I8" s="248"/>
      <c r="J8" s="248"/>
      <c r="K8" s="248"/>
      <c r="L8" s="248"/>
      <c r="M8" s="210"/>
      <c r="N8" s="210"/>
      <c r="O8" s="210"/>
      <c r="P8" s="212"/>
      <c r="Q8" s="212"/>
      <c r="R8" s="207"/>
      <c r="S8" s="207"/>
      <c r="T8" s="207"/>
      <c r="U8" s="207"/>
      <c r="V8" s="207"/>
    </row>
    <row r="9" spans="1:23" ht="19.5" hidden="1" customHeight="1">
      <c r="A9" s="210"/>
      <c r="B9" s="210"/>
      <c r="C9" s="210"/>
      <c r="D9" s="210"/>
      <c r="E9" s="248"/>
      <c r="F9" s="210"/>
      <c r="G9" s="248"/>
      <c r="H9" s="248"/>
      <c r="I9" s="248"/>
      <c r="J9" s="248"/>
      <c r="K9" s="248"/>
      <c r="L9" s="248"/>
      <c r="M9" s="210"/>
      <c r="N9" s="210"/>
      <c r="O9" s="210"/>
      <c r="P9" s="212"/>
      <c r="Q9" s="212"/>
      <c r="R9" s="207"/>
      <c r="S9" s="207"/>
      <c r="T9" s="207"/>
      <c r="U9" s="207"/>
      <c r="V9" s="207"/>
    </row>
    <row r="10" spans="1:23" ht="14.5" hidden="1">
      <c r="A10" s="213"/>
      <c r="B10" s="213"/>
      <c r="C10" s="213"/>
      <c r="D10" s="213"/>
      <c r="E10" s="230"/>
      <c r="F10" s="213"/>
      <c r="G10" s="230"/>
      <c r="H10" s="230"/>
      <c r="I10" s="230"/>
      <c r="J10" s="230"/>
      <c r="K10" s="230"/>
      <c r="L10" s="230"/>
      <c r="M10" s="213"/>
      <c r="N10" s="213"/>
      <c r="O10" s="213"/>
      <c r="P10" s="214"/>
      <c r="Q10" s="214"/>
      <c r="R10" s="213"/>
      <c r="S10" s="213"/>
      <c r="T10" s="213"/>
      <c r="U10" s="213"/>
      <c r="V10" s="213"/>
    </row>
    <row r="11" spans="1:23" ht="14.5">
      <c r="A11" s="213"/>
      <c r="B11" s="213"/>
      <c r="C11" s="213"/>
      <c r="D11" s="213"/>
      <c r="E11" s="230"/>
      <c r="F11" s="213"/>
      <c r="G11" s="230"/>
      <c r="H11" s="230"/>
      <c r="I11" s="230"/>
      <c r="J11" s="230"/>
      <c r="K11" s="230"/>
      <c r="L11" s="230"/>
      <c r="M11" s="213"/>
      <c r="N11" s="213"/>
      <c r="O11" s="213"/>
      <c r="P11" s="214"/>
      <c r="Q11" s="214"/>
      <c r="R11" s="213"/>
      <c r="S11" s="213"/>
      <c r="T11" s="213"/>
      <c r="U11" s="213"/>
      <c r="V11" s="213"/>
    </row>
    <row r="12" spans="1:23" ht="44.25" customHeight="1">
      <c r="A12" s="215" t="s">
        <v>98</v>
      </c>
      <c r="B12" s="216" t="s">
        <v>916</v>
      </c>
      <c r="C12" s="216" t="s">
        <v>917</v>
      </c>
      <c r="D12" s="216" t="s">
        <v>100</v>
      </c>
      <c r="E12" s="216" t="s">
        <v>918</v>
      </c>
      <c r="F12" s="216" t="s">
        <v>919</v>
      </c>
      <c r="G12" s="216" t="s">
        <v>920</v>
      </c>
      <c r="H12" s="216" t="s">
        <v>921</v>
      </c>
      <c r="I12" s="216" t="s">
        <v>922</v>
      </c>
      <c r="J12" s="216" t="s">
        <v>923</v>
      </c>
      <c r="K12" s="216" t="s">
        <v>924</v>
      </c>
      <c r="L12" s="216" t="s">
        <v>925</v>
      </c>
      <c r="M12" s="215" t="s">
        <v>926</v>
      </c>
      <c r="N12" s="215" t="s">
        <v>927</v>
      </c>
      <c r="O12" s="215" t="s">
        <v>928</v>
      </c>
      <c r="P12" s="217" t="s">
        <v>929</v>
      </c>
      <c r="Q12" s="217" t="s">
        <v>930</v>
      </c>
      <c r="R12" s="215" t="s">
        <v>931</v>
      </c>
      <c r="S12" s="215" t="s">
        <v>932</v>
      </c>
      <c r="T12" s="215" t="s">
        <v>933</v>
      </c>
      <c r="U12" s="215" t="s">
        <v>934</v>
      </c>
      <c r="V12" s="215" t="s">
        <v>935</v>
      </c>
      <c r="W12" s="218" t="s">
        <v>936</v>
      </c>
    </row>
    <row r="13" spans="1:23" ht="115.5" customHeight="1">
      <c r="A13" s="219" t="str">
        <f>IF(OR(CommitmentsTable[[#This Row],[Commitment / deliverable]]="",CommitmentsTable[[#This Row],[Immutable Key]]=""),"",SUBSTITUTE(CommitmentsTable[[#This Row],[Immutable Key]],"-K-","-"))</f>
        <v>C90-WXFPP2VF</v>
      </c>
      <c r="B13" s="220" t="s">
        <v>937</v>
      </c>
      <c r="C13" s="220" t="s">
        <v>938</v>
      </c>
      <c r="D13" s="221" t="s">
        <v>131</v>
      </c>
      <c r="E13" s="221" t="s">
        <v>939</v>
      </c>
      <c r="F13" s="220" t="s">
        <v>940</v>
      </c>
      <c r="G13" s="244">
        <f ca="1">IF(CommitmentsTable[[#This Row],[Commitment / deliverable]]="","",IF(CommitmentsTable[[#This Row],[Date record entered]]="",TODAY(),CommitmentsTable[[#This Row],[Date record entered]]))</f>
        <v>46307</v>
      </c>
      <c r="H13" s="244">
        <v>46280</v>
      </c>
      <c r="I13" s="244">
        <f>IF(CommitmentsTable[[#This Row],[Date Assigned if different from entry date]]&lt;&gt;"",CommitmentsTable[[#This Row],[Date Assigned if different from entry date]]+90,IF(CommitmentsTable[[#This Row],[Date record entered]]&lt;&gt;"",CommitmentsTable[[#This Row],[Date record entered]]+90,""))</f>
        <v>46370</v>
      </c>
      <c r="J13" s="244">
        <f>IF(CommitmentsTable[[#This Row],[Date Assigned if different from entry date]]&lt;&gt;"",CommitmentsTable[[#This Row],[Date Assigned if different from entry date]]+30,IF(CommitmentsTable[[#This Row],[Date record entered]]&lt;&gt;"",CommitmentsTable[[#This Row],[Date record entered]]+30,""))</f>
        <v>46310</v>
      </c>
      <c r="K13" s="244"/>
      <c r="L13" s="244">
        <f>IF(CommitmentsTable[[#This Row],[Date Assigned if different from entry date]]&lt;&gt;"",CommitmentsTable[[#This Row],[Date Assigned if different from entry date]]+60,IF(CommitmentsTable[[#This Row],[Date record entered]]&lt;&gt;"",CommitmentsTable[[#This Row],[Date record entered]]+60,""))</f>
        <v>46340</v>
      </c>
      <c r="M13" s="222"/>
      <c r="N13" s="222"/>
      <c r="O13" s="223"/>
      <c r="P13" s="222"/>
      <c r="Q13" s="222"/>
      <c r="R13" s="222"/>
      <c r="S13" s="224">
        <f>IF(CommitmentsTable[[#This Row],[Commitment / deliverable]]="","",IF(CommitmentsTable[[#This Row],[Revised due]]&lt;&gt;"",CommitmentsTable[[#This Row],[Revised due]],CommitmentsTable[[#This Row],[Original due]]))</f>
        <v>46370</v>
      </c>
      <c r="T13" s="225" t="str">
        <f ca="1">IF(OR(CommitmentsTable[[#This Row],[Commitment / deliverable]]="",CommitmentsTable[[#This Row],[Owner]]=""),"",IF(CommitmentsTable[[#This Row],[Status2]]="","Open",CommitmentsTable[[#This Row],[Status2]]))</f>
        <v>Open</v>
      </c>
      <c r="U13" s="226" t="str">
        <f t="shared" ref="U13:U76" ca="1" si="0">IF(B13="","",IF(T13="Closed","",IF(OR(T13="Slipped",T13="At risk",AND(S13&lt;&gt;"",S13&lt;TODAY())),"Slipped / at risk",IF(G13=TODAY(),"New today",IF(S13=TODAY()+1,"Due tomorrow","")))))</f>
        <v/>
      </c>
      <c r="V13" s="220"/>
      <c r="W13" s="227" t="s">
        <v>941</v>
      </c>
    </row>
    <row r="14" spans="1:23" ht="199.5" customHeight="1">
      <c r="A14" s="219" t="str">
        <f>IF(OR(CommitmentsTable[[#This Row],[Commitment / deliverable]]="",CommitmentsTable[[#This Row],[Immutable Key]]=""),"",SUBSTITUTE(CommitmentsTable[[#This Row],[Immutable Key]],"-K-","-"))</f>
        <v>C90-RXFDMSTS</v>
      </c>
      <c r="B14" s="220" t="s">
        <v>942</v>
      </c>
      <c r="C14" s="228" t="s">
        <v>943</v>
      </c>
      <c r="D14" s="221" t="s">
        <v>127</v>
      </c>
      <c r="E14" s="221" t="s">
        <v>939</v>
      </c>
      <c r="F14" s="220" t="s">
        <v>940</v>
      </c>
      <c r="G14" s="244">
        <f ca="1">IF(CommitmentsTable[[#This Row],[Commitment / deliverable]]="","",IF(CommitmentsTable[[#This Row],[Date record entered]]="",TODAY(),CommitmentsTable[[#This Row],[Date record entered]]))</f>
        <v>46307</v>
      </c>
      <c r="H14" s="244">
        <v>46280</v>
      </c>
      <c r="I14" s="244">
        <f>IF(CommitmentsTable[[#This Row],[Date Assigned if different from entry date]]&lt;&gt;"",CommitmentsTable[[#This Row],[Date Assigned if different from entry date]]+90,IF(CommitmentsTable[[#This Row],[Date record entered]]&lt;&gt;"",CommitmentsTable[[#This Row],[Date record entered]]+90,""))</f>
        <v>46370</v>
      </c>
      <c r="J14" s="244">
        <f>IF(CommitmentsTable[[#This Row],[Date Assigned if different from entry date]]&lt;&gt;"",CommitmentsTable[[#This Row],[Date Assigned if different from entry date]]+30,IF(CommitmentsTable[[#This Row],[Date record entered]]&lt;&gt;"",CommitmentsTable[[#This Row],[Date record entered]]+30,""))</f>
        <v>46310</v>
      </c>
      <c r="K14" s="244"/>
      <c r="L14" s="244">
        <f>IF(CommitmentsTable[[#This Row],[Date Assigned if different from entry date]]&lt;&gt;"",CommitmentsTable[[#This Row],[Date Assigned if different from entry date]]+60,IF(CommitmentsTable[[#This Row],[Date record entered]]&lt;&gt;"",CommitmentsTable[[#This Row],[Date record entered]]+60,""))</f>
        <v>46340</v>
      </c>
      <c r="M14" s="222"/>
      <c r="N14" s="222"/>
      <c r="O14" s="223"/>
      <c r="P14" s="222"/>
      <c r="Q14" s="222"/>
      <c r="R14" s="222"/>
      <c r="S14" s="224">
        <f>IF(CommitmentsTable[[#This Row],[Commitment / deliverable]]="","",IF(CommitmentsTable[[#This Row],[Revised due]]&lt;&gt;"",CommitmentsTable[[#This Row],[Revised due]],CommitmentsTable[[#This Row],[Original due]]))</f>
        <v>46370</v>
      </c>
      <c r="T14" s="226" t="str">
        <f ca="1">IF(OR(CommitmentsTable[[#This Row],[Commitment / deliverable]]="",CommitmentsTable[[#This Row],[Owner]]=""),"",IF(CommitmentsTable[[#This Row],[Status2]]="","Open",CommitmentsTable[[#This Row],[Status2]]))</f>
        <v>Open</v>
      </c>
      <c r="U14" s="226" t="str">
        <f t="shared" ca="1" si="0"/>
        <v/>
      </c>
      <c r="V14" s="220"/>
      <c r="W14" s="63" t="s">
        <v>944</v>
      </c>
    </row>
    <row r="15" spans="1:23" ht="139.5" customHeight="1">
      <c r="A15" s="219" t="str">
        <f>IF(OR(CommitmentsTable[[#This Row],[Commitment / deliverable]]="",CommitmentsTable[[#This Row],[Immutable Key]]=""),"",SUBSTITUTE(CommitmentsTable[[#This Row],[Immutable Key]],"-K-","-"))</f>
        <v>C90-BG5BKYCB</v>
      </c>
      <c r="B15" s="229" t="s">
        <v>945</v>
      </c>
      <c r="C15" s="231" t="s">
        <v>946</v>
      </c>
      <c r="D15" s="221" t="s">
        <v>131</v>
      </c>
      <c r="E15" s="221" t="s">
        <v>939</v>
      </c>
      <c r="F15" s="220" t="s">
        <v>940</v>
      </c>
      <c r="G15" s="244">
        <f ca="1">IF(CommitmentsTable[[#This Row],[Commitment / deliverable]]="","",IF(CommitmentsTable[[#This Row],[Date record entered]]="",TODAY(),CommitmentsTable[[#This Row],[Date record entered]]))</f>
        <v>46307</v>
      </c>
      <c r="H15" s="244">
        <v>46280</v>
      </c>
      <c r="I15" s="244">
        <f>IF(CommitmentsTable[[#This Row],[Date Assigned if different from entry date]]&lt;&gt;"",CommitmentsTable[[#This Row],[Date Assigned if different from entry date]]+90,IF(CommitmentsTable[[#This Row],[Date record entered]]&lt;&gt;"",CommitmentsTable[[#This Row],[Date record entered]]+90,""))</f>
        <v>46370</v>
      </c>
      <c r="J15" s="244">
        <f>IF(CommitmentsTable[[#This Row],[Date Assigned if different from entry date]]&lt;&gt;"",CommitmentsTable[[#This Row],[Date Assigned if different from entry date]]+30,IF(CommitmentsTable[[#This Row],[Date record entered]]&lt;&gt;"",CommitmentsTable[[#This Row],[Date record entered]]+30,""))</f>
        <v>46310</v>
      </c>
      <c r="K15" s="244"/>
      <c r="L15" s="244">
        <f>IF(CommitmentsTable[[#This Row],[Date Assigned if different from entry date]]&lt;&gt;"",CommitmentsTable[[#This Row],[Date Assigned if different from entry date]]+60,IF(CommitmentsTable[[#This Row],[Date record entered]]&lt;&gt;"",CommitmentsTable[[#This Row],[Date record entered]]+60,""))</f>
        <v>46340</v>
      </c>
      <c r="M15" s="222"/>
      <c r="N15" s="222"/>
      <c r="O15" s="223"/>
      <c r="P15" s="222"/>
      <c r="Q15" s="222"/>
      <c r="R15" s="222"/>
      <c r="S15" s="224">
        <f>IF(CommitmentsTable[[#This Row],[Commitment / deliverable]]="","",IF(CommitmentsTable[[#This Row],[Revised due]]&lt;&gt;"",CommitmentsTable[[#This Row],[Revised due]],CommitmentsTable[[#This Row],[Original due]]))</f>
        <v>46370</v>
      </c>
      <c r="T15" s="226" t="str">
        <f ca="1">IF(OR(CommitmentsTable[[#This Row],[Commitment / deliverable]]="",CommitmentsTable[[#This Row],[Owner]]=""),"",IF(CommitmentsTable[[#This Row],[Status2]]="","Open",CommitmentsTable[[#This Row],[Status2]]))</f>
        <v>Open</v>
      </c>
      <c r="U15" s="226" t="str">
        <f t="shared" ca="1" si="0"/>
        <v/>
      </c>
      <c r="V15" s="220"/>
      <c r="W15" s="63" t="s">
        <v>947</v>
      </c>
    </row>
    <row r="16" spans="1:23" ht="285" customHeight="1">
      <c r="A16" s="219" t="str">
        <f>IF(OR(CommitmentsTable[[#This Row],[Commitment / deliverable]]="",CommitmentsTable[[#This Row],[Immutable Key]]=""),"",SUBSTITUTE(CommitmentsTable[[#This Row],[Immutable Key]],"-K-","-"))</f>
        <v>C90-XYCCR2JW</v>
      </c>
      <c r="B16" s="220" t="s">
        <v>948</v>
      </c>
      <c r="C16" s="251" t="s">
        <v>949</v>
      </c>
      <c r="D16" s="221" t="s">
        <v>127</v>
      </c>
      <c r="E16" s="221" t="s">
        <v>939</v>
      </c>
      <c r="F16" s="220" t="s">
        <v>940</v>
      </c>
      <c r="G16" s="244">
        <f ca="1">IF(CommitmentsTable[[#This Row],[Commitment / deliverable]]="","",IF(CommitmentsTable[[#This Row],[Date record entered]]="",TODAY(),CommitmentsTable[[#This Row],[Date record entered]]))</f>
        <v>46307</v>
      </c>
      <c r="H16" s="244">
        <v>46280</v>
      </c>
      <c r="I16" s="244">
        <f>IF(CommitmentsTable[[#This Row],[Date Assigned if different from entry date]]&lt;&gt;"",CommitmentsTable[[#This Row],[Date Assigned if different from entry date]]+90,IF(CommitmentsTable[[#This Row],[Date record entered]]&lt;&gt;"",CommitmentsTable[[#This Row],[Date record entered]]+90,""))</f>
        <v>46370</v>
      </c>
      <c r="J16" s="244">
        <f>IF(CommitmentsTable[[#This Row],[Date Assigned if different from entry date]]&lt;&gt;"",CommitmentsTable[[#This Row],[Date Assigned if different from entry date]]+30,IF(CommitmentsTable[[#This Row],[Date record entered]]&lt;&gt;"",CommitmentsTable[[#This Row],[Date record entered]]+30,""))</f>
        <v>46310</v>
      </c>
      <c r="K16" s="244"/>
      <c r="L16" s="244">
        <f>IF(CommitmentsTable[[#This Row],[Date Assigned if different from entry date]]&lt;&gt;"",CommitmentsTable[[#This Row],[Date Assigned if different from entry date]]+60,IF(CommitmentsTable[[#This Row],[Date record entered]]&lt;&gt;"",CommitmentsTable[[#This Row],[Date record entered]]+60,""))</f>
        <v>46340</v>
      </c>
      <c r="M16" s="222"/>
      <c r="N16" s="222"/>
      <c r="O16" s="223"/>
      <c r="P16" s="222"/>
      <c r="Q16" s="222"/>
      <c r="R16" s="222"/>
      <c r="S16" s="224">
        <f>IF(CommitmentsTable[[#This Row],[Commitment / deliverable]]="","",IF(CommitmentsTable[[#This Row],[Revised due]]&lt;&gt;"",CommitmentsTable[[#This Row],[Revised due]],CommitmentsTable[[#This Row],[Original due]]))</f>
        <v>46370</v>
      </c>
      <c r="T16" s="226" t="str">
        <f ca="1">IF(OR(CommitmentsTable[[#This Row],[Commitment / deliverable]]="",CommitmentsTable[[#This Row],[Owner]]=""),"",IF(CommitmentsTable[[#This Row],[Status2]]="","Open",CommitmentsTable[[#This Row],[Status2]]))</f>
        <v>Open</v>
      </c>
      <c r="U16" s="226" t="str">
        <f t="shared" ca="1" si="0"/>
        <v/>
      </c>
      <c r="V16" s="220"/>
      <c r="W16" s="63" t="s">
        <v>950</v>
      </c>
    </row>
    <row r="17" spans="1:24" ht="112.5" customHeight="1">
      <c r="A17" s="219" t="str">
        <f>IF(OR(CommitmentsTable[[#This Row],[Commitment / deliverable]]="",CommitmentsTable[[#This Row],[Immutable Key]]=""),"",SUBSTITUTE(CommitmentsTable[[#This Row],[Immutable Key]],"-K-","-"))</f>
        <v>C90-DLQWV2SZ</v>
      </c>
      <c r="B17" s="231" t="s">
        <v>951</v>
      </c>
      <c r="C17" s="231" t="s">
        <v>952</v>
      </c>
      <c r="D17" s="232" t="s">
        <v>953</v>
      </c>
      <c r="E17" s="221" t="s">
        <v>939</v>
      </c>
      <c r="F17" s="220" t="s">
        <v>940</v>
      </c>
      <c r="G17" s="244">
        <f ca="1">IF(CommitmentsTable[[#This Row],[Commitment / deliverable]]="","",IF(CommitmentsTable[[#This Row],[Date record entered]]="",TODAY(),CommitmentsTable[[#This Row],[Date record entered]]))</f>
        <v>46307</v>
      </c>
      <c r="H17" s="244">
        <v>46280</v>
      </c>
      <c r="I17" s="244">
        <f>IF(CommitmentsTable[[#This Row],[Date Assigned if different from entry date]]&lt;&gt;"",CommitmentsTable[[#This Row],[Date Assigned if different from entry date]]+90,IF(CommitmentsTable[[#This Row],[Date record entered]]&lt;&gt;"",CommitmentsTable[[#This Row],[Date record entered]]+90,""))</f>
        <v>46370</v>
      </c>
      <c r="J17" s="244">
        <f>IF(CommitmentsTable[[#This Row],[Date Assigned if different from entry date]]&lt;&gt;"",CommitmentsTable[[#This Row],[Date Assigned if different from entry date]]+30,IF(CommitmentsTable[[#This Row],[Date record entered]]&lt;&gt;"",CommitmentsTable[[#This Row],[Date record entered]]+30,""))</f>
        <v>46310</v>
      </c>
      <c r="K17" s="244"/>
      <c r="L17" s="244">
        <f>IF(CommitmentsTable[[#This Row],[Date Assigned if different from entry date]]&lt;&gt;"",CommitmentsTable[[#This Row],[Date Assigned if different from entry date]]+60,IF(CommitmentsTable[[#This Row],[Date record entered]]&lt;&gt;"",CommitmentsTable[[#This Row],[Date record entered]]+60,""))</f>
        <v>46340</v>
      </c>
      <c r="M17" s="222"/>
      <c r="N17" s="222"/>
      <c r="O17" s="223"/>
      <c r="P17" s="222"/>
      <c r="Q17" s="222"/>
      <c r="R17" s="222"/>
      <c r="S17" s="224">
        <f>IF(CommitmentsTable[[#This Row],[Commitment / deliverable]]="","",IF(CommitmentsTable[[#This Row],[Revised due]]&lt;&gt;"",CommitmentsTable[[#This Row],[Revised due]],CommitmentsTable[[#This Row],[Original due]]))</f>
        <v>46370</v>
      </c>
      <c r="T17" s="226" t="str">
        <f ca="1">IF(OR(CommitmentsTable[[#This Row],[Commitment / deliverable]]="",CommitmentsTable[[#This Row],[Owner]]=""),"",IF(CommitmentsTable[[#This Row],[Status2]]="","Open",CommitmentsTable[[#This Row],[Status2]]))</f>
        <v>Open</v>
      </c>
      <c r="U17" s="226" t="str">
        <f t="shared" ca="1" si="0"/>
        <v/>
      </c>
      <c r="V17" s="220"/>
      <c r="W17" s="63" t="s">
        <v>954</v>
      </c>
    </row>
    <row r="18" spans="1:24" s="218" customFormat="1" ht="51" customHeight="1">
      <c r="A18" s="219" t="str">
        <f>IF(OR(CommitmentsTable[[#This Row],[Commitment / deliverable]]="",CommitmentsTable[[#This Row],[Immutable Key]]=""),"",SUBSTITUTE(CommitmentsTable[[#This Row],[Immutable Key]],"-K-","-"))</f>
        <v>C90-2T29AZH3</v>
      </c>
      <c r="B18" s="220" t="s">
        <v>955</v>
      </c>
      <c r="C18" s="220" t="s">
        <v>956</v>
      </c>
      <c r="D18" s="221" t="s">
        <v>129</v>
      </c>
      <c r="E18" s="221" t="s">
        <v>939</v>
      </c>
      <c r="F18" s="220" t="s">
        <v>940</v>
      </c>
      <c r="G18" s="244">
        <f ca="1">IF(CommitmentsTable[[#This Row],[Commitment / deliverable]]="","",IF(CommitmentsTable[[#This Row],[Date record entered]]="",TODAY(),CommitmentsTable[[#This Row],[Date record entered]]))</f>
        <v>46307</v>
      </c>
      <c r="H18" s="244">
        <v>46280</v>
      </c>
      <c r="I18" s="244">
        <f>IF(CommitmentsTable[[#This Row],[Date Assigned if different from entry date]]&lt;&gt;"",CommitmentsTable[[#This Row],[Date Assigned if different from entry date]]+90,IF(CommitmentsTable[[#This Row],[Date record entered]]&lt;&gt;"",CommitmentsTable[[#This Row],[Date record entered]]+90,""))</f>
        <v>46370</v>
      </c>
      <c r="J18" s="244">
        <f>IF(CommitmentsTable[[#This Row],[Date Assigned if different from entry date]]&lt;&gt;"",CommitmentsTable[[#This Row],[Date Assigned if different from entry date]]+30,IF(CommitmentsTable[[#This Row],[Date record entered]]&lt;&gt;"",CommitmentsTable[[#This Row],[Date record entered]]+30,""))</f>
        <v>46310</v>
      </c>
      <c r="K18" s="244"/>
      <c r="L18" s="244">
        <f>IF(CommitmentsTable[[#This Row],[Date Assigned if different from entry date]]&lt;&gt;"",CommitmentsTable[[#This Row],[Date Assigned if different from entry date]]+60,IF(CommitmentsTable[[#This Row],[Date record entered]]&lt;&gt;"",CommitmentsTable[[#This Row],[Date record entered]]+60,""))</f>
        <v>46340</v>
      </c>
      <c r="M18" s="222"/>
      <c r="N18" s="222"/>
      <c r="O18" s="223"/>
      <c r="P18" s="222"/>
      <c r="Q18" s="222"/>
      <c r="R18" s="222"/>
      <c r="S18" s="224">
        <f>IF(CommitmentsTable[[#This Row],[Commitment / deliverable]]="","",IF(CommitmentsTable[[#This Row],[Revised due]]&lt;&gt;"",CommitmentsTable[[#This Row],[Revised due]],CommitmentsTable[[#This Row],[Original due]]))</f>
        <v>46370</v>
      </c>
      <c r="T18" s="226" t="str">
        <f ca="1">IF(OR(CommitmentsTable[[#This Row],[Commitment / deliverable]]="",CommitmentsTable[[#This Row],[Owner]]=""),"",IF(CommitmentsTable[[#This Row],[Status2]]="","Open",CommitmentsTable[[#This Row],[Status2]]))</f>
        <v>Open</v>
      </c>
      <c r="U18" s="226" t="str">
        <f t="shared" ca="1" si="0"/>
        <v/>
      </c>
      <c r="V18" s="220"/>
      <c r="W18" s="63" t="s">
        <v>957</v>
      </c>
    </row>
    <row r="19" spans="1:24" s="218" customFormat="1" ht="128.25" customHeight="1">
      <c r="A19" s="219" t="str">
        <f>IF(OR(CommitmentsTable[[#This Row],[Commitment / deliverable]]="",CommitmentsTable[[#This Row],[Immutable Key]]=""),"",SUBSTITUTE(CommitmentsTable[[#This Row],[Immutable Key]],"-K-","-"))</f>
        <v>C90-KJ25SV73</v>
      </c>
      <c r="B19" s="220" t="s">
        <v>958</v>
      </c>
      <c r="C19" s="220" t="s">
        <v>959</v>
      </c>
      <c r="D19" s="232" t="s">
        <v>216</v>
      </c>
      <c r="E19" s="221" t="s">
        <v>939</v>
      </c>
      <c r="F19" s="220" t="s">
        <v>940</v>
      </c>
      <c r="G19" s="244">
        <f ca="1">IF(CommitmentsTable[[#This Row],[Commitment / deliverable]]="","",IF(CommitmentsTable[[#This Row],[Date record entered]]="",TODAY(),CommitmentsTable[[#This Row],[Date record entered]]))</f>
        <v>46307</v>
      </c>
      <c r="H19" s="244">
        <v>46280</v>
      </c>
      <c r="I19" s="244">
        <f>IF(CommitmentsTable[[#This Row],[Date Assigned if different from entry date]]&lt;&gt;"",CommitmentsTable[[#This Row],[Date Assigned if different from entry date]]+90,IF(CommitmentsTable[[#This Row],[Date record entered]]&lt;&gt;"",CommitmentsTable[[#This Row],[Date record entered]]+90,""))</f>
        <v>46370</v>
      </c>
      <c r="J19" s="244">
        <f>IF(CommitmentsTable[[#This Row],[Date Assigned if different from entry date]]&lt;&gt;"",CommitmentsTable[[#This Row],[Date Assigned if different from entry date]]+30,IF(CommitmentsTable[[#This Row],[Date record entered]]&lt;&gt;"",CommitmentsTable[[#This Row],[Date record entered]]+30,""))</f>
        <v>46310</v>
      </c>
      <c r="K19" s="244"/>
      <c r="L19" s="244">
        <f>IF(CommitmentsTable[[#This Row],[Date Assigned if different from entry date]]&lt;&gt;"",CommitmentsTable[[#This Row],[Date Assigned if different from entry date]]+60,IF(CommitmentsTable[[#This Row],[Date record entered]]&lt;&gt;"",CommitmentsTable[[#This Row],[Date record entered]]+60,""))</f>
        <v>46340</v>
      </c>
      <c r="M19" s="222"/>
      <c r="N19" s="222"/>
      <c r="O19" s="223"/>
      <c r="P19" s="222"/>
      <c r="Q19" s="222"/>
      <c r="R19" s="222"/>
      <c r="S19" s="252">
        <f>IF(CommitmentsTable[[#This Row],[Commitment / deliverable]]="","",IF(CommitmentsTable[[#This Row],[Revised due]]&lt;&gt;"",CommitmentsTable[[#This Row],[Revised due]],CommitmentsTable[[#This Row],[Original due]]))</f>
        <v>46370</v>
      </c>
      <c r="T19" s="226" t="str">
        <f ca="1">IF(OR(CommitmentsTable[[#This Row],[Commitment / deliverable]]="",CommitmentsTable[[#This Row],[Owner]]=""),"",IF(CommitmentsTable[[#This Row],[Status2]]="","Open",CommitmentsTable[[#This Row],[Status2]]))</f>
        <v>Open</v>
      </c>
      <c r="U19" s="226" t="str">
        <f t="shared" ca="1" si="0"/>
        <v/>
      </c>
      <c r="V19" s="220"/>
      <c r="W19" s="63" t="s">
        <v>960</v>
      </c>
    </row>
    <row r="20" spans="1:24" ht="156" customHeight="1">
      <c r="A20" s="219" t="str">
        <f>IF(OR(CommitmentsTable[[#This Row],[Commitment / deliverable]]="",CommitmentsTable[[#This Row],[Immutable Key]]=""),"",SUBSTITUTE(CommitmentsTable[[#This Row],[Immutable Key]],"-K-","-"))</f>
        <v>C90-M67QTYNY</v>
      </c>
      <c r="B20" s="228" t="s">
        <v>961</v>
      </c>
      <c r="C20" s="228" t="s">
        <v>962</v>
      </c>
      <c r="D20" s="221" t="s">
        <v>127</v>
      </c>
      <c r="E20" s="221" t="s">
        <v>963</v>
      </c>
      <c r="F20" s="231" t="s">
        <v>964</v>
      </c>
      <c r="G20" s="244">
        <f ca="1">IF(CommitmentsTable[[#This Row],[Commitment / deliverable]]="","",IF(CommitmentsTable[[#This Row],[Date record entered]]="",TODAY(),CommitmentsTable[[#This Row],[Date record entered]]))</f>
        <v>46307</v>
      </c>
      <c r="H20" s="244">
        <v>46280</v>
      </c>
      <c r="I20" s="244">
        <f>IF(CommitmentsTable[[#This Row],[Date Assigned if different from entry date]]&lt;&gt;"",CommitmentsTable[[#This Row],[Date Assigned if different from entry date]]+90,IF(CommitmentsTable[[#This Row],[Date record entered]]&lt;&gt;"",CommitmentsTable[[#This Row],[Date record entered]]+90,""))</f>
        <v>46370</v>
      </c>
      <c r="J20" s="244">
        <f>IF(CommitmentsTable[[#This Row],[Date Assigned if different from entry date]]&lt;&gt;"",CommitmentsTable[[#This Row],[Date Assigned if different from entry date]]+30,IF(CommitmentsTable[[#This Row],[Date record entered]]&lt;&gt;"",CommitmentsTable[[#This Row],[Date record entered]]+30,""))</f>
        <v>46310</v>
      </c>
      <c r="K20" s="244"/>
      <c r="L20" s="244">
        <f>IF(CommitmentsTable[[#This Row],[Date Assigned if different from entry date]]&lt;&gt;"",CommitmentsTable[[#This Row],[Date Assigned if different from entry date]]+60,IF(CommitmentsTable[[#This Row],[Date record entered]]&lt;&gt;"",CommitmentsTable[[#This Row],[Date record entered]]+60,""))</f>
        <v>46340</v>
      </c>
      <c r="M20" s="254"/>
      <c r="N20" s="254"/>
      <c r="O20" s="255"/>
      <c r="P20" s="254"/>
      <c r="Q20" s="254"/>
      <c r="R20" s="254"/>
      <c r="S20" s="252">
        <f>IF(CommitmentsTable[[#This Row],[Commitment / deliverable]]="","",IF(CommitmentsTable[[#This Row],[Revised due]]&lt;&gt;"",CommitmentsTable[[#This Row],[Revised due]],CommitmentsTable[[#This Row],[Original due]]))</f>
        <v>46370</v>
      </c>
      <c r="T20" s="256" t="str">
        <f ca="1">IF(OR(CommitmentsTable[[#This Row],[Commitment / deliverable]]="",CommitmentsTable[[#This Row],[Owner]]=""),"",IF(CommitmentsTable[[#This Row],[Status2]]="","Open",CommitmentsTable[[#This Row],[Status2]]))</f>
        <v>Open</v>
      </c>
      <c r="U20" s="256" t="str">
        <f t="shared" ca="1" si="0"/>
        <v/>
      </c>
      <c r="V20" s="231"/>
      <c r="W20" s="234" t="s">
        <v>965</v>
      </c>
      <c r="X20" s="235"/>
    </row>
    <row r="21" spans="1:24" ht="99" customHeight="1">
      <c r="A21" s="219" t="str">
        <f>IF(OR(CommitmentsTable[[#This Row],[Commitment / deliverable]]="",CommitmentsTable[[#This Row],[Immutable Key]]=""),"",SUBSTITUTE(CommitmentsTable[[#This Row],[Immutable Key]],"-K-","-"))</f>
        <v>C90-FUXR9SRL</v>
      </c>
      <c r="B21" s="228" t="s">
        <v>966</v>
      </c>
      <c r="C21" s="228"/>
      <c r="D21" s="221" t="s">
        <v>131</v>
      </c>
      <c r="E21" s="221" t="s">
        <v>963</v>
      </c>
      <c r="F21" s="231" t="s">
        <v>967</v>
      </c>
      <c r="G21" s="244">
        <f ca="1">IF(CommitmentsTable[[#This Row],[Commitment / deliverable]]="","",IF(CommitmentsTable[[#This Row],[Date record entered]]="",TODAY(),CommitmentsTable[[#This Row],[Date record entered]]))</f>
        <v>46307</v>
      </c>
      <c r="H21" s="244">
        <v>46280</v>
      </c>
      <c r="I21" s="244">
        <f>IF(CommitmentsTable[[#This Row],[Date Assigned if different from entry date]]&lt;&gt;"",CommitmentsTable[[#This Row],[Date Assigned if different from entry date]]+90,IF(CommitmentsTable[[#This Row],[Date record entered]]&lt;&gt;"",CommitmentsTable[[#This Row],[Date record entered]]+90,""))</f>
        <v>46370</v>
      </c>
      <c r="J21" s="244">
        <f>IF(CommitmentsTable[[#This Row],[Date Assigned if different from entry date]]&lt;&gt;"",CommitmentsTable[[#This Row],[Date Assigned if different from entry date]]+30,IF(CommitmentsTable[[#This Row],[Date record entered]]&lt;&gt;"",CommitmentsTable[[#This Row],[Date record entered]]+30,""))</f>
        <v>46310</v>
      </c>
      <c r="K21" s="244"/>
      <c r="L21" s="244">
        <f>IF(CommitmentsTable[[#This Row],[Date Assigned if different from entry date]]&lt;&gt;"",CommitmentsTable[[#This Row],[Date Assigned if different from entry date]]+60,IF(CommitmentsTable[[#This Row],[Date record entered]]&lt;&gt;"",CommitmentsTable[[#This Row],[Date record entered]]+60,""))</f>
        <v>46340</v>
      </c>
      <c r="M21" s="257"/>
      <c r="N21" s="257"/>
      <c r="O21" s="258"/>
      <c r="P21" s="257"/>
      <c r="Q21" s="257"/>
      <c r="R21" s="257"/>
      <c r="S21" s="224">
        <f>IF(CommitmentsTable[[#This Row],[Commitment / deliverable]]="","",IF(CommitmentsTable[[#This Row],[Revised due]]&lt;&gt;"",CommitmentsTable[[#This Row],[Revised due]],CommitmentsTable[[#This Row],[Original due]]))</f>
        <v>46370</v>
      </c>
      <c r="T21" s="226" t="str">
        <f ca="1">IF(OR(CommitmentsTable[[#This Row],[Commitment / deliverable]]="",CommitmentsTable[[#This Row],[Owner]]=""),"",IF(CommitmentsTable[[#This Row],[Status2]]="","Open",CommitmentsTable[[#This Row],[Status2]]))</f>
        <v>Open</v>
      </c>
      <c r="U21" s="259" t="str">
        <f t="shared" ca="1" si="0"/>
        <v/>
      </c>
      <c r="V21" s="228"/>
      <c r="W21" s="63" t="s">
        <v>968</v>
      </c>
    </row>
    <row r="22" spans="1:24" ht="78.75" customHeight="1">
      <c r="A22" s="219" t="str">
        <f>IF(OR(CommitmentsTable[[#This Row],[Commitment / deliverable]]="",CommitmentsTable[[#This Row],[Immutable Key]]=""),"",SUBSTITUTE(CommitmentsTable[[#This Row],[Immutable Key]],"-K-","-"))</f>
        <v>C90-N3R94QSP</v>
      </c>
      <c r="B22" s="228" t="s">
        <v>969</v>
      </c>
      <c r="C22" s="228"/>
      <c r="D22" s="221" t="s">
        <v>127</v>
      </c>
      <c r="E22" s="221" t="s">
        <v>963</v>
      </c>
      <c r="F22" s="231" t="s">
        <v>964</v>
      </c>
      <c r="G22" s="244">
        <f ca="1">IF(CommitmentsTable[[#This Row],[Commitment / deliverable]]="","",IF(CommitmentsTable[[#This Row],[Date record entered]]="",TODAY(),CommitmentsTable[[#This Row],[Date record entered]]))</f>
        <v>46307</v>
      </c>
      <c r="H22" s="244">
        <v>46280</v>
      </c>
      <c r="I22" s="244">
        <f>IF(CommitmentsTable[[#This Row],[Date Assigned if different from entry date]]&lt;&gt;"",CommitmentsTable[[#This Row],[Date Assigned if different from entry date]]+90,IF(CommitmentsTable[[#This Row],[Date record entered]]&lt;&gt;"",CommitmentsTable[[#This Row],[Date record entered]]+90,""))</f>
        <v>46370</v>
      </c>
      <c r="J22" s="244">
        <f>IF(CommitmentsTable[[#This Row],[Date Assigned if different from entry date]]&lt;&gt;"",CommitmentsTable[[#This Row],[Date Assigned if different from entry date]]+30,IF(CommitmentsTable[[#This Row],[Date record entered]]&lt;&gt;"",CommitmentsTable[[#This Row],[Date record entered]]+30,""))</f>
        <v>46310</v>
      </c>
      <c r="K22" s="244"/>
      <c r="L22" s="244">
        <f>IF(CommitmentsTable[[#This Row],[Date Assigned if different from entry date]]&lt;&gt;"",CommitmentsTable[[#This Row],[Date Assigned if different from entry date]]+60,IF(CommitmentsTable[[#This Row],[Date record entered]]&lt;&gt;"",CommitmentsTable[[#This Row],[Date record entered]]+60,""))</f>
        <v>46340</v>
      </c>
      <c r="M22" s="257"/>
      <c r="N22" s="257"/>
      <c r="O22" s="258"/>
      <c r="P22" s="257"/>
      <c r="Q22" s="257"/>
      <c r="R22" s="257"/>
      <c r="S22" s="224">
        <f>IF(CommitmentsTable[[#This Row],[Commitment / deliverable]]="","",IF(CommitmentsTable[[#This Row],[Revised due]]&lt;&gt;"",CommitmentsTable[[#This Row],[Revised due]],CommitmentsTable[[#This Row],[Original due]]))</f>
        <v>46370</v>
      </c>
      <c r="T22" s="226" t="str">
        <f ca="1">IF(OR(CommitmentsTable[[#This Row],[Commitment / deliverable]]="",CommitmentsTable[[#This Row],[Owner]]=""),"",IF(CommitmentsTable[[#This Row],[Status2]]="","Open",CommitmentsTable[[#This Row],[Status2]]))</f>
        <v>Open</v>
      </c>
      <c r="U22" s="259" t="str">
        <f t="shared" ca="1" si="0"/>
        <v/>
      </c>
      <c r="V22" s="228"/>
      <c r="W22" s="63" t="s">
        <v>970</v>
      </c>
    </row>
    <row r="23" spans="1:24" ht="86.25" customHeight="1">
      <c r="A23" s="219" t="str">
        <f>IF(OR(CommitmentsTable[[#This Row],[Commitment / deliverable]]="",CommitmentsTable[[#This Row],[Immutable Key]]=""),"",SUBSTITUTE(CommitmentsTable[[#This Row],[Immutable Key]],"-K-","-"))</f>
        <v>C90-RGAZP8KR</v>
      </c>
      <c r="B23" s="228" t="s">
        <v>971</v>
      </c>
      <c r="C23" s="228"/>
      <c r="D23" s="221" t="s">
        <v>127</v>
      </c>
      <c r="E23" s="221" t="s">
        <v>963</v>
      </c>
      <c r="F23" s="231" t="s">
        <v>964</v>
      </c>
      <c r="G23" s="244">
        <f ca="1">IF(CommitmentsTable[[#This Row],[Commitment / deliverable]]="","",IF(CommitmentsTable[[#This Row],[Date record entered]]="",TODAY(),CommitmentsTable[[#This Row],[Date record entered]]))</f>
        <v>46307</v>
      </c>
      <c r="H23" s="244">
        <v>46280</v>
      </c>
      <c r="I23" s="244">
        <f>IF(CommitmentsTable[[#This Row],[Date Assigned if different from entry date]]&lt;&gt;"",CommitmentsTable[[#This Row],[Date Assigned if different from entry date]]+90,IF(CommitmentsTable[[#This Row],[Date record entered]]&lt;&gt;"",CommitmentsTable[[#This Row],[Date record entered]]+90,""))</f>
        <v>46370</v>
      </c>
      <c r="J23" s="244">
        <f>IF(CommitmentsTable[[#This Row],[Date Assigned if different from entry date]]&lt;&gt;"",CommitmentsTable[[#This Row],[Date Assigned if different from entry date]]+30,IF(CommitmentsTable[[#This Row],[Date record entered]]&lt;&gt;"",CommitmentsTable[[#This Row],[Date record entered]]+30,""))</f>
        <v>46310</v>
      </c>
      <c r="K23" s="244"/>
      <c r="L23" s="244">
        <f>IF(CommitmentsTable[[#This Row],[Date Assigned if different from entry date]]&lt;&gt;"",CommitmentsTable[[#This Row],[Date Assigned if different from entry date]]+60,IF(CommitmentsTable[[#This Row],[Date record entered]]&lt;&gt;"",CommitmentsTable[[#This Row],[Date record entered]]+60,""))</f>
        <v>46340</v>
      </c>
      <c r="M23" s="257"/>
      <c r="N23" s="257"/>
      <c r="O23" s="258"/>
      <c r="P23" s="257"/>
      <c r="Q23" s="257"/>
      <c r="R23" s="257"/>
      <c r="S23" s="224">
        <f>IF(CommitmentsTable[[#This Row],[Commitment / deliverable]]="","",IF(CommitmentsTable[[#This Row],[Revised due]]&lt;&gt;"",CommitmentsTable[[#This Row],[Revised due]],CommitmentsTable[[#This Row],[Original due]]))</f>
        <v>46370</v>
      </c>
      <c r="T23" s="226" t="str">
        <f ca="1">IF(OR(CommitmentsTable[[#This Row],[Commitment / deliverable]]="",CommitmentsTable[[#This Row],[Owner]]=""),"",IF(CommitmentsTable[[#This Row],[Status2]]="","Open",CommitmentsTable[[#This Row],[Status2]]))</f>
        <v>Open</v>
      </c>
      <c r="U23" s="259" t="str">
        <f t="shared" ca="1" si="0"/>
        <v/>
      </c>
      <c r="V23" s="228"/>
      <c r="W23" s="63" t="s">
        <v>972</v>
      </c>
    </row>
    <row r="24" spans="1:24" ht="49.5" customHeight="1">
      <c r="A24" s="219" t="str">
        <f>IF(OR(CommitmentsTable[[#This Row],[Commitment / deliverable]]="",CommitmentsTable[[#This Row],[Immutable Key]]=""),"",SUBSTITUTE(CommitmentsTable[[#This Row],[Immutable Key]],"-K-","-"))</f>
        <v>C90-4TMMB8FU</v>
      </c>
      <c r="B24" s="228" t="s">
        <v>973</v>
      </c>
      <c r="C24" s="220" t="s">
        <v>974</v>
      </c>
      <c r="D24" s="221" t="s">
        <v>133</v>
      </c>
      <c r="E24" s="221" t="s">
        <v>963</v>
      </c>
      <c r="F24" s="260" t="s">
        <v>975</v>
      </c>
      <c r="G24" s="244">
        <f ca="1">IF(CommitmentsTable[[#This Row],[Commitment / deliverable]]="","",IF(CommitmentsTable[[#This Row],[Date record entered]]="",TODAY(),CommitmentsTable[[#This Row],[Date record entered]]))</f>
        <v>46307</v>
      </c>
      <c r="H24" s="244">
        <v>46280</v>
      </c>
      <c r="I24" s="244">
        <f>IF(CommitmentsTable[[#This Row],[Date Assigned if different from entry date]]&lt;&gt;"",CommitmentsTable[[#This Row],[Date Assigned if different from entry date]]+90,IF(CommitmentsTable[[#This Row],[Date record entered]]&lt;&gt;"",CommitmentsTable[[#This Row],[Date record entered]]+90,""))</f>
        <v>46370</v>
      </c>
      <c r="J24" s="244">
        <f>IF(CommitmentsTable[[#This Row],[Date Assigned if different from entry date]]&lt;&gt;"",CommitmentsTable[[#This Row],[Date Assigned if different from entry date]]+30,IF(CommitmentsTable[[#This Row],[Date record entered]]&lt;&gt;"",CommitmentsTable[[#This Row],[Date record entered]]+30,""))</f>
        <v>46310</v>
      </c>
      <c r="K24" s="244"/>
      <c r="L24" s="244">
        <f>IF(CommitmentsTable[[#This Row],[Date Assigned if different from entry date]]&lt;&gt;"",CommitmentsTable[[#This Row],[Date Assigned if different from entry date]]+60,IF(CommitmentsTable[[#This Row],[Date record entered]]&lt;&gt;"",CommitmentsTable[[#This Row],[Date record entered]]+60,""))</f>
        <v>46340</v>
      </c>
      <c r="M24" s="257"/>
      <c r="N24" s="257"/>
      <c r="O24" s="258"/>
      <c r="P24" s="257"/>
      <c r="Q24" s="257"/>
      <c r="R24" s="257"/>
      <c r="S24" s="261">
        <f>IF(CommitmentsTable[[#This Row],[Commitment / deliverable]]="","",IF(CommitmentsTable[[#This Row],[Revised due]]&lt;&gt;"",CommitmentsTable[[#This Row],[Revised due]],CommitmentsTable[[#This Row],[Original due]]))</f>
        <v>46370</v>
      </c>
      <c r="T24" s="259" t="str">
        <f ca="1">IF(OR(CommitmentsTable[[#This Row],[Commitment / deliverable]]="",CommitmentsTable[[#This Row],[Owner]]=""),"",IF(CommitmentsTable[[#This Row],[Status2]]="","Open",CommitmentsTable[[#This Row],[Status2]]))</f>
        <v>Open</v>
      </c>
      <c r="U24" s="259" t="str">
        <f t="shared" ca="1" si="0"/>
        <v/>
      </c>
      <c r="V24" s="228"/>
      <c r="W24" s="63" t="s">
        <v>976</v>
      </c>
    </row>
    <row r="25" spans="1:24" ht="56.25" customHeight="1">
      <c r="A25" s="219" t="str">
        <f>IF(OR(CommitmentsTable[[#This Row],[Commitment / deliverable]]="",CommitmentsTable[[#This Row],[Immutable Key]]=""),"",SUBSTITUTE(CommitmentsTable[[#This Row],[Immutable Key]],"-K-","-"))</f>
        <v>C90-9GV99WKS</v>
      </c>
      <c r="B25" s="228" t="s">
        <v>977</v>
      </c>
      <c r="C25" s="220" t="s">
        <v>978</v>
      </c>
      <c r="D25" s="221" t="s">
        <v>216</v>
      </c>
      <c r="E25" s="221" t="s">
        <v>963</v>
      </c>
      <c r="F25" s="231" t="s">
        <v>964</v>
      </c>
      <c r="G25" s="244">
        <f ca="1">IF(CommitmentsTable[[#This Row],[Commitment / deliverable]]="","",IF(CommitmentsTable[[#This Row],[Date record entered]]="",TODAY(),CommitmentsTable[[#This Row],[Date record entered]]))</f>
        <v>46307</v>
      </c>
      <c r="H25" s="244">
        <v>46280</v>
      </c>
      <c r="I25" s="244">
        <f>IF(CommitmentsTable[[#This Row],[Date Assigned if different from entry date]]&lt;&gt;"",CommitmentsTable[[#This Row],[Date Assigned if different from entry date]]+90,IF(CommitmentsTable[[#This Row],[Date record entered]]&lt;&gt;"",CommitmentsTable[[#This Row],[Date record entered]]+90,""))</f>
        <v>46370</v>
      </c>
      <c r="J25" s="244">
        <f>IF(CommitmentsTable[[#This Row],[Date Assigned if different from entry date]]&lt;&gt;"",CommitmentsTable[[#This Row],[Date Assigned if different from entry date]]+30,IF(CommitmentsTable[[#This Row],[Date record entered]]&lt;&gt;"",CommitmentsTable[[#This Row],[Date record entered]]+30,""))</f>
        <v>46310</v>
      </c>
      <c r="K25" s="244"/>
      <c r="L25" s="244">
        <f>IF(CommitmentsTable[[#This Row],[Date Assigned if different from entry date]]&lt;&gt;"",CommitmentsTable[[#This Row],[Date Assigned if different from entry date]]+60,IF(CommitmentsTable[[#This Row],[Date record entered]]&lt;&gt;"",CommitmentsTable[[#This Row],[Date record entered]]+60,""))</f>
        <v>46340</v>
      </c>
      <c r="M25" s="257"/>
      <c r="N25" s="257"/>
      <c r="O25" s="258"/>
      <c r="P25" s="257"/>
      <c r="Q25" s="257"/>
      <c r="R25" s="257"/>
      <c r="S25" s="261">
        <f>IF(CommitmentsTable[[#This Row],[Commitment / deliverable]]="","",IF(CommitmentsTable[[#This Row],[Revised due]]&lt;&gt;"",CommitmentsTable[[#This Row],[Revised due]],CommitmentsTable[[#This Row],[Original due]]))</f>
        <v>46370</v>
      </c>
      <c r="T25" s="259" t="str">
        <f ca="1">IF(OR(CommitmentsTable[[#This Row],[Commitment / deliverable]]="",CommitmentsTable[[#This Row],[Owner]]=""),"",IF(CommitmentsTable[[#This Row],[Status2]]="","Open",CommitmentsTable[[#This Row],[Status2]]))</f>
        <v>Open</v>
      </c>
      <c r="U25" s="259" t="str">
        <f t="shared" ca="1" si="0"/>
        <v/>
      </c>
      <c r="V25" s="228"/>
      <c r="W25" s="63" t="s">
        <v>979</v>
      </c>
    </row>
    <row r="26" spans="1:24" ht="56.25" customHeight="1">
      <c r="A26" s="253" t="str">
        <f>IF(OR(CommitmentsTable[[#This Row],[Commitment / deliverable]]="",CommitmentsTable[[#This Row],[Immutable Key]]=""),"",SUBSTITUTE(CommitmentsTable[[#This Row],[Immutable Key]],"-K-","-"))</f>
        <v>C90-H8Z8WF2P</v>
      </c>
      <c r="B26" s="231" t="s">
        <v>980</v>
      </c>
      <c r="C26" s="220" t="s">
        <v>981</v>
      </c>
      <c r="D26" s="221" t="s">
        <v>982</v>
      </c>
      <c r="E26" s="221" t="s">
        <v>939</v>
      </c>
      <c r="F26" s="220" t="s">
        <v>940</v>
      </c>
      <c r="G26" s="244">
        <f ca="1">IF(CommitmentsTable[[#This Row],[Commitment / deliverable]]="","",IF(CommitmentsTable[[#This Row],[Date record entered]]="",TODAY(),CommitmentsTable[[#This Row],[Date record entered]]))</f>
        <v>46307</v>
      </c>
      <c r="H26" s="244">
        <v>46280</v>
      </c>
      <c r="I26" s="244">
        <f>IF(CommitmentsTable[[#This Row],[Date Assigned if different from entry date]]&lt;&gt;"",CommitmentsTable[[#This Row],[Date Assigned if different from entry date]]+90,IF(CommitmentsTable[[#This Row],[Date record entered]]&lt;&gt;"",CommitmentsTable[[#This Row],[Date record entered]]+90,""))</f>
        <v>46370</v>
      </c>
      <c r="J26" s="244">
        <f>IF(CommitmentsTable[[#This Row],[Date Assigned if different from entry date]]&lt;&gt;"",CommitmentsTable[[#This Row],[Date Assigned if different from entry date]]+30,IF(CommitmentsTable[[#This Row],[Date record entered]]&lt;&gt;"",CommitmentsTable[[#This Row],[Date record entered]]+30,""))</f>
        <v>46310</v>
      </c>
      <c r="K26" s="244"/>
      <c r="L26" s="244">
        <f>IF(CommitmentsTable[[#This Row],[Date Assigned if different from entry date]]&lt;&gt;"",CommitmentsTable[[#This Row],[Date Assigned if different from entry date]]+60,IF(CommitmentsTable[[#This Row],[Date record entered]]&lt;&gt;"",CommitmentsTable[[#This Row],[Date record entered]]+60,""))</f>
        <v>46340</v>
      </c>
      <c r="M26" s="257"/>
      <c r="N26" s="257"/>
      <c r="O26" s="258"/>
      <c r="P26" s="257"/>
      <c r="Q26" s="257"/>
      <c r="R26" s="257"/>
      <c r="S26" s="261">
        <f>IF(CommitmentsTable[[#This Row],[Commitment / deliverable]]="","",IF(CommitmentsTable[[#This Row],[Revised due]]&lt;&gt;"",CommitmentsTable[[#This Row],[Revised due]],CommitmentsTable[[#This Row],[Original due]]))</f>
        <v>46370</v>
      </c>
      <c r="T26" s="259" t="str">
        <f ca="1">IF(OR(CommitmentsTable[[#This Row],[Commitment / deliverable]]="",CommitmentsTable[[#This Row],[Owner]]=""),"",IF(CommitmentsTable[[#This Row],[Status2]]="","Open",CommitmentsTable[[#This Row],[Status2]]))</f>
        <v>Open</v>
      </c>
      <c r="U26" s="259" t="str">
        <f t="shared" ca="1" si="0"/>
        <v/>
      </c>
      <c r="V26" s="228"/>
      <c r="W26" s="63" t="s">
        <v>983</v>
      </c>
    </row>
    <row r="27" spans="1:24" ht="63.75" customHeight="1">
      <c r="A27" s="219" t="str">
        <f>IF(OR(CommitmentsTable[[#This Row],[Commitment / deliverable]]="",CommitmentsTable[[#This Row],[Immutable Key]]=""),"",SUBSTITUTE(CommitmentsTable[[#This Row],[Immutable Key]],"-K-","-"))</f>
        <v>C90-BU2JXK55</v>
      </c>
      <c r="B27" s="220" t="s">
        <v>984</v>
      </c>
      <c r="C27" s="228" t="s">
        <v>985</v>
      </c>
      <c r="D27" s="221" t="s">
        <v>131</v>
      </c>
      <c r="E27" s="221" t="s">
        <v>939</v>
      </c>
      <c r="F27" s="220" t="s">
        <v>940</v>
      </c>
      <c r="G27" s="244">
        <f ca="1">IF(CommitmentsTable[[#This Row],[Commitment / deliverable]]="","",IF(CommitmentsTable[[#This Row],[Date record entered]]="",TODAY(),CommitmentsTable[[#This Row],[Date record entered]]))</f>
        <v>46307</v>
      </c>
      <c r="H27" s="244">
        <v>46280</v>
      </c>
      <c r="I27" s="244">
        <f>IF(CommitmentsTable[[#This Row],[Date Assigned if different from entry date]]&lt;&gt;"",CommitmentsTable[[#This Row],[Date Assigned if different from entry date]]+90,IF(CommitmentsTable[[#This Row],[Date record entered]]&lt;&gt;"",CommitmentsTable[[#This Row],[Date record entered]]+90,""))</f>
        <v>46370</v>
      </c>
      <c r="J27" s="244">
        <f>IF(CommitmentsTable[[#This Row],[Date Assigned if different from entry date]]&lt;&gt;"",CommitmentsTable[[#This Row],[Date Assigned if different from entry date]]+30,IF(CommitmentsTable[[#This Row],[Date record entered]]&lt;&gt;"",CommitmentsTable[[#This Row],[Date record entered]]+30,""))</f>
        <v>46310</v>
      </c>
      <c r="K27" s="244"/>
      <c r="L27" s="244">
        <f>IF(CommitmentsTable[[#This Row],[Date Assigned if different from entry date]]&lt;&gt;"",CommitmentsTable[[#This Row],[Date Assigned if different from entry date]]+60,IF(CommitmentsTable[[#This Row],[Date record entered]]&lt;&gt;"",CommitmentsTable[[#This Row],[Date record entered]]+60,""))</f>
        <v>46340</v>
      </c>
      <c r="M27" s="257"/>
      <c r="N27" s="257"/>
      <c r="O27" s="258"/>
      <c r="P27" s="257"/>
      <c r="Q27" s="257"/>
      <c r="R27" s="257"/>
      <c r="S27" s="261">
        <f>IF(CommitmentsTable[[#This Row],[Commitment / deliverable]]="","",IF(CommitmentsTable[[#This Row],[Revised due]]&lt;&gt;"",CommitmentsTable[[#This Row],[Revised due]],CommitmentsTable[[#This Row],[Original due]]))</f>
        <v>46370</v>
      </c>
      <c r="T27" s="259" t="str">
        <f ca="1">IF(OR(CommitmentsTable[[#This Row],[Commitment / deliverable]]="",CommitmentsTable[[#This Row],[Owner]]=""),"",IF(CommitmentsTable[[#This Row],[Status2]]="","Open",CommitmentsTable[[#This Row],[Status2]]))</f>
        <v>Open</v>
      </c>
      <c r="U27" s="259" t="str">
        <f t="shared" ca="1" si="0"/>
        <v/>
      </c>
      <c r="V27" s="228"/>
      <c r="W27" s="63" t="s">
        <v>986</v>
      </c>
    </row>
    <row r="28" spans="1:24" ht="52.5" customHeight="1">
      <c r="A28" s="219" t="str">
        <f>IF(OR(CommitmentsTable[[#This Row],[Commitment / deliverable]]="",CommitmentsTable[[#This Row],[Immutable Key]]=""),"",SUBSTITUTE(CommitmentsTable[[#This Row],[Immutable Key]],"-K-","-"))</f>
        <v>C90-9EWEQ5M3</v>
      </c>
      <c r="B28" s="220" t="s">
        <v>987</v>
      </c>
      <c r="C28" s="220" t="s">
        <v>988</v>
      </c>
      <c r="D28" s="221" t="s">
        <v>131</v>
      </c>
      <c r="E28" s="221" t="s">
        <v>963</v>
      </c>
      <c r="F28" s="231" t="s">
        <v>964</v>
      </c>
      <c r="G28" s="244">
        <f ca="1">IF(CommitmentsTable[[#This Row],[Commitment / deliverable]]="","",IF(CommitmentsTable[[#This Row],[Date record entered]]="",TODAY(),CommitmentsTable[[#This Row],[Date record entered]]))</f>
        <v>46307</v>
      </c>
      <c r="H28" s="244">
        <v>46280</v>
      </c>
      <c r="I28" s="244">
        <f>IF(CommitmentsTable[[#This Row],[Date Assigned if different from entry date]]&lt;&gt;"",CommitmentsTable[[#This Row],[Date Assigned if different from entry date]]+90,IF(CommitmentsTable[[#This Row],[Date record entered]]&lt;&gt;"",CommitmentsTable[[#This Row],[Date record entered]]+90,""))</f>
        <v>46370</v>
      </c>
      <c r="J28" s="244">
        <f>IF(CommitmentsTable[[#This Row],[Date Assigned if different from entry date]]&lt;&gt;"",CommitmentsTable[[#This Row],[Date Assigned if different from entry date]]+30,IF(CommitmentsTable[[#This Row],[Date record entered]]&lt;&gt;"",CommitmentsTable[[#This Row],[Date record entered]]+30,""))</f>
        <v>46310</v>
      </c>
      <c r="K28" s="244"/>
      <c r="L28" s="244">
        <f>IF(CommitmentsTable[[#This Row],[Date Assigned if different from entry date]]&lt;&gt;"",CommitmentsTable[[#This Row],[Date Assigned if different from entry date]]+60,IF(CommitmentsTable[[#This Row],[Date record entered]]&lt;&gt;"",CommitmentsTable[[#This Row],[Date record entered]]+60,""))</f>
        <v>46340</v>
      </c>
      <c r="M28" s="257"/>
      <c r="N28" s="257"/>
      <c r="O28" s="258"/>
      <c r="P28" s="257"/>
      <c r="Q28" s="257"/>
      <c r="R28" s="257"/>
      <c r="S28" s="261">
        <f>IF(CommitmentsTable[[#This Row],[Commitment / deliverable]]="","",IF(CommitmentsTable[[#This Row],[Revised due]]&lt;&gt;"",CommitmentsTable[[#This Row],[Revised due]],CommitmentsTable[[#This Row],[Original due]]))</f>
        <v>46370</v>
      </c>
      <c r="T28" s="259" t="str">
        <f ca="1">IF(OR(CommitmentsTable[[#This Row],[Commitment / deliverable]]="",CommitmentsTable[[#This Row],[Owner]]=""),"",IF(CommitmentsTable[[#This Row],[Status2]]="","Open",CommitmentsTable[[#This Row],[Status2]]))</f>
        <v>Open</v>
      </c>
      <c r="U28" s="259" t="str">
        <f t="shared" ca="1" si="0"/>
        <v/>
      </c>
      <c r="V28" s="228"/>
      <c r="W28" s="63" t="s">
        <v>989</v>
      </c>
    </row>
    <row r="29" spans="1:24" ht="48" customHeight="1">
      <c r="A29" s="219" t="str">
        <f>IF(OR(CommitmentsTable[[#This Row],[Commitment / deliverable]]="",CommitmentsTable[[#This Row],[Immutable Key]]=""),"",SUBSTITUTE(CommitmentsTable[[#This Row],[Immutable Key]],"-K-","-"))</f>
        <v>C90-E2WWFWB3</v>
      </c>
      <c r="B29" s="228" t="s">
        <v>990</v>
      </c>
      <c r="C29" s="228" t="s">
        <v>991</v>
      </c>
      <c r="D29" s="221" t="s">
        <v>131</v>
      </c>
      <c r="E29" s="221" t="s">
        <v>939</v>
      </c>
      <c r="F29" s="220" t="s">
        <v>940</v>
      </c>
      <c r="G29" s="244">
        <f ca="1">IF(CommitmentsTable[[#This Row],[Commitment / deliverable]]="","",IF(CommitmentsTable[[#This Row],[Date record entered]]="",TODAY(),CommitmentsTable[[#This Row],[Date record entered]]))</f>
        <v>46307</v>
      </c>
      <c r="H29" s="244">
        <v>46280</v>
      </c>
      <c r="I29" s="244">
        <f>IF(CommitmentsTable[[#This Row],[Date Assigned if different from entry date]]&lt;&gt;"",CommitmentsTable[[#This Row],[Date Assigned if different from entry date]]+90,IF(CommitmentsTable[[#This Row],[Date record entered]]&lt;&gt;"",CommitmentsTable[[#This Row],[Date record entered]]+90,""))</f>
        <v>46370</v>
      </c>
      <c r="J29" s="244">
        <f>IF(CommitmentsTable[[#This Row],[Date Assigned if different from entry date]]&lt;&gt;"",CommitmentsTable[[#This Row],[Date Assigned if different from entry date]]+30,IF(CommitmentsTable[[#This Row],[Date record entered]]&lt;&gt;"",CommitmentsTable[[#This Row],[Date record entered]]+30,""))</f>
        <v>46310</v>
      </c>
      <c r="K29" s="244"/>
      <c r="L29" s="244">
        <f>IF(CommitmentsTable[[#This Row],[Date Assigned if different from entry date]]&lt;&gt;"",CommitmentsTable[[#This Row],[Date Assigned if different from entry date]]+60,IF(CommitmentsTable[[#This Row],[Date record entered]]&lt;&gt;"",CommitmentsTable[[#This Row],[Date record entered]]+60,""))</f>
        <v>46340</v>
      </c>
      <c r="M29" s="257"/>
      <c r="N29" s="257"/>
      <c r="O29" s="258"/>
      <c r="P29" s="257"/>
      <c r="Q29" s="257"/>
      <c r="R29" s="257"/>
      <c r="S29" s="261">
        <f>IF(CommitmentsTable[[#This Row],[Commitment / deliverable]]="","",IF(CommitmentsTable[[#This Row],[Revised due]]&lt;&gt;"",CommitmentsTable[[#This Row],[Revised due]],CommitmentsTable[[#This Row],[Original due]]))</f>
        <v>46370</v>
      </c>
      <c r="T29" s="259" t="str">
        <f ca="1">IF(OR(CommitmentsTable[[#This Row],[Commitment / deliverable]]="",CommitmentsTable[[#This Row],[Owner]]=""),"",IF(CommitmentsTable[[#This Row],[Status2]]="","Open",CommitmentsTable[[#This Row],[Status2]]))</f>
        <v>Open</v>
      </c>
      <c r="U29" s="259" t="str">
        <f t="shared" ca="1" si="0"/>
        <v/>
      </c>
      <c r="V29" s="228"/>
      <c r="W29" s="63" t="s">
        <v>992</v>
      </c>
    </row>
    <row r="30" spans="1:24" ht="125.25" customHeight="1">
      <c r="A30" s="219" t="str">
        <f>IF(OR(CommitmentsTable[[#This Row],[Commitment / deliverable]]="",CommitmentsTable[[#This Row],[Immutable Key]]=""),"",SUBSTITUTE(CommitmentsTable[[#This Row],[Immutable Key]],"-K-","-"))</f>
        <v>C90-977HDW2G</v>
      </c>
      <c r="B30" s="228" t="s">
        <v>993</v>
      </c>
      <c r="C30" s="220" t="s">
        <v>994</v>
      </c>
      <c r="D30" s="221" t="s">
        <v>125</v>
      </c>
      <c r="E30" s="221" t="s">
        <v>939</v>
      </c>
      <c r="F30" s="220" t="s">
        <v>940</v>
      </c>
      <c r="G30" s="244">
        <f ca="1">IF(CommitmentsTable[[#This Row],[Commitment / deliverable]]="","",IF(CommitmentsTable[[#This Row],[Date record entered]]="",TODAY(),CommitmentsTable[[#This Row],[Date record entered]]))</f>
        <v>46307</v>
      </c>
      <c r="H30" s="244">
        <v>46280</v>
      </c>
      <c r="I30" s="244">
        <f>IF(CommitmentsTable[[#This Row],[Date Assigned if different from entry date]]&lt;&gt;"",CommitmentsTable[[#This Row],[Date Assigned if different from entry date]]+90,IF(CommitmentsTable[[#This Row],[Date record entered]]&lt;&gt;"",CommitmentsTable[[#This Row],[Date record entered]]+90,""))</f>
        <v>46370</v>
      </c>
      <c r="J30" s="244">
        <f>IF(CommitmentsTable[[#This Row],[Date Assigned if different from entry date]]&lt;&gt;"",CommitmentsTable[[#This Row],[Date Assigned if different from entry date]]+30,IF(CommitmentsTable[[#This Row],[Date record entered]]&lt;&gt;"",CommitmentsTable[[#This Row],[Date record entered]]+30,""))</f>
        <v>46310</v>
      </c>
      <c r="K30" s="244"/>
      <c r="L30" s="244">
        <f>IF(CommitmentsTable[[#This Row],[Date Assigned if different from entry date]]&lt;&gt;"",CommitmentsTable[[#This Row],[Date Assigned if different from entry date]]+60,IF(CommitmentsTable[[#This Row],[Date record entered]]&lt;&gt;"",CommitmentsTable[[#This Row],[Date record entered]]+60,""))</f>
        <v>46340</v>
      </c>
      <c r="M30" s="257"/>
      <c r="N30" s="257"/>
      <c r="O30" s="258"/>
      <c r="P30" s="257"/>
      <c r="Q30" s="257"/>
      <c r="R30" s="257"/>
      <c r="S30" s="261">
        <f>IF(CommitmentsTable[[#This Row],[Commitment / deliverable]]="","",IF(CommitmentsTable[[#This Row],[Revised due]]&lt;&gt;"",CommitmentsTable[[#This Row],[Revised due]],CommitmentsTable[[#This Row],[Original due]]))</f>
        <v>46370</v>
      </c>
      <c r="T30" s="259" t="str">
        <f ca="1">IF(OR(CommitmentsTable[[#This Row],[Commitment / deliverable]]="",CommitmentsTable[[#This Row],[Owner]]=""),"",IF(CommitmentsTable[[#This Row],[Status2]]="","Open",CommitmentsTable[[#This Row],[Status2]]))</f>
        <v>Open</v>
      </c>
      <c r="U30" s="259" t="str">
        <f t="shared" ca="1" si="0"/>
        <v/>
      </c>
      <c r="V30" s="228"/>
      <c r="W30" s="63" t="s">
        <v>995</v>
      </c>
    </row>
    <row r="31" spans="1:24" ht="59.25" customHeight="1">
      <c r="A31" s="219" t="str">
        <f>IF(OR(CommitmentsTable[[#This Row],[Commitment / deliverable]]="",CommitmentsTable[[#This Row],[Immutable Key]]=""),"",SUBSTITUTE(CommitmentsTable[[#This Row],[Immutable Key]],"-K-","-"))</f>
        <v>C90-XW97BLKA</v>
      </c>
      <c r="B31" s="220" t="s">
        <v>996</v>
      </c>
      <c r="C31" s="228" t="s">
        <v>997</v>
      </c>
      <c r="D31" s="221" t="s">
        <v>125</v>
      </c>
      <c r="E31" s="221" t="s">
        <v>963</v>
      </c>
      <c r="F31" s="231" t="s">
        <v>964</v>
      </c>
      <c r="G31" s="244">
        <f ca="1">IF(CommitmentsTable[[#This Row],[Commitment / deliverable]]="","",IF(CommitmentsTable[[#This Row],[Date record entered]]="",TODAY(),CommitmentsTable[[#This Row],[Date record entered]]))</f>
        <v>46307</v>
      </c>
      <c r="H31" s="244">
        <v>46280</v>
      </c>
      <c r="I31" s="244">
        <f>IF(CommitmentsTable[[#This Row],[Date Assigned if different from entry date]]&lt;&gt;"",CommitmentsTable[[#This Row],[Date Assigned if different from entry date]]+90,IF(CommitmentsTable[[#This Row],[Date record entered]]&lt;&gt;"",CommitmentsTable[[#This Row],[Date record entered]]+90,""))</f>
        <v>46370</v>
      </c>
      <c r="J31" s="244">
        <f>IF(CommitmentsTable[[#This Row],[Date Assigned if different from entry date]]&lt;&gt;"",CommitmentsTable[[#This Row],[Date Assigned if different from entry date]]+30,IF(CommitmentsTable[[#This Row],[Date record entered]]&lt;&gt;"",CommitmentsTable[[#This Row],[Date record entered]]+30,""))</f>
        <v>46310</v>
      </c>
      <c r="K31" s="244"/>
      <c r="L31" s="244">
        <f>IF(CommitmentsTable[[#This Row],[Date Assigned if different from entry date]]&lt;&gt;"",CommitmentsTable[[#This Row],[Date Assigned if different from entry date]]+60,IF(CommitmentsTable[[#This Row],[Date record entered]]&lt;&gt;"",CommitmentsTable[[#This Row],[Date record entered]]+60,""))</f>
        <v>46340</v>
      </c>
      <c r="M31" s="257"/>
      <c r="N31" s="257"/>
      <c r="O31" s="258"/>
      <c r="P31" s="257"/>
      <c r="Q31" s="257"/>
      <c r="R31" s="257"/>
      <c r="S31" s="261">
        <f>IF(CommitmentsTable[[#This Row],[Commitment / deliverable]]="","",IF(CommitmentsTable[[#This Row],[Revised due]]&lt;&gt;"",CommitmentsTable[[#This Row],[Revised due]],CommitmentsTable[[#This Row],[Original due]]))</f>
        <v>46370</v>
      </c>
      <c r="T31" s="259" t="str">
        <f ca="1">IF(OR(CommitmentsTable[[#This Row],[Commitment / deliverable]]="",CommitmentsTable[[#This Row],[Owner]]=""),"",IF(CommitmentsTable[[#This Row],[Status2]]="","Open",CommitmentsTable[[#This Row],[Status2]]))</f>
        <v>Open</v>
      </c>
      <c r="U31" s="259" t="str">
        <f t="shared" ca="1" si="0"/>
        <v/>
      </c>
      <c r="V31" s="228"/>
      <c r="W31" s="63" t="s">
        <v>998</v>
      </c>
    </row>
    <row r="32" spans="1:24" ht="26.15" customHeight="1">
      <c r="A32" s="260" t="str">
        <f>IF(OR(CommitmentsTable[[#This Row],[Commitment / deliverable]]="",CommitmentsTable[[#This Row],[Immutable Key]]=""),"",SUBSTITUTE(CommitmentsTable[[#This Row],[Immutable Key]],"-K-","-"))</f>
        <v/>
      </c>
      <c r="B32" s="228"/>
      <c r="C32" s="228"/>
      <c r="D32" s="260"/>
      <c r="E32" s="221"/>
      <c r="F32" s="260"/>
      <c r="G32" s="244" t="str">
        <f ca="1">IF(CommitmentsTable[[#This Row],[Commitment / deliverable]]="","",IF(CommitmentsTable[[#This Row],[Date record entered]]="",TODAY(),CommitmentsTable[[#This Row],[Date record entered]]))</f>
        <v/>
      </c>
      <c r="H32" s="244"/>
      <c r="I32" s="244" t="str">
        <f ca="1">IF(CommitmentsTable[[#This Row],[Date Assigned if different from entry date]]&lt;&gt;"",CommitmentsTable[[#This Row],[Date Assigned if different from entry date]]+90,IF(CommitmentsTable[[#This Row],[Date record entered]]&lt;&gt;"",CommitmentsTable[[#This Row],[Date record entered]]+90,""))</f>
        <v/>
      </c>
      <c r="J32" s="244" t="str">
        <f ca="1">IF(CommitmentsTable[[#This Row],[Date Assigned if different from entry date]]&lt;&gt;"",CommitmentsTable[[#This Row],[Date Assigned if different from entry date]]+30,IF(CommitmentsTable[[#This Row],[Date record entered]]&lt;&gt;"",CommitmentsTable[[#This Row],[Date record entered]]+30,""))</f>
        <v/>
      </c>
      <c r="K32" s="244"/>
      <c r="L32" s="244" t="str">
        <f ca="1">IF(CommitmentsTable[[#This Row],[Date Assigned if different from entry date]]&lt;&gt;"",CommitmentsTable[[#This Row],[Date Assigned if different from entry date]]+60,IF(CommitmentsTable[[#This Row],[Date record entered]]&lt;&gt;"",CommitmentsTable[[#This Row],[Date record entered]]+60,""))</f>
        <v/>
      </c>
      <c r="M32" s="257"/>
      <c r="N32" s="257"/>
      <c r="O32" s="258"/>
      <c r="P32" s="257"/>
      <c r="Q32" s="257"/>
      <c r="R32" s="257"/>
      <c r="S32" s="261" t="str">
        <f>IF(CommitmentsTable[[#This Row],[Commitment / deliverable]]="","",IF(CommitmentsTable[[#This Row],[Revised due]]&lt;&gt;"",CommitmentsTable[[#This Row],[Revised due]],CommitmentsTable[[#This Row],[Original due]]))</f>
        <v/>
      </c>
      <c r="T32" s="259" t="str">
        <f>IF(OR(CommitmentsTable[[#This Row],[Commitment / deliverable]]="",CommitmentsTable[[#This Row],[Owner]]=""),"",IF(CommitmentsTable[[#This Row],[Status2]]="","Open",CommitmentsTable[[#This Row],[Status2]]))</f>
        <v/>
      </c>
      <c r="U32" s="259" t="str">
        <f t="shared" ca="1" si="0"/>
        <v/>
      </c>
      <c r="V32" s="228"/>
      <c r="W32" s="63" t="s">
        <v>999</v>
      </c>
    </row>
    <row r="33" spans="1:23" ht="26.15" customHeight="1">
      <c r="A33" s="260" t="str">
        <f>IF(OR(CommitmentsTable[[#This Row],[Commitment / deliverable]]="",CommitmentsTable[[#This Row],[Immutable Key]]=""),"",SUBSTITUTE(CommitmentsTable[[#This Row],[Immutable Key]],"-K-","-"))</f>
        <v/>
      </c>
      <c r="B33" s="228"/>
      <c r="C33" s="228"/>
      <c r="D33" s="260"/>
      <c r="E33" s="221"/>
      <c r="F33" s="260"/>
      <c r="G33" s="244" t="str">
        <f ca="1">IF(CommitmentsTable[[#This Row],[Commitment / deliverable]]="","",IF(CommitmentsTable[[#This Row],[Date record entered]]="",TODAY(),CommitmentsTable[[#This Row],[Date record entered]]))</f>
        <v/>
      </c>
      <c r="H33" s="244"/>
      <c r="I33" s="244" t="str">
        <f ca="1">IF(CommitmentsTable[[#This Row],[Date Assigned if different from entry date]]&lt;&gt;"",CommitmentsTable[[#This Row],[Date Assigned if different from entry date]]+90,IF(CommitmentsTable[[#This Row],[Date record entered]]&lt;&gt;"",CommitmentsTable[[#This Row],[Date record entered]]+90,""))</f>
        <v/>
      </c>
      <c r="J33" s="244" t="str">
        <f ca="1">IF(CommitmentsTable[[#This Row],[Date Assigned if different from entry date]]&lt;&gt;"",CommitmentsTable[[#This Row],[Date Assigned if different from entry date]]+30,IF(CommitmentsTable[[#This Row],[Date record entered]]&lt;&gt;"",CommitmentsTable[[#This Row],[Date record entered]]+30,""))</f>
        <v/>
      </c>
      <c r="K33" s="244"/>
      <c r="L33" s="244" t="str">
        <f ca="1">IF(CommitmentsTable[[#This Row],[Date Assigned if different from entry date]]&lt;&gt;"",CommitmentsTable[[#This Row],[Date Assigned if different from entry date]]+60,IF(CommitmentsTable[[#This Row],[Date record entered]]&lt;&gt;"",CommitmentsTable[[#This Row],[Date record entered]]+60,""))</f>
        <v/>
      </c>
      <c r="M33" s="257"/>
      <c r="N33" s="257"/>
      <c r="O33" s="258"/>
      <c r="P33" s="257"/>
      <c r="Q33" s="257"/>
      <c r="R33" s="257"/>
      <c r="S33" s="261" t="str">
        <f>IF(CommitmentsTable[[#This Row],[Commitment / deliverable]]="","",IF(CommitmentsTable[[#This Row],[Revised due]]&lt;&gt;"",CommitmentsTable[[#This Row],[Revised due]],CommitmentsTable[[#This Row],[Original due]]))</f>
        <v/>
      </c>
      <c r="T33" s="259" t="str">
        <f>IF(OR(CommitmentsTable[[#This Row],[Commitment / deliverable]]="",CommitmentsTable[[#This Row],[Owner]]=""),"",IF(CommitmentsTable[[#This Row],[Status2]]="","Open",CommitmentsTable[[#This Row],[Status2]]))</f>
        <v/>
      </c>
      <c r="U33" s="259" t="str">
        <f t="shared" ca="1" si="0"/>
        <v/>
      </c>
      <c r="V33" s="228"/>
      <c r="W33" s="63" t="s">
        <v>1000</v>
      </c>
    </row>
    <row r="34" spans="1:23" ht="26.15" customHeight="1">
      <c r="A34" s="260" t="str">
        <f>IF(OR(CommitmentsTable[[#This Row],[Commitment / deliverable]]="",CommitmentsTable[[#This Row],[Immutable Key]]=""),"",SUBSTITUTE(CommitmentsTable[[#This Row],[Immutable Key]],"-K-","-"))</f>
        <v/>
      </c>
      <c r="B34" s="228"/>
      <c r="C34" s="228"/>
      <c r="D34" s="260"/>
      <c r="E34" s="221"/>
      <c r="F34" s="260"/>
      <c r="G34" s="244" t="str">
        <f ca="1">IF(CommitmentsTable[[#This Row],[Commitment / deliverable]]="","",IF(CommitmentsTable[[#This Row],[Date record entered]]="",TODAY(),CommitmentsTable[[#This Row],[Date record entered]]))</f>
        <v/>
      </c>
      <c r="H34" s="244"/>
      <c r="I34" s="244" t="str">
        <f ca="1">IF(CommitmentsTable[[#This Row],[Date Assigned if different from entry date]]&lt;&gt;"",CommitmentsTable[[#This Row],[Date Assigned if different from entry date]]+90,IF(CommitmentsTable[[#This Row],[Date record entered]]&lt;&gt;"",CommitmentsTable[[#This Row],[Date record entered]]+90,""))</f>
        <v/>
      </c>
      <c r="J34" s="244" t="str">
        <f ca="1">IF(CommitmentsTable[[#This Row],[Date Assigned if different from entry date]]&lt;&gt;"",CommitmentsTable[[#This Row],[Date Assigned if different from entry date]]+30,IF(CommitmentsTable[[#This Row],[Date record entered]]&lt;&gt;"",CommitmentsTable[[#This Row],[Date record entered]]+30,""))</f>
        <v/>
      </c>
      <c r="K34" s="244"/>
      <c r="L34" s="244" t="str">
        <f ca="1">IF(CommitmentsTable[[#This Row],[Date Assigned if different from entry date]]&lt;&gt;"",CommitmentsTable[[#This Row],[Date Assigned if different from entry date]]+60,IF(CommitmentsTable[[#This Row],[Date record entered]]&lt;&gt;"",CommitmentsTable[[#This Row],[Date record entered]]+60,""))</f>
        <v/>
      </c>
      <c r="M34" s="257"/>
      <c r="N34" s="257"/>
      <c r="O34" s="258"/>
      <c r="P34" s="257"/>
      <c r="Q34" s="257"/>
      <c r="R34" s="257"/>
      <c r="S34" s="261" t="str">
        <f>IF(CommitmentsTable[[#This Row],[Commitment / deliverable]]="","",IF(CommitmentsTable[[#This Row],[Revised due]]&lt;&gt;"",CommitmentsTable[[#This Row],[Revised due]],CommitmentsTable[[#This Row],[Original due]]))</f>
        <v/>
      </c>
      <c r="T34" s="259" t="str">
        <f>IF(OR(CommitmentsTable[[#This Row],[Commitment / deliverable]]="",CommitmentsTable[[#This Row],[Owner]]=""),"",IF(CommitmentsTable[[#This Row],[Status2]]="","Open",CommitmentsTable[[#This Row],[Status2]]))</f>
        <v/>
      </c>
      <c r="U34" s="259" t="str">
        <f t="shared" ca="1" si="0"/>
        <v/>
      </c>
      <c r="V34" s="228"/>
      <c r="W34" s="63" t="s">
        <v>1001</v>
      </c>
    </row>
    <row r="35" spans="1:23" ht="26.15" customHeight="1">
      <c r="A35" s="260" t="str">
        <f>IF(OR(CommitmentsTable[[#This Row],[Commitment / deliverable]]="",CommitmentsTable[[#This Row],[Immutable Key]]=""),"",SUBSTITUTE(CommitmentsTable[[#This Row],[Immutable Key]],"-K-","-"))</f>
        <v/>
      </c>
      <c r="B35" s="228"/>
      <c r="C35" s="228"/>
      <c r="D35" s="260"/>
      <c r="E35" s="221"/>
      <c r="F35" s="260"/>
      <c r="G35" s="244" t="str">
        <f ca="1">IF(CommitmentsTable[[#This Row],[Commitment / deliverable]]="","",IF(CommitmentsTable[[#This Row],[Date record entered]]="",TODAY(),CommitmentsTable[[#This Row],[Date record entered]]))</f>
        <v/>
      </c>
      <c r="H35" s="244"/>
      <c r="I35" s="244" t="str">
        <f ca="1">IF(CommitmentsTable[[#This Row],[Date Assigned if different from entry date]]&lt;&gt;"",CommitmentsTable[[#This Row],[Date Assigned if different from entry date]]+90,IF(CommitmentsTable[[#This Row],[Date record entered]]&lt;&gt;"",CommitmentsTable[[#This Row],[Date record entered]]+90,""))</f>
        <v/>
      </c>
      <c r="J35" s="244" t="str">
        <f ca="1">IF(CommitmentsTable[[#This Row],[Date Assigned if different from entry date]]&lt;&gt;"",CommitmentsTable[[#This Row],[Date Assigned if different from entry date]]+30,IF(CommitmentsTable[[#This Row],[Date record entered]]&lt;&gt;"",CommitmentsTable[[#This Row],[Date record entered]]+30,""))</f>
        <v/>
      </c>
      <c r="K35" s="244"/>
      <c r="L35" s="244" t="str">
        <f ca="1">IF(CommitmentsTable[[#This Row],[Date Assigned if different from entry date]]&lt;&gt;"",CommitmentsTable[[#This Row],[Date Assigned if different from entry date]]+60,IF(CommitmentsTable[[#This Row],[Date record entered]]&lt;&gt;"",CommitmentsTable[[#This Row],[Date record entered]]+60,""))</f>
        <v/>
      </c>
      <c r="M35" s="257"/>
      <c r="N35" s="257"/>
      <c r="O35" s="258"/>
      <c r="P35" s="257"/>
      <c r="Q35" s="257"/>
      <c r="R35" s="257"/>
      <c r="S35" s="261" t="str">
        <f>IF(CommitmentsTable[[#This Row],[Commitment / deliverable]]="","",IF(CommitmentsTable[[#This Row],[Revised due]]&lt;&gt;"",CommitmentsTable[[#This Row],[Revised due]],CommitmentsTable[[#This Row],[Original due]]))</f>
        <v/>
      </c>
      <c r="T35" s="259" t="str">
        <f>IF(OR(CommitmentsTable[[#This Row],[Commitment / deliverable]]="",CommitmentsTable[[#This Row],[Owner]]=""),"",IF(CommitmentsTable[[#This Row],[Status2]]="","Open",CommitmentsTable[[#This Row],[Status2]]))</f>
        <v/>
      </c>
      <c r="U35" s="259" t="str">
        <f t="shared" ca="1" si="0"/>
        <v/>
      </c>
      <c r="V35" s="228"/>
      <c r="W35" s="63" t="s">
        <v>1002</v>
      </c>
    </row>
    <row r="36" spans="1:23" ht="26.15" customHeight="1">
      <c r="A36" s="260" t="str">
        <f>IF(OR(CommitmentsTable[[#This Row],[Commitment / deliverable]]="",CommitmentsTable[[#This Row],[Immutable Key]]=""),"",SUBSTITUTE(CommitmentsTable[[#This Row],[Immutable Key]],"-K-","-"))</f>
        <v/>
      </c>
      <c r="B36" s="228"/>
      <c r="C36" s="228"/>
      <c r="D36" s="260"/>
      <c r="E36" s="221"/>
      <c r="F36" s="260"/>
      <c r="G36" s="244" t="str">
        <f ca="1">IF(CommitmentsTable[[#This Row],[Commitment / deliverable]]="","",IF(CommitmentsTable[[#This Row],[Date record entered]]="",TODAY(),CommitmentsTable[[#This Row],[Date record entered]]))</f>
        <v/>
      </c>
      <c r="H36" s="244"/>
      <c r="I36" s="244" t="str">
        <f ca="1">IF(CommitmentsTable[[#This Row],[Date Assigned if different from entry date]]&lt;&gt;"",CommitmentsTable[[#This Row],[Date Assigned if different from entry date]]+90,IF(CommitmentsTable[[#This Row],[Date record entered]]&lt;&gt;"",CommitmentsTable[[#This Row],[Date record entered]]+90,""))</f>
        <v/>
      </c>
      <c r="J36" s="244" t="str">
        <f ca="1">IF(CommitmentsTable[[#This Row],[Date Assigned if different from entry date]]&lt;&gt;"",CommitmentsTable[[#This Row],[Date Assigned if different from entry date]]+30,IF(CommitmentsTable[[#This Row],[Date record entered]]&lt;&gt;"",CommitmentsTable[[#This Row],[Date record entered]]+30,""))</f>
        <v/>
      </c>
      <c r="K36" s="244"/>
      <c r="L36" s="244" t="str">
        <f ca="1">IF(CommitmentsTable[[#This Row],[Date Assigned if different from entry date]]&lt;&gt;"",CommitmentsTable[[#This Row],[Date Assigned if different from entry date]]+60,IF(CommitmentsTable[[#This Row],[Date record entered]]&lt;&gt;"",CommitmentsTable[[#This Row],[Date record entered]]+60,""))</f>
        <v/>
      </c>
      <c r="M36" s="257"/>
      <c r="N36" s="257"/>
      <c r="O36" s="258"/>
      <c r="P36" s="257"/>
      <c r="Q36" s="257"/>
      <c r="R36" s="257"/>
      <c r="S36" s="261" t="str">
        <f>IF(CommitmentsTable[[#This Row],[Commitment / deliverable]]="","",IF(CommitmentsTable[[#This Row],[Revised due]]&lt;&gt;"",CommitmentsTable[[#This Row],[Revised due]],CommitmentsTable[[#This Row],[Original due]]))</f>
        <v/>
      </c>
      <c r="T36" s="259" t="str">
        <f>IF(OR(CommitmentsTable[[#This Row],[Commitment / deliverable]]="",CommitmentsTable[[#This Row],[Owner]]=""),"",IF(CommitmentsTable[[#This Row],[Status2]]="","Open",CommitmentsTable[[#This Row],[Status2]]))</f>
        <v/>
      </c>
      <c r="U36" s="259" t="str">
        <f t="shared" ca="1" si="0"/>
        <v/>
      </c>
      <c r="V36" s="228"/>
      <c r="W36" s="63" t="s">
        <v>1003</v>
      </c>
    </row>
    <row r="37" spans="1:23" ht="26.15" customHeight="1">
      <c r="A37" s="260" t="str">
        <f>IF(OR(CommitmentsTable[[#This Row],[Commitment / deliverable]]="",CommitmentsTable[[#This Row],[Immutable Key]]=""),"",SUBSTITUTE(CommitmentsTable[[#This Row],[Immutable Key]],"-K-","-"))</f>
        <v/>
      </c>
      <c r="B37" s="228"/>
      <c r="C37" s="228"/>
      <c r="D37" s="260"/>
      <c r="E37" s="221"/>
      <c r="F37" s="260"/>
      <c r="G37" s="244" t="str">
        <f ca="1">IF(CommitmentsTable[[#This Row],[Commitment / deliverable]]="","",IF(CommitmentsTable[[#This Row],[Date record entered]]="",TODAY(),CommitmentsTable[[#This Row],[Date record entered]]))</f>
        <v/>
      </c>
      <c r="H37" s="244"/>
      <c r="I37" s="244" t="str">
        <f ca="1">IF(CommitmentsTable[[#This Row],[Date Assigned if different from entry date]]&lt;&gt;"",CommitmentsTable[[#This Row],[Date Assigned if different from entry date]]+90,IF(CommitmentsTable[[#This Row],[Date record entered]]&lt;&gt;"",CommitmentsTable[[#This Row],[Date record entered]]+90,""))</f>
        <v/>
      </c>
      <c r="J37" s="244" t="str">
        <f ca="1">IF(CommitmentsTable[[#This Row],[Date Assigned if different from entry date]]&lt;&gt;"",CommitmentsTable[[#This Row],[Date Assigned if different from entry date]]+30,IF(CommitmentsTable[[#This Row],[Date record entered]]&lt;&gt;"",CommitmentsTable[[#This Row],[Date record entered]]+30,""))</f>
        <v/>
      </c>
      <c r="K37" s="244"/>
      <c r="L37" s="244" t="str">
        <f ca="1">IF(CommitmentsTable[[#This Row],[Date Assigned if different from entry date]]&lt;&gt;"",CommitmentsTable[[#This Row],[Date Assigned if different from entry date]]+60,IF(CommitmentsTable[[#This Row],[Date record entered]]&lt;&gt;"",CommitmentsTable[[#This Row],[Date record entered]]+60,""))</f>
        <v/>
      </c>
      <c r="M37" s="257"/>
      <c r="N37" s="257"/>
      <c r="O37" s="258"/>
      <c r="P37" s="257"/>
      <c r="Q37" s="257"/>
      <c r="R37" s="257"/>
      <c r="S37" s="261" t="str">
        <f>IF(CommitmentsTable[[#This Row],[Commitment / deliverable]]="","",IF(CommitmentsTable[[#This Row],[Revised due]]&lt;&gt;"",CommitmentsTable[[#This Row],[Revised due]],CommitmentsTable[[#This Row],[Original due]]))</f>
        <v/>
      </c>
      <c r="T37" s="259" t="str">
        <f>IF(OR(CommitmentsTable[[#This Row],[Commitment / deliverable]]="",CommitmentsTable[[#This Row],[Owner]]=""),"",IF(CommitmentsTable[[#This Row],[Status2]]="","Open",CommitmentsTable[[#This Row],[Status2]]))</f>
        <v/>
      </c>
      <c r="U37" s="259" t="str">
        <f t="shared" ca="1" si="0"/>
        <v/>
      </c>
      <c r="V37" s="228"/>
      <c r="W37" s="63" t="s">
        <v>1004</v>
      </c>
    </row>
    <row r="38" spans="1:23" ht="26.15" customHeight="1">
      <c r="A38" s="260" t="str">
        <f>IF(OR(CommitmentsTable[[#This Row],[Commitment / deliverable]]="",CommitmentsTable[[#This Row],[Immutable Key]]=""),"",SUBSTITUTE(CommitmentsTable[[#This Row],[Immutable Key]],"-K-","-"))</f>
        <v/>
      </c>
      <c r="B38" s="228"/>
      <c r="C38" s="228"/>
      <c r="D38" s="260"/>
      <c r="E38" s="221"/>
      <c r="F38" s="260"/>
      <c r="G38" s="244" t="str">
        <f ca="1">IF(CommitmentsTable[[#This Row],[Commitment / deliverable]]="","",IF(CommitmentsTable[[#This Row],[Date record entered]]="",TODAY(),CommitmentsTable[[#This Row],[Date record entered]]))</f>
        <v/>
      </c>
      <c r="H38" s="244"/>
      <c r="I38" s="244" t="str">
        <f ca="1">IF(CommitmentsTable[[#This Row],[Date Assigned if different from entry date]]&lt;&gt;"",CommitmentsTable[[#This Row],[Date Assigned if different from entry date]]+90,IF(CommitmentsTable[[#This Row],[Date record entered]]&lt;&gt;"",CommitmentsTable[[#This Row],[Date record entered]]+90,""))</f>
        <v/>
      </c>
      <c r="J38" s="244" t="str">
        <f ca="1">IF(CommitmentsTable[[#This Row],[Date Assigned if different from entry date]]&lt;&gt;"",CommitmentsTable[[#This Row],[Date Assigned if different from entry date]]+30,IF(CommitmentsTable[[#This Row],[Date record entered]]&lt;&gt;"",CommitmentsTable[[#This Row],[Date record entered]]+30,""))</f>
        <v/>
      </c>
      <c r="K38" s="244"/>
      <c r="L38" s="244" t="str">
        <f ca="1">IF(CommitmentsTable[[#This Row],[Date Assigned if different from entry date]]&lt;&gt;"",CommitmentsTable[[#This Row],[Date Assigned if different from entry date]]+60,IF(CommitmentsTable[[#This Row],[Date record entered]]&lt;&gt;"",CommitmentsTable[[#This Row],[Date record entered]]+60,""))</f>
        <v/>
      </c>
      <c r="M38" s="257"/>
      <c r="N38" s="257"/>
      <c r="O38" s="258"/>
      <c r="P38" s="257"/>
      <c r="Q38" s="257"/>
      <c r="R38" s="257"/>
      <c r="S38" s="261" t="str">
        <f>IF(CommitmentsTable[[#This Row],[Commitment / deliverable]]="","",IF(CommitmentsTable[[#This Row],[Revised due]]&lt;&gt;"",CommitmentsTable[[#This Row],[Revised due]],CommitmentsTable[[#This Row],[Original due]]))</f>
        <v/>
      </c>
      <c r="T38" s="259" t="str">
        <f>IF(OR(CommitmentsTable[[#This Row],[Commitment / deliverable]]="",CommitmentsTable[[#This Row],[Owner]]=""),"",IF(CommitmentsTable[[#This Row],[Status2]]="","Open",CommitmentsTable[[#This Row],[Status2]]))</f>
        <v/>
      </c>
      <c r="U38" s="259" t="str">
        <f t="shared" ca="1" si="0"/>
        <v/>
      </c>
      <c r="V38" s="228"/>
      <c r="W38" s="63" t="s">
        <v>1005</v>
      </c>
    </row>
    <row r="39" spans="1:23" ht="26.15" customHeight="1">
      <c r="A39" s="260" t="str">
        <f>IF(OR(CommitmentsTable[[#This Row],[Commitment / deliverable]]="",CommitmentsTable[[#This Row],[Immutable Key]]=""),"",SUBSTITUTE(CommitmentsTable[[#This Row],[Immutable Key]],"-K-","-"))</f>
        <v/>
      </c>
      <c r="B39" s="228"/>
      <c r="C39" s="228"/>
      <c r="D39" s="260"/>
      <c r="E39" s="221"/>
      <c r="F39" s="260"/>
      <c r="G39" s="244" t="str">
        <f ca="1">IF(CommitmentsTable[[#This Row],[Commitment / deliverable]]="","",IF(CommitmentsTable[[#This Row],[Date record entered]]="",TODAY(),CommitmentsTable[[#This Row],[Date record entered]]))</f>
        <v/>
      </c>
      <c r="H39" s="244"/>
      <c r="I39" s="244" t="str">
        <f ca="1">IF(CommitmentsTable[[#This Row],[Date Assigned if different from entry date]]&lt;&gt;"",CommitmentsTable[[#This Row],[Date Assigned if different from entry date]]+90,IF(CommitmentsTable[[#This Row],[Date record entered]]&lt;&gt;"",CommitmentsTable[[#This Row],[Date record entered]]+90,""))</f>
        <v/>
      </c>
      <c r="J39" s="244" t="str">
        <f ca="1">IF(CommitmentsTable[[#This Row],[Date Assigned if different from entry date]]&lt;&gt;"",CommitmentsTable[[#This Row],[Date Assigned if different from entry date]]+30,IF(CommitmentsTable[[#This Row],[Date record entered]]&lt;&gt;"",CommitmentsTable[[#This Row],[Date record entered]]+30,""))</f>
        <v/>
      </c>
      <c r="K39" s="244"/>
      <c r="L39" s="244" t="str">
        <f ca="1">IF(CommitmentsTable[[#This Row],[Date Assigned if different from entry date]]&lt;&gt;"",CommitmentsTable[[#This Row],[Date Assigned if different from entry date]]+60,IF(CommitmentsTable[[#This Row],[Date record entered]]&lt;&gt;"",CommitmentsTable[[#This Row],[Date record entered]]+60,""))</f>
        <v/>
      </c>
      <c r="M39" s="257"/>
      <c r="N39" s="257"/>
      <c r="O39" s="258"/>
      <c r="P39" s="257"/>
      <c r="Q39" s="257"/>
      <c r="R39" s="257"/>
      <c r="S39" s="261" t="str">
        <f>IF(CommitmentsTable[[#This Row],[Commitment / deliverable]]="","",IF(CommitmentsTable[[#This Row],[Revised due]]&lt;&gt;"",CommitmentsTable[[#This Row],[Revised due]],CommitmentsTable[[#This Row],[Original due]]))</f>
        <v/>
      </c>
      <c r="T39" s="259" t="str">
        <f>IF(OR(CommitmentsTable[[#This Row],[Commitment / deliverable]]="",CommitmentsTable[[#This Row],[Owner]]=""),"",IF(CommitmentsTable[[#This Row],[Status2]]="","Open",CommitmentsTable[[#This Row],[Status2]]))</f>
        <v/>
      </c>
      <c r="U39" s="259" t="str">
        <f t="shared" ca="1" si="0"/>
        <v/>
      </c>
      <c r="V39" s="228"/>
      <c r="W39" s="63" t="s">
        <v>1006</v>
      </c>
    </row>
    <row r="40" spans="1:23" ht="26.15" customHeight="1">
      <c r="A40" s="260" t="str">
        <f>IF(OR(CommitmentsTable[[#This Row],[Commitment / deliverable]]="",CommitmentsTable[[#This Row],[Immutable Key]]=""),"",SUBSTITUTE(CommitmentsTable[[#This Row],[Immutable Key]],"-K-","-"))</f>
        <v/>
      </c>
      <c r="B40" s="228"/>
      <c r="C40" s="228"/>
      <c r="D40" s="260"/>
      <c r="E40" s="221"/>
      <c r="F40" s="260"/>
      <c r="G40" s="244" t="str">
        <f ca="1">IF(CommitmentsTable[[#This Row],[Commitment / deliverable]]="","",IF(CommitmentsTable[[#This Row],[Date record entered]]="",TODAY(),CommitmentsTable[[#This Row],[Date record entered]]))</f>
        <v/>
      </c>
      <c r="H40" s="244"/>
      <c r="I40" s="244" t="str">
        <f ca="1">IF(CommitmentsTable[[#This Row],[Date Assigned if different from entry date]]&lt;&gt;"",CommitmentsTable[[#This Row],[Date Assigned if different from entry date]]+90,IF(CommitmentsTable[[#This Row],[Date record entered]]&lt;&gt;"",CommitmentsTable[[#This Row],[Date record entered]]+90,""))</f>
        <v/>
      </c>
      <c r="J40" s="244" t="str">
        <f ca="1">IF(CommitmentsTable[[#This Row],[Date Assigned if different from entry date]]&lt;&gt;"",CommitmentsTable[[#This Row],[Date Assigned if different from entry date]]+30,IF(CommitmentsTable[[#This Row],[Date record entered]]&lt;&gt;"",CommitmentsTable[[#This Row],[Date record entered]]+30,""))</f>
        <v/>
      </c>
      <c r="K40" s="244"/>
      <c r="L40" s="244" t="str">
        <f ca="1">IF(CommitmentsTable[[#This Row],[Date Assigned if different from entry date]]&lt;&gt;"",CommitmentsTable[[#This Row],[Date Assigned if different from entry date]]+60,IF(CommitmentsTable[[#This Row],[Date record entered]]&lt;&gt;"",CommitmentsTable[[#This Row],[Date record entered]]+60,""))</f>
        <v/>
      </c>
      <c r="M40" s="257"/>
      <c r="N40" s="257"/>
      <c r="O40" s="258"/>
      <c r="P40" s="257"/>
      <c r="Q40" s="257"/>
      <c r="R40" s="257"/>
      <c r="S40" s="261" t="str">
        <f>IF(CommitmentsTable[[#This Row],[Commitment / deliverable]]="","",IF(CommitmentsTable[[#This Row],[Revised due]]&lt;&gt;"",CommitmentsTable[[#This Row],[Revised due]],CommitmentsTable[[#This Row],[Original due]]))</f>
        <v/>
      </c>
      <c r="T40" s="259" t="str">
        <f>IF(OR(CommitmentsTable[[#This Row],[Commitment / deliverable]]="",CommitmentsTable[[#This Row],[Owner]]=""),"",IF(CommitmentsTable[[#This Row],[Status2]]="","Open",CommitmentsTable[[#This Row],[Status2]]))</f>
        <v/>
      </c>
      <c r="U40" s="259" t="str">
        <f t="shared" ca="1" si="0"/>
        <v/>
      </c>
      <c r="V40" s="228"/>
      <c r="W40" s="63" t="s">
        <v>1007</v>
      </c>
    </row>
    <row r="41" spans="1:23" ht="26.15" customHeight="1">
      <c r="A41" s="260" t="str">
        <f>IF(OR(CommitmentsTable[[#This Row],[Commitment / deliverable]]="",CommitmentsTable[[#This Row],[Immutable Key]]=""),"",SUBSTITUTE(CommitmentsTable[[#This Row],[Immutable Key]],"-K-","-"))</f>
        <v/>
      </c>
      <c r="B41" s="228"/>
      <c r="C41" s="228"/>
      <c r="D41" s="260"/>
      <c r="E41" s="221"/>
      <c r="F41" s="260"/>
      <c r="G41" s="244" t="str">
        <f ca="1">IF(CommitmentsTable[[#This Row],[Commitment / deliverable]]="","",IF(CommitmentsTable[[#This Row],[Date record entered]]="",TODAY(),CommitmentsTable[[#This Row],[Date record entered]]))</f>
        <v/>
      </c>
      <c r="H41" s="244"/>
      <c r="I41" s="244" t="str">
        <f ca="1">IF(CommitmentsTable[[#This Row],[Date Assigned if different from entry date]]&lt;&gt;"",CommitmentsTable[[#This Row],[Date Assigned if different from entry date]]+90,IF(CommitmentsTable[[#This Row],[Date record entered]]&lt;&gt;"",CommitmentsTable[[#This Row],[Date record entered]]+90,""))</f>
        <v/>
      </c>
      <c r="J41" s="244" t="str">
        <f ca="1">IF(CommitmentsTable[[#This Row],[Date Assigned if different from entry date]]&lt;&gt;"",CommitmentsTable[[#This Row],[Date Assigned if different from entry date]]+30,IF(CommitmentsTable[[#This Row],[Date record entered]]&lt;&gt;"",CommitmentsTable[[#This Row],[Date record entered]]+30,""))</f>
        <v/>
      </c>
      <c r="K41" s="244"/>
      <c r="L41" s="244" t="str">
        <f ca="1">IF(CommitmentsTable[[#This Row],[Date Assigned if different from entry date]]&lt;&gt;"",CommitmentsTable[[#This Row],[Date Assigned if different from entry date]]+60,IF(CommitmentsTable[[#This Row],[Date record entered]]&lt;&gt;"",CommitmentsTable[[#This Row],[Date record entered]]+60,""))</f>
        <v/>
      </c>
      <c r="M41" s="257"/>
      <c r="N41" s="257"/>
      <c r="O41" s="258"/>
      <c r="P41" s="257"/>
      <c r="Q41" s="257"/>
      <c r="R41" s="257"/>
      <c r="S41" s="261" t="str">
        <f>IF(CommitmentsTable[[#This Row],[Commitment / deliverable]]="","",IF(CommitmentsTable[[#This Row],[Revised due]]&lt;&gt;"",CommitmentsTable[[#This Row],[Revised due]],CommitmentsTable[[#This Row],[Original due]]))</f>
        <v/>
      </c>
      <c r="T41" s="259" t="str">
        <f>IF(OR(CommitmentsTable[[#This Row],[Commitment / deliverable]]="",CommitmentsTable[[#This Row],[Owner]]=""),"",IF(CommitmentsTable[[#This Row],[Status2]]="","Open",CommitmentsTable[[#This Row],[Status2]]))</f>
        <v/>
      </c>
      <c r="U41" s="259" t="str">
        <f t="shared" ca="1" si="0"/>
        <v/>
      </c>
      <c r="V41" s="228"/>
      <c r="W41" s="63" t="s">
        <v>1008</v>
      </c>
    </row>
    <row r="42" spans="1:23" ht="26.15" customHeight="1">
      <c r="A42" s="260" t="str">
        <f>IF(OR(CommitmentsTable[[#This Row],[Commitment / deliverable]]="",CommitmentsTable[[#This Row],[Immutable Key]]=""),"",SUBSTITUTE(CommitmentsTable[[#This Row],[Immutable Key]],"-K-","-"))</f>
        <v/>
      </c>
      <c r="B42" s="228"/>
      <c r="C42" s="228"/>
      <c r="D42" s="260"/>
      <c r="E42" s="221"/>
      <c r="F42" s="260"/>
      <c r="G42" s="244" t="str">
        <f ca="1">IF(CommitmentsTable[[#This Row],[Commitment / deliverable]]="","",IF(CommitmentsTable[[#This Row],[Date record entered]]="",TODAY(),CommitmentsTable[[#This Row],[Date record entered]]))</f>
        <v/>
      </c>
      <c r="H42" s="244"/>
      <c r="I42" s="244" t="str">
        <f ca="1">IF(CommitmentsTable[[#This Row],[Date Assigned if different from entry date]]&lt;&gt;"",CommitmentsTable[[#This Row],[Date Assigned if different from entry date]]+90,IF(CommitmentsTable[[#This Row],[Date record entered]]&lt;&gt;"",CommitmentsTable[[#This Row],[Date record entered]]+90,""))</f>
        <v/>
      </c>
      <c r="J42" s="244" t="str">
        <f ca="1">IF(CommitmentsTable[[#This Row],[Date Assigned if different from entry date]]&lt;&gt;"",CommitmentsTable[[#This Row],[Date Assigned if different from entry date]]+30,IF(CommitmentsTable[[#This Row],[Date record entered]]&lt;&gt;"",CommitmentsTable[[#This Row],[Date record entered]]+30,""))</f>
        <v/>
      </c>
      <c r="K42" s="244"/>
      <c r="L42" s="244" t="str">
        <f ca="1">IF(CommitmentsTable[[#This Row],[Date Assigned if different from entry date]]&lt;&gt;"",CommitmentsTable[[#This Row],[Date Assigned if different from entry date]]+60,IF(CommitmentsTable[[#This Row],[Date record entered]]&lt;&gt;"",CommitmentsTable[[#This Row],[Date record entered]]+60,""))</f>
        <v/>
      </c>
      <c r="M42" s="257"/>
      <c r="N42" s="257"/>
      <c r="O42" s="258"/>
      <c r="P42" s="257"/>
      <c r="Q42" s="257"/>
      <c r="R42" s="257"/>
      <c r="S42" s="261" t="str">
        <f>IF(CommitmentsTable[[#This Row],[Commitment / deliverable]]="","",IF(CommitmentsTable[[#This Row],[Revised due]]&lt;&gt;"",CommitmentsTable[[#This Row],[Revised due]],CommitmentsTable[[#This Row],[Original due]]))</f>
        <v/>
      </c>
      <c r="T42" s="259" t="str">
        <f>IF(OR(CommitmentsTable[[#This Row],[Commitment / deliverable]]="",CommitmentsTable[[#This Row],[Owner]]=""),"",IF(CommitmentsTable[[#This Row],[Status2]]="","Open",CommitmentsTable[[#This Row],[Status2]]))</f>
        <v/>
      </c>
      <c r="U42" s="259" t="str">
        <f t="shared" ca="1" si="0"/>
        <v/>
      </c>
      <c r="V42" s="228"/>
      <c r="W42" s="63" t="s">
        <v>1009</v>
      </c>
    </row>
    <row r="43" spans="1:23" ht="26.15" customHeight="1">
      <c r="A43" s="260" t="str">
        <f>IF(OR(CommitmentsTable[[#This Row],[Commitment / deliverable]]="",CommitmentsTable[[#This Row],[Immutable Key]]=""),"",SUBSTITUTE(CommitmentsTable[[#This Row],[Immutable Key]],"-K-","-"))</f>
        <v/>
      </c>
      <c r="B43" s="228"/>
      <c r="C43" s="228"/>
      <c r="D43" s="260"/>
      <c r="E43" s="221"/>
      <c r="F43" s="260"/>
      <c r="G43" s="244" t="str">
        <f ca="1">IF(CommitmentsTable[[#This Row],[Commitment / deliverable]]="","",IF(CommitmentsTable[[#This Row],[Date record entered]]="",TODAY(),CommitmentsTable[[#This Row],[Date record entered]]))</f>
        <v/>
      </c>
      <c r="H43" s="244"/>
      <c r="I43" s="244" t="str">
        <f ca="1">IF(CommitmentsTable[[#This Row],[Date Assigned if different from entry date]]&lt;&gt;"",CommitmentsTable[[#This Row],[Date Assigned if different from entry date]]+90,IF(CommitmentsTable[[#This Row],[Date record entered]]&lt;&gt;"",CommitmentsTable[[#This Row],[Date record entered]]+90,""))</f>
        <v/>
      </c>
      <c r="J43" s="244" t="str">
        <f ca="1">IF(CommitmentsTable[[#This Row],[Date Assigned if different from entry date]]&lt;&gt;"",CommitmentsTable[[#This Row],[Date Assigned if different from entry date]]+30,IF(CommitmentsTable[[#This Row],[Date record entered]]&lt;&gt;"",CommitmentsTable[[#This Row],[Date record entered]]+30,""))</f>
        <v/>
      </c>
      <c r="K43" s="244"/>
      <c r="L43" s="244" t="str">
        <f ca="1">IF(CommitmentsTable[[#This Row],[Date Assigned if different from entry date]]&lt;&gt;"",CommitmentsTable[[#This Row],[Date Assigned if different from entry date]]+60,IF(CommitmentsTable[[#This Row],[Date record entered]]&lt;&gt;"",CommitmentsTable[[#This Row],[Date record entered]]+60,""))</f>
        <v/>
      </c>
      <c r="M43" s="257"/>
      <c r="N43" s="257"/>
      <c r="O43" s="258"/>
      <c r="P43" s="257"/>
      <c r="Q43" s="257"/>
      <c r="R43" s="257"/>
      <c r="S43" s="261" t="str">
        <f>IF(CommitmentsTable[[#This Row],[Commitment / deliverable]]="","",IF(CommitmentsTable[[#This Row],[Revised due]]&lt;&gt;"",CommitmentsTable[[#This Row],[Revised due]],CommitmentsTable[[#This Row],[Original due]]))</f>
        <v/>
      </c>
      <c r="T43" s="259" t="str">
        <f>IF(OR(CommitmentsTable[[#This Row],[Commitment / deliverable]]="",CommitmentsTable[[#This Row],[Owner]]=""),"",IF(CommitmentsTable[[#This Row],[Status2]]="","Open",CommitmentsTable[[#This Row],[Status2]]))</f>
        <v/>
      </c>
      <c r="U43" s="259" t="str">
        <f t="shared" ca="1" si="0"/>
        <v/>
      </c>
      <c r="V43" s="228"/>
      <c r="W43" s="63" t="s">
        <v>1010</v>
      </c>
    </row>
    <row r="44" spans="1:23" ht="26.15" customHeight="1">
      <c r="A44" s="260" t="str">
        <f>IF(OR(CommitmentsTable[[#This Row],[Commitment / deliverable]]="",CommitmentsTable[[#This Row],[Immutable Key]]=""),"",SUBSTITUTE(CommitmentsTable[[#This Row],[Immutable Key]],"-K-","-"))</f>
        <v/>
      </c>
      <c r="B44" s="228"/>
      <c r="C44" s="228"/>
      <c r="D44" s="260"/>
      <c r="E44" s="221"/>
      <c r="F44" s="260"/>
      <c r="G44" s="244" t="str">
        <f ca="1">IF(CommitmentsTable[[#This Row],[Commitment / deliverable]]="","",IF(CommitmentsTable[[#This Row],[Date record entered]]="",TODAY(),CommitmentsTable[[#This Row],[Date record entered]]))</f>
        <v/>
      </c>
      <c r="H44" s="244"/>
      <c r="I44" s="244" t="str">
        <f ca="1">IF(CommitmentsTable[[#This Row],[Date Assigned if different from entry date]]&lt;&gt;"",CommitmentsTable[[#This Row],[Date Assigned if different from entry date]]+90,IF(CommitmentsTable[[#This Row],[Date record entered]]&lt;&gt;"",CommitmentsTable[[#This Row],[Date record entered]]+90,""))</f>
        <v/>
      </c>
      <c r="J44" s="244" t="str">
        <f ca="1">IF(CommitmentsTable[[#This Row],[Date Assigned if different from entry date]]&lt;&gt;"",CommitmentsTable[[#This Row],[Date Assigned if different from entry date]]+30,IF(CommitmentsTable[[#This Row],[Date record entered]]&lt;&gt;"",CommitmentsTable[[#This Row],[Date record entered]]+30,""))</f>
        <v/>
      </c>
      <c r="K44" s="244"/>
      <c r="L44" s="244" t="str">
        <f ca="1">IF(CommitmentsTable[[#This Row],[Date Assigned if different from entry date]]&lt;&gt;"",CommitmentsTable[[#This Row],[Date Assigned if different from entry date]]+60,IF(CommitmentsTable[[#This Row],[Date record entered]]&lt;&gt;"",CommitmentsTable[[#This Row],[Date record entered]]+60,""))</f>
        <v/>
      </c>
      <c r="M44" s="257"/>
      <c r="N44" s="257"/>
      <c r="O44" s="258"/>
      <c r="P44" s="257"/>
      <c r="Q44" s="257"/>
      <c r="R44" s="257"/>
      <c r="S44" s="261" t="str">
        <f>IF(CommitmentsTable[[#This Row],[Commitment / deliverable]]="","",IF(CommitmentsTable[[#This Row],[Revised due]]&lt;&gt;"",CommitmentsTable[[#This Row],[Revised due]],CommitmentsTable[[#This Row],[Original due]]))</f>
        <v/>
      </c>
      <c r="T44" s="259" t="str">
        <f>IF(OR(CommitmentsTable[[#This Row],[Commitment / deliverable]]="",CommitmentsTable[[#This Row],[Owner]]=""),"",IF(CommitmentsTable[[#This Row],[Status2]]="","Open",CommitmentsTable[[#This Row],[Status2]]))</f>
        <v/>
      </c>
      <c r="U44" s="259" t="str">
        <f t="shared" ca="1" si="0"/>
        <v/>
      </c>
      <c r="V44" s="228"/>
      <c r="W44" s="63" t="s">
        <v>1011</v>
      </c>
    </row>
    <row r="45" spans="1:23" ht="26.15" customHeight="1">
      <c r="A45" s="260" t="str">
        <f>IF(OR(CommitmentsTable[[#This Row],[Commitment / deliverable]]="",CommitmentsTable[[#This Row],[Immutable Key]]=""),"",SUBSTITUTE(CommitmentsTable[[#This Row],[Immutable Key]],"-K-","-"))</f>
        <v/>
      </c>
      <c r="B45" s="228"/>
      <c r="C45" s="228"/>
      <c r="D45" s="260"/>
      <c r="E45" s="221"/>
      <c r="F45" s="260"/>
      <c r="G45" s="244" t="str">
        <f ca="1">IF(CommitmentsTable[[#This Row],[Commitment / deliverable]]="","",IF(CommitmentsTable[[#This Row],[Date record entered]]="",TODAY(),CommitmentsTable[[#This Row],[Date record entered]]))</f>
        <v/>
      </c>
      <c r="H45" s="244"/>
      <c r="I45" s="244" t="str">
        <f ca="1">IF(CommitmentsTable[[#This Row],[Date Assigned if different from entry date]]&lt;&gt;"",CommitmentsTable[[#This Row],[Date Assigned if different from entry date]]+90,IF(CommitmentsTable[[#This Row],[Date record entered]]&lt;&gt;"",CommitmentsTable[[#This Row],[Date record entered]]+90,""))</f>
        <v/>
      </c>
      <c r="J45" s="244" t="str">
        <f ca="1">IF(CommitmentsTable[[#This Row],[Date Assigned if different from entry date]]&lt;&gt;"",CommitmentsTable[[#This Row],[Date Assigned if different from entry date]]+30,IF(CommitmentsTable[[#This Row],[Date record entered]]&lt;&gt;"",CommitmentsTable[[#This Row],[Date record entered]]+30,""))</f>
        <v/>
      </c>
      <c r="K45" s="244"/>
      <c r="L45" s="244" t="str">
        <f ca="1">IF(CommitmentsTable[[#This Row],[Date Assigned if different from entry date]]&lt;&gt;"",CommitmentsTable[[#This Row],[Date Assigned if different from entry date]]+60,IF(CommitmentsTable[[#This Row],[Date record entered]]&lt;&gt;"",CommitmentsTable[[#This Row],[Date record entered]]+60,""))</f>
        <v/>
      </c>
      <c r="M45" s="257"/>
      <c r="N45" s="257"/>
      <c r="O45" s="258"/>
      <c r="P45" s="257"/>
      <c r="Q45" s="257"/>
      <c r="R45" s="257"/>
      <c r="S45" s="261" t="str">
        <f>IF(CommitmentsTable[[#This Row],[Commitment / deliverable]]="","",IF(CommitmentsTable[[#This Row],[Revised due]]&lt;&gt;"",CommitmentsTable[[#This Row],[Revised due]],CommitmentsTable[[#This Row],[Original due]]))</f>
        <v/>
      </c>
      <c r="T45" s="259" t="str">
        <f>IF(OR(CommitmentsTable[[#This Row],[Commitment / deliverable]]="",CommitmentsTable[[#This Row],[Owner]]=""),"",IF(CommitmentsTable[[#This Row],[Status2]]="","Open",CommitmentsTable[[#This Row],[Status2]]))</f>
        <v/>
      </c>
      <c r="U45" s="259" t="str">
        <f t="shared" ca="1" si="0"/>
        <v/>
      </c>
      <c r="V45" s="228"/>
      <c r="W45" s="63" t="s">
        <v>1012</v>
      </c>
    </row>
    <row r="46" spans="1:23" ht="26.15" customHeight="1">
      <c r="A46" s="260" t="str">
        <f>IF(OR(CommitmentsTable[[#This Row],[Commitment / deliverable]]="",CommitmentsTable[[#This Row],[Immutable Key]]=""),"",SUBSTITUTE(CommitmentsTable[[#This Row],[Immutable Key]],"-K-","-"))</f>
        <v/>
      </c>
      <c r="B46" s="228"/>
      <c r="C46" s="228"/>
      <c r="D46" s="260"/>
      <c r="E46" s="221"/>
      <c r="F46" s="260"/>
      <c r="G46" s="244" t="str">
        <f ca="1">IF(CommitmentsTable[[#This Row],[Commitment / deliverable]]="","",IF(CommitmentsTable[[#This Row],[Date record entered]]="",TODAY(),CommitmentsTable[[#This Row],[Date record entered]]))</f>
        <v/>
      </c>
      <c r="H46" s="244"/>
      <c r="I46" s="244" t="str">
        <f ca="1">IF(CommitmentsTable[[#This Row],[Date Assigned if different from entry date]]&lt;&gt;"",CommitmentsTable[[#This Row],[Date Assigned if different from entry date]]+90,IF(CommitmentsTable[[#This Row],[Date record entered]]&lt;&gt;"",CommitmentsTable[[#This Row],[Date record entered]]+90,""))</f>
        <v/>
      </c>
      <c r="J46" s="244" t="str">
        <f ca="1">IF(CommitmentsTable[[#This Row],[Date Assigned if different from entry date]]&lt;&gt;"",CommitmentsTable[[#This Row],[Date Assigned if different from entry date]]+30,IF(CommitmentsTable[[#This Row],[Date record entered]]&lt;&gt;"",CommitmentsTable[[#This Row],[Date record entered]]+30,""))</f>
        <v/>
      </c>
      <c r="K46" s="244"/>
      <c r="L46" s="244" t="str">
        <f ca="1">IF(CommitmentsTable[[#This Row],[Date Assigned if different from entry date]]&lt;&gt;"",CommitmentsTable[[#This Row],[Date Assigned if different from entry date]]+60,IF(CommitmentsTable[[#This Row],[Date record entered]]&lt;&gt;"",CommitmentsTable[[#This Row],[Date record entered]]+60,""))</f>
        <v/>
      </c>
      <c r="M46" s="257"/>
      <c r="N46" s="257"/>
      <c r="O46" s="258"/>
      <c r="P46" s="257"/>
      <c r="Q46" s="257"/>
      <c r="R46" s="257"/>
      <c r="S46" s="261" t="str">
        <f>IF(CommitmentsTable[[#This Row],[Commitment / deliverable]]="","",IF(CommitmentsTable[[#This Row],[Revised due]]&lt;&gt;"",CommitmentsTable[[#This Row],[Revised due]],CommitmentsTable[[#This Row],[Original due]]))</f>
        <v/>
      </c>
      <c r="T46" s="259" t="str">
        <f>IF(OR(CommitmentsTable[[#This Row],[Commitment / deliverable]]="",CommitmentsTable[[#This Row],[Owner]]=""),"",IF(CommitmentsTable[[#This Row],[Status2]]="","Open",CommitmentsTable[[#This Row],[Status2]]))</f>
        <v/>
      </c>
      <c r="U46" s="259" t="str">
        <f t="shared" ca="1" si="0"/>
        <v/>
      </c>
      <c r="V46" s="228"/>
      <c r="W46" s="63" t="s">
        <v>1013</v>
      </c>
    </row>
    <row r="47" spans="1:23" ht="26.15" customHeight="1">
      <c r="A47" s="260" t="str">
        <f>IF(OR(CommitmentsTable[[#This Row],[Commitment / deliverable]]="",CommitmentsTable[[#This Row],[Immutable Key]]=""),"",SUBSTITUTE(CommitmentsTable[[#This Row],[Immutable Key]],"-K-","-"))</f>
        <v/>
      </c>
      <c r="B47" s="228"/>
      <c r="C47" s="228"/>
      <c r="D47" s="260"/>
      <c r="E47" s="221"/>
      <c r="F47" s="260"/>
      <c r="G47" s="244" t="str">
        <f ca="1">IF(CommitmentsTable[[#This Row],[Commitment / deliverable]]="","",IF(CommitmentsTable[[#This Row],[Date record entered]]="",TODAY(),CommitmentsTable[[#This Row],[Date record entered]]))</f>
        <v/>
      </c>
      <c r="H47" s="244"/>
      <c r="I47" s="244" t="str">
        <f ca="1">IF(CommitmentsTable[[#This Row],[Date Assigned if different from entry date]]&lt;&gt;"",CommitmentsTable[[#This Row],[Date Assigned if different from entry date]]+90,IF(CommitmentsTable[[#This Row],[Date record entered]]&lt;&gt;"",CommitmentsTable[[#This Row],[Date record entered]]+90,""))</f>
        <v/>
      </c>
      <c r="J47" s="244" t="str">
        <f ca="1">IF(CommitmentsTable[[#This Row],[Date Assigned if different from entry date]]&lt;&gt;"",CommitmentsTable[[#This Row],[Date Assigned if different from entry date]]+30,IF(CommitmentsTable[[#This Row],[Date record entered]]&lt;&gt;"",CommitmentsTable[[#This Row],[Date record entered]]+30,""))</f>
        <v/>
      </c>
      <c r="K47" s="244"/>
      <c r="L47" s="244" t="str">
        <f ca="1">IF(CommitmentsTable[[#This Row],[Date Assigned if different from entry date]]&lt;&gt;"",CommitmentsTable[[#This Row],[Date Assigned if different from entry date]]+60,IF(CommitmentsTable[[#This Row],[Date record entered]]&lt;&gt;"",CommitmentsTable[[#This Row],[Date record entered]]+60,""))</f>
        <v/>
      </c>
      <c r="M47" s="257"/>
      <c r="N47" s="257"/>
      <c r="O47" s="258"/>
      <c r="P47" s="257"/>
      <c r="Q47" s="257"/>
      <c r="R47" s="257"/>
      <c r="S47" s="261" t="str">
        <f>IF(CommitmentsTable[[#This Row],[Commitment / deliverable]]="","",IF(CommitmentsTable[[#This Row],[Revised due]]&lt;&gt;"",CommitmentsTable[[#This Row],[Revised due]],CommitmentsTable[[#This Row],[Original due]]))</f>
        <v/>
      </c>
      <c r="T47" s="259" t="str">
        <f>IF(OR(CommitmentsTable[[#This Row],[Commitment / deliverable]]="",CommitmentsTable[[#This Row],[Owner]]=""),"",IF(CommitmentsTable[[#This Row],[Status2]]="","Open",CommitmentsTable[[#This Row],[Status2]]))</f>
        <v/>
      </c>
      <c r="U47" s="259" t="str">
        <f t="shared" ca="1" si="0"/>
        <v/>
      </c>
      <c r="V47" s="228"/>
      <c r="W47" s="63" t="s">
        <v>1014</v>
      </c>
    </row>
    <row r="48" spans="1:23" ht="26.15" customHeight="1">
      <c r="A48" s="260" t="str">
        <f>IF(OR(CommitmentsTable[[#This Row],[Commitment / deliverable]]="",CommitmentsTable[[#This Row],[Immutable Key]]=""),"",SUBSTITUTE(CommitmentsTable[[#This Row],[Immutable Key]],"-K-","-"))</f>
        <v/>
      </c>
      <c r="B48" s="228"/>
      <c r="C48" s="228"/>
      <c r="D48" s="260"/>
      <c r="E48" s="221"/>
      <c r="F48" s="260"/>
      <c r="G48" s="244" t="str">
        <f ca="1">IF(CommitmentsTable[[#This Row],[Commitment / deliverable]]="","",IF(CommitmentsTable[[#This Row],[Date record entered]]="",TODAY(),CommitmentsTable[[#This Row],[Date record entered]]))</f>
        <v/>
      </c>
      <c r="H48" s="244"/>
      <c r="I48" s="244" t="str">
        <f ca="1">IF(CommitmentsTable[[#This Row],[Date Assigned if different from entry date]]&lt;&gt;"",CommitmentsTable[[#This Row],[Date Assigned if different from entry date]]+90,IF(CommitmentsTable[[#This Row],[Date record entered]]&lt;&gt;"",CommitmentsTable[[#This Row],[Date record entered]]+90,""))</f>
        <v/>
      </c>
      <c r="J48" s="244" t="str">
        <f ca="1">IF(CommitmentsTable[[#This Row],[Date Assigned if different from entry date]]&lt;&gt;"",CommitmentsTable[[#This Row],[Date Assigned if different from entry date]]+30,IF(CommitmentsTable[[#This Row],[Date record entered]]&lt;&gt;"",CommitmentsTable[[#This Row],[Date record entered]]+30,""))</f>
        <v/>
      </c>
      <c r="K48" s="244"/>
      <c r="L48" s="244" t="str">
        <f ca="1">IF(CommitmentsTable[[#This Row],[Date Assigned if different from entry date]]&lt;&gt;"",CommitmentsTable[[#This Row],[Date Assigned if different from entry date]]+60,IF(CommitmentsTable[[#This Row],[Date record entered]]&lt;&gt;"",CommitmentsTable[[#This Row],[Date record entered]]+60,""))</f>
        <v/>
      </c>
      <c r="M48" s="257"/>
      <c r="N48" s="257"/>
      <c r="O48" s="258"/>
      <c r="P48" s="257"/>
      <c r="Q48" s="257"/>
      <c r="R48" s="257"/>
      <c r="S48" s="261" t="str">
        <f>IF(CommitmentsTable[[#This Row],[Commitment / deliverable]]="","",IF(CommitmentsTable[[#This Row],[Revised due]]&lt;&gt;"",CommitmentsTable[[#This Row],[Revised due]],CommitmentsTable[[#This Row],[Original due]]))</f>
        <v/>
      </c>
      <c r="T48" s="259" t="str">
        <f>IF(OR(CommitmentsTable[[#This Row],[Commitment / deliverable]]="",CommitmentsTable[[#This Row],[Owner]]=""),"",IF(CommitmentsTable[[#This Row],[Status2]]="","Open",CommitmentsTable[[#This Row],[Status2]]))</f>
        <v/>
      </c>
      <c r="U48" s="259" t="str">
        <f t="shared" ca="1" si="0"/>
        <v/>
      </c>
      <c r="V48" s="228"/>
      <c r="W48" s="63" t="s">
        <v>1015</v>
      </c>
    </row>
    <row r="49" spans="1:23" ht="26.15" customHeight="1">
      <c r="A49" s="260" t="str">
        <f>IF(OR(CommitmentsTable[[#This Row],[Commitment / deliverable]]="",CommitmentsTable[[#This Row],[Immutable Key]]=""),"",SUBSTITUTE(CommitmentsTable[[#This Row],[Immutable Key]],"-K-","-"))</f>
        <v/>
      </c>
      <c r="B49" s="228"/>
      <c r="C49" s="228"/>
      <c r="D49" s="260"/>
      <c r="E49" s="221"/>
      <c r="F49" s="260"/>
      <c r="G49" s="244" t="str">
        <f ca="1">IF(CommitmentsTable[[#This Row],[Commitment / deliverable]]="","",IF(CommitmentsTable[[#This Row],[Date record entered]]="",TODAY(),CommitmentsTable[[#This Row],[Date record entered]]))</f>
        <v/>
      </c>
      <c r="H49" s="244"/>
      <c r="I49" s="244" t="str">
        <f ca="1">IF(CommitmentsTable[[#This Row],[Date Assigned if different from entry date]]&lt;&gt;"",CommitmentsTable[[#This Row],[Date Assigned if different from entry date]]+90,IF(CommitmentsTable[[#This Row],[Date record entered]]&lt;&gt;"",CommitmentsTable[[#This Row],[Date record entered]]+90,""))</f>
        <v/>
      </c>
      <c r="J49" s="244" t="str">
        <f ca="1">IF(CommitmentsTable[[#This Row],[Date Assigned if different from entry date]]&lt;&gt;"",CommitmentsTable[[#This Row],[Date Assigned if different from entry date]]+30,IF(CommitmentsTable[[#This Row],[Date record entered]]&lt;&gt;"",CommitmentsTable[[#This Row],[Date record entered]]+30,""))</f>
        <v/>
      </c>
      <c r="K49" s="244"/>
      <c r="L49" s="244" t="str">
        <f ca="1">IF(CommitmentsTable[[#This Row],[Date Assigned if different from entry date]]&lt;&gt;"",CommitmentsTable[[#This Row],[Date Assigned if different from entry date]]+60,IF(CommitmentsTable[[#This Row],[Date record entered]]&lt;&gt;"",CommitmentsTable[[#This Row],[Date record entered]]+60,""))</f>
        <v/>
      </c>
      <c r="M49" s="257"/>
      <c r="N49" s="257"/>
      <c r="O49" s="258"/>
      <c r="P49" s="257"/>
      <c r="Q49" s="257"/>
      <c r="R49" s="257"/>
      <c r="S49" s="261" t="str">
        <f>IF(CommitmentsTable[[#This Row],[Commitment / deliverable]]="","",IF(CommitmentsTable[[#This Row],[Revised due]]&lt;&gt;"",CommitmentsTable[[#This Row],[Revised due]],CommitmentsTable[[#This Row],[Original due]]))</f>
        <v/>
      </c>
      <c r="T49" s="259" t="str">
        <f>IF(OR(CommitmentsTable[[#This Row],[Commitment / deliverable]]="",CommitmentsTable[[#This Row],[Owner]]=""),"",IF(CommitmentsTable[[#This Row],[Status2]]="","Open",CommitmentsTable[[#This Row],[Status2]]))</f>
        <v/>
      </c>
      <c r="U49" s="259" t="str">
        <f t="shared" ca="1" si="0"/>
        <v/>
      </c>
      <c r="V49" s="228"/>
      <c r="W49" s="63" t="s">
        <v>1016</v>
      </c>
    </row>
    <row r="50" spans="1:23" ht="26.15" customHeight="1">
      <c r="A50" s="260" t="str">
        <f>IF(OR(CommitmentsTable[[#This Row],[Commitment / deliverable]]="",CommitmentsTable[[#This Row],[Immutable Key]]=""),"",SUBSTITUTE(CommitmentsTable[[#This Row],[Immutable Key]],"-K-","-"))</f>
        <v/>
      </c>
      <c r="B50" s="228"/>
      <c r="C50" s="228"/>
      <c r="D50" s="260"/>
      <c r="E50" s="221"/>
      <c r="F50" s="260"/>
      <c r="G50" s="244" t="str">
        <f ca="1">IF(CommitmentsTable[[#This Row],[Commitment / deliverable]]="","",IF(CommitmentsTable[[#This Row],[Date record entered]]="",TODAY(),CommitmentsTable[[#This Row],[Date record entered]]))</f>
        <v/>
      </c>
      <c r="H50" s="244"/>
      <c r="I50" s="244" t="str">
        <f ca="1">IF(CommitmentsTable[[#This Row],[Date Assigned if different from entry date]]&lt;&gt;"",CommitmentsTable[[#This Row],[Date Assigned if different from entry date]]+90,IF(CommitmentsTable[[#This Row],[Date record entered]]&lt;&gt;"",CommitmentsTable[[#This Row],[Date record entered]]+90,""))</f>
        <v/>
      </c>
      <c r="J50" s="244" t="str">
        <f ca="1">IF(CommitmentsTable[[#This Row],[Date Assigned if different from entry date]]&lt;&gt;"",CommitmentsTable[[#This Row],[Date Assigned if different from entry date]]+30,IF(CommitmentsTable[[#This Row],[Date record entered]]&lt;&gt;"",CommitmentsTable[[#This Row],[Date record entered]]+30,""))</f>
        <v/>
      </c>
      <c r="K50" s="244"/>
      <c r="L50" s="244" t="str">
        <f ca="1">IF(CommitmentsTable[[#This Row],[Date Assigned if different from entry date]]&lt;&gt;"",CommitmentsTable[[#This Row],[Date Assigned if different from entry date]]+60,IF(CommitmentsTable[[#This Row],[Date record entered]]&lt;&gt;"",CommitmentsTable[[#This Row],[Date record entered]]+60,""))</f>
        <v/>
      </c>
      <c r="M50" s="257"/>
      <c r="N50" s="257"/>
      <c r="O50" s="258"/>
      <c r="P50" s="257"/>
      <c r="Q50" s="257"/>
      <c r="R50" s="257"/>
      <c r="S50" s="261" t="str">
        <f>IF(CommitmentsTable[[#This Row],[Commitment / deliverable]]="","",IF(CommitmentsTable[[#This Row],[Revised due]]&lt;&gt;"",CommitmentsTable[[#This Row],[Revised due]],CommitmentsTable[[#This Row],[Original due]]))</f>
        <v/>
      </c>
      <c r="T50" s="259" t="str">
        <f>IF(OR(CommitmentsTable[[#This Row],[Commitment / deliverable]]="",CommitmentsTable[[#This Row],[Owner]]=""),"",IF(CommitmentsTable[[#This Row],[Status2]]="","Open",CommitmentsTable[[#This Row],[Status2]]))</f>
        <v/>
      </c>
      <c r="U50" s="259" t="str">
        <f t="shared" ca="1" si="0"/>
        <v/>
      </c>
      <c r="V50" s="228"/>
      <c r="W50" s="63" t="s">
        <v>1017</v>
      </c>
    </row>
    <row r="51" spans="1:23" ht="26.15" customHeight="1">
      <c r="A51" s="213" t="str">
        <f>IF(OR(CommitmentsTable[[#This Row],[Commitment / deliverable]]="",CommitmentsTable[[#This Row],[Immutable Key]]=""),"",SUBSTITUTE(CommitmentsTable[[#This Row],[Immutable Key]],"-K-","-"))</f>
        <v/>
      </c>
      <c r="B51" s="233"/>
      <c r="C51" s="233"/>
      <c r="D51" s="213"/>
      <c r="E51" s="230"/>
      <c r="F51" s="213"/>
      <c r="G51" s="245" t="str">
        <f ca="1">IF(CommitmentsTable[[#This Row],[Commitment / deliverable]]="","",IF(CommitmentsTable[[#This Row],[Date record entered]]="",TODAY(),CommitmentsTable[[#This Row],[Date record entered]]))</f>
        <v/>
      </c>
      <c r="H51" s="245"/>
      <c r="I51" s="245" t="str">
        <f ca="1">IF(CommitmentsTable[[#This Row],[Date Assigned if different from entry date]]&lt;&gt;"",CommitmentsTable[[#This Row],[Date Assigned if different from entry date]]+90,IF(CommitmentsTable[[#This Row],[Date record entered]]&lt;&gt;"",CommitmentsTable[[#This Row],[Date record entered]]+90,""))</f>
        <v/>
      </c>
      <c r="J51" s="245" t="str">
        <f ca="1">IF(CommitmentsTable[[#This Row],[Date Assigned if different from entry date]]&lt;&gt;"",CommitmentsTable[[#This Row],[Date Assigned if different from entry date]]+30,IF(CommitmentsTable[[#This Row],[Date record entered]]&lt;&gt;"",CommitmentsTable[[#This Row],[Date record entered]]+30,""))</f>
        <v/>
      </c>
      <c r="K51" s="245"/>
      <c r="L51" s="245" t="str">
        <f ca="1">IF(CommitmentsTable[[#This Row],[Date Assigned if different from entry date]]&lt;&gt;"",CommitmentsTable[[#This Row],[Date Assigned if different from entry date]]+60,IF(CommitmentsTable[[#This Row],[Date record entered]]&lt;&gt;"",CommitmentsTable[[#This Row],[Date record entered]]+60,""))</f>
        <v/>
      </c>
      <c r="M51" s="214"/>
      <c r="N51" s="214"/>
      <c r="O51" s="236"/>
      <c r="P51" s="214"/>
      <c r="Q51" s="214"/>
      <c r="R51" s="214"/>
      <c r="S51" s="238" t="str">
        <f>IF(CommitmentsTable[[#This Row],[Commitment / deliverable]]="","",IF(CommitmentsTable[[#This Row],[Revised due]]&lt;&gt;"",CommitmentsTable[[#This Row],[Revised due]],CommitmentsTable[[#This Row],[Original due]]))</f>
        <v/>
      </c>
      <c r="T51" s="237" t="str">
        <f>IF(OR(CommitmentsTable[[#This Row],[Commitment / deliverable]]="",CommitmentsTable[[#This Row],[Owner]]=""),"",IF(CommitmentsTable[[#This Row],[Status2]]="","Open",CommitmentsTable[[#This Row],[Status2]]))</f>
        <v/>
      </c>
      <c r="U51" s="237" t="str">
        <f t="shared" ca="1" si="0"/>
        <v/>
      </c>
      <c r="V51" s="233"/>
      <c r="W51" s="63" t="s">
        <v>1018</v>
      </c>
    </row>
    <row r="52" spans="1:23" ht="26.15" customHeight="1">
      <c r="A52" s="213" t="str">
        <f>IF(OR(CommitmentsTable[[#This Row],[Commitment / deliverable]]="",CommitmentsTable[[#This Row],[Immutable Key]]=""),"",SUBSTITUTE(CommitmentsTable[[#This Row],[Immutable Key]],"-K-","-"))</f>
        <v/>
      </c>
      <c r="B52" s="233"/>
      <c r="C52" s="233"/>
      <c r="D52" s="213"/>
      <c r="E52" s="230"/>
      <c r="F52" s="213"/>
      <c r="G52" s="245" t="str">
        <f ca="1">IF(CommitmentsTable[[#This Row],[Commitment / deliverable]]="","",IF(CommitmentsTable[[#This Row],[Date record entered]]="",TODAY(),CommitmentsTable[[#This Row],[Date record entered]]))</f>
        <v/>
      </c>
      <c r="H52" s="245"/>
      <c r="I52" s="245" t="str">
        <f ca="1">IF(CommitmentsTable[[#This Row],[Date Assigned if different from entry date]]&lt;&gt;"",CommitmentsTable[[#This Row],[Date Assigned if different from entry date]]+90,IF(CommitmentsTable[[#This Row],[Date record entered]]&lt;&gt;"",CommitmentsTable[[#This Row],[Date record entered]]+90,""))</f>
        <v/>
      </c>
      <c r="J52" s="245" t="str">
        <f ca="1">IF(CommitmentsTable[[#This Row],[Date Assigned if different from entry date]]&lt;&gt;"",CommitmentsTable[[#This Row],[Date Assigned if different from entry date]]+30,IF(CommitmentsTable[[#This Row],[Date record entered]]&lt;&gt;"",CommitmentsTable[[#This Row],[Date record entered]]+30,""))</f>
        <v/>
      </c>
      <c r="K52" s="245"/>
      <c r="L52" s="245" t="str">
        <f ca="1">IF(CommitmentsTable[[#This Row],[Date Assigned if different from entry date]]&lt;&gt;"",CommitmentsTable[[#This Row],[Date Assigned if different from entry date]]+60,IF(CommitmentsTable[[#This Row],[Date record entered]]&lt;&gt;"",CommitmentsTable[[#This Row],[Date record entered]]+60,""))</f>
        <v/>
      </c>
      <c r="M52" s="214"/>
      <c r="N52" s="214"/>
      <c r="O52" s="236"/>
      <c r="P52" s="214"/>
      <c r="Q52" s="214"/>
      <c r="R52" s="214"/>
      <c r="S52" s="238" t="str">
        <f>IF(CommitmentsTable[[#This Row],[Commitment / deliverable]]="","",IF(CommitmentsTable[[#This Row],[Revised due]]&lt;&gt;"",CommitmentsTable[[#This Row],[Revised due]],CommitmentsTable[[#This Row],[Original due]]))</f>
        <v/>
      </c>
      <c r="T52" s="237" t="str">
        <f>IF(OR(CommitmentsTable[[#This Row],[Commitment / deliverable]]="",CommitmentsTable[[#This Row],[Owner]]=""),"",IF(CommitmentsTable[[#This Row],[Status2]]="","Open",CommitmentsTable[[#This Row],[Status2]]))</f>
        <v/>
      </c>
      <c r="U52" s="237" t="str">
        <f t="shared" ca="1" si="0"/>
        <v/>
      </c>
      <c r="V52" s="233"/>
      <c r="W52" s="63" t="s">
        <v>1019</v>
      </c>
    </row>
    <row r="53" spans="1:23" ht="26.15" customHeight="1">
      <c r="A53" s="213" t="str">
        <f>IF(OR(CommitmentsTable[[#This Row],[Commitment / deliverable]]="",CommitmentsTable[[#This Row],[Immutable Key]]=""),"",SUBSTITUTE(CommitmentsTable[[#This Row],[Immutable Key]],"-K-","-"))</f>
        <v/>
      </c>
      <c r="B53" s="233"/>
      <c r="C53" s="233"/>
      <c r="D53" s="213"/>
      <c r="E53" s="230"/>
      <c r="F53" s="213"/>
      <c r="G53" s="245" t="str">
        <f ca="1">IF(CommitmentsTable[[#This Row],[Commitment / deliverable]]="","",IF(CommitmentsTable[[#This Row],[Date record entered]]="",TODAY(),CommitmentsTable[[#This Row],[Date record entered]]))</f>
        <v/>
      </c>
      <c r="H53" s="245"/>
      <c r="I53" s="245" t="str">
        <f ca="1">IF(CommitmentsTable[[#This Row],[Date Assigned if different from entry date]]&lt;&gt;"",CommitmentsTable[[#This Row],[Date Assigned if different from entry date]]+90,IF(CommitmentsTable[[#This Row],[Date record entered]]&lt;&gt;"",CommitmentsTable[[#This Row],[Date record entered]]+90,""))</f>
        <v/>
      </c>
      <c r="J53" s="245" t="str">
        <f ca="1">IF(CommitmentsTable[[#This Row],[Date Assigned if different from entry date]]&lt;&gt;"",CommitmentsTable[[#This Row],[Date Assigned if different from entry date]]+30,IF(CommitmentsTable[[#This Row],[Date record entered]]&lt;&gt;"",CommitmentsTable[[#This Row],[Date record entered]]+30,""))</f>
        <v/>
      </c>
      <c r="K53" s="245"/>
      <c r="L53" s="245" t="str">
        <f ca="1">IF(CommitmentsTable[[#This Row],[Date Assigned if different from entry date]]&lt;&gt;"",CommitmentsTable[[#This Row],[Date Assigned if different from entry date]]+60,IF(CommitmentsTable[[#This Row],[Date record entered]]&lt;&gt;"",CommitmentsTable[[#This Row],[Date record entered]]+60,""))</f>
        <v/>
      </c>
      <c r="M53" s="214"/>
      <c r="N53" s="214"/>
      <c r="O53" s="236"/>
      <c r="P53" s="214"/>
      <c r="Q53" s="214"/>
      <c r="R53" s="214"/>
      <c r="S53" s="238" t="str">
        <f>IF(CommitmentsTable[[#This Row],[Commitment / deliverable]]="","",IF(CommitmentsTable[[#This Row],[Revised due]]&lt;&gt;"",CommitmentsTable[[#This Row],[Revised due]],CommitmentsTable[[#This Row],[Original due]]))</f>
        <v/>
      </c>
      <c r="T53" s="237" t="str">
        <f>IF(OR(CommitmentsTable[[#This Row],[Commitment / deliverable]]="",CommitmentsTable[[#This Row],[Owner]]=""),"",IF(CommitmentsTable[[#This Row],[Status2]]="","Open",CommitmentsTable[[#This Row],[Status2]]))</f>
        <v/>
      </c>
      <c r="U53" s="237" t="str">
        <f t="shared" ca="1" si="0"/>
        <v/>
      </c>
      <c r="V53" s="233"/>
      <c r="W53" s="63" t="s">
        <v>1020</v>
      </c>
    </row>
    <row r="54" spans="1:23" ht="26.15" customHeight="1">
      <c r="A54" s="213" t="str">
        <f>IF(OR(CommitmentsTable[[#This Row],[Commitment / deliverable]]="",CommitmentsTable[[#This Row],[Immutable Key]]=""),"",SUBSTITUTE(CommitmentsTable[[#This Row],[Immutable Key]],"-K-","-"))</f>
        <v/>
      </c>
      <c r="B54" s="233"/>
      <c r="C54" s="233"/>
      <c r="D54" s="213"/>
      <c r="E54" s="230"/>
      <c r="F54" s="213"/>
      <c r="G54" s="245" t="str">
        <f ca="1">IF(CommitmentsTable[[#This Row],[Commitment / deliverable]]="","",IF(CommitmentsTable[[#This Row],[Date record entered]]="",TODAY(),CommitmentsTable[[#This Row],[Date record entered]]))</f>
        <v/>
      </c>
      <c r="H54" s="245"/>
      <c r="I54" s="245" t="str">
        <f ca="1">IF(CommitmentsTable[[#This Row],[Date Assigned if different from entry date]]&lt;&gt;"",CommitmentsTable[[#This Row],[Date Assigned if different from entry date]]+90,IF(CommitmentsTable[[#This Row],[Date record entered]]&lt;&gt;"",CommitmentsTable[[#This Row],[Date record entered]]+90,""))</f>
        <v/>
      </c>
      <c r="J54" s="245" t="str">
        <f ca="1">IF(CommitmentsTable[[#This Row],[Date Assigned if different from entry date]]&lt;&gt;"",CommitmentsTable[[#This Row],[Date Assigned if different from entry date]]+30,IF(CommitmentsTable[[#This Row],[Date record entered]]&lt;&gt;"",CommitmentsTable[[#This Row],[Date record entered]]+30,""))</f>
        <v/>
      </c>
      <c r="K54" s="245"/>
      <c r="L54" s="245" t="str">
        <f ca="1">IF(CommitmentsTable[[#This Row],[Date Assigned if different from entry date]]&lt;&gt;"",CommitmentsTable[[#This Row],[Date Assigned if different from entry date]]+60,IF(CommitmentsTable[[#This Row],[Date record entered]]&lt;&gt;"",CommitmentsTable[[#This Row],[Date record entered]]+60,""))</f>
        <v/>
      </c>
      <c r="M54" s="214"/>
      <c r="N54" s="214"/>
      <c r="O54" s="236"/>
      <c r="P54" s="214"/>
      <c r="Q54" s="214"/>
      <c r="R54" s="214"/>
      <c r="S54" s="238" t="str">
        <f>IF(CommitmentsTable[[#This Row],[Commitment / deliverable]]="","",IF(CommitmentsTable[[#This Row],[Revised due]]&lt;&gt;"",CommitmentsTable[[#This Row],[Revised due]],CommitmentsTable[[#This Row],[Original due]]))</f>
        <v/>
      </c>
      <c r="T54" s="237" t="str">
        <f>IF(OR(CommitmentsTable[[#This Row],[Commitment / deliverable]]="",CommitmentsTable[[#This Row],[Owner]]=""),"",IF(CommitmentsTable[[#This Row],[Status2]]="","Open",CommitmentsTable[[#This Row],[Status2]]))</f>
        <v/>
      </c>
      <c r="U54" s="237" t="str">
        <f t="shared" ca="1" si="0"/>
        <v/>
      </c>
      <c r="V54" s="233"/>
      <c r="W54" s="63" t="s">
        <v>1021</v>
      </c>
    </row>
    <row r="55" spans="1:23" ht="26.15" customHeight="1">
      <c r="A55" s="213" t="str">
        <f>IF(OR(CommitmentsTable[[#This Row],[Commitment / deliverable]]="",CommitmentsTable[[#This Row],[Immutable Key]]=""),"",SUBSTITUTE(CommitmentsTable[[#This Row],[Immutable Key]],"-K-","-"))</f>
        <v/>
      </c>
      <c r="B55" s="233"/>
      <c r="C55" s="233"/>
      <c r="D55" s="213"/>
      <c r="E55" s="230"/>
      <c r="F55" s="213"/>
      <c r="G55" s="245" t="str">
        <f ca="1">IF(CommitmentsTable[[#This Row],[Commitment / deliverable]]="","",IF(CommitmentsTable[[#This Row],[Date record entered]]="",TODAY(),CommitmentsTable[[#This Row],[Date record entered]]))</f>
        <v/>
      </c>
      <c r="H55" s="245"/>
      <c r="I55" s="245" t="str">
        <f ca="1">IF(CommitmentsTable[[#This Row],[Date Assigned if different from entry date]]&lt;&gt;"",CommitmentsTable[[#This Row],[Date Assigned if different from entry date]]+90,IF(CommitmentsTable[[#This Row],[Date record entered]]&lt;&gt;"",CommitmentsTable[[#This Row],[Date record entered]]+90,""))</f>
        <v/>
      </c>
      <c r="J55" s="245" t="str">
        <f ca="1">IF(CommitmentsTable[[#This Row],[Date Assigned if different from entry date]]&lt;&gt;"",CommitmentsTable[[#This Row],[Date Assigned if different from entry date]]+30,IF(CommitmentsTable[[#This Row],[Date record entered]]&lt;&gt;"",CommitmentsTable[[#This Row],[Date record entered]]+30,""))</f>
        <v/>
      </c>
      <c r="K55" s="245"/>
      <c r="L55" s="245" t="str">
        <f ca="1">IF(CommitmentsTable[[#This Row],[Date Assigned if different from entry date]]&lt;&gt;"",CommitmentsTable[[#This Row],[Date Assigned if different from entry date]]+60,IF(CommitmentsTable[[#This Row],[Date record entered]]&lt;&gt;"",CommitmentsTable[[#This Row],[Date record entered]]+60,""))</f>
        <v/>
      </c>
      <c r="M55" s="214"/>
      <c r="N55" s="214"/>
      <c r="O55" s="236"/>
      <c r="P55" s="214"/>
      <c r="Q55" s="214"/>
      <c r="R55" s="214"/>
      <c r="S55" s="238" t="str">
        <f>IF(CommitmentsTable[[#This Row],[Commitment / deliverable]]="","",IF(CommitmentsTable[[#This Row],[Revised due]]&lt;&gt;"",CommitmentsTable[[#This Row],[Revised due]],CommitmentsTable[[#This Row],[Original due]]))</f>
        <v/>
      </c>
      <c r="T55" s="237" t="str">
        <f>IF(OR(CommitmentsTable[[#This Row],[Commitment / deliverable]]="",CommitmentsTable[[#This Row],[Owner]]=""),"",IF(CommitmentsTable[[#This Row],[Status2]]="","Open",CommitmentsTable[[#This Row],[Status2]]))</f>
        <v/>
      </c>
      <c r="U55" s="237" t="str">
        <f t="shared" ca="1" si="0"/>
        <v/>
      </c>
      <c r="V55" s="233"/>
      <c r="W55" s="63" t="s">
        <v>1022</v>
      </c>
    </row>
    <row r="56" spans="1:23" ht="26.15" customHeight="1">
      <c r="A56" s="213" t="str">
        <f>IF(OR(CommitmentsTable[[#This Row],[Commitment / deliverable]]="",CommitmentsTable[[#This Row],[Immutable Key]]=""),"",SUBSTITUTE(CommitmentsTable[[#This Row],[Immutable Key]],"-K-","-"))</f>
        <v/>
      </c>
      <c r="B56" s="233"/>
      <c r="C56" s="233"/>
      <c r="D56" s="213"/>
      <c r="E56" s="230"/>
      <c r="F56" s="213"/>
      <c r="G56" s="245" t="str">
        <f ca="1">IF(CommitmentsTable[[#This Row],[Commitment / deliverable]]="","",IF(CommitmentsTable[[#This Row],[Date record entered]]="",TODAY(),CommitmentsTable[[#This Row],[Date record entered]]))</f>
        <v/>
      </c>
      <c r="H56" s="245"/>
      <c r="I56" s="245" t="str">
        <f ca="1">IF(CommitmentsTable[[#This Row],[Date Assigned if different from entry date]]&lt;&gt;"",CommitmentsTable[[#This Row],[Date Assigned if different from entry date]]+90,IF(CommitmentsTable[[#This Row],[Date record entered]]&lt;&gt;"",CommitmentsTable[[#This Row],[Date record entered]]+90,""))</f>
        <v/>
      </c>
      <c r="J56" s="245" t="str">
        <f ca="1">IF(CommitmentsTable[[#This Row],[Date Assigned if different from entry date]]&lt;&gt;"",CommitmentsTable[[#This Row],[Date Assigned if different from entry date]]+30,IF(CommitmentsTable[[#This Row],[Date record entered]]&lt;&gt;"",CommitmentsTable[[#This Row],[Date record entered]]+30,""))</f>
        <v/>
      </c>
      <c r="K56" s="245"/>
      <c r="L56" s="245" t="str">
        <f ca="1">IF(CommitmentsTable[[#This Row],[Date Assigned if different from entry date]]&lt;&gt;"",CommitmentsTable[[#This Row],[Date Assigned if different from entry date]]+60,IF(CommitmentsTable[[#This Row],[Date record entered]]&lt;&gt;"",CommitmentsTable[[#This Row],[Date record entered]]+60,""))</f>
        <v/>
      </c>
      <c r="M56" s="214"/>
      <c r="N56" s="214"/>
      <c r="O56" s="236"/>
      <c r="P56" s="214"/>
      <c r="Q56" s="214"/>
      <c r="R56" s="214"/>
      <c r="S56" s="238" t="str">
        <f>IF(CommitmentsTable[[#This Row],[Commitment / deliverable]]="","",IF(CommitmentsTable[[#This Row],[Revised due]]&lt;&gt;"",CommitmentsTable[[#This Row],[Revised due]],CommitmentsTable[[#This Row],[Original due]]))</f>
        <v/>
      </c>
      <c r="T56" s="237" t="str">
        <f>IF(OR(CommitmentsTable[[#This Row],[Commitment / deliverable]]="",CommitmentsTable[[#This Row],[Owner]]=""),"",IF(CommitmentsTable[[#This Row],[Status2]]="","Open",CommitmentsTable[[#This Row],[Status2]]))</f>
        <v/>
      </c>
      <c r="U56" s="237" t="str">
        <f t="shared" ca="1" si="0"/>
        <v/>
      </c>
      <c r="V56" s="233"/>
      <c r="W56" s="63" t="s">
        <v>1023</v>
      </c>
    </row>
    <row r="57" spans="1:23" ht="26.15" customHeight="1">
      <c r="A57" s="213" t="str">
        <f>IF(OR(CommitmentsTable[[#This Row],[Commitment / deliverable]]="",CommitmentsTable[[#This Row],[Immutable Key]]=""),"",SUBSTITUTE(CommitmentsTable[[#This Row],[Immutable Key]],"-K-","-"))</f>
        <v/>
      </c>
      <c r="B57" s="233"/>
      <c r="C57" s="233"/>
      <c r="D57" s="213"/>
      <c r="E57" s="230"/>
      <c r="F57" s="213"/>
      <c r="G57" s="245" t="str">
        <f ca="1">IF(CommitmentsTable[[#This Row],[Commitment / deliverable]]="","",IF(CommitmentsTable[[#This Row],[Date record entered]]="",TODAY(),CommitmentsTable[[#This Row],[Date record entered]]))</f>
        <v/>
      </c>
      <c r="H57" s="245"/>
      <c r="I57" s="245" t="str">
        <f ca="1">IF(CommitmentsTable[[#This Row],[Date Assigned if different from entry date]]&lt;&gt;"",CommitmentsTable[[#This Row],[Date Assigned if different from entry date]]+90,IF(CommitmentsTable[[#This Row],[Date record entered]]&lt;&gt;"",CommitmentsTable[[#This Row],[Date record entered]]+90,""))</f>
        <v/>
      </c>
      <c r="J57" s="245" t="str">
        <f ca="1">IF(CommitmentsTable[[#This Row],[Date Assigned if different from entry date]]&lt;&gt;"",CommitmentsTable[[#This Row],[Date Assigned if different from entry date]]+30,IF(CommitmentsTable[[#This Row],[Date record entered]]&lt;&gt;"",CommitmentsTable[[#This Row],[Date record entered]]+30,""))</f>
        <v/>
      </c>
      <c r="K57" s="245"/>
      <c r="L57" s="245" t="str">
        <f ca="1">IF(CommitmentsTable[[#This Row],[Date Assigned if different from entry date]]&lt;&gt;"",CommitmentsTable[[#This Row],[Date Assigned if different from entry date]]+60,IF(CommitmentsTable[[#This Row],[Date record entered]]&lt;&gt;"",CommitmentsTable[[#This Row],[Date record entered]]+60,""))</f>
        <v/>
      </c>
      <c r="M57" s="214"/>
      <c r="N57" s="214"/>
      <c r="O57" s="236"/>
      <c r="P57" s="214"/>
      <c r="Q57" s="214"/>
      <c r="R57" s="214"/>
      <c r="S57" s="238" t="str">
        <f>IF(CommitmentsTable[[#This Row],[Commitment / deliverable]]="","",IF(CommitmentsTable[[#This Row],[Revised due]]&lt;&gt;"",CommitmentsTable[[#This Row],[Revised due]],CommitmentsTable[[#This Row],[Original due]]))</f>
        <v/>
      </c>
      <c r="T57" s="237" t="str">
        <f>IF(OR(CommitmentsTable[[#This Row],[Commitment / deliverable]]="",CommitmentsTable[[#This Row],[Owner]]=""),"",IF(CommitmentsTable[[#This Row],[Status2]]="","Open",CommitmentsTable[[#This Row],[Status2]]))</f>
        <v/>
      </c>
      <c r="U57" s="237" t="str">
        <f t="shared" ca="1" si="0"/>
        <v/>
      </c>
      <c r="V57" s="233"/>
      <c r="W57" s="63" t="s">
        <v>1024</v>
      </c>
    </row>
    <row r="58" spans="1:23" ht="26.15" customHeight="1">
      <c r="A58" s="213" t="str">
        <f>IF(OR(CommitmentsTable[[#This Row],[Commitment / deliverable]]="",CommitmentsTable[[#This Row],[Immutable Key]]=""),"",SUBSTITUTE(CommitmentsTable[[#This Row],[Immutable Key]],"-K-","-"))</f>
        <v/>
      </c>
      <c r="B58" s="233"/>
      <c r="C58" s="233"/>
      <c r="D58" s="213"/>
      <c r="E58" s="230"/>
      <c r="F58" s="213"/>
      <c r="G58" s="245" t="str">
        <f ca="1">IF(CommitmentsTable[[#This Row],[Commitment / deliverable]]="","",IF(CommitmentsTable[[#This Row],[Date record entered]]="",TODAY(),CommitmentsTable[[#This Row],[Date record entered]]))</f>
        <v/>
      </c>
      <c r="H58" s="245"/>
      <c r="I58" s="245" t="str">
        <f ca="1">IF(CommitmentsTable[[#This Row],[Date Assigned if different from entry date]]&lt;&gt;"",CommitmentsTable[[#This Row],[Date Assigned if different from entry date]]+90,IF(CommitmentsTable[[#This Row],[Date record entered]]&lt;&gt;"",CommitmentsTable[[#This Row],[Date record entered]]+90,""))</f>
        <v/>
      </c>
      <c r="J58" s="245" t="str">
        <f ca="1">IF(CommitmentsTable[[#This Row],[Date Assigned if different from entry date]]&lt;&gt;"",CommitmentsTable[[#This Row],[Date Assigned if different from entry date]]+30,IF(CommitmentsTable[[#This Row],[Date record entered]]&lt;&gt;"",CommitmentsTable[[#This Row],[Date record entered]]+30,""))</f>
        <v/>
      </c>
      <c r="K58" s="245"/>
      <c r="L58" s="245" t="str">
        <f ca="1">IF(CommitmentsTable[[#This Row],[Date Assigned if different from entry date]]&lt;&gt;"",CommitmentsTable[[#This Row],[Date Assigned if different from entry date]]+60,IF(CommitmentsTable[[#This Row],[Date record entered]]&lt;&gt;"",CommitmentsTable[[#This Row],[Date record entered]]+60,""))</f>
        <v/>
      </c>
      <c r="M58" s="214"/>
      <c r="N58" s="214"/>
      <c r="O58" s="236"/>
      <c r="P58" s="214"/>
      <c r="Q58" s="214"/>
      <c r="R58" s="214"/>
      <c r="S58" s="238" t="str">
        <f>IF(CommitmentsTable[[#This Row],[Commitment / deliverable]]="","",IF(CommitmentsTable[[#This Row],[Revised due]]&lt;&gt;"",CommitmentsTable[[#This Row],[Revised due]],CommitmentsTable[[#This Row],[Original due]]))</f>
        <v/>
      </c>
      <c r="T58" s="237" t="str">
        <f>IF(OR(CommitmentsTable[[#This Row],[Commitment / deliverable]]="",CommitmentsTable[[#This Row],[Owner]]=""),"",IF(CommitmentsTable[[#This Row],[Status2]]="","Open",CommitmentsTable[[#This Row],[Status2]]))</f>
        <v/>
      </c>
      <c r="U58" s="237" t="str">
        <f t="shared" ca="1" si="0"/>
        <v/>
      </c>
      <c r="V58" s="233"/>
      <c r="W58" s="63" t="s">
        <v>1025</v>
      </c>
    </row>
    <row r="59" spans="1:23" ht="26.15" customHeight="1">
      <c r="A59" s="213" t="str">
        <f>IF(OR(CommitmentsTable[[#This Row],[Commitment / deliverable]]="",CommitmentsTable[[#This Row],[Immutable Key]]=""),"",SUBSTITUTE(CommitmentsTable[[#This Row],[Immutable Key]],"-K-","-"))</f>
        <v/>
      </c>
      <c r="B59" s="233"/>
      <c r="C59" s="233"/>
      <c r="D59" s="213"/>
      <c r="E59" s="230"/>
      <c r="F59" s="213"/>
      <c r="G59" s="245" t="str">
        <f ca="1">IF(CommitmentsTable[[#This Row],[Commitment / deliverable]]="","",IF(CommitmentsTable[[#This Row],[Date record entered]]="",TODAY(),CommitmentsTable[[#This Row],[Date record entered]]))</f>
        <v/>
      </c>
      <c r="H59" s="245"/>
      <c r="I59" s="245" t="str">
        <f ca="1">IF(CommitmentsTable[[#This Row],[Date Assigned if different from entry date]]&lt;&gt;"",CommitmentsTable[[#This Row],[Date Assigned if different from entry date]]+90,IF(CommitmentsTable[[#This Row],[Date record entered]]&lt;&gt;"",CommitmentsTable[[#This Row],[Date record entered]]+90,""))</f>
        <v/>
      </c>
      <c r="J59" s="245" t="str">
        <f ca="1">IF(CommitmentsTable[[#This Row],[Date Assigned if different from entry date]]&lt;&gt;"",CommitmentsTable[[#This Row],[Date Assigned if different from entry date]]+30,IF(CommitmentsTable[[#This Row],[Date record entered]]&lt;&gt;"",CommitmentsTable[[#This Row],[Date record entered]]+30,""))</f>
        <v/>
      </c>
      <c r="K59" s="245"/>
      <c r="L59" s="245" t="str">
        <f ca="1">IF(CommitmentsTable[[#This Row],[Date Assigned if different from entry date]]&lt;&gt;"",CommitmentsTable[[#This Row],[Date Assigned if different from entry date]]+60,IF(CommitmentsTable[[#This Row],[Date record entered]]&lt;&gt;"",CommitmentsTable[[#This Row],[Date record entered]]+60,""))</f>
        <v/>
      </c>
      <c r="M59" s="214"/>
      <c r="N59" s="214"/>
      <c r="O59" s="236"/>
      <c r="P59" s="214"/>
      <c r="Q59" s="214"/>
      <c r="R59" s="214"/>
      <c r="S59" s="238" t="str">
        <f>IF(CommitmentsTable[[#This Row],[Commitment / deliverable]]="","",IF(CommitmentsTable[[#This Row],[Revised due]]&lt;&gt;"",CommitmentsTable[[#This Row],[Revised due]],CommitmentsTable[[#This Row],[Original due]]))</f>
        <v/>
      </c>
      <c r="T59" s="237" t="str">
        <f>IF(OR(CommitmentsTable[[#This Row],[Commitment / deliverable]]="",CommitmentsTable[[#This Row],[Owner]]=""),"",IF(CommitmentsTable[[#This Row],[Status2]]="","Open",CommitmentsTable[[#This Row],[Status2]]))</f>
        <v/>
      </c>
      <c r="U59" s="237" t="str">
        <f t="shared" ca="1" si="0"/>
        <v/>
      </c>
      <c r="V59" s="233"/>
      <c r="W59" s="63" t="s">
        <v>1026</v>
      </c>
    </row>
    <row r="60" spans="1:23" ht="26.15" customHeight="1">
      <c r="A60" s="213" t="str">
        <f>IF(OR(CommitmentsTable[[#This Row],[Commitment / deliverable]]="",CommitmentsTable[[#This Row],[Immutable Key]]=""),"",SUBSTITUTE(CommitmentsTable[[#This Row],[Immutable Key]],"-K-","-"))</f>
        <v/>
      </c>
      <c r="B60" s="233"/>
      <c r="C60" s="233"/>
      <c r="D60" s="213"/>
      <c r="E60" s="230"/>
      <c r="F60" s="213"/>
      <c r="G60" s="245" t="str">
        <f ca="1">IF(CommitmentsTable[[#This Row],[Commitment / deliverable]]="","",IF(CommitmentsTable[[#This Row],[Date record entered]]="",TODAY(),CommitmentsTable[[#This Row],[Date record entered]]))</f>
        <v/>
      </c>
      <c r="H60" s="245"/>
      <c r="I60" s="245" t="str">
        <f ca="1">IF(CommitmentsTable[[#This Row],[Date Assigned if different from entry date]]&lt;&gt;"",CommitmentsTable[[#This Row],[Date Assigned if different from entry date]]+90,IF(CommitmentsTable[[#This Row],[Date record entered]]&lt;&gt;"",CommitmentsTable[[#This Row],[Date record entered]]+90,""))</f>
        <v/>
      </c>
      <c r="J60" s="245" t="str">
        <f ca="1">IF(CommitmentsTable[[#This Row],[Date Assigned if different from entry date]]&lt;&gt;"",CommitmentsTable[[#This Row],[Date Assigned if different from entry date]]+30,IF(CommitmentsTable[[#This Row],[Date record entered]]&lt;&gt;"",CommitmentsTable[[#This Row],[Date record entered]]+30,""))</f>
        <v/>
      </c>
      <c r="K60" s="245"/>
      <c r="L60" s="245" t="str">
        <f ca="1">IF(CommitmentsTable[[#This Row],[Date Assigned if different from entry date]]&lt;&gt;"",CommitmentsTable[[#This Row],[Date Assigned if different from entry date]]+60,IF(CommitmentsTable[[#This Row],[Date record entered]]&lt;&gt;"",CommitmentsTable[[#This Row],[Date record entered]]+60,""))</f>
        <v/>
      </c>
      <c r="M60" s="214"/>
      <c r="N60" s="214"/>
      <c r="O60" s="236"/>
      <c r="P60" s="214"/>
      <c r="Q60" s="214"/>
      <c r="R60" s="214"/>
      <c r="S60" s="238" t="str">
        <f>IF(CommitmentsTable[[#This Row],[Commitment / deliverable]]="","",IF(CommitmentsTable[[#This Row],[Revised due]]&lt;&gt;"",CommitmentsTable[[#This Row],[Revised due]],CommitmentsTable[[#This Row],[Original due]]))</f>
        <v/>
      </c>
      <c r="T60" s="237" t="str">
        <f>IF(OR(CommitmentsTable[[#This Row],[Commitment / deliverable]]="",CommitmentsTable[[#This Row],[Owner]]=""),"",IF(CommitmentsTable[[#This Row],[Status2]]="","Open",CommitmentsTable[[#This Row],[Status2]]))</f>
        <v/>
      </c>
      <c r="U60" s="237" t="str">
        <f t="shared" ca="1" si="0"/>
        <v/>
      </c>
      <c r="V60" s="233"/>
      <c r="W60" s="63" t="s">
        <v>1027</v>
      </c>
    </row>
    <row r="61" spans="1:23" ht="26.15" customHeight="1">
      <c r="A61" s="213" t="str">
        <f>IF(OR(CommitmentsTable[[#This Row],[Commitment / deliverable]]="",CommitmentsTable[[#This Row],[Immutable Key]]=""),"",SUBSTITUTE(CommitmentsTable[[#This Row],[Immutable Key]],"-K-","-"))</f>
        <v/>
      </c>
      <c r="B61" s="233"/>
      <c r="C61" s="233"/>
      <c r="D61" s="213"/>
      <c r="E61" s="230"/>
      <c r="F61" s="213"/>
      <c r="G61" s="245" t="str">
        <f ca="1">IF(CommitmentsTable[[#This Row],[Commitment / deliverable]]="","",IF(CommitmentsTable[[#This Row],[Date record entered]]="",TODAY(),CommitmentsTable[[#This Row],[Date record entered]]))</f>
        <v/>
      </c>
      <c r="H61" s="245"/>
      <c r="I61" s="245" t="str">
        <f ca="1">IF(CommitmentsTable[[#This Row],[Date Assigned if different from entry date]]&lt;&gt;"",CommitmentsTable[[#This Row],[Date Assigned if different from entry date]]+90,IF(CommitmentsTable[[#This Row],[Date record entered]]&lt;&gt;"",CommitmentsTable[[#This Row],[Date record entered]]+90,""))</f>
        <v/>
      </c>
      <c r="J61" s="245" t="str">
        <f ca="1">IF(CommitmentsTable[[#This Row],[Date Assigned if different from entry date]]&lt;&gt;"",CommitmentsTable[[#This Row],[Date Assigned if different from entry date]]+30,IF(CommitmentsTable[[#This Row],[Date record entered]]&lt;&gt;"",CommitmentsTable[[#This Row],[Date record entered]]+30,""))</f>
        <v/>
      </c>
      <c r="K61" s="245"/>
      <c r="L61" s="245" t="str">
        <f ca="1">IF(CommitmentsTable[[#This Row],[Date Assigned if different from entry date]]&lt;&gt;"",CommitmentsTable[[#This Row],[Date Assigned if different from entry date]]+60,IF(CommitmentsTable[[#This Row],[Date record entered]]&lt;&gt;"",CommitmentsTable[[#This Row],[Date record entered]]+60,""))</f>
        <v/>
      </c>
      <c r="M61" s="214"/>
      <c r="N61" s="214"/>
      <c r="O61" s="236"/>
      <c r="P61" s="214"/>
      <c r="Q61" s="214"/>
      <c r="R61" s="214"/>
      <c r="S61" s="238" t="str">
        <f>IF(CommitmentsTable[[#This Row],[Commitment / deliverable]]="","",IF(CommitmentsTable[[#This Row],[Revised due]]&lt;&gt;"",CommitmentsTable[[#This Row],[Revised due]],CommitmentsTable[[#This Row],[Original due]]))</f>
        <v/>
      </c>
      <c r="T61" s="237" t="str">
        <f>IF(OR(CommitmentsTable[[#This Row],[Commitment / deliverable]]="",CommitmentsTable[[#This Row],[Owner]]=""),"",IF(CommitmentsTable[[#This Row],[Status2]]="","Open",CommitmentsTable[[#This Row],[Status2]]))</f>
        <v/>
      </c>
      <c r="U61" s="237" t="str">
        <f t="shared" ca="1" si="0"/>
        <v/>
      </c>
      <c r="V61" s="233"/>
      <c r="W61" s="63" t="s">
        <v>1028</v>
      </c>
    </row>
    <row r="62" spans="1:23" ht="26.15" customHeight="1">
      <c r="A62" s="213" t="str">
        <f>IF(OR(CommitmentsTable[[#This Row],[Commitment / deliverable]]="",CommitmentsTable[[#This Row],[Immutable Key]]=""),"",SUBSTITUTE(CommitmentsTable[[#This Row],[Immutable Key]],"-K-","-"))</f>
        <v/>
      </c>
      <c r="B62" s="233"/>
      <c r="C62" s="233"/>
      <c r="D62" s="213"/>
      <c r="E62" s="230"/>
      <c r="F62" s="213"/>
      <c r="G62" s="245" t="str">
        <f ca="1">IF(CommitmentsTable[[#This Row],[Commitment / deliverable]]="","",IF(CommitmentsTable[[#This Row],[Date record entered]]="",TODAY(),CommitmentsTable[[#This Row],[Date record entered]]))</f>
        <v/>
      </c>
      <c r="H62" s="245"/>
      <c r="I62" s="245" t="str">
        <f ca="1">IF(CommitmentsTable[[#This Row],[Date Assigned if different from entry date]]&lt;&gt;"",CommitmentsTable[[#This Row],[Date Assigned if different from entry date]]+90,IF(CommitmentsTable[[#This Row],[Date record entered]]&lt;&gt;"",CommitmentsTable[[#This Row],[Date record entered]]+90,""))</f>
        <v/>
      </c>
      <c r="J62" s="245" t="str">
        <f ca="1">IF(CommitmentsTable[[#This Row],[Date Assigned if different from entry date]]&lt;&gt;"",CommitmentsTable[[#This Row],[Date Assigned if different from entry date]]+30,IF(CommitmentsTable[[#This Row],[Date record entered]]&lt;&gt;"",CommitmentsTable[[#This Row],[Date record entered]]+30,""))</f>
        <v/>
      </c>
      <c r="K62" s="245"/>
      <c r="L62" s="245" t="str">
        <f ca="1">IF(CommitmentsTable[[#This Row],[Date Assigned if different from entry date]]&lt;&gt;"",CommitmentsTable[[#This Row],[Date Assigned if different from entry date]]+60,IF(CommitmentsTable[[#This Row],[Date record entered]]&lt;&gt;"",CommitmentsTable[[#This Row],[Date record entered]]+60,""))</f>
        <v/>
      </c>
      <c r="M62" s="214"/>
      <c r="N62" s="214"/>
      <c r="O62" s="236"/>
      <c r="P62" s="214"/>
      <c r="Q62" s="214"/>
      <c r="R62" s="214"/>
      <c r="S62" s="238" t="str">
        <f>IF(CommitmentsTable[[#This Row],[Commitment / deliverable]]="","",IF(CommitmentsTable[[#This Row],[Revised due]]&lt;&gt;"",CommitmentsTable[[#This Row],[Revised due]],CommitmentsTable[[#This Row],[Original due]]))</f>
        <v/>
      </c>
      <c r="T62" s="237" t="str">
        <f>IF(OR(CommitmentsTable[[#This Row],[Commitment / deliverable]]="",CommitmentsTable[[#This Row],[Owner]]=""),"",IF(CommitmentsTable[[#This Row],[Status2]]="","Open",CommitmentsTable[[#This Row],[Status2]]))</f>
        <v/>
      </c>
      <c r="U62" s="237" t="str">
        <f t="shared" ca="1" si="0"/>
        <v/>
      </c>
      <c r="V62" s="233"/>
      <c r="W62" s="63" t="s">
        <v>1029</v>
      </c>
    </row>
    <row r="63" spans="1:23" ht="26.15" customHeight="1">
      <c r="A63" s="213" t="str">
        <f>IF(OR(CommitmentsTable[[#This Row],[Commitment / deliverable]]="",CommitmentsTable[[#This Row],[Immutable Key]]=""),"",SUBSTITUTE(CommitmentsTable[[#This Row],[Immutable Key]],"-K-","-"))</f>
        <v/>
      </c>
      <c r="B63" s="233"/>
      <c r="C63" s="233"/>
      <c r="D63" s="213"/>
      <c r="E63" s="230"/>
      <c r="F63" s="213"/>
      <c r="G63" s="245" t="str">
        <f ca="1">IF(CommitmentsTable[[#This Row],[Commitment / deliverable]]="","",IF(CommitmentsTable[[#This Row],[Date record entered]]="",TODAY(),CommitmentsTable[[#This Row],[Date record entered]]))</f>
        <v/>
      </c>
      <c r="H63" s="245"/>
      <c r="I63" s="245" t="str">
        <f ca="1">IF(CommitmentsTable[[#This Row],[Date Assigned if different from entry date]]&lt;&gt;"",CommitmentsTable[[#This Row],[Date Assigned if different from entry date]]+90,IF(CommitmentsTable[[#This Row],[Date record entered]]&lt;&gt;"",CommitmentsTable[[#This Row],[Date record entered]]+90,""))</f>
        <v/>
      </c>
      <c r="J63" s="245" t="str">
        <f ca="1">IF(CommitmentsTable[[#This Row],[Date Assigned if different from entry date]]&lt;&gt;"",CommitmentsTable[[#This Row],[Date Assigned if different from entry date]]+30,IF(CommitmentsTable[[#This Row],[Date record entered]]&lt;&gt;"",CommitmentsTable[[#This Row],[Date record entered]]+30,""))</f>
        <v/>
      </c>
      <c r="K63" s="245"/>
      <c r="L63" s="245" t="str">
        <f ca="1">IF(CommitmentsTable[[#This Row],[Date Assigned if different from entry date]]&lt;&gt;"",CommitmentsTable[[#This Row],[Date Assigned if different from entry date]]+60,IF(CommitmentsTable[[#This Row],[Date record entered]]&lt;&gt;"",CommitmentsTable[[#This Row],[Date record entered]]+60,""))</f>
        <v/>
      </c>
      <c r="M63" s="214"/>
      <c r="N63" s="214"/>
      <c r="O63" s="236"/>
      <c r="P63" s="214"/>
      <c r="Q63" s="214"/>
      <c r="R63" s="214"/>
      <c r="S63" s="238" t="str">
        <f>IF(CommitmentsTable[[#This Row],[Commitment / deliverable]]="","",IF(CommitmentsTable[[#This Row],[Revised due]]&lt;&gt;"",CommitmentsTable[[#This Row],[Revised due]],CommitmentsTable[[#This Row],[Original due]]))</f>
        <v/>
      </c>
      <c r="T63" s="237" t="str">
        <f>IF(OR(CommitmentsTable[[#This Row],[Commitment / deliverable]]="",CommitmentsTable[[#This Row],[Owner]]=""),"",IF(CommitmentsTable[[#This Row],[Status2]]="","Open",CommitmentsTable[[#This Row],[Status2]]))</f>
        <v/>
      </c>
      <c r="U63" s="237" t="str">
        <f t="shared" ca="1" si="0"/>
        <v/>
      </c>
      <c r="V63" s="233"/>
      <c r="W63" s="63" t="s">
        <v>1030</v>
      </c>
    </row>
    <row r="64" spans="1:23" ht="26.15" customHeight="1">
      <c r="A64" s="213" t="str">
        <f>IF(OR(CommitmentsTable[[#This Row],[Commitment / deliverable]]="",CommitmentsTable[[#This Row],[Immutable Key]]=""),"",SUBSTITUTE(CommitmentsTable[[#This Row],[Immutable Key]],"-K-","-"))</f>
        <v/>
      </c>
      <c r="B64" s="233"/>
      <c r="C64" s="233"/>
      <c r="D64" s="213"/>
      <c r="E64" s="230"/>
      <c r="F64" s="213"/>
      <c r="G64" s="245" t="str">
        <f ca="1">IF(CommitmentsTable[[#This Row],[Commitment / deliverable]]="","",IF(CommitmentsTable[[#This Row],[Date record entered]]="",TODAY(),CommitmentsTable[[#This Row],[Date record entered]]))</f>
        <v/>
      </c>
      <c r="H64" s="245"/>
      <c r="I64" s="245" t="str">
        <f ca="1">IF(CommitmentsTable[[#This Row],[Date Assigned if different from entry date]]&lt;&gt;"",CommitmentsTable[[#This Row],[Date Assigned if different from entry date]]+90,IF(CommitmentsTable[[#This Row],[Date record entered]]&lt;&gt;"",CommitmentsTable[[#This Row],[Date record entered]]+90,""))</f>
        <v/>
      </c>
      <c r="J64" s="245" t="str">
        <f ca="1">IF(CommitmentsTable[[#This Row],[Date Assigned if different from entry date]]&lt;&gt;"",CommitmentsTable[[#This Row],[Date Assigned if different from entry date]]+30,IF(CommitmentsTable[[#This Row],[Date record entered]]&lt;&gt;"",CommitmentsTable[[#This Row],[Date record entered]]+30,""))</f>
        <v/>
      </c>
      <c r="K64" s="245"/>
      <c r="L64" s="245" t="str">
        <f ca="1">IF(CommitmentsTable[[#This Row],[Date Assigned if different from entry date]]&lt;&gt;"",CommitmentsTable[[#This Row],[Date Assigned if different from entry date]]+60,IF(CommitmentsTable[[#This Row],[Date record entered]]&lt;&gt;"",CommitmentsTable[[#This Row],[Date record entered]]+60,""))</f>
        <v/>
      </c>
      <c r="M64" s="214"/>
      <c r="N64" s="214"/>
      <c r="O64" s="236"/>
      <c r="P64" s="214"/>
      <c r="Q64" s="214"/>
      <c r="R64" s="214"/>
      <c r="S64" s="238" t="str">
        <f>IF(CommitmentsTable[[#This Row],[Commitment / deliverable]]="","",IF(CommitmentsTable[[#This Row],[Revised due]]&lt;&gt;"",CommitmentsTable[[#This Row],[Revised due]],CommitmentsTable[[#This Row],[Original due]]))</f>
        <v/>
      </c>
      <c r="T64" s="237" t="str">
        <f>IF(OR(CommitmentsTable[[#This Row],[Commitment / deliverable]]="",CommitmentsTable[[#This Row],[Owner]]=""),"",IF(CommitmentsTable[[#This Row],[Status2]]="","Open",CommitmentsTable[[#This Row],[Status2]]))</f>
        <v/>
      </c>
      <c r="U64" s="237" t="str">
        <f t="shared" ca="1" si="0"/>
        <v/>
      </c>
      <c r="V64" s="233"/>
      <c r="W64" s="63" t="s">
        <v>1031</v>
      </c>
    </row>
    <row r="65" spans="1:23" ht="26.15" customHeight="1">
      <c r="A65" s="213" t="str">
        <f>IF(OR(CommitmentsTable[[#This Row],[Commitment / deliverable]]="",CommitmentsTable[[#This Row],[Immutable Key]]=""),"",SUBSTITUTE(CommitmentsTable[[#This Row],[Immutable Key]],"-K-","-"))</f>
        <v/>
      </c>
      <c r="B65" s="233"/>
      <c r="C65" s="233"/>
      <c r="D65" s="213"/>
      <c r="E65" s="230"/>
      <c r="F65" s="213"/>
      <c r="G65" s="245" t="str">
        <f ca="1">IF(CommitmentsTable[[#This Row],[Commitment / deliverable]]="","",IF(CommitmentsTable[[#This Row],[Date record entered]]="",TODAY(),CommitmentsTable[[#This Row],[Date record entered]]))</f>
        <v/>
      </c>
      <c r="H65" s="245"/>
      <c r="I65" s="245" t="str">
        <f ca="1">IF(CommitmentsTable[[#This Row],[Date Assigned if different from entry date]]&lt;&gt;"",CommitmentsTable[[#This Row],[Date Assigned if different from entry date]]+90,IF(CommitmentsTable[[#This Row],[Date record entered]]&lt;&gt;"",CommitmentsTable[[#This Row],[Date record entered]]+90,""))</f>
        <v/>
      </c>
      <c r="J65" s="245" t="str">
        <f ca="1">IF(CommitmentsTable[[#This Row],[Date Assigned if different from entry date]]&lt;&gt;"",CommitmentsTable[[#This Row],[Date Assigned if different from entry date]]+30,IF(CommitmentsTable[[#This Row],[Date record entered]]&lt;&gt;"",CommitmentsTable[[#This Row],[Date record entered]]+30,""))</f>
        <v/>
      </c>
      <c r="K65" s="245"/>
      <c r="L65" s="245" t="str">
        <f ca="1">IF(CommitmentsTable[[#This Row],[Date Assigned if different from entry date]]&lt;&gt;"",CommitmentsTable[[#This Row],[Date Assigned if different from entry date]]+60,IF(CommitmentsTable[[#This Row],[Date record entered]]&lt;&gt;"",CommitmentsTable[[#This Row],[Date record entered]]+60,""))</f>
        <v/>
      </c>
      <c r="M65" s="214"/>
      <c r="N65" s="214"/>
      <c r="O65" s="236"/>
      <c r="P65" s="214"/>
      <c r="Q65" s="214"/>
      <c r="R65" s="214"/>
      <c r="S65" s="238" t="str">
        <f>IF(CommitmentsTable[[#This Row],[Commitment / deliverable]]="","",IF(CommitmentsTable[[#This Row],[Revised due]]&lt;&gt;"",CommitmentsTable[[#This Row],[Revised due]],CommitmentsTable[[#This Row],[Original due]]))</f>
        <v/>
      </c>
      <c r="T65" s="237" t="str">
        <f>IF(OR(CommitmentsTable[[#This Row],[Commitment / deliverable]]="",CommitmentsTable[[#This Row],[Owner]]=""),"",IF(CommitmentsTable[[#This Row],[Status2]]="","Open",CommitmentsTable[[#This Row],[Status2]]))</f>
        <v/>
      </c>
      <c r="U65" s="237" t="str">
        <f t="shared" ca="1" si="0"/>
        <v/>
      </c>
      <c r="V65" s="233"/>
      <c r="W65" s="63" t="s">
        <v>1032</v>
      </c>
    </row>
    <row r="66" spans="1:23" ht="26.15" customHeight="1">
      <c r="A66" s="213" t="str">
        <f>IF(OR(CommitmentsTable[[#This Row],[Commitment / deliverable]]="",CommitmentsTable[[#This Row],[Immutable Key]]=""),"",SUBSTITUTE(CommitmentsTable[[#This Row],[Immutable Key]],"-K-","-"))</f>
        <v/>
      </c>
      <c r="B66" s="233"/>
      <c r="C66" s="233"/>
      <c r="D66" s="213"/>
      <c r="E66" s="230"/>
      <c r="F66" s="213"/>
      <c r="G66" s="245" t="str">
        <f ca="1">IF(CommitmentsTable[[#This Row],[Commitment / deliverable]]="","",IF(CommitmentsTable[[#This Row],[Date record entered]]="",TODAY(),CommitmentsTable[[#This Row],[Date record entered]]))</f>
        <v/>
      </c>
      <c r="H66" s="245"/>
      <c r="I66" s="245" t="str">
        <f ca="1">IF(CommitmentsTable[[#This Row],[Date Assigned if different from entry date]]&lt;&gt;"",CommitmentsTable[[#This Row],[Date Assigned if different from entry date]]+90,IF(CommitmentsTable[[#This Row],[Date record entered]]&lt;&gt;"",CommitmentsTable[[#This Row],[Date record entered]]+90,""))</f>
        <v/>
      </c>
      <c r="J66" s="245" t="str">
        <f ca="1">IF(CommitmentsTable[[#This Row],[Date Assigned if different from entry date]]&lt;&gt;"",CommitmentsTable[[#This Row],[Date Assigned if different from entry date]]+30,IF(CommitmentsTable[[#This Row],[Date record entered]]&lt;&gt;"",CommitmentsTable[[#This Row],[Date record entered]]+30,""))</f>
        <v/>
      </c>
      <c r="K66" s="245"/>
      <c r="L66" s="245" t="str">
        <f ca="1">IF(CommitmentsTable[[#This Row],[Date Assigned if different from entry date]]&lt;&gt;"",CommitmentsTable[[#This Row],[Date Assigned if different from entry date]]+60,IF(CommitmentsTable[[#This Row],[Date record entered]]&lt;&gt;"",CommitmentsTable[[#This Row],[Date record entered]]+60,""))</f>
        <v/>
      </c>
      <c r="M66" s="214"/>
      <c r="N66" s="214"/>
      <c r="O66" s="236"/>
      <c r="P66" s="214"/>
      <c r="Q66" s="214"/>
      <c r="R66" s="214"/>
      <c r="S66" s="238" t="str">
        <f>IF(CommitmentsTable[[#This Row],[Commitment / deliverable]]="","",IF(CommitmentsTable[[#This Row],[Revised due]]&lt;&gt;"",CommitmentsTable[[#This Row],[Revised due]],CommitmentsTable[[#This Row],[Original due]]))</f>
        <v/>
      </c>
      <c r="T66" s="237" t="str">
        <f>IF(OR(CommitmentsTable[[#This Row],[Commitment / deliverable]]="",CommitmentsTable[[#This Row],[Owner]]=""),"",IF(CommitmentsTable[[#This Row],[Status2]]="","Open",CommitmentsTable[[#This Row],[Status2]]))</f>
        <v/>
      </c>
      <c r="U66" s="237" t="str">
        <f t="shared" ca="1" si="0"/>
        <v/>
      </c>
      <c r="V66" s="233"/>
      <c r="W66" s="63" t="s">
        <v>1033</v>
      </c>
    </row>
    <row r="67" spans="1:23" ht="26.15" customHeight="1">
      <c r="A67" s="213" t="str">
        <f>IF(OR(CommitmentsTable[[#This Row],[Commitment / deliverable]]="",CommitmentsTable[[#This Row],[Immutable Key]]=""),"",SUBSTITUTE(CommitmentsTable[[#This Row],[Immutable Key]],"-K-","-"))</f>
        <v/>
      </c>
      <c r="B67" s="233"/>
      <c r="C67" s="233"/>
      <c r="D67" s="213"/>
      <c r="E67" s="230"/>
      <c r="F67" s="213"/>
      <c r="G67" s="245" t="str">
        <f ca="1">IF(CommitmentsTable[[#This Row],[Commitment / deliverable]]="","",IF(CommitmentsTable[[#This Row],[Date record entered]]="",TODAY(),CommitmentsTable[[#This Row],[Date record entered]]))</f>
        <v/>
      </c>
      <c r="H67" s="245"/>
      <c r="I67" s="245" t="str">
        <f ca="1">IF(CommitmentsTable[[#This Row],[Date Assigned if different from entry date]]&lt;&gt;"",CommitmentsTable[[#This Row],[Date Assigned if different from entry date]]+90,IF(CommitmentsTable[[#This Row],[Date record entered]]&lt;&gt;"",CommitmentsTable[[#This Row],[Date record entered]]+90,""))</f>
        <v/>
      </c>
      <c r="J67" s="245" t="str">
        <f ca="1">IF(CommitmentsTable[[#This Row],[Date Assigned if different from entry date]]&lt;&gt;"",CommitmentsTable[[#This Row],[Date Assigned if different from entry date]]+30,IF(CommitmentsTable[[#This Row],[Date record entered]]&lt;&gt;"",CommitmentsTable[[#This Row],[Date record entered]]+30,""))</f>
        <v/>
      </c>
      <c r="K67" s="245"/>
      <c r="L67" s="245" t="str">
        <f ca="1">IF(CommitmentsTable[[#This Row],[Date Assigned if different from entry date]]&lt;&gt;"",CommitmentsTable[[#This Row],[Date Assigned if different from entry date]]+60,IF(CommitmentsTable[[#This Row],[Date record entered]]&lt;&gt;"",CommitmentsTable[[#This Row],[Date record entered]]+60,""))</f>
        <v/>
      </c>
      <c r="M67" s="214"/>
      <c r="N67" s="214"/>
      <c r="O67" s="236"/>
      <c r="P67" s="214"/>
      <c r="Q67" s="214"/>
      <c r="R67" s="214"/>
      <c r="S67" s="238" t="str">
        <f>IF(CommitmentsTable[[#This Row],[Commitment / deliverable]]="","",IF(CommitmentsTable[[#This Row],[Revised due]]&lt;&gt;"",CommitmentsTable[[#This Row],[Revised due]],CommitmentsTable[[#This Row],[Original due]]))</f>
        <v/>
      </c>
      <c r="T67" s="237" t="str">
        <f>IF(OR(CommitmentsTable[[#This Row],[Commitment / deliverable]]="",CommitmentsTable[[#This Row],[Owner]]=""),"",IF(CommitmentsTable[[#This Row],[Status2]]="","Open",CommitmentsTable[[#This Row],[Status2]]))</f>
        <v/>
      </c>
      <c r="U67" s="237" t="str">
        <f t="shared" ca="1" si="0"/>
        <v/>
      </c>
      <c r="V67" s="233"/>
      <c r="W67" s="63" t="s">
        <v>1034</v>
      </c>
    </row>
    <row r="68" spans="1:23" ht="26.15" customHeight="1">
      <c r="A68" s="213" t="str">
        <f>IF(OR(CommitmentsTable[[#This Row],[Commitment / deliverable]]="",CommitmentsTable[[#This Row],[Immutable Key]]=""),"",SUBSTITUTE(CommitmentsTable[[#This Row],[Immutable Key]],"-K-","-"))</f>
        <v/>
      </c>
      <c r="B68" s="233"/>
      <c r="C68" s="233"/>
      <c r="D68" s="213"/>
      <c r="E68" s="230"/>
      <c r="F68" s="213"/>
      <c r="G68" s="245" t="str">
        <f ca="1">IF(CommitmentsTable[[#This Row],[Commitment / deliverable]]="","",IF(CommitmentsTable[[#This Row],[Date record entered]]="",TODAY(),CommitmentsTable[[#This Row],[Date record entered]]))</f>
        <v/>
      </c>
      <c r="H68" s="245"/>
      <c r="I68" s="245" t="str">
        <f ca="1">IF(CommitmentsTable[[#This Row],[Date Assigned if different from entry date]]&lt;&gt;"",CommitmentsTable[[#This Row],[Date Assigned if different from entry date]]+90,IF(CommitmentsTable[[#This Row],[Date record entered]]&lt;&gt;"",CommitmentsTable[[#This Row],[Date record entered]]+90,""))</f>
        <v/>
      </c>
      <c r="J68" s="245" t="str">
        <f ca="1">IF(CommitmentsTable[[#This Row],[Date Assigned if different from entry date]]&lt;&gt;"",CommitmentsTable[[#This Row],[Date Assigned if different from entry date]]+30,IF(CommitmentsTable[[#This Row],[Date record entered]]&lt;&gt;"",CommitmentsTable[[#This Row],[Date record entered]]+30,""))</f>
        <v/>
      </c>
      <c r="K68" s="245"/>
      <c r="L68" s="245" t="str">
        <f ca="1">IF(CommitmentsTable[[#This Row],[Date Assigned if different from entry date]]&lt;&gt;"",CommitmentsTable[[#This Row],[Date Assigned if different from entry date]]+60,IF(CommitmentsTable[[#This Row],[Date record entered]]&lt;&gt;"",CommitmentsTable[[#This Row],[Date record entered]]+60,""))</f>
        <v/>
      </c>
      <c r="M68" s="214"/>
      <c r="N68" s="214"/>
      <c r="O68" s="236"/>
      <c r="P68" s="214"/>
      <c r="Q68" s="214"/>
      <c r="R68" s="214"/>
      <c r="S68" s="238" t="str">
        <f>IF(CommitmentsTable[[#This Row],[Commitment / deliverable]]="","",IF(CommitmentsTable[[#This Row],[Revised due]]&lt;&gt;"",CommitmentsTable[[#This Row],[Revised due]],CommitmentsTable[[#This Row],[Original due]]))</f>
        <v/>
      </c>
      <c r="T68" s="237" t="str">
        <f>IF(OR(CommitmentsTable[[#This Row],[Commitment / deliverable]]="",CommitmentsTable[[#This Row],[Owner]]=""),"",IF(CommitmentsTable[[#This Row],[Status2]]="","Open",CommitmentsTable[[#This Row],[Status2]]))</f>
        <v/>
      </c>
      <c r="U68" s="237" t="str">
        <f t="shared" ca="1" si="0"/>
        <v/>
      </c>
      <c r="V68" s="233"/>
      <c r="W68" s="63" t="s">
        <v>1035</v>
      </c>
    </row>
    <row r="69" spans="1:23" ht="26.15" customHeight="1">
      <c r="A69" s="213" t="str">
        <f>IF(OR(CommitmentsTable[[#This Row],[Commitment / deliverable]]="",CommitmentsTable[[#This Row],[Immutable Key]]=""),"",SUBSTITUTE(CommitmentsTable[[#This Row],[Immutable Key]],"-K-","-"))</f>
        <v/>
      </c>
      <c r="B69" s="233"/>
      <c r="C69" s="233"/>
      <c r="D69" s="213"/>
      <c r="E69" s="230"/>
      <c r="F69" s="213"/>
      <c r="G69" s="245" t="str">
        <f ca="1">IF(CommitmentsTable[[#This Row],[Commitment / deliverable]]="","",IF(CommitmentsTable[[#This Row],[Date record entered]]="",TODAY(),CommitmentsTable[[#This Row],[Date record entered]]))</f>
        <v/>
      </c>
      <c r="H69" s="245"/>
      <c r="I69" s="245" t="str">
        <f ca="1">IF(CommitmentsTable[[#This Row],[Date Assigned if different from entry date]]&lt;&gt;"",CommitmentsTable[[#This Row],[Date Assigned if different from entry date]]+90,IF(CommitmentsTable[[#This Row],[Date record entered]]&lt;&gt;"",CommitmentsTable[[#This Row],[Date record entered]]+90,""))</f>
        <v/>
      </c>
      <c r="J69" s="245" t="str">
        <f ca="1">IF(CommitmentsTable[[#This Row],[Date Assigned if different from entry date]]&lt;&gt;"",CommitmentsTable[[#This Row],[Date Assigned if different from entry date]]+30,IF(CommitmentsTable[[#This Row],[Date record entered]]&lt;&gt;"",CommitmentsTable[[#This Row],[Date record entered]]+30,""))</f>
        <v/>
      </c>
      <c r="K69" s="245"/>
      <c r="L69" s="245" t="str">
        <f ca="1">IF(CommitmentsTable[[#This Row],[Date Assigned if different from entry date]]&lt;&gt;"",CommitmentsTable[[#This Row],[Date Assigned if different from entry date]]+60,IF(CommitmentsTable[[#This Row],[Date record entered]]&lt;&gt;"",CommitmentsTable[[#This Row],[Date record entered]]+60,""))</f>
        <v/>
      </c>
      <c r="M69" s="214"/>
      <c r="N69" s="214"/>
      <c r="O69" s="236"/>
      <c r="P69" s="214"/>
      <c r="Q69" s="214"/>
      <c r="R69" s="214"/>
      <c r="S69" s="238" t="str">
        <f>IF(CommitmentsTable[[#This Row],[Commitment / deliverable]]="","",IF(CommitmentsTable[[#This Row],[Revised due]]&lt;&gt;"",CommitmentsTable[[#This Row],[Revised due]],CommitmentsTable[[#This Row],[Original due]]))</f>
        <v/>
      </c>
      <c r="T69" s="237" t="str">
        <f>IF(OR(CommitmentsTable[[#This Row],[Commitment / deliverable]]="",CommitmentsTable[[#This Row],[Owner]]=""),"",IF(CommitmentsTable[[#This Row],[Status2]]="","Open",CommitmentsTable[[#This Row],[Status2]]))</f>
        <v/>
      </c>
      <c r="U69" s="237" t="str">
        <f t="shared" ca="1" si="0"/>
        <v/>
      </c>
      <c r="V69" s="233"/>
      <c r="W69" s="63" t="s">
        <v>1036</v>
      </c>
    </row>
    <row r="70" spans="1:23" ht="26.15" customHeight="1">
      <c r="A70" s="213" t="str">
        <f>IF(OR(CommitmentsTable[[#This Row],[Commitment / deliverable]]="",CommitmentsTable[[#This Row],[Immutable Key]]=""),"",SUBSTITUTE(CommitmentsTable[[#This Row],[Immutable Key]],"-K-","-"))</f>
        <v/>
      </c>
      <c r="B70" s="233"/>
      <c r="C70" s="233"/>
      <c r="D70" s="213"/>
      <c r="E70" s="230"/>
      <c r="F70" s="213"/>
      <c r="G70" s="245" t="str">
        <f ca="1">IF(CommitmentsTable[[#This Row],[Commitment / deliverable]]="","",IF(CommitmentsTable[[#This Row],[Date record entered]]="",TODAY(),CommitmentsTable[[#This Row],[Date record entered]]))</f>
        <v/>
      </c>
      <c r="H70" s="245"/>
      <c r="I70" s="245" t="str">
        <f ca="1">IF(CommitmentsTable[[#This Row],[Date Assigned if different from entry date]]&lt;&gt;"",CommitmentsTable[[#This Row],[Date Assigned if different from entry date]]+90,IF(CommitmentsTable[[#This Row],[Date record entered]]&lt;&gt;"",CommitmentsTable[[#This Row],[Date record entered]]+90,""))</f>
        <v/>
      </c>
      <c r="J70" s="245" t="str">
        <f ca="1">IF(CommitmentsTable[[#This Row],[Date Assigned if different from entry date]]&lt;&gt;"",CommitmentsTable[[#This Row],[Date Assigned if different from entry date]]+30,IF(CommitmentsTable[[#This Row],[Date record entered]]&lt;&gt;"",CommitmentsTable[[#This Row],[Date record entered]]+30,""))</f>
        <v/>
      </c>
      <c r="K70" s="245"/>
      <c r="L70" s="245" t="str">
        <f ca="1">IF(CommitmentsTable[[#This Row],[Date Assigned if different from entry date]]&lt;&gt;"",CommitmentsTable[[#This Row],[Date Assigned if different from entry date]]+60,IF(CommitmentsTable[[#This Row],[Date record entered]]&lt;&gt;"",CommitmentsTable[[#This Row],[Date record entered]]+60,""))</f>
        <v/>
      </c>
      <c r="M70" s="214"/>
      <c r="N70" s="214"/>
      <c r="O70" s="236"/>
      <c r="P70" s="214"/>
      <c r="Q70" s="214"/>
      <c r="R70" s="214"/>
      <c r="S70" s="238" t="str">
        <f>IF(CommitmentsTable[[#This Row],[Commitment / deliverable]]="","",IF(CommitmentsTable[[#This Row],[Revised due]]&lt;&gt;"",CommitmentsTable[[#This Row],[Revised due]],CommitmentsTable[[#This Row],[Original due]]))</f>
        <v/>
      </c>
      <c r="T70" s="237" t="str">
        <f>IF(OR(CommitmentsTable[[#This Row],[Commitment / deliverable]]="",CommitmentsTable[[#This Row],[Owner]]=""),"",IF(CommitmentsTable[[#This Row],[Status2]]="","Open",CommitmentsTable[[#This Row],[Status2]]))</f>
        <v/>
      </c>
      <c r="U70" s="237" t="str">
        <f t="shared" ca="1" si="0"/>
        <v/>
      </c>
      <c r="V70" s="233"/>
      <c r="W70" s="63" t="s">
        <v>1037</v>
      </c>
    </row>
    <row r="71" spans="1:23" ht="26.15" customHeight="1">
      <c r="A71" s="213" t="str">
        <f>IF(OR(CommitmentsTable[[#This Row],[Commitment / deliverable]]="",CommitmentsTable[[#This Row],[Immutable Key]]=""),"",SUBSTITUTE(CommitmentsTable[[#This Row],[Immutable Key]],"-K-","-"))</f>
        <v/>
      </c>
      <c r="B71" s="233"/>
      <c r="C71" s="233"/>
      <c r="D71" s="213"/>
      <c r="E71" s="230"/>
      <c r="F71" s="213"/>
      <c r="G71" s="245" t="str">
        <f ca="1">IF(CommitmentsTable[[#This Row],[Commitment / deliverable]]="","",IF(CommitmentsTable[[#This Row],[Date record entered]]="",TODAY(),CommitmentsTable[[#This Row],[Date record entered]]))</f>
        <v/>
      </c>
      <c r="H71" s="245"/>
      <c r="I71" s="245" t="str">
        <f ca="1">IF(CommitmentsTable[[#This Row],[Date Assigned if different from entry date]]&lt;&gt;"",CommitmentsTable[[#This Row],[Date Assigned if different from entry date]]+90,IF(CommitmentsTable[[#This Row],[Date record entered]]&lt;&gt;"",CommitmentsTable[[#This Row],[Date record entered]]+90,""))</f>
        <v/>
      </c>
      <c r="J71" s="245" t="str">
        <f ca="1">IF(CommitmentsTable[[#This Row],[Date Assigned if different from entry date]]&lt;&gt;"",CommitmentsTable[[#This Row],[Date Assigned if different from entry date]]+30,IF(CommitmentsTable[[#This Row],[Date record entered]]&lt;&gt;"",CommitmentsTable[[#This Row],[Date record entered]]+30,""))</f>
        <v/>
      </c>
      <c r="K71" s="245"/>
      <c r="L71" s="245" t="str">
        <f ca="1">IF(CommitmentsTable[[#This Row],[Date Assigned if different from entry date]]&lt;&gt;"",CommitmentsTable[[#This Row],[Date Assigned if different from entry date]]+60,IF(CommitmentsTable[[#This Row],[Date record entered]]&lt;&gt;"",CommitmentsTable[[#This Row],[Date record entered]]+60,""))</f>
        <v/>
      </c>
      <c r="M71" s="214"/>
      <c r="N71" s="214"/>
      <c r="O71" s="236"/>
      <c r="P71" s="214"/>
      <c r="Q71" s="214"/>
      <c r="R71" s="214"/>
      <c r="S71" s="238" t="str">
        <f>IF(CommitmentsTable[[#This Row],[Commitment / deliverable]]="","",IF(CommitmentsTable[[#This Row],[Revised due]]&lt;&gt;"",CommitmentsTable[[#This Row],[Revised due]],CommitmentsTable[[#This Row],[Original due]]))</f>
        <v/>
      </c>
      <c r="T71" s="237" t="str">
        <f>IF(OR(CommitmentsTable[[#This Row],[Commitment / deliverable]]="",CommitmentsTable[[#This Row],[Owner]]=""),"",IF(CommitmentsTable[[#This Row],[Status2]]="","Open",CommitmentsTable[[#This Row],[Status2]]))</f>
        <v/>
      </c>
      <c r="U71" s="237" t="str">
        <f t="shared" ca="1" si="0"/>
        <v/>
      </c>
      <c r="V71" s="233"/>
      <c r="W71" s="63" t="s">
        <v>1038</v>
      </c>
    </row>
    <row r="72" spans="1:23" ht="26.15" customHeight="1">
      <c r="A72" s="213" t="str">
        <f>IF(OR(CommitmentsTable[[#This Row],[Commitment / deliverable]]="",CommitmentsTable[[#This Row],[Immutable Key]]=""),"",SUBSTITUTE(CommitmentsTable[[#This Row],[Immutable Key]],"-K-","-"))</f>
        <v/>
      </c>
      <c r="B72" s="233"/>
      <c r="C72" s="233"/>
      <c r="D72" s="213"/>
      <c r="E72" s="230"/>
      <c r="F72" s="213"/>
      <c r="G72" s="245" t="str">
        <f ca="1">IF(CommitmentsTable[[#This Row],[Commitment / deliverable]]="","",IF(CommitmentsTable[[#This Row],[Date record entered]]="",TODAY(),CommitmentsTable[[#This Row],[Date record entered]]))</f>
        <v/>
      </c>
      <c r="H72" s="245"/>
      <c r="I72" s="245" t="str">
        <f ca="1">IF(CommitmentsTable[[#This Row],[Date Assigned if different from entry date]]&lt;&gt;"",CommitmentsTable[[#This Row],[Date Assigned if different from entry date]]+90,IF(CommitmentsTable[[#This Row],[Date record entered]]&lt;&gt;"",CommitmentsTable[[#This Row],[Date record entered]]+90,""))</f>
        <v/>
      </c>
      <c r="J72" s="245" t="str">
        <f ca="1">IF(CommitmentsTable[[#This Row],[Date Assigned if different from entry date]]&lt;&gt;"",CommitmentsTable[[#This Row],[Date Assigned if different from entry date]]+30,IF(CommitmentsTable[[#This Row],[Date record entered]]&lt;&gt;"",CommitmentsTable[[#This Row],[Date record entered]]+30,""))</f>
        <v/>
      </c>
      <c r="K72" s="245"/>
      <c r="L72" s="245" t="str">
        <f ca="1">IF(CommitmentsTable[[#This Row],[Date Assigned if different from entry date]]&lt;&gt;"",CommitmentsTable[[#This Row],[Date Assigned if different from entry date]]+60,IF(CommitmentsTable[[#This Row],[Date record entered]]&lt;&gt;"",CommitmentsTable[[#This Row],[Date record entered]]+60,""))</f>
        <v/>
      </c>
      <c r="M72" s="214"/>
      <c r="N72" s="214"/>
      <c r="O72" s="236"/>
      <c r="P72" s="214"/>
      <c r="Q72" s="214"/>
      <c r="R72" s="214"/>
      <c r="S72" s="238" t="str">
        <f>IF(CommitmentsTable[[#This Row],[Commitment / deliverable]]="","",IF(CommitmentsTable[[#This Row],[Revised due]]&lt;&gt;"",CommitmentsTable[[#This Row],[Revised due]],CommitmentsTable[[#This Row],[Original due]]))</f>
        <v/>
      </c>
      <c r="T72" s="237" t="str">
        <f>IF(OR(CommitmentsTable[[#This Row],[Commitment / deliverable]]="",CommitmentsTable[[#This Row],[Owner]]=""),"",IF(CommitmentsTable[[#This Row],[Status2]]="","Open",CommitmentsTable[[#This Row],[Status2]]))</f>
        <v/>
      </c>
      <c r="U72" s="237" t="str">
        <f t="shared" ca="1" si="0"/>
        <v/>
      </c>
      <c r="V72" s="233"/>
      <c r="W72" s="63" t="s">
        <v>1039</v>
      </c>
    </row>
    <row r="73" spans="1:23" ht="26.15" customHeight="1">
      <c r="A73" s="213" t="str">
        <f>IF(OR(CommitmentsTable[[#This Row],[Commitment / deliverable]]="",CommitmentsTable[[#This Row],[Immutable Key]]=""),"",SUBSTITUTE(CommitmentsTable[[#This Row],[Immutable Key]],"-K-","-"))</f>
        <v/>
      </c>
      <c r="B73" s="233"/>
      <c r="C73" s="233"/>
      <c r="D73" s="213"/>
      <c r="E73" s="230"/>
      <c r="F73" s="213"/>
      <c r="G73" s="245" t="str">
        <f ca="1">IF(CommitmentsTable[[#This Row],[Commitment / deliverable]]="","",IF(CommitmentsTable[[#This Row],[Date record entered]]="",TODAY(),CommitmentsTable[[#This Row],[Date record entered]]))</f>
        <v/>
      </c>
      <c r="H73" s="245"/>
      <c r="I73" s="245" t="str">
        <f ca="1">IF(CommitmentsTable[[#This Row],[Date Assigned if different from entry date]]&lt;&gt;"",CommitmentsTable[[#This Row],[Date Assigned if different from entry date]]+90,IF(CommitmentsTable[[#This Row],[Date record entered]]&lt;&gt;"",CommitmentsTable[[#This Row],[Date record entered]]+90,""))</f>
        <v/>
      </c>
      <c r="J73" s="245" t="str">
        <f ca="1">IF(CommitmentsTable[[#This Row],[Date Assigned if different from entry date]]&lt;&gt;"",CommitmentsTable[[#This Row],[Date Assigned if different from entry date]]+30,IF(CommitmentsTable[[#This Row],[Date record entered]]&lt;&gt;"",CommitmentsTable[[#This Row],[Date record entered]]+30,""))</f>
        <v/>
      </c>
      <c r="K73" s="245"/>
      <c r="L73" s="245" t="str">
        <f ca="1">IF(CommitmentsTable[[#This Row],[Date Assigned if different from entry date]]&lt;&gt;"",CommitmentsTable[[#This Row],[Date Assigned if different from entry date]]+60,IF(CommitmentsTable[[#This Row],[Date record entered]]&lt;&gt;"",CommitmentsTable[[#This Row],[Date record entered]]+60,""))</f>
        <v/>
      </c>
      <c r="M73" s="214"/>
      <c r="N73" s="214"/>
      <c r="O73" s="236"/>
      <c r="P73" s="214"/>
      <c r="Q73" s="214"/>
      <c r="R73" s="214"/>
      <c r="S73" s="238" t="str">
        <f>IF(CommitmentsTable[[#This Row],[Commitment / deliverable]]="","",IF(CommitmentsTable[[#This Row],[Revised due]]&lt;&gt;"",CommitmentsTable[[#This Row],[Revised due]],CommitmentsTable[[#This Row],[Original due]]))</f>
        <v/>
      </c>
      <c r="T73" s="237" t="str">
        <f>IF(OR(CommitmentsTable[[#This Row],[Commitment / deliverable]]="",CommitmentsTable[[#This Row],[Owner]]=""),"",IF(CommitmentsTable[[#This Row],[Status2]]="","Open",CommitmentsTable[[#This Row],[Status2]]))</f>
        <v/>
      </c>
      <c r="U73" s="237" t="str">
        <f t="shared" ca="1" si="0"/>
        <v/>
      </c>
      <c r="V73" s="233"/>
      <c r="W73" s="63" t="s">
        <v>1040</v>
      </c>
    </row>
    <row r="74" spans="1:23" ht="26.15" customHeight="1">
      <c r="A74" s="213" t="str">
        <f>IF(OR(CommitmentsTable[[#This Row],[Commitment / deliverable]]="",CommitmentsTable[[#This Row],[Immutable Key]]=""),"",SUBSTITUTE(CommitmentsTable[[#This Row],[Immutable Key]],"-K-","-"))</f>
        <v/>
      </c>
      <c r="B74" s="233"/>
      <c r="C74" s="233"/>
      <c r="D74" s="213"/>
      <c r="E74" s="230"/>
      <c r="F74" s="213"/>
      <c r="G74" s="245" t="str">
        <f ca="1">IF(CommitmentsTable[[#This Row],[Commitment / deliverable]]="","",IF(CommitmentsTable[[#This Row],[Date record entered]]="",TODAY(),CommitmentsTable[[#This Row],[Date record entered]]))</f>
        <v/>
      </c>
      <c r="H74" s="245"/>
      <c r="I74" s="245" t="str">
        <f ca="1">IF(CommitmentsTable[[#This Row],[Date Assigned if different from entry date]]&lt;&gt;"",CommitmentsTable[[#This Row],[Date Assigned if different from entry date]]+90,IF(CommitmentsTable[[#This Row],[Date record entered]]&lt;&gt;"",CommitmentsTable[[#This Row],[Date record entered]]+90,""))</f>
        <v/>
      </c>
      <c r="J74" s="245" t="str">
        <f ca="1">IF(CommitmentsTable[[#This Row],[Date Assigned if different from entry date]]&lt;&gt;"",CommitmentsTable[[#This Row],[Date Assigned if different from entry date]]+30,IF(CommitmentsTable[[#This Row],[Date record entered]]&lt;&gt;"",CommitmentsTable[[#This Row],[Date record entered]]+30,""))</f>
        <v/>
      </c>
      <c r="K74" s="245"/>
      <c r="L74" s="245" t="str">
        <f ca="1">IF(CommitmentsTable[[#This Row],[Date Assigned if different from entry date]]&lt;&gt;"",CommitmentsTable[[#This Row],[Date Assigned if different from entry date]]+60,IF(CommitmentsTable[[#This Row],[Date record entered]]&lt;&gt;"",CommitmentsTable[[#This Row],[Date record entered]]+60,""))</f>
        <v/>
      </c>
      <c r="M74" s="214"/>
      <c r="N74" s="214"/>
      <c r="O74" s="236"/>
      <c r="P74" s="214"/>
      <c r="Q74" s="214"/>
      <c r="R74" s="214"/>
      <c r="S74" s="238" t="str">
        <f>IF(CommitmentsTable[[#This Row],[Commitment / deliverable]]="","",IF(CommitmentsTable[[#This Row],[Revised due]]&lt;&gt;"",CommitmentsTable[[#This Row],[Revised due]],CommitmentsTable[[#This Row],[Original due]]))</f>
        <v/>
      </c>
      <c r="T74" s="237" t="str">
        <f>IF(OR(CommitmentsTable[[#This Row],[Commitment / deliverable]]="",CommitmentsTable[[#This Row],[Owner]]=""),"",IF(CommitmentsTable[[#This Row],[Status2]]="","Open",CommitmentsTable[[#This Row],[Status2]]))</f>
        <v/>
      </c>
      <c r="U74" s="237" t="str">
        <f t="shared" ca="1" si="0"/>
        <v/>
      </c>
      <c r="V74" s="233"/>
      <c r="W74" s="63" t="s">
        <v>1041</v>
      </c>
    </row>
    <row r="75" spans="1:23" ht="26.15" customHeight="1">
      <c r="A75" s="213" t="str">
        <f>IF(OR(CommitmentsTable[[#This Row],[Commitment / deliverable]]="",CommitmentsTable[[#This Row],[Immutable Key]]=""),"",SUBSTITUTE(CommitmentsTable[[#This Row],[Immutable Key]],"-K-","-"))</f>
        <v/>
      </c>
      <c r="B75" s="233"/>
      <c r="C75" s="233"/>
      <c r="D75" s="213"/>
      <c r="E75" s="230"/>
      <c r="F75" s="213"/>
      <c r="G75" s="245" t="str">
        <f ca="1">IF(CommitmentsTable[[#This Row],[Commitment / deliverable]]="","",IF(CommitmentsTable[[#This Row],[Date record entered]]="",TODAY(),CommitmentsTable[[#This Row],[Date record entered]]))</f>
        <v/>
      </c>
      <c r="H75" s="245"/>
      <c r="I75" s="245" t="str">
        <f ca="1">IF(CommitmentsTable[[#This Row],[Date Assigned if different from entry date]]&lt;&gt;"",CommitmentsTable[[#This Row],[Date Assigned if different from entry date]]+90,IF(CommitmentsTable[[#This Row],[Date record entered]]&lt;&gt;"",CommitmentsTable[[#This Row],[Date record entered]]+90,""))</f>
        <v/>
      </c>
      <c r="J75" s="245" t="str">
        <f ca="1">IF(CommitmentsTable[[#This Row],[Date Assigned if different from entry date]]&lt;&gt;"",CommitmentsTable[[#This Row],[Date Assigned if different from entry date]]+30,IF(CommitmentsTable[[#This Row],[Date record entered]]&lt;&gt;"",CommitmentsTable[[#This Row],[Date record entered]]+30,""))</f>
        <v/>
      </c>
      <c r="K75" s="245"/>
      <c r="L75" s="245" t="str">
        <f ca="1">IF(CommitmentsTable[[#This Row],[Date Assigned if different from entry date]]&lt;&gt;"",CommitmentsTable[[#This Row],[Date Assigned if different from entry date]]+60,IF(CommitmentsTable[[#This Row],[Date record entered]]&lt;&gt;"",CommitmentsTable[[#This Row],[Date record entered]]+60,""))</f>
        <v/>
      </c>
      <c r="M75" s="214"/>
      <c r="N75" s="214"/>
      <c r="O75" s="236"/>
      <c r="P75" s="214"/>
      <c r="Q75" s="214"/>
      <c r="R75" s="214"/>
      <c r="S75" s="238" t="str">
        <f>IF(CommitmentsTable[[#This Row],[Commitment / deliverable]]="","",IF(CommitmentsTable[[#This Row],[Revised due]]&lt;&gt;"",CommitmentsTable[[#This Row],[Revised due]],CommitmentsTable[[#This Row],[Original due]]))</f>
        <v/>
      </c>
      <c r="T75" s="237" t="str">
        <f>IF(OR(CommitmentsTable[[#This Row],[Commitment / deliverable]]="",CommitmentsTable[[#This Row],[Owner]]=""),"",IF(CommitmentsTable[[#This Row],[Status2]]="","Open",CommitmentsTable[[#This Row],[Status2]]))</f>
        <v/>
      </c>
      <c r="U75" s="237" t="str">
        <f t="shared" ca="1" si="0"/>
        <v/>
      </c>
      <c r="V75" s="233"/>
      <c r="W75" s="63" t="s">
        <v>1042</v>
      </c>
    </row>
    <row r="76" spans="1:23" ht="26.15" customHeight="1">
      <c r="A76" s="213" t="str">
        <f>IF(OR(CommitmentsTable[[#This Row],[Commitment / deliverable]]="",CommitmentsTable[[#This Row],[Immutable Key]]=""),"",SUBSTITUTE(CommitmentsTable[[#This Row],[Immutable Key]],"-K-","-"))</f>
        <v/>
      </c>
      <c r="B76" s="233"/>
      <c r="C76" s="233"/>
      <c r="D76" s="213"/>
      <c r="E76" s="230"/>
      <c r="F76" s="213"/>
      <c r="G76" s="245" t="str">
        <f ca="1">IF(CommitmentsTable[[#This Row],[Commitment / deliverable]]="","",IF(CommitmentsTable[[#This Row],[Date record entered]]="",TODAY(),CommitmentsTable[[#This Row],[Date record entered]]))</f>
        <v/>
      </c>
      <c r="H76" s="245"/>
      <c r="I76" s="245" t="str">
        <f ca="1">IF(CommitmentsTable[[#This Row],[Date Assigned if different from entry date]]&lt;&gt;"",CommitmentsTable[[#This Row],[Date Assigned if different from entry date]]+90,IF(CommitmentsTable[[#This Row],[Date record entered]]&lt;&gt;"",CommitmentsTable[[#This Row],[Date record entered]]+90,""))</f>
        <v/>
      </c>
      <c r="J76" s="245" t="str">
        <f ca="1">IF(CommitmentsTable[[#This Row],[Date Assigned if different from entry date]]&lt;&gt;"",CommitmentsTable[[#This Row],[Date Assigned if different from entry date]]+30,IF(CommitmentsTable[[#This Row],[Date record entered]]&lt;&gt;"",CommitmentsTable[[#This Row],[Date record entered]]+30,""))</f>
        <v/>
      </c>
      <c r="K76" s="245"/>
      <c r="L76" s="245" t="str">
        <f ca="1">IF(CommitmentsTable[[#This Row],[Date Assigned if different from entry date]]&lt;&gt;"",CommitmentsTable[[#This Row],[Date Assigned if different from entry date]]+60,IF(CommitmentsTable[[#This Row],[Date record entered]]&lt;&gt;"",CommitmentsTable[[#This Row],[Date record entered]]+60,""))</f>
        <v/>
      </c>
      <c r="M76" s="214"/>
      <c r="N76" s="214"/>
      <c r="O76" s="236"/>
      <c r="P76" s="214"/>
      <c r="Q76" s="214"/>
      <c r="R76" s="214"/>
      <c r="S76" s="238" t="str">
        <f>IF(CommitmentsTable[[#This Row],[Commitment / deliverable]]="","",IF(CommitmentsTable[[#This Row],[Revised due]]&lt;&gt;"",CommitmentsTable[[#This Row],[Revised due]],CommitmentsTable[[#This Row],[Original due]]))</f>
        <v/>
      </c>
      <c r="T76" s="237" t="str">
        <f>IF(OR(CommitmentsTable[[#This Row],[Commitment / deliverable]]="",CommitmentsTable[[#This Row],[Owner]]=""),"",IF(CommitmentsTable[[#This Row],[Status2]]="","Open",CommitmentsTable[[#This Row],[Status2]]))</f>
        <v/>
      </c>
      <c r="U76" s="237" t="str">
        <f t="shared" ca="1" si="0"/>
        <v/>
      </c>
      <c r="V76" s="233"/>
      <c r="W76" s="63" t="s">
        <v>1043</v>
      </c>
    </row>
    <row r="77" spans="1:23" ht="26.15" customHeight="1">
      <c r="A77" s="213" t="str">
        <f>IF(OR(CommitmentsTable[[#This Row],[Commitment / deliverable]]="",CommitmentsTable[[#This Row],[Immutable Key]]=""),"",SUBSTITUTE(CommitmentsTable[[#This Row],[Immutable Key]],"-K-","-"))</f>
        <v/>
      </c>
      <c r="B77" s="233"/>
      <c r="C77" s="233"/>
      <c r="D77" s="213"/>
      <c r="E77" s="230"/>
      <c r="F77" s="213"/>
      <c r="G77" s="245" t="str">
        <f ca="1">IF(CommitmentsTable[[#This Row],[Commitment / deliverable]]="","",IF(CommitmentsTable[[#This Row],[Date record entered]]="",TODAY(),CommitmentsTable[[#This Row],[Date record entered]]))</f>
        <v/>
      </c>
      <c r="H77" s="245"/>
      <c r="I77" s="245" t="str">
        <f ca="1">IF(CommitmentsTable[[#This Row],[Date Assigned if different from entry date]]&lt;&gt;"",CommitmentsTable[[#This Row],[Date Assigned if different from entry date]]+90,IF(CommitmentsTable[[#This Row],[Date record entered]]&lt;&gt;"",CommitmentsTable[[#This Row],[Date record entered]]+90,""))</f>
        <v/>
      </c>
      <c r="J77" s="245" t="str">
        <f ca="1">IF(CommitmentsTable[[#This Row],[Date Assigned if different from entry date]]&lt;&gt;"",CommitmentsTable[[#This Row],[Date Assigned if different from entry date]]+30,IF(CommitmentsTable[[#This Row],[Date record entered]]&lt;&gt;"",CommitmentsTable[[#This Row],[Date record entered]]+30,""))</f>
        <v/>
      </c>
      <c r="K77" s="245"/>
      <c r="L77" s="245" t="str">
        <f ca="1">IF(CommitmentsTable[[#This Row],[Date Assigned if different from entry date]]&lt;&gt;"",CommitmentsTable[[#This Row],[Date Assigned if different from entry date]]+60,IF(CommitmentsTable[[#This Row],[Date record entered]]&lt;&gt;"",CommitmentsTable[[#This Row],[Date record entered]]+60,""))</f>
        <v/>
      </c>
      <c r="M77" s="214"/>
      <c r="N77" s="214"/>
      <c r="O77" s="236"/>
      <c r="P77" s="214"/>
      <c r="Q77" s="214"/>
      <c r="R77" s="214"/>
      <c r="S77" s="238" t="str">
        <f>IF(CommitmentsTable[[#This Row],[Commitment / deliverable]]="","",IF(CommitmentsTable[[#This Row],[Revised due]]&lt;&gt;"",CommitmentsTable[[#This Row],[Revised due]],CommitmentsTable[[#This Row],[Original due]]))</f>
        <v/>
      </c>
      <c r="T77" s="237" t="str">
        <f>IF(OR(CommitmentsTable[[#This Row],[Commitment / deliverable]]="",CommitmentsTable[[#This Row],[Owner]]=""),"",IF(CommitmentsTable[[#This Row],[Status2]]="","Open",CommitmentsTable[[#This Row],[Status2]]))</f>
        <v/>
      </c>
      <c r="U77" s="237" t="str">
        <f t="shared" ref="U77:U140" ca="1" si="1">IF(B77="","",IF(T77="Closed","",IF(OR(T77="Slipped",T77="At risk",AND(S77&lt;&gt;"",S77&lt;TODAY())),"Slipped / at risk",IF(G77=TODAY(),"New today",IF(S77=TODAY()+1,"Due tomorrow","")))))</f>
        <v/>
      </c>
      <c r="V77" s="233"/>
      <c r="W77" s="63" t="s">
        <v>1044</v>
      </c>
    </row>
    <row r="78" spans="1:23" ht="26.15" customHeight="1">
      <c r="A78" s="213" t="str">
        <f>IF(OR(CommitmentsTable[[#This Row],[Commitment / deliverable]]="",CommitmentsTable[[#This Row],[Immutable Key]]=""),"",SUBSTITUTE(CommitmentsTable[[#This Row],[Immutable Key]],"-K-","-"))</f>
        <v/>
      </c>
      <c r="B78" s="233"/>
      <c r="C78" s="233"/>
      <c r="D78" s="213"/>
      <c r="E78" s="230"/>
      <c r="F78" s="213"/>
      <c r="G78" s="245" t="str">
        <f ca="1">IF(CommitmentsTable[[#This Row],[Commitment / deliverable]]="","",IF(CommitmentsTable[[#This Row],[Date record entered]]="",TODAY(),CommitmentsTable[[#This Row],[Date record entered]]))</f>
        <v/>
      </c>
      <c r="H78" s="245"/>
      <c r="I78" s="245" t="str">
        <f ca="1">IF(CommitmentsTable[[#This Row],[Date Assigned if different from entry date]]&lt;&gt;"",CommitmentsTable[[#This Row],[Date Assigned if different from entry date]]+90,IF(CommitmentsTable[[#This Row],[Date record entered]]&lt;&gt;"",CommitmentsTable[[#This Row],[Date record entered]]+90,""))</f>
        <v/>
      </c>
      <c r="J78" s="245" t="str">
        <f ca="1">IF(CommitmentsTable[[#This Row],[Date Assigned if different from entry date]]&lt;&gt;"",CommitmentsTable[[#This Row],[Date Assigned if different from entry date]]+30,IF(CommitmentsTable[[#This Row],[Date record entered]]&lt;&gt;"",CommitmentsTable[[#This Row],[Date record entered]]+30,""))</f>
        <v/>
      </c>
      <c r="K78" s="245"/>
      <c r="L78" s="245" t="str">
        <f ca="1">IF(CommitmentsTable[[#This Row],[Date Assigned if different from entry date]]&lt;&gt;"",CommitmentsTable[[#This Row],[Date Assigned if different from entry date]]+60,IF(CommitmentsTable[[#This Row],[Date record entered]]&lt;&gt;"",CommitmentsTable[[#This Row],[Date record entered]]+60,""))</f>
        <v/>
      </c>
      <c r="M78" s="214"/>
      <c r="N78" s="214"/>
      <c r="O78" s="236"/>
      <c r="P78" s="214"/>
      <c r="Q78" s="214"/>
      <c r="R78" s="214"/>
      <c r="S78" s="238" t="str">
        <f>IF(CommitmentsTable[[#This Row],[Commitment / deliverable]]="","",IF(CommitmentsTable[[#This Row],[Revised due]]&lt;&gt;"",CommitmentsTable[[#This Row],[Revised due]],CommitmentsTable[[#This Row],[Original due]]))</f>
        <v/>
      </c>
      <c r="T78" s="237" t="str">
        <f>IF(OR(CommitmentsTable[[#This Row],[Commitment / deliverable]]="",CommitmentsTable[[#This Row],[Owner]]=""),"",IF(CommitmentsTable[[#This Row],[Status2]]="","Open",CommitmentsTable[[#This Row],[Status2]]))</f>
        <v/>
      </c>
      <c r="U78" s="237" t="str">
        <f t="shared" ca="1" si="1"/>
        <v/>
      </c>
      <c r="V78" s="233"/>
      <c r="W78" s="63" t="s">
        <v>1045</v>
      </c>
    </row>
    <row r="79" spans="1:23" ht="26.15" customHeight="1">
      <c r="A79" s="213" t="str">
        <f>IF(OR(CommitmentsTable[[#This Row],[Commitment / deliverable]]="",CommitmentsTable[[#This Row],[Immutable Key]]=""),"",SUBSTITUTE(CommitmentsTable[[#This Row],[Immutable Key]],"-K-","-"))</f>
        <v/>
      </c>
      <c r="B79" s="233"/>
      <c r="C79" s="233"/>
      <c r="D79" s="213"/>
      <c r="E79" s="230"/>
      <c r="F79" s="213"/>
      <c r="G79" s="245" t="str">
        <f ca="1">IF(CommitmentsTable[[#This Row],[Commitment / deliverable]]="","",IF(CommitmentsTable[[#This Row],[Date record entered]]="",TODAY(),CommitmentsTable[[#This Row],[Date record entered]]))</f>
        <v/>
      </c>
      <c r="H79" s="245"/>
      <c r="I79" s="245" t="str">
        <f ca="1">IF(CommitmentsTable[[#This Row],[Date Assigned if different from entry date]]&lt;&gt;"",CommitmentsTable[[#This Row],[Date Assigned if different from entry date]]+90,IF(CommitmentsTable[[#This Row],[Date record entered]]&lt;&gt;"",CommitmentsTable[[#This Row],[Date record entered]]+90,""))</f>
        <v/>
      </c>
      <c r="J79" s="245" t="str">
        <f ca="1">IF(CommitmentsTable[[#This Row],[Date Assigned if different from entry date]]&lt;&gt;"",CommitmentsTable[[#This Row],[Date Assigned if different from entry date]]+30,IF(CommitmentsTable[[#This Row],[Date record entered]]&lt;&gt;"",CommitmentsTable[[#This Row],[Date record entered]]+30,""))</f>
        <v/>
      </c>
      <c r="K79" s="245"/>
      <c r="L79" s="245" t="str">
        <f ca="1">IF(CommitmentsTable[[#This Row],[Date Assigned if different from entry date]]&lt;&gt;"",CommitmentsTable[[#This Row],[Date Assigned if different from entry date]]+60,IF(CommitmentsTable[[#This Row],[Date record entered]]&lt;&gt;"",CommitmentsTable[[#This Row],[Date record entered]]+60,""))</f>
        <v/>
      </c>
      <c r="M79" s="214"/>
      <c r="N79" s="214"/>
      <c r="O79" s="236"/>
      <c r="P79" s="214"/>
      <c r="Q79" s="214"/>
      <c r="R79" s="214"/>
      <c r="S79" s="238" t="str">
        <f>IF(CommitmentsTable[[#This Row],[Commitment / deliverable]]="","",IF(CommitmentsTable[[#This Row],[Revised due]]&lt;&gt;"",CommitmentsTable[[#This Row],[Revised due]],CommitmentsTable[[#This Row],[Original due]]))</f>
        <v/>
      </c>
      <c r="T79" s="237" t="str">
        <f>IF(OR(CommitmentsTable[[#This Row],[Commitment / deliverable]]="",CommitmentsTable[[#This Row],[Owner]]=""),"",IF(CommitmentsTable[[#This Row],[Status2]]="","Open",CommitmentsTable[[#This Row],[Status2]]))</f>
        <v/>
      </c>
      <c r="U79" s="237" t="str">
        <f t="shared" ca="1" si="1"/>
        <v/>
      </c>
      <c r="V79" s="233"/>
      <c r="W79" s="63" t="s">
        <v>1046</v>
      </c>
    </row>
    <row r="80" spans="1:23" ht="26.15" customHeight="1">
      <c r="A80" s="213" t="str">
        <f>IF(OR(CommitmentsTable[[#This Row],[Commitment / deliverable]]="",CommitmentsTable[[#This Row],[Immutable Key]]=""),"",SUBSTITUTE(CommitmentsTable[[#This Row],[Immutable Key]],"-K-","-"))</f>
        <v/>
      </c>
      <c r="B80" s="233"/>
      <c r="C80" s="233"/>
      <c r="D80" s="213"/>
      <c r="E80" s="230"/>
      <c r="F80" s="213"/>
      <c r="G80" s="245" t="str">
        <f ca="1">IF(CommitmentsTable[[#This Row],[Commitment / deliverable]]="","",IF(CommitmentsTable[[#This Row],[Date record entered]]="",TODAY(),CommitmentsTable[[#This Row],[Date record entered]]))</f>
        <v/>
      </c>
      <c r="H80" s="245"/>
      <c r="I80" s="245" t="str">
        <f ca="1">IF(CommitmentsTable[[#This Row],[Date Assigned if different from entry date]]&lt;&gt;"",CommitmentsTable[[#This Row],[Date Assigned if different from entry date]]+90,IF(CommitmentsTable[[#This Row],[Date record entered]]&lt;&gt;"",CommitmentsTable[[#This Row],[Date record entered]]+90,""))</f>
        <v/>
      </c>
      <c r="J80" s="245" t="str">
        <f ca="1">IF(CommitmentsTable[[#This Row],[Date Assigned if different from entry date]]&lt;&gt;"",CommitmentsTable[[#This Row],[Date Assigned if different from entry date]]+30,IF(CommitmentsTable[[#This Row],[Date record entered]]&lt;&gt;"",CommitmentsTable[[#This Row],[Date record entered]]+30,""))</f>
        <v/>
      </c>
      <c r="K80" s="245"/>
      <c r="L80" s="245" t="str">
        <f ca="1">IF(CommitmentsTable[[#This Row],[Date Assigned if different from entry date]]&lt;&gt;"",CommitmentsTable[[#This Row],[Date Assigned if different from entry date]]+60,IF(CommitmentsTable[[#This Row],[Date record entered]]&lt;&gt;"",CommitmentsTable[[#This Row],[Date record entered]]+60,""))</f>
        <v/>
      </c>
      <c r="M80" s="214"/>
      <c r="N80" s="214"/>
      <c r="O80" s="236"/>
      <c r="P80" s="214"/>
      <c r="Q80" s="214"/>
      <c r="R80" s="214"/>
      <c r="S80" s="238" t="str">
        <f>IF(CommitmentsTable[[#This Row],[Commitment / deliverable]]="","",IF(CommitmentsTable[[#This Row],[Revised due]]&lt;&gt;"",CommitmentsTable[[#This Row],[Revised due]],CommitmentsTable[[#This Row],[Original due]]))</f>
        <v/>
      </c>
      <c r="T80" s="237" t="str">
        <f>IF(OR(CommitmentsTable[[#This Row],[Commitment / deliverable]]="",CommitmentsTable[[#This Row],[Owner]]=""),"",IF(CommitmentsTable[[#This Row],[Status2]]="","Open",CommitmentsTable[[#This Row],[Status2]]))</f>
        <v/>
      </c>
      <c r="U80" s="237" t="str">
        <f t="shared" ca="1" si="1"/>
        <v/>
      </c>
      <c r="V80" s="233"/>
      <c r="W80" s="63" t="s">
        <v>1047</v>
      </c>
    </row>
    <row r="81" spans="1:23" ht="26.15" customHeight="1">
      <c r="A81" s="213" t="str">
        <f>IF(OR(CommitmentsTable[[#This Row],[Commitment / deliverable]]="",CommitmentsTable[[#This Row],[Immutable Key]]=""),"",SUBSTITUTE(CommitmentsTable[[#This Row],[Immutable Key]],"-K-","-"))</f>
        <v/>
      </c>
      <c r="B81" s="233"/>
      <c r="C81" s="233"/>
      <c r="D81" s="213"/>
      <c r="E81" s="230"/>
      <c r="F81" s="213"/>
      <c r="G81" s="245" t="str">
        <f ca="1">IF(CommitmentsTable[[#This Row],[Commitment / deliverable]]="","",IF(CommitmentsTable[[#This Row],[Date record entered]]="",TODAY(),CommitmentsTable[[#This Row],[Date record entered]]))</f>
        <v/>
      </c>
      <c r="H81" s="245"/>
      <c r="I81" s="245" t="str">
        <f ca="1">IF(CommitmentsTable[[#This Row],[Date Assigned if different from entry date]]&lt;&gt;"",CommitmentsTable[[#This Row],[Date Assigned if different from entry date]]+90,IF(CommitmentsTable[[#This Row],[Date record entered]]&lt;&gt;"",CommitmentsTable[[#This Row],[Date record entered]]+90,""))</f>
        <v/>
      </c>
      <c r="J81" s="245" t="str">
        <f ca="1">IF(CommitmentsTable[[#This Row],[Date Assigned if different from entry date]]&lt;&gt;"",CommitmentsTable[[#This Row],[Date Assigned if different from entry date]]+30,IF(CommitmentsTable[[#This Row],[Date record entered]]&lt;&gt;"",CommitmentsTable[[#This Row],[Date record entered]]+30,""))</f>
        <v/>
      </c>
      <c r="K81" s="245"/>
      <c r="L81" s="245" t="str">
        <f ca="1">IF(CommitmentsTable[[#This Row],[Date Assigned if different from entry date]]&lt;&gt;"",CommitmentsTable[[#This Row],[Date Assigned if different from entry date]]+60,IF(CommitmentsTable[[#This Row],[Date record entered]]&lt;&gt;"",CommitmentsTable[[#This Row],[Date record entered]]+60,""))</f>
        <v/>
      </c>
      <c r="M81" s="214"/>
      <c r="N81" s="214"/>
      <c r="O81" s="236"/>
      <c r="P81" s="214"/>
      <c r="Q81" s="214"/>
      <c r="R81" s="214"/>
      <c r="S81" s="238" t="str">
        <f>IF(CommitmentsTable[[#This Row],[Commitment / deliverable]]="","",IF(CommitmentsTable[[#This Row],[Revised due]]&lt;&gt;"",CommitmentsTable[[#This Row],[Revised due]],CommitmentsTable[[#This Row],[Original due]]))</f>
        <v/>
      </c>
      <c r="T81" s="237" t="str">
        <f>IF(OR(CommitmentsTable[[#This Row],[Commitment / deliverable]]="",CommitmentsTable[[#This Row],[Owner]]=""),"",IF(CommitmentsTable[[#This Row],[Status2]]="","Open",CommitmentsTable[[#This Row],[Status2]]))</f>
        <v/>
      </c>
      <c r="U81" s="237" t="str">
        <f t="shared" ca="1" si="1"/>
        <v/>
      </c>
      <c r="V81" s="233"/>
      <c r="W81" s="63" t="s">
        <v>1048</v>
      </c>
    </row>
    <row r="82" spans="1:23" ht="26.15" customHeight="1">
      <c r="A82" s="213" t="str">
        <f>IF(OR(CommitmentsTable[[#This Row],[Commitment / deliverable]]="",CommitmentsTable[[#This Row],[Immutable Key]]=""),"",SUBSTITUTE(CommitmentsTable[[#This Row],[Immutable Key]],"-K-","-"))</f>
        <v/>
      </c>
      <c r="B82" s="233"/>
      <c r="C82" s="233"/>
      <c r="D82" s="213"/>
      <c r="E82" s="230"/>
      <c r="F82" s="213"/>
      <c r="G82" s="245" t="str">
        <f ca="1">IF(CommitmentsTable[[#This Row],[Commitment / deliverable]]="","",IF(CommitmentsTable[[#This Row],[Date record entered]]="",TODAY(),CommitmentsTable[[#This Row],[Date record entered]]))</f>
        <v/>
      </c>
      <c r="H82" s="245"/>
      <c r="I82" s="245" t="str">
        <f ca="1">IF(CommitmentsTable[[#This Row],[Date Assigned if different from entry date]]&lt;&gt;"",CommitmentsTable[[#This Row],[Date Assigned if different from entry date]]+90,IF(CommitmentsTable[[#This Row],[Date record entered]]&lt;&gt;"",CommitmentsTable[[#This Row],[Date record entered]]+90,""))</f>
        <v/>
      </c>
      <c r="J82" s="245" t="str">
        <f ca="1">IF(CommitmentsTable[[#This Row],[Date Assigned if different from entry date]]&lt;&gt;"",CommitmentsTable[[#This Row],[Date Assigned if different from entry date]]+30,IF(CommitmentsTable[[#This Row],[Date record entered]]&lt;&gt;"",CommitmentsTable[[#This Row],[Date record entered]]+30,""))</f>
        <v/>
      </c>
      <c r="K82" s="245"/>
      <c r="L82" s="245" t="str">
        <f ca="1">IF(CommitmentsTable[[#This Row],[Date Assigned if different from entry date]]&lt;&gt;"",CommitmentsTable[[#This Row],[Date Assigned if different from entry date]]+60,IF(CommitmentsTable[[#This Row],[Date record entered]]&lt;&gt;"",CommitmentsTable[[#This Row],[Date record entered]]+60,""))</f>
        <v/>
      </c>
      <c r="M82" s="214"/>
      <c r="N82" s="214"/>
      <c r="O82" s="236"/>
      <c r="P82" s="214"/>
      <c r="Q82" s="214"/>
      <c r="R82" s="214"/>
      <c r="S82" s="238" t="str">
        <f>IF(CommitmentsTable[[#This Row],[Commitment / deliverable]]="","",IF(CommitmentsTable[[#This Row],[Revised due]]&lt;&gt;"",CommitmentsTable[[#This Row],[Revised due]],CommitmentsTable[[#This Row],[Original due]]))</f>
        <v/>
      </c>
      <c r="T82" s="237" t="str">
        <f>IF(OR(CommitmentsTable[[#This Row],[Commitment / deliverable]]="",CommitmentsTable[[#This Row],[Owner]]=""),"",IF(CommitmentsTable[[#This Row],[Status2]]="","Open",CommitmentsTable[[#This Row],[Status2]]))</f>
        <v/>
      </c>
      <c r="U82" s="237" t="str">
        <f t="shared" ca="1" si="1"/>
        <v/>
      </c>
      <c r="V82" s="233"/>
      <c r="W82" s="63" t="s">
        <v>1049</v>
      </c>
    </row>
    <row r="83" spans="1:23" ht="26.15" customHeight="1">
      <c r="A83" s="213" t="str">
        <f>IF(OR(CommitmentsTable[[#This Row],[Commitment / deliverable]]="",CommitmentsTable[[#This Row],[Immutable Key]]=""),"",SUBSTITUTE(CommitmentsTable[[#This Row],[Immutable Key]],"-K-","-"))</f>
        <v/>
      </c>
      <c r="B83" s="233"/>
      <c r="C83" s="233"/>
      <c r="D83" s="213"/>
      <c r="E83" s="230"/>
      <c r="F83" s="213"/>
      <c r="G83" s="245" t="str">
        <f ca="1">IF(CommitmentsTable[[#This Row],[Commitment / deliverable]]="","",IF(CommitmentsTable[[#This Row],[Date record entered]]="",TODAY(),CommitmentsTable[[#This Row],[Date record entered]]))</f>
        <v/>
      </c>
      <c r="H83" s="245"/>
      <c r="I83" s="245" t="str">
        <f ca="1">IF(CommitmentsTable[[#This Row],[Date Assigned if different from entry date]]&lt;&gt;"",CommitmentsTable[[#This Row],[Date Assigned if different from entry date]]+90,IF(CommitmentsTable[[#This Row],[Date record entered]]&lt;&gt;"",CommitmentsTable[[#This Row],[Date record entered]]+90,""))</f>
        <v/>
      </c>
      <c r="J83" s="245" t="str">
        <f ca="1">IF(CommitmentsTable[[#This Row],[Date Assigned if different from entry date]]&lt;&gt;"",CommitmentsTable[[#This Row],[Date Assigned if different from entry date]]+30,IF(CommitmentsTable[[#This Row],[Date record entered]]&lt;&gt;"",CommitmentsTable[[#This Row],[Date record entered]]+30,""))</f>
        <v/>
      </c>
      <c r="K83" s="245"/>
      <c r="L83" s="245" t="str">
        <f ca="1">IF(CommitmentsTable[[#This Row],[Date Assigned if different from entry date]]&lt;&gt;"",CommitmentsTable[[#This Row],[Date Assigned if different from entry date]]+60,IF(CommitmentsTable[[#This Row],[Date record entered]]&lt;&gt;"",CommitmentsTable[[#This Row],[Date record entered]]+60,""))</f>
        <v/>
      </c>
      <c r="M83" s="214"/>
      <c r="N83" s="214"/>
      <c r="O83" s="236"/>
      <c r="P83" s="214"/>
      <c r="Q83" s="214"/>
      <c r="R83" s="214"/>
      <c r="S83" s="238" t="str">
        <f>IF(CommitmentsTable[[#This Row],[Commitment / deliverable]]="","",IF(CommitmentsTable[[#This Row],[Revised due]]&lt;&gt;"",CommitmentsTable[[#This Row],[Revised due]],CommitmentsTable[[#This Row],[Original due]]))</f>
        <v/>
      </c>
      <c r="T83" s="237" t="str">
        <f>IF(OR(CommitmentsTable[[#This Row],[Commitment / deliverable]]="",CommitmentsTable[[#This Row],[Owner]]=""),"",IF(CommitmentsTable[[#This Row],[Status2]]="","Open",CommitmentsTable[[#This Row],[Status2]]))</f>
        <v/>
      </c>
      <c r="U83" s="237" t="str">
        <f t="shared" ca="1" si="1"/>
        <v/>
      </c>
      <c r="V83" s="233"/>
      <c r="W83" s="63" t="s">
        <v>1050</v>
      </c>
    </row>
    <row r="84" spans="1:23" ht="26.15" customHeight="1">
      <c r="A84" s="213" t="str">
        <f>IF(OR(CommitmentsTable[[#This Row],[Commitment / deliverable]]="",CommitmentsTable[[#This Row],[Immutable Key]]=""),"",SUBSTITUTE(CommitmentsTable[[#This Row],[Immutable Key]],"-K-","-"))</f>
        <v/>
      </c>
      <c r="B84" s="233"/>
      <c r="C84" s="233"/>
      <c r="D84" s="213"/>
      <c r="E84" s="230"/>
      <c r="F84" s="213"/>
      <c r="G84" s="245" t="str">
        <f ca="1">IF(CommitmentsTable[[#This Row],[Commitment / deliverable]]="","",IF(CommitmentsTable[[#This Row],[Date record entered]]="",TODAY(),CommitmentsTable[[#This Row],[Date record entered]]))</f>
        <v/>
      </c>
      <c r="H84" s="245"/>
      <c r="I84" s="245" t="str">
        <f ca="1">IF(CommitmentsTable[[#This Row],[Date Assigned if different from entry date]]&lt;&gt;"",CommitmentsTable[[#This Row],[Date Assigned if different from entry date]]+90,IF(CommitmentsTable[[#This Row],[Date record entered]]&lt;&gt;"",CommitmentsTable[[#This Row],[Date record entered]]+90,""))</f>
        <v/>
      </c>
      <c r="J84" s="245" t="str">
        <f ca="1">IF(CommitmentsTable[[#This Row],[Date Assigned if different from entry date]]&lt;&gt;"",CommitmentsTable[[#This Row],[Date Assigned if different from entry date]]+30,IF(CommitmentsTable[[#This Row],[Date record entered]]&lt;&gt;"",CommitmentsTable[[#This Row],[Date record entered]]+30,""))</f>
        <v/>
      </c>
      <c r="K84" s="245"/>
      <c r="L84" s="245" t="str">
        <f ca="1">IF(CommitmentsTable[[#This Row],[Date Assigned if different from entry date]]&lt;&gt;"",CommitmentsTable[[#This Row],[Date Assigned if different from entry date]]+60,IF(CommitmentsTable[[#This Row],[Date record entered]]&lt;&gt;"",CommitmentsTable[[#This Row],[Date record entered]]+60,""))</f>
        <v/>
      </c>
      <c r="M84" s="214"/>
      <c r="N84" s="214"/>
      <c r="O84" s="236"/>
      <c r="P84" s="214"/>
      <c r="Q84" s="214"/>
      <c r="R84" s="214"/>
      <c r="S84" s="238" t="str">
        <f>IF(CommitmentsTable[[#This Row],[Commitment / deliverable]]="","",IF(CommitmentsTable[[#This Row],[Revised due]]&lt;&gt;"",CommitmentsTable[[#This Row],[Revised due]],CommitmentsTable[[#This Row],[Original due]]))</f>
        <v/>
      </c>
      <c r="T84" s="237" t="str">
        <f>IF(OR(CommitmentsTable[[#This Row],[Commitment / deliverable]]="",CommitmentsTable[[#This Row],[Owner]]=""),"",IF(CommitmentsTable[[#This Row],[Status2]]="","Open",CommitmentsTable[[#This Row],[Status2]]))</f>
        <v/>
      </c>
      <c r="U84" s="237" t="str">
        <f t="shared" ca="1" si="1"/>
        <v/>
      </c>
      <c r="V84" s="233"/>
      <c r="W84" s="63" t="s">
        <v>1051</v>
      </c>
    </row>
    <row r="85" spans="1:23" ht="26.15" customHeight="1">
      <c r="A85" s="213" t="str">
        <f>IF(OR(CommitmentsTable[[#This Row],[Commitment / deliverable]]="",CommitmentsTable[[#This Row],[Immutable Key]]=""),"",SUBSTITUTE(CommitmentsTable[[#This Row],[Immutable Key]],"-K-","-"))</f>
        <v/>
      </c>
      <c r="B85" s="233"/>
      <c r="C85" s="233"/>
      <c r="D85" s="213"/>
      <c r="E85" s="230"/>
      <c r="F85" s="213"/>
      <c r="G85" s="245" t="str">
        <f ca="1">IF(CommitmentsTable[[#This Row],[Commitment / deliverable]]="","",IF(CommitmentsTable[[#This Row],[Date record entered]]="",TODAY(),CommitmentsTable[[#This Row],[Date record entered]]))</f>
        <v/>
      </c>
      <c r="H85" s="245"/>
      <c r="I85" s="245" t="str">
        <f ca="1">IF(CommitmentsTable[[#This Row],[Date Assigned if different from entry date]]&lt;&gt;"",CommitmentsTable[[#This Row],[Date Assigned if different from entry date]]+90,IF(CommitmentsTable[[#This Row],[Date record entered]]&lt;&gt;"",CommitmentsTable[[#This Row],[Date record entered]]+90,""))</f>
        <v/>
      </c>
      <c r="J85" s="245" t="str">
        <f ca="1">IF(CommitmentsTable[[#This Row],[Date Assigned if different from entry date]]&lt;&gt;"",CommitmentsTable[[#This Row],[Date Assigned if different from entry date]]+30,IF(CommitmentsTable[[#This Row],[Date record entered]]&lt;&gt;"",CommitmentsTable[[#This Row],[Date record entered]]+30,""))</f>
        <v/>
      </c>
      <c r="K85" s="245"/>
      <c r="L85" s="245" t="str">
        <f ca="1">IF(CommitmentsTable[[#This Row],[Date Assigned if different from entry date]]&lt;&gt;"",CommitmentsTable[[#This Row],[Date Assigned if different from entry date]]+60,IF(CommitmentsTable[[#This Row],[Date record entered]]&lt;&gt;"",CommitmentsTable[[#This Row],[Date record entered]]+60,""))</f>
        <v/>
      </c>
      <c r="M85" s="214"/>
      <c r="N85" s="214"/>
      <c r="O85" s="236"/>
      <c r="P85" s="214"/>
      <c r="Q85" s="214"/>
      <c r="R85" s="214"/>
      <c r="S85" s="238" t="str">
        <f>IF(CommitmentsTable[[#This Row],[Commitment / deliverable]]="","",IF(CommitmentsTable[[#This Row],[Revised due]]&lt;&gt;"",CommitmentsTable[[#This Row],[Revised due]],CommitmentsTable[[#This Row],[Original due]]))</f>
        <v/>
      </c>
      <c r="T85" s="237" t="str">
        <f>IF(OR(CommitmentsTable[[#This Row],[Commitment / deliverable]]="",CommitmentsTable[[#This Row],[Owner]]=""),"",IF(CommitmentsTable[[#This Row],[Status2]]="","Open",CommitmentsTable[[#This Row],[Status2]]))</f>
        <v/>
      </c>
      <c r="U85" s="237" t="str">
        <f t="shared" ca="1" si="1"/>
        <v/>
      </c>
      <c r="V85" s="233"/>
      <c r="W85" s="63" t="s">
        <v>1052</v>
      </c>
    </row>
    <row r="86" spans="1:23" ht="26.15" customHeight="1">
      <c r="A86" s="213" t="str">
        <f>IF(OR(CommitmentsTable[[#This Row],[Commitment / deliverable]]="",CommitmentsTable[[#This Row],[Immutable Key]]=""),"",SUBSTITUTE(CommitmentsTable[[#This Row],[Immutable Key]],"-K-","-"))</f>
        <v/>
      </c>
      <c r="B86" s="233"/>
      <c r="C86" s="233"/>
      <c r="D86" s="213"/>
      <c r="E86" s="230"/>
      <c r="F86" s="213"/>
      <c r="G86" s="245" t="str">
        <f ca="1">IF(CommitmentsTable[[#This Row],[Commitment / deliverable]]="","",IF(CommitmentsTable[[#This Row],[Date record entered]]="",TODAY(),CommitmentsTable[[#This Row],[Date record entered]]))</f>
        <v/>
      </c>
      <c r="H86" s="245"/>
      <c r="I86" s="245" t="str">
        <f ca="1">IF(CommitmentsTable[[#This Row],[Date Assigned if different from entry date]]&lt;&gt;"",CommitmentsTable[[#This Row],[Date Assigned if different from entry date]]+90,IF(CommitmentsTable[[#This Row],[Date record entered]]&lt;&gt;"",CommitmentsTable[[#This Row],[Date record entered]]+90,""))</f>
        <v/>
      </c>
      <c r="J86" s="245" t="str">
        <f ca="1">IF(CommitmentsTable[[#This Row],[Date Assigned if different from entry date]]&lt;&gt;"",CommitmentsTable[[#This Row],[Date Assigned if different from entry date]]+30,IF(CommitmentsTable[[#This Row],[Date record entered]]&lt;&gt;"",CommitmentsTable[[#This Row],[Date record entered]]+30,""))</f>
        <v/>
      </c>
      <c r="K86" s="245"/>
      <c r="L86" s="245" t="str">
        <f ca="1">IF(CommitmentsTable[[#This Row],[Date Assigned if different from entry date]]&lt;&gt;"",CommitmentsTable[[#This Row],[Date Assigned if different from entry date]]+60,IF(CommitmentsTable[[#This Row],[Date record entered]]&lt;&gt;"",CommitmentsTable[[#This Row],[Date record entered]]+60,""))</f>
        <v/>
      </c>
      <c r="M86" s="214"/>
      <c r="N86" s="214"/>
      <c r="O86" s="236"/>
      <c r="P86" s="214"/>
      <c r="Q86" s="214"/>
      <c r="R86" s="214"/>
      <c r="S86" s="238" t="str">
        <f>IF(CommitmentsTable[[#This Row],[Commitment / deliverable]]="","",IF(CommitmentsTable[[#This Row],[Revised due]]&lt;&gt;"",CommitmentsTable[[#This Row],[Revised due]],CommitmentsTable[[#This Row],[Original due]]))</f>
        <v/>
      </c>
      <c r="T86" s="237" t="str">
        <f>IF(OR(CommitmentsTable[[#This Row],[Commitment / deliverable]]="",CommitmentsTable[[#This Row],[Owner]]=""),"",IF(CommitmentsTable[[#This Row],[Status2]]="","Open",CommitmentsTable[[#This Row],[Status2]]))</f>
        <v/>
      </c>
      <c r="U86" s="237" t="str">
        <f t="shared" ca="1" si="1"/>
        <v/>
      </c>
      <c r="V86" s="233"/>
      <c r="W86" s="63" t="s">
        <v>1053</v>
      </c>
    </row>
    <row r="87" spans="1:23" ht="26.15" customHeight="1">
      <c r="A87" s="213" t="str">
        <f>IF(OR(CommitmentsTable[[#This Row],[Commitment / deliverable]]="",CommitmentsTable[[#This Row],[Immutable Key]]=""),"",SUBSTITUTE(CommitmentsTable[[#This Row],[Immutable Key]],"-K-","-"))</f>
        <v/>
      </c>
      <c r="B87" s="233"/>
      <c r="C87" s="233"/>
      <c r="D87" s="213"/>
      <c r="E87" s="230"/>
      <c r="F87" s="213"/>
      <c r="G87" s="245" t="str">
        <f ca="1">IF(CommitmentsTable[[#This Row],[Commitment / deliverable]]="","",IF(CommitmentsTable[[#This Row],[Date record entered]]="",TODAY(),CommitmentsTable[[#This Row],[Date record entered]]))</f>
        <v/>
      </c>
      <c r="H87" s="245"/>
      <c r="I87" s="245" t="str">
        <f ca="1">IF(CommitmentsTable[[#This Row],[Date Assigned if different from entry date]]&lt;&gt;"",CommitmentsTable[[#This Row],[Date Assigned if different from entry date]]+90,IF(CommitmentsTable[[#This Row],[Date record entered]]&lt;&gt;"",CommitmentsTable[[#This Row],[Date record entered]]+90,""))</f>
        <v/>
      </c>
      <c r="J87" s="245" t="str">
        <f ca="1">IF(CommitmentsTable[[#This Row],[Date Assigned if different from entry date]]&lt;&gt;"",CommitmentsTable[[#This Row],[Date Assigned if different from entry date]]+30,IF(CommitmentsTable[[#This Row],[Date record entered]]&lt;&gt;"",CommitmentsTable[[#This Row],[Date record entered]]+30,""))</f>
        <v/>
      </c>
      <c r="K87" s="245"/>
      <c r="L87" s="245" t="str">
        <f ca="1">IF(CommitmentsTable[[#This Row],[Date Assigned if different from entry date]]&lt;&gt;"",CommitmentsTable[[#This Row],[Date Assigned if different from entry date]]+60,IF(CommitmentsTable[[#This Row],[Date record entered]]&lt;&gt;"",CommitmentsTable[[#This Row],[Date record entered]]+60,""))</f>
        <v/>
      </c>
      <c r="M87" s="214"/>
      <c r="N87" s="214"/>
      <c r="O87" s="236"/>
      <c r="P87" s="214"/>
      <c r="Q87" s="214"/>
      <c r="R87" s="214"/>
      <c r="S87" s="238" t="str">
        <f>IF(CommitmentsTable[[#This Row],[Commitment / deliverable]]="","",IF(CommitmentsTable[[#This Row],[Revised due]]&lt;&gt;"",CommitmentsTable[[#This Row],[Revised due]],CommitmentsTable[[#This Row],[Original due]]))</f>
        <v/>
      </c>
      <c r="T87" s="237" t="str">
        <f>IF(OR(CommitmentsTable[[#This Row],[Commitment / deliverable]]="",CommitmentsTable[[#This Row],[Owner]]=""),"",IF(CommitmentsTable[[#This Row],[Status2]]="","Open",CommitmentsTable[[#This Row],[Status2]]))</f>
        <v/>
      </c>
      <c r="U87" s="237" t="str">
        <f t="shared" ca="1" si="1"/>
        <v/>
      </c>
      <c r="V87" s="233"/>
      <c r="W87" s="63" t="s">
        <v>1054</v>
      </c>
    </row>
    <row r="88" spans="1:23" ht="26.15" customHeight="1">
      <c r="A88" s="213" t="str">
        <f>IF(OR(CommitmentsTable[[#This Row],[Commitment / deliverable]]="",CommitmentsTable[[#This Row],[Immutable Key]]=""),"",SUBSTITUTE(CommitmentsTable[[#This Row],[Immutable Key]],"-K-","-"))</f>
        <v/>
      </c>
      <c r="B88" s="233"/>
      <c r="C88" s="233"/>
      <c r="D88" s="213"/>
      <c r="E88" s="230"/>
      <c r="F88" s="213"/>
      <c r="G88" s="245" t="str">
        <f ca="1">IF(CommitmentsTable[[#This Row],[Commitment / deliverable]]="","",IF(CommitmentsTable[[#This Row],[Date record entered]]="",TODAY(),CommitmentsTable[[#This Row],[Date record entered]]))</f>
        <v/>
      </c>
      <c r="H88" s="245"/>
      <c r="I88" s="245" t="str">
        <f ca="1">IF(CommitmentsTable[[#This Row],[Date Assigned if different from entry date]]&lt;&gt;"",CommitmentsTable[[#This Row],[Date Assigned if different from entry date]]+90,IF(CommitmentsTable[[#This Row],[Date record entered]]&lt;&gt;"",CommitmentsTable[[#This Row],[Date record entered]]+90,""))</f>
        <v/>
      </c>
      <c r="J88" s="245" t="str">
        <f ca="1">IF(CommitmentsTable[[#This Row],[Date Assigned if different from entry date]]&lt;&gt;"",CommitmentsTable[[#This Row],[Date Assigned if different from entry date]]+30,IF(CommitmentsTable[[#This Row],[Date record entered]]&lt;&gt;"",CommitmentsTable[[#This Row],[Date record entered]]+30,""))</f>
        <v/>
      </c>
      <c r="K88" s="245"/>
      <c r="L88" s="245" t="str">
        <f ca="1">IF(CommitmentsTable[[#This Row],[Date Assigned if different from entry date]]&lt;&gt;"",CommitmentsTable[[#This Row],[Date Assigned if different from entry date]]+60,IF(CommitmentsTable[[#This Row],[Date record entered]]&lt;&gt;"",CommitmentsTable[[#This Row],[Date record entered]]+60,""))</f>
        <v/>
      </c>
      <c r="M88" s="214"/>
      <c r="N88" s="214"/>
      <c r="O88" s="236"/>
      <c r="P88" s="214"/>
      <c r="Q88" s="214"/>
      <c r="R88" s="214"/>
      <c r="S88" s="238" t="str">
        <f>IF(CommitmentsTable[[#This Row],[Commitment / deliverable]]="","",IF(CommitmentsTable[[#This Row],[Revised due]]&lt;&gt;"",CommitmentsTable[[#This Row],[Revised due]],CommitmentsTable[[#This Row],[Original due]]))</f>
        <v/>
      </c>
      <c r="T88" s="237" t="str">
        <f>IF(OR(CommitmentsTable[[#This Row],[Commitment / deliverable]]="",CommitmentsTable[[#This Row],[Owner]]=""),"",IF(CommitmentsTable[[#This Row],[Status2]]="","Open",CommitmentsTable[[#This Row],[Status2]]))</f>
        <v/>
      </c>
      <c r="U88" s="237" t="str">
        <f t="shared" ca="1" si="1"/>
        <v/>
      </c>
      <c r="V88" s="233"/>
      <c r="W88" s="63" t="s">
        <v>1055</v>
      </c>
    </row>
    <row r="89" spans="1:23" ht="26.15" customHeight="1">
      <c r="A89" s="213" t="str">
        <f>IF(OR(CommitmentsTable[[#This Row],[Commitment / deliverable]]="",CommitmentsTable[[#This Row],[Immutable Key]]=""),"",SUBSTITUTE(CommitmentsTable[[#This Row],[Immutable Key]],"-K-","-"))</f>
        <v/>
      </c>
      <c r="B89" s="233"/>
      <c r="C89" s="233"/>
      <c r="D89" s="213"/>
      <c r="E89" s="230"/>
      <c r="F89" s="213"/>
      <c r="G89" s="245" t="str">
        <f ca="1">IF(CommitmentsTable[[#This Row],[Commitment / deliverable]]="","",IF(CommitmentsTable[[#This Row],[Date record entered]]="",TODAY(),CommitmentsTable[[#This Row],[Date record entered]]))</f>
        <v/>
      </c>
      <c r="H89" s="245"/>
      <c r="I89" s="245" t="str">
        <f ca="1">IF(CommitmentsTable[[#This Row],[Date Assigned if different from entry date]]&lt;&gt;"",CommitmentsTable[[#This Row],[Date Assigned if different from entry date]]+90,IF(CommitmentsTable[[#This Row],[Date record entered]]&lt;&gt;"",CommitmentsTable[[#This Row],[Date record entered]]+90,""))</f>
        <v/>
      </c>
      <c r="J89" s="245" t="str">
        <f ca="1">IF(CommitmentsTable[[#This Row],[Date Assigned if different from entry date]]&lt;&gt;"",CommitmentsTable[[#This Row],[Date Assigned if different from entry date]]+30,IF(CommitmentsTable[[#This Row],[Date record entered]]&lt;&gt;"",CommitmentsTable[[#This Row],[Date record entered]]+30,""))</f>
        <v/>
      </c>
      <c r="K89" s="245"/>
      <c r="L89" s="245" t="str">
        <f ca="1">IF(CommitmentsTable[[#This Row],[Date Assigned if different from entry date]]&lt;&gt;"",CommitmentsTable[[#This Row],[Date Assigned if different from entry date]]+60,IF(CommitmentsTable[[#This Row],[Date record entered]]&lt;&gt;"",CommitmentsTable[[#This Row],[Date record entered]]+60,""))</f>
        <v/>
      </c>
      <c r="M89" s="214"/>
      <c r="N89" s="214"/>
      <c r="O89" s="236"/>
      <c r="P89" s="214"/>
      <c r="Q89" s="214"/>
      <c r="R89" s="214"/>
      <c r="S89" s="238" t="str">
        <f>IF(CommitmentsTable[[#This Row],[Commitment / deliverable]]="","",IF(CommitmentsTable[[#This Row],[Revised due]]&lt;&gt;"",CommitmentsTable[[#This Row],[Revised due]],CommitmentsTable[[#This Row],[Original due]]))</f>
        <v/>
      </c>
      <c r="T89" s="237" t="str">
        <f>IF(OR(CommitmentsTable[[#This Row],[Commitment / deliverable]]="",CommitmentsTable[[#This Row],[Owner]]=""),"",IF(CommitmentsTable[[#This Row],[Status2]]="","Open",CommitmentsTable[[#This Row],[Status2]]))</f>
        <v/>
      </c>
      <c r="U89" s="237" t="str">
        <f t="shared" ca="1" si="1"/>
        <v/>
      </c>
      <c r="V89" s="233"/>
      <c r="W89" s="63" t="s">
        <v>1056</v>
      </c>
    </row>
    <row r="90" spans="1:23" ht="26.15" customHeight="1">
      <c r="A90" s="213" t="str">
        <f>IF(OR(CommitmentsTable[[#This Row],[Commitment / deliverable]]="",CommitmentsTable[[#This Row],[Immutable Key]]=""),"",SUBSTITUTE(CommitmentsTable[[#This Row],[Immutable Key]],"-K-","-"))</f>
        <v/>
      </c>
      <c r="B90" s="233"/>
      <c r="C90" s="233"/>
      <c r="D90" s="213"/>
      <c r="E90" s="230"/>
      <c r="F90" s="213"/>
      <c r="G90" s="245" t="str">
        <f ca="1">IF(CommitmentsTable[[#This Row],[Commitment / deliverable]]="","",IF(CommitmentsTable[[#This Row],[Date record entered]]="",TODAY(),CommitmentsTable[[#This Row],[Date record entered]]))</f>
        <v/>
      </c>
      <c r="H90" s="245"/>
      <c r="I90" s="245" t="str">
        <f ca="1">IF(CommitmentsTable[[#This Row],[Date Assigned if different from entry date]]&lt;&gt;"",CommitmentsTable[[#This Row],[Date Assigned if different from entry date]]+90,IF(CommitmentsTable[[#This Row],[Date record entered]]&lt;&gt;"",CommitmentsTable[[#This Row],[Date record entered]]+90,""))</f>
        <v/>
      </c>
      <c r="J90" s="245" t="str">
        <f ca="1">IF(CommitmentsTable[[#This Row],[Date Assigned if different from entry date]]&lt;&gt;"",CommitmentsTable[[#This Row],[Date Assigned if different from entry date]]+30,IF(CommitmentsTable[[#This Row],[Date record entered]]&lt;&gt;"",CommitmentsTable[[#This Row],[Date record entered]]+30,""))</f>
        <v/>
      </c>
      <c r="K90" s="245"/>
      <c r="L90" s="245" t="str">
        <f ca="1">IF(CommitmentsTable[[#This Row],[Date Assigned if different from entry date]]&lt;&gt;"",CommitmentsTable[[#This Row],[Date Assigned if different from entry date]]+60,IF(CommitmentsTable[[#This Row],[Date record entered]]&lt;&gt;"",CommitmentsTable[[#This Row],[Date record entered]]+60,""))</f>
        <v/>
      </c>
      <c r="M90" s="214"/>
      <c r="N90" s="214"/>
      <c r="O90" s="236"/>
      <c r="P90" s="214"/>
      <c r="Q90" s="214"/>
      <c r="R90" s="214"/>
      <c r="S90" s="238" t="str">
        <f>IF(CommitmentsTable[[#This Row],[Commitment / deliverable]]="","",IF(CommitmentsTable[[#This Row],[Revised due]]&lt;&gt;"",CommitmentsTable[[#This Row],[Revised due]],CommitmentsTable[[#This Row],[Original due]]))</f>
        <v/>
      </c>
      <c r="T90" s="237" t="str">
        <f>IF(OR(CommitmentsTable[[#This Row],[Commitment / deliverable]]="",CommitmentsTable[[#This Row],[Owner]]=""),"",IF(CommitmentsTable[[#This Row],[Status2]]="","Open",CommitmentsTable[[#This Row],[Status2]]))</f>
        <v/>
      </c>
      <c r="U90" s="237" t="str">
        <f t="shared" ca="1" si="1"/>
        <v/>
      </c>
      <c r="V90" s="233"/>
      <c r="W90" s="63" t="s">
        <v>1057</v>
      </c>
    </row>
    <row r="91" spans="1:23" ht="26.15" customHeight="1">
      <c r="A91" s="213" t="str">
        <f>IF(OR(CommitmentsTable[[#This Row],[Commitment / deliverable]]="",CommitmentsTable[[#This Row],[Immutable Key]]=""),"",SUBSTITUTE(CommitmentsTable[[#This Row],[Immutable Key]],"-K-","-"))</f>
        <v/>
      </c>
      <c r="B91" s="233"/>
      <c r="C91" s="233"/>
      <c r="D91" s="213"/>
      <c r="E91" s="230"/>
      <c r="F91" s="213"/>
      <c r="G91" s="245" t="str">
        <f ca="1">IF(CommitmentsTable[[#This Row],[Commitment / deliverable]]="","",IF(CommitmentsTable[[#This Row],[Date record entered]]="",TODAY(),CommitmentsTable[[#This Row],[Date record entered]]))</f>
        <v/>
      </c>
      <c r="H91" s="245"/>
      <c r="I91" s="245" t="str">
        <f ca="1">IF(CommitmentsTable[[#This Row],[Date Assigned if different from entry date]]&lt;&gt;"",CommitmentsTable[[#This Row],[Date Assigned if different from entry date]]+90,IF(CommitmentsTable[[#This Row],[Date record entered]]&lt;&gt;"",CommitmentsTable[[#This Row],[Date record entered]]+90,""))</f>
        <v/>
      </c>
      <c r="J91" s="245" t="str">
        <f ca="1">IF(CommitmentsTable[[#This Row],[Date Assigned if different from entry date]]&lt;&gt;"",CommitmentsTable[[#This Row],[Date Assigned if different from entry date]]+30,IF(CommitmentsTable[[#This Row],[Date record entered]]&lt;&gt;"",CommitmentsTable[[#This Row],[Date record entered]]+30,""))</f>
        <v/>
      </c>
      <c r="K91" s="245"/>
      <c r="L91" s="245" t="str">
        <f ca="1">IF(CommitmentsTable[[#This Row],[Date Assigned if different from entry date]]&lt;&gt;"",CommitmentsTable[[#This Row],[Date Assigned if different from entry date]]+60,IF(CommitmentsTable[[#This Row],[Date record entered]]&lt;&gt;"",CommitmentsTable[[#This Row],[Date record entered]]+60,""))</f>
        <v/>
      </c>
      <c r="M91" s="214"/>
      <c r="N91" s="214"/>
      <c r="O91" s="236"/>
      <c r="P91" s="214"/>
      <c r="Q91" s="214"/>
      <c r="R91" s="214"/>
      <c r="S91" s="238" t="str">
        <f>IF(CommitmentsTable[[#This Row],[Commitment / deliverable]]="","",IF(CommitmentsTable[[#This Row],[Revised due]]&lt;&gt;"",CommitmentsTable[[#This Row],[Revised due]],CommitmentsTable[[#This Row],[Original due]]))</f>
        <v/>
      </c>
      <c r="T91" s="237" t="str">
        <f>IF(OR(CommitmentsTable[[#This Row],[Commitment / deliverable]]="",CommitmentsTable[[#This Row],[Owner]]=""),"",IF(CommitmentsTable[[#This Row],[Status2]]="","Open",CommitmentsTable[[#This Row],[Status2]]))</f>
        <v/>
      </c>
      <c r="U91" s="237" t="str">
        <f t="shared" ca="1" si="1"/>
        <v/>
      </c>
      <c r="V91" s="233"/>
      <c r="W91" s="63" t="s">
        <v>1058</v>
      </c>
    </row>
    <row r="92" spans="1:23" ht="26.15" customHeight="1">
      <c r="A92" s="213" t="str">
        <f>IF(OR(CommitmentsTable[[#This Row],[Commitment / deliverable]]="",CommitmentsTable[[#This Row],[Immutable Key]]=""),"",SUBSTITUTE(CommitmentsTable[[#This Row],[Immutable Key]],"-K-","-"))</f>
        <v/>
      </c>
      <c r="B92" s="233"/>
      <c r="C92" s="233"/>
      <c r="D92" s="213"/>
      <c r="E92" s="230"/>
      <c r="F92" s="213"/>
      <c r="G92" s="245" t="str">
        <f ca="1">IF(CommitmentsTable[[#This Row],[Commitment / deliverable]]="","",IF(CommitmentsTable[[#This Row],[Date record entered]]="",TODAY(),CommitmentsTable[[#This Row],[Date record entered]]))</f>
        <v/>
      </c>
      <c r="H92" s="245"/>
      <c r="I92" s="245" t="str">
        <f ca="1">IF(CommitmentsTable[[#This Row],[Date Assigned if different from entry date]]&lt;&gt;"",CommitmentsTable[[#This Row],[Date Assigned if different from entry date]]+90,IF(CommitmentsTable[[#This Row],[Date record entered]]&lt;&gt;"",CommitmentsTable[[#This Row],[Date record entered]]+90,""))</f>
        <v/>
      </c>
      <c r="J92" s="245" t="str">
        <f ca="1">IF(CommitmentsTable[[#This Row],[Date Assigned if different from entry date]]&lt;&gt;"",CommitmentsTable[[#This Row],[Date Assigned if different from entry date]]+30,IF(CommitmentsTable[[#This Row],[Date record entered]]&lt;&gt;"",CommitmentsTable[[#This Row],[Date record entered]]+30,""))</f>
        <v/>
      </c>
      <c r="K92" s="245"/>
      <c r="L92" s="245" t="str">
        <f ca="1">IF(CommitmentsTable[[#This Row],[Date Assigned if different from entry date]]&lt;&gt;"",CommitmentsTable[[#This Row],[Date Assigned if different from entry date]]+60,IF(CommitmentsTable[[#This Row],[Date record entered]]&lt;&gt;"",CommitmentsTable[[#This Row],[Date record entered]]+60,""))</f>
        <v/>
      </c>
      <c r="M92" s="214"/>
      <c r="N92" s="214"/>
      <c r="O92" s="236"/>
      <c r="P92" s="214"/>
      <c r="Q92" s="214"/>
      <c r="R92" s="214"/>
      <c r="S92" s="238" t="str">
        <f>IF(CommitmentsTable[[#This Row],[Commitment / deliverable]]="","",IF(CommitmentsTable[[#This Row],[Revised due]]&lt;&gt;"",CommitmentsTable[[#This Row],[Revised due]],CommitmentsTable[[#This Row],[Original due]]))</f>
        <v/>
      </c>
      <c r="T92" s="237" t="str">
        <f>IF(OR(CommitmentsTable[[#This Row],[Commitment / deliverable]]="",CommitmentsTable[[#This Row],[Owner]]=""),"",IF(CommitmentsTable[[#This Row],[Status2]]="","Open",CommitmentsTable[[#This Row],[Status2]]))</f>
        <v/>
      </c>
      <c r="U92" s="237" t="str">
        <f t="shared" ca="1" si="1"/>
        <v/>
      </c>
      <c r="V92" s="233"/>
      <c r="W92" s="63" t="s">
        <v>1059</v>
      </c>
    </row>
    <row r="93" spans="1:23" ht="26.15" customHeight="1">
      <c r="A93" s="213" t="str">
        <f>IF(OR(CommitmentsTable[[#This Row],[Commitment / deliverable]]="",CommitmentsTable[[#This Row],[Immutable Key]]=""),"",SUBSTITUTE(CommitmentsTable[[#This Row],[Immutable Key]],"-K-","-"))</f>
        <v/>
      </c>
      <c r="B93" s="233"/>
      <c r="C93" s="233"/>
      <c r="D93" s="213"/>
      <c r="E93" s="230"/>
      <c r="F93" s="213"/>
      <c r="G93" s="245" t="str">
        <f ca="1">IF(CommitmentsTable[[#This Row],[Commitment / deliverable]]="","",IF(CommitmentsTable[[#This Row],[Date record entered]]="",TODAY(),CommitmentsTable[[#This Row],[Date record entered]]))</f>
        <v/>
      </c>
      <c r="H93" s="245"/>
      <c r="I93" s="245" t="str">
        <f ca="1">IF(CommitmentsTable[[#This Row],[Date Assigned if different from entry date]]&lt;&gt;"",CommitmentsTable[[#This Row],[Date Assigned if different from entry date]]+90,IF(CommitmentsTable[[#This Row],[Date record entered]]&lt;&gt;"",CommitmentsTable[[#This Row],[Date record entered]]+90,""))</f>
        <v/>
      </c>
      <c r="J93" s="245" t="str">
        <f ca="1">IF(CommitmentsTable[[#This Row],[Date Assigned if different from entry date]]&lt;&gt;"",CommitmentsTable[[#This Row],[Date Assigned if different from entry date]]+30,IF(CommitmentsTable[[#This Row],[Date record entered]]&lt;&gt;"",CommitmentsTable[[#This Row],[Date record entered]]+30,""))</f>
        <v/>
      </c>
      <c r="K93" s="245"/>
      <c r="L93" s="245" t="str">
        <f ca="1">IF(CommitmentsTable[[#This Row],[Date Assigned if different from entry date]]&lt;&gt;"",CommitmentsTable[[#This Row],[Date Assigned if different from entry date]]+60,IF(CommitmentsTable[[#This Row],[Date record entered]]&lt;&gt;"",CommitmentsTable[[#This Row],[Date record entered]]+60,""))</f>
        <v/>
      </c>
      <c r="M93" s="214"/>
      <c r="N93" s="214"/>
      <c r="O93" s="236"/>
      <c r="P93" s="214"/>
      <c r="Q93" s="214"/>
      <c r="R93" s="214"/>
      <c r="S93" s="238" t="str">
        <f>IF(CommitmentsTable[[#This Row],[Commitment / deliverable]]="","",IF(CommitmentsTable[[#This Row],[Revised due]]&lt;&gt;"",CommitmentsTable[[#This Row],[Revised due]],CommitmentsTable[[#This Row],[Original due]]))</f>
        <v/>
      </c>
      <c r="T93" s="237" t="str">
        <f>IF(OR(CommitmentsTable[[#This Row],[Commitment / deliverable]]="",CommitmentsTable[[#This Row],[Owner]]=""),"",IF(CommitmentsTable[[#This Row],[Status2]]="","Open",CommitmentsTable[[#This Row],[Status2]]))</f>
        <v/>
      </c>
      <c r="U93" s="237" t="str">
        <f t="shared" ca="1" si="1"/>
        <v/>
      </c>
      <c r="V93" s="233"/>
      <c r="W93" s="63" t="s">
        <v>1060</v>
      </c>
    </row>
    <row r="94" spans="1:23" ht="26.15" customHeight="1">
      <c r="A94" s="213" t="str">
        <f>IF(OR(CommitmentsTable[[#This Row],[Commitment / deliverable]]="",CommitmentsTable[[#This Row],[Immutable Key]]=""),"",SUBSTITUTE(CommitmentsTable[[#This Row],[Immutable Key]],"-K-","-"))</f>
        <v/>
      </c>
      <c r="B94" s="233"/>
      <c r="C94" s="233"/>
      <c r="D94" s="213"/>
      <c r="E94" s="230"/>
      <c r="F94" s="213"/>
      <c r="G94" s="245" t="str">
        <f ca="1">IF(CommitmentsTable[[#This Row],[Commitment / deliverable]]="","",IF(CommitmentsTable[[#This Row],[Date record entered]]="",TODAY(),CommitmentsTable[[#This Row],[Date record entered]]))</f>
        <v/>
      </c>
      <c r="H94" s="245"/>
      <c r="I94" s="245" t="str">
        <f ca="1">IF(CommitmentsTable[[#This Row],[Date Assigned if different from entry date]]&lt;&gt;"",CommitmentsTable[[#This Row],[Date Assigned if different from entry date]]+90,IF(CommitmentsTable[[#This Row],[Date record entered]]&lt;&gt;"",CommitmentsTable[[#This Row],[Date record entered]]+90,""))</f>
        <v/>
      </c>
      <c r="J94" s="245" t="str">
        <f ca="1">IF(CommitmentsTable[[#This Row],[Date Assigned if different from entry date]]&lt;&gt;"",CommitmentsTable[[#This Row],[Date Assigned if different from entry date]]+30,IF(CommitmentsTable[[#This Row],[Date record entered]]&lt;&gt;"",CommitmentsTable[[#This Row],[Date record entered]]+30,""))</f>
        <v/>
      </c>
      <c r="K94" s="245"/>
      <c r="L94" s="245" t="str">
        <f ca="1">IF(CommitmentsTable[[#This Row],[Date Assigned if different from entry date]]&lt;&gt;"",CommitmentsTable[[#This Row],[Date Assigned if different from entry date]]+60,IF(CommitmentsTable[[#This Row],[Date record entered]]&lt;&gt;"",CommitmentsTable[[#This Row],[Date record entered]]+60,""))</f>
        <v/>
      </c>
      <c r="M94" s="214"/>
      <c r="N94" s="214"/>
      <c r="O94" s="236"/>
      <c r="P94" s="214"/>
      <c r="Q94" s="214"/>
      <c r="R94" s="214"/>
      <c r="S94" s="238" t="str">
        <f>IF(CommitmentsTable[[#This Row],[Commitment / deliverable]]="","",IF(CommitmentsTable[[#This Row],[Revised due]]&lt;&gt;"",CommitmentsTable[[#This Row],[Revised due]],CommitmentsTable[[#This Row],[Original due]]))</f>
        <v/>
      </c>
      <c r="T94" s="237" t="str">
        <f>IF(OR(CommitmentsTable[[#This Row],[Commitment / deliverable]]="",CommitmentsTable[[#This Row],[Owner]]=""),"",IF(CommitmentsTable[[#This Row],[Status2]]="","Open",CommitmentsTable[[#This Row],[Status2]]))</f>
        <v/>
      </c>
      <c r="U94" s="237" t="str">
        <f t="shared" ca="1" si="1"/>
        <v/>
      </c>
      <c r="V94" s="233"/>
      <c r="W94" s="63" t="s">
        <v>1061</v>
      </c>
    </row>
    <row r="95" spans="1:23" ht="26.15" customHeight="1">
      <c r="A95" s="213" t="str">
        <f>IF(OR(CommitmentsTable[[#This Row],[Commitment / deliverable]]="",CommitmentsTable[[#This Row],[Immutable Key]]=""),"",SUBSTITUTE(CommitmentsTable[[#This Row],[Immutable Key]],"-K-","-"))</f>
        <v/>
      </c>
      <c r="B95" s="233"/>
      <c r="C95" s="233"/>
      <c r="D95" s="213"/>
      <c r="E95" s="230"/>
      <c r="F95" s="213"/>
      <c r="G95" s="245" t="str">
        <f ca="1">IF(CommitmentsTable[[#This Row],[Commitment / deliverable]]="","",IF(CommitmentsTable[[#This Row],[Date record entered]]="",TODAY(),CommitmentsTable[[#This Row],[Date record entered]]))</f>
        <v/>
      </c>
      <c r="H95" s="245"/>
      <c r="I95" s="245" t="str">
        <f ca="1">IF(CommitmentsTable[[#This Row],[Date Assigned if different from entry date]]&lt;&gt;"",CommitmentsTable[[#This Row],[Date Assigned if different from entry date]]+90,IF(CommitmentsTable[[#This Row],[Date record entered]]&lt;&gt;"",CommitmentsTable[[#This Row],[Date record entered]]+90,""))</f>
        <v/>
      </c>
      <c r="J95" s="245" t="str">
        <f ca="1">IF(CommitmentsTable[[#This Row],[Date Assigned if different from entry date]]&lt;&gt;"",CommitmentsTable[[#This Row],[Date Assigned if different from entry date]]+30,IF(CommitmentsTable[[#This Row],[Date record entered]]&lt;&gt;"",CommitmentsTable[[#This Row],[Date record entered]]+30,""))</f>
        <v/>
      </c>
      <c r="K95" s="245"/>
      <c r="L95" s="245" t="str">
        <f ca="1">IF(CommitmentsTable[[#This Row],[Date Assigned if different from entry date]]&lt;&gt;"",CommitmentsTable[[#This Row],[Date Assigned if different from entry date]]+60,IF(CommitmentsTable[[#This Row],[Date record entered]]&lt;&gt;"",CommitmentsTable[[#This Row],[Date record entered]]+60,""))</f>
        <v/>
      </c>
      <c r="M95" s="214"/>
      <c r="N95" s="214"/>
      <c r="O95" s="236"/>
      <c r="P95" s="214"/>
      <c r="Q95" s="214"/>
      <c r="R95" s="214"/>
      <c r="S95" s="238" t="str">
        <f>IF(CommitmentsTable[[#This Row],[Commitment / deliverable]]="","",IF(CommitmentsTable[[#This Row],[Revised due]]&lt;&gt;"",CommitmentsTable[[#This Row],[Revised due]],CommitmentsTable[[#This Row],[Original due]]))</f>
        <v/>
      </c>
      <c r="T95" s="237" t="str">
        <f>IF(OR(CommitmentsTable[[#This Row],[Commitment / deliverable]]="",CommitmentsTable[[#This Row],[Owner]]=""),"",IF(CommitmentsTable[[#This Row],[Status2]]="","Open",CommitmentsTable[[#This Row],[Status2]]))</f>
        <v/>
      </c>
      <c r="U95" s="237" t="str">
        <f t="shared" ca="1" si="1"/>
        <v/>
      </c>
      <c r="V95" s="233"/>
      <c r="W95" s="63" t="s">
        <v>1062</v>
      </c>
    </row>
    <row r="96" spans="1:23" ht="26.15" customHeight="1">
      <c r="A96" s="213" t="str">
        <f>IF(OR(CommitmentsTable[[#This Row],[Commitment / deliverable]]="",CommitmentsTable[[#This Row],[Immutable Key]]=""),"",SUBSTITUTE(CommitmentsTable[[#This Row],[Immutable Key]],"-K-","-"))</f>
        <v/>
      </c>
      <c r="B96" s="233"/>
      <c r="C96" s="233"/>
      <c r="D96" s="213"/>
      <c r="E96" s="230"/>
      <c r="F96" s="213"/>
      <c r="G96" s="245" t="str">
        <f ca="1">IF(CommitmentsTable[[#This Row],[Commitment / deliverable]]="","",IF(CommitmentsTable[[#This Row],[Date record entered]]="",TODAY(),CommitmentsTable[[#This Row],[Date record entered]]))</f>
        <v/>
      </c>
      <c r="H96" s="245"/>
      <c r="I96" s="245" t="str">
        <f ca="1">IF(CommitmentsTable[[#This Row],[Date Assigned if different from entry date]]&lt;&gt;"",CommitmentsTable[[#This Row],[Date Assigned if different from entry date]]+90,IF(CommitmentsTable[[#This Row],[Date record entered]]&lt;&gt;"",CommitmentsTable[[#This Row],[Date record entered]]+90,""))</f>
        <v/>
      </c>
      <c r="J96" s="245" t="str">
        <f ca="1">IF(CommitmentsTable[[#This Row],[Date Assigned if different from entry date]]&lt;&gt;"",CommitmentsTable[[#This Row],[Date Assigned if different from entry date]]+30,IF(CommitmentsTable[[#This Row],[Date record entered]]&lt;&gt;"",CommitmentsTable[[#This Row],[Date record entered]]+30,""))</f>
        <v/>
      </c>
      <c r="K96" s="245"/>
      <c r="L96" s="245" t="str">
        <f ca="1">IF(CommitmentsTable[[#This Row],[Date Assigned if different from entry date]]&lt;&gt;"",CommitmentsTable[[#This Row],[Date Assigned if different from entry date]]+60,IF(CommitmentsTable[[#This Row],[Date record entered]]&lt;&gt;"",CommitmentsTable[[#This Row],[Date record entered]]+60,""))</f>
        <v/>
      </c>
      <c r="M96" s="214"/>
      <c r="N96" s="214"/>
      <c r="O96" s="236"/>
      <c r="P96" s="214"/>
      <c r="Q96" s="214"/>
      <c r="R96" s="214"/>
      <c r="S96" s="238" t="str">
        <f>IF(CommitmentsTable[[#This Row],[Commitment / deliverable]]="","",IF(CommitmentsTable[[#This Row],[Revised due]]&lt;&gt;"",CommitmentsTable[[#This Row],[Revised due]],CommitmentsTable[[#This Row],[Original due]]))</f>
        <v/>
      </c>
      <c r="T96" s="237" t="str">
        <f>IF(OR(CommitmentsTable[[#This Row],[Commitment / deliverable]]="",CommitmentsTable[[#This Row],[Owner]]=""),"",IF(CommitmentsTable[[#This Row],[Status2]]="","Open",CommitmentsTable[[#This Row],[Status2]]))</f>
        <v/>
      </c>
      <c r="U96" s="237" t="str">
        <f t="shared" ca="1" si="1"/>
        <v/>
      </c>
      <c r="V96" s="233"/>
      <c r="W96" s="63" t="s">
        <v>1063</v>
      </c>
    </row>
    <row r="97" spans="1:23" ht="26.15" customHeight="1">
      <c r="A97" s="213" t="str">
        <f>IF(OR(CommitmentsTable[[#This Row],[Commitment / deliverable]]="",CommitmentsTable[[#This Row],[Immutable Key]]=""),"",SUBSTITUTE(CommitmentsTable[[#This Row],[Immutable Key]],"-K-","-"))</f>
        <v/>
      </c>
      <c r="B97" s="233"/>
      <c r="C97" s="233"/>
      <c r="D97" s="213"/>
      <c r="E97" s="230"/>
      <c r="F97" s="213"/>
      <c r="G97" s="245" t="str">
        <f ca="1">IF(CommitmentsTable[[#This Row],[Commitment / deliverable]]="","",IF(CommitmentsTable[[#This Row],[Date record entered]]="",TODAY(),CommitmentsTable[[#This Row],[Date record entered]]))</f>
        <v/>
      </c>
      <c r="H97" s="245"/>
      <c r="I97" s="245" t="str">
        <f ca="1">IF(CommitmentsTable[[#This Row],[Date Assigned if different from entry date]]&lt;&gt;"",CommitmentsTable[[#This Row],[Date Assigned if different from entry date]]+90,IF(CommitmentsTable[[#This Row],[Date record entered]]&lt;&gt;"",CommitmentsTable[[#This Row],[Date record entered]]+90,""))</f>
        <v/>
      </c>
      <c r="J97" s="245" t="str">
        <f ca="1">IF(CommitmentsTable[[#This Row],[Date Assigned if different from entry date]]&lt;&gt;"",CommitmentsTable[[#This Row],[Date Assigned if different from entry date]]+30,IF(CommitmentsTable[[#This Row],[Date record entered]]&lt;&gt;"",CommitmentsTable[[#This Row],[Date record entered]]+30,""))</f>
        <v/>
      </c>
      <c r="K97" s="245"/>
      <c r="L97" s="245" t="str">
        <f ca="1">IF(CommitmentsTable[[#This Row],[Date Assigned if different from entry date]]&lt;&gt;"",CommitmentsTable[[#This Row],[Date Assigned if different from entry date]]+60,IF(CommitmentsTable[[#This Row],[Date record entered]]&lt;&gt;"",CommitmentsTable[[#This Row],[Date record entered]]+60,""))</f>
        <v/>
      </c>
      <c r="M97" s="214"/>
      <c r="N97" s="214"/>
      <c r="O97" s="236"/>
      <c r="P97" s="214"/>
      <c r="Q97" s="214"/>
      <c r="R97" s="214"/>
      <c r="S97" s="238" t="str">
        <f>IF(CommitmentsTable[[#This Row],[Commitment / deliverable]]="","",IF(CommitmentsTable[[#This Row],[Revised due]]&lt;&gt;"",CommitmentsTable[[#This Row],[Revised due]],CommitmentsTable[[#This Row],[Original due]]))</f>
        <v/>
      </c>
      <c r="T97" s="237" t="str">
        <f>IF(OR(CommitmentsTable[[#This Row],[Commitment / deliverable]]="",CommitmentsTable[[#This Row],[Owner]]=""),"",IF(CommitmentsTable[[#This Row],[Status2]]="","Open",CommitmentsTable[[#This Row],[Status2]]))</f>
        <v/>
      </c>
      <c r="U97" s="237" t="str">
        <f t="shared" ca="1" si="1"/>
        <v/>
      </c>
      <c r="V97" s="233"/>
      <c r="W97" s="63" t="s">
        <v>1064</v>
      </c>
    </row>
    <row r="98" spans="1:23" ht="26.15" customHeight="1">
      <c r="A98" s="213" t="str">
        <f>IF(OR(CommitmentsTable[[#This Row],[Commitment / deliverable]]="",CommitmentsTable[[#This Row],[Immutable Key]]=""),"",SUBSTITUTE(CommitmentsTable[[#This Row],[Immutable Key]],"-K-","-"))</f>
        <v/>
      </c>
      <c r="B98" s="233"/>
      <c r="C98" s="233"/>
      <c r="D98" s="213"/>
      <c r="E98" s="230"/>
      <c r="F98" s="213"/>
      <c r="G98" s="245" t="str">
        <f ca="1">IF(CommitmentsTable[[#This Row],[Commitment / deliverable]]="","",IF(CommitmentsTable[[#This Row],[Date record entered]]="",TODAY(),CommitmentsTable[[#This Row],[Date record entered]]))</f>
        <v/>
      </c>
      <c r="H98" s="245"/>
      <c r="I98" s="245" t="str">
        <f ca="1">IF(CommitmentsTable[[#This Row],[Date Assigned if different from entry date]]&lt;&gt;"",CommitmentsTable[[#This Row],[Date Assigned if different from entry date]]+90,IF(CommitmentsTable[[#This Row],[Date record entered]]&lt;&gt;"",CommitmentsTable[[#This Row],[Date record entered]]+90,""))</f>
        <v/>
      </c>
      <c r="J98" s="245" t="str">
        <f ca="1">IF(CommitmentsTable[[#This Row],[Date Assigned if different from entry date]]&lt;&gt;"",CommitmentsTable[[#This Row],[Date Assigned if different from entry date]]+30,IF(CommitmentsTable[[#This Row],[Date record entered]]&lt;&gt;"",CommitmentsTable[[#This Row],[Date record entered]]+30,""))</f>
        <v/>
      </c>
      <c r="K98" s="245"/>
      <c r="L98" s="245" t="str">
        <f ca="1">IF(CommitmentsTable[[#This Row],[Date Assigned if different from entry date]]&lt;&gt;"",CommitmentsTable[[#This Row],[Date Assigned if different from entry date]]+60,IF(CommitmentsTable[[#This Row],[Date record entered]]&lt;&gt;"",CommitmentsTable[[#This Row],[Date record entered]]+60,""))</f>
        <v/>
      </c>
      <c r="M98" s="214"/>
      <c r="N98" s="214"/>
      <c r="O98" s="236"/>
      <c r="P98" s="214"/>
      <c r="Q98" s="214"/>
      <c r="R98" s="214"/>
      <c r="S98" s="238" t="str">
        <f>IF(CommitmentsTable[[#This Row],[Commitment / deliverable]]="","",IF(CommitmentsTable[[#This Row],[Revised due]]&lt;&gt;"",CommitmentsTable[[#This Row],[Revised due]],CommitmentsTable[[#This Row],[Original due]]))</f>
        <v/>
      </c>
      <c r="T98" s="237" t="str">
        <f>IF(OR(CommitmentsTable[[#This Row],[Commitment / deliverable]]="",CommitmentsTable[[#This Row],[Owner]]=""),"",IF(CommitmentsTable[[#This Row],[Status2]]="","Open",CommitmentsTable[[#This Row],[Status2]]))</f>
        <v/>
      </c>
      <c r="U98" s="237" t="str">
        <f t="shared" ca="1" si="1"/>
        <v/>
      </c>
      <c r="V98" s="233"/>
      <c r="W98" s="63" t="s">
        <v>1065</v>
      </c>
    </row>
    <row r="99" spans="1:23" ht="26.15" customHeight="1">
      <c r="A99" s="213" t="str">
        <f>IF(OR(CommitmentsTable[[#This Row],[Commitment / deliverable]]="",CommitmentsTable[[#This Row],[Immutable Key]]=""),"",SUBSTITUTE(CommitmentsTable[[#This Row],[Immutable Key]],"-K-","-"))</f>
        <v/>
      </c>
      <c r="B99" s="233"/>
      <c r="C99" s="233"/>
      <c r="D99" s="213"/>
      <c r="E99" s="230"/>
      <c r="F99" s="213"/>
      <c r="G99" s="245" t="str">
        <f ca="1">IF(CommitmentsTable[[#This Row],[Commitment / deliverable]]="","",IF(CommitmentsTable[[#This Row],[Date record entered]]="",TODAY(),CommitmentsTable[[#This Row],[Date record entered]]))</f>
        <v/>
      </c>
      <c r="H99" s="245"/>
      <c r="I99" s="245" t="str">
        <f ca="1">IF(CommitmentsTable[[#This Row],[Date Assigned if different from entry date]]&lt;&gt;"",CommitmentsTable[[#This Row],[Date Assigned if different from entry date]]+90,IF(CommitmentsTable[[#This Row],[Date record entered]]&lt;&gt;"",CommitmentsTable[[#This Row],[Date record entered]]+90,""))</f>
        <v/>
      </c>
      <c r="J99" s="245" t="str">
        <f ca="1">IF(CommitmentsTable[[#This Row],[Date Assigned if different from entry date]]&lt;&gt;"",CommitmentsTable[[#This Row],[Date Assigned if different from entry date]]+30,IF(CommitmentsTable[[#This Row],[Date record entered]]&lt;&gt;"",CommitmentsTable[[#This Row],[Date record entered]]+30,""))</f>
        <v/>
      </c>
      <c r="K99" s="245"/>
      <c r="L99" s="245" t="str">
        <f ca="1">IF(CommitmentsTable[[#This Row],[Date Assigned if different from entry date]]&lt;&gt;"",CommitmentsTable[[#This Row],[Date Assigned if different from entry date]]+60,IF(CommitmentsTable[[#This Row],[Date record entered]]&lt;&gt;"",CommitmentsTable[[#This Row],[Date record entered]]+60,""))</f>
        <v/>
      </c>
      <c r="M99" s="214"/>
      <c r="N99" s="214"/>
      <c r="O99" s="236"/>
      <c r="P99" s="214"/>
      <c r="Q99" s="214"/>
      <c r="R99" s="214"/>
      <c r="S99" s="238" t="str">
        <f>IF(CommitmentsTable[[#This Row],[Commitment / deliverable]]="","",IF(CommitmentsTable[[#This Row],[Revised due]]&lt;&gt;"",CommitmentsTable[[#This Row],[Revised due]],CommitmentsTable[[#This Row],[Original due]]))</f>
        <v/>
      </c>
      <c r="T99" s="237" t="str">
        <f>IF(OR(CommitmentsTable[[#This Row],[Commitment / deliverable]]="",CommitmentsTable[[#This Row],[Owner]]=""),"",IF(CommitmentsTable[[#This Row],[Status2]]="","Open",CommitmentsTable[[#This Row],[Status2]]))</f>
        <v/>
      </c>
      <c r="U99" s="237" t="str">
        <f t="shared" ca="1" si="1"/>
        <v/>
      </c>
      <c r="V99" s="233"/>
      <c r="W99" s="63" t="s">
        <v>1066</v>
      </c>
    </row>
    <row r="100" spans="1:23" ht="26.15" customHeight="1">
      <c r="A100" s="213" t="str">
        <f>IF(OR(CommitmentsTable[[#This Row],[Commitment / deliverable]]="",CommitmentsTable[[#This Row],[Immutable Key]]=""),"",SUBSTITUTE(CommitmentsTable[[#This Row],[Immutable Key]],"-K-","-"))</f>
        <v/>
      </c>
      <c r="B100" s="233"/>
      <c r="C100" s="233"/>
      <c r="D100" s="213"/>
      <c r="E100" s="230"/>
      <c r="F100" s="213"/>
      <c r="G100" s="245" t="str">
        <f ca="1">IF(CommitmentsTable[[#This Row],[Commitment / deliverable]]="","",IF(CommitmentsTable[[#This Row],[Date record entered]]="",TODAY(),CommitmentsTable[[#This Row],[Date record entered]]))</f>
        <v/>
      </c>
      <c r="H100" s="245"/>
      <c r="I100" s="245" t="str">
        <f ca="1">IF(CommitmentsTable[[#This Row],[Date Assigned if different from entry date]]&lt;&gt;"",CommitmentsTable[[#This Row],[Date Assigned if different from entry date]]+90,IF(CommitmentsTable[[#This Row],[Date record entered]]&lt;&gt;"",CommitmentsTable[[#This Row],[Date record entered]]+90,""))</f>
        <v/>
      </c>
      <c r="J100" s="245" t="str">
        <f ca="1">IF(CommitmentsTable[[#This Row],[Date Assigned if different from entry date]]&lt;&gt;"",CommitmentsTable[[#This Row],[Date Assigned if different from entry date]]+30,IF(CommitmentsTable[[#This Row],[Date record entered]]&lt;&gt;"",CommitmentsTable[[#This Row],[Date record entered]]+30,""))</f>
        <v/>
      </c>
      <c r="K100" s="245"/>
      <c r="L100" s="245" t="str">
        <f ca="1">IF(CommitmentsTable[[#This Row],[Date Assigned if different from entry date]]&lt;&gt;"",CommitmentsTable[[#This Row],[Date Assigned if different from entry date]]+60,IF(CommitmentsTable[[#This Row],[Date record entered]]&lt;&gt;"",CommitmentsTable[[#This Row],[Date record entered]]+60,""))</f>
        <v/>
      </c>
      <c r="M100" s="214"/>
      <c r="N100" s="214"/>
      <c r="O100" s="236"/>
      <c r="P100" s="214"/>
      <c r="Q100" s="214"/>
      <c r="R100" s="214"/>
      <c r="S100" s="238" t="str">
        <f>IF(CommitmentsTable[[#This Row],[Commitment / deliverable]]="","",IF(CommitmentsTable[[#This Row],[Revised due]]&lt;&gt;"",CommitmentsTable[[#This Row],[Revised due]],CommitmentsTable[[#This Row],[Original due]]))</f>
        <v/>
      </c>
      <c r="T100" s="237" t="str">
        <f>IF(OR(CommitmentsTable[[#This Row],[Commitment / deliverable]]="",CommitmentsTable[[#This Row],[Owner]]=""),"",IF(CommitmentsTable[[#This Row],[Status2]]="","Open",CommitmentsTable[[#This Row],[Status2]]))</f>
        <v/>
      </c>
      <c r="U100" s="237" t="str">
        <f t="shared" ca="1" si="1"/>
        <v/>
      </c>
      <c r="V100" s="233"/>
      <c r="W100" s="63" t="s">
        <v>1067</v>
      </c>
    </row>
    <row r="101" spans="1:23" ht="26.15" customHeight="1">
      <c r="A101" s="213" t="str">
        <f>IF(OR(CommitmentsTable[[#This Row],[Commitment / deliverable]]="",CommitmentsTable[[#This Row],[Immutable Key]]=""),"",SUBSTITUTE(CommitmentsTable[[#This Row],[Immutable Key]],"-K-","-"))</f>
        <v/>
      </c>
      <c r="B101" s="233"/>
      <c r="C101" s="233"/>
      <c r="D101" s="213"/>
      <c r="E101" s="230"/>
      <c r="F101" s="213"/>
      <c r="G101" s="245" t="str">
        <f ca="1">IF(CommitmentsTable[[#This Row],[Commitment / deliverable]]="","",IF(CommitmentsTable[[#This Row],[Date record entered]]="",TODAY(),CommitmentsTable[[#This Row],[Date record entered]]))</f>
        <v/>
      </c>
      <c r="H101" s="245"/>
      <c r="I101" s="245" t="str">
        <f ca="1">IF(CommitmentsTable[[#This Row],[Date Assigned if different from entry date]]&lt;&gt;"",CommitmentsTable[[#This Row],[Date Assigned if different from entry date]]+90,IF(CommitmentsTable[[#This Row],[Date record entered]]&lt;&gt;"",CommitmentsTable[[#This Row],[Date record entered]]+90,""))</f>
        <v/>
      </c>
      <c r="J101" s="245" t="str">
        <f ca="1">IF(CommitmentsTable[[#This Row],[Date Assigned if different from entry date]]&lt;&gt;"",CommitmentsTable[[#This Row],[Date Assigned if different from entry date]]+30,IF(CommitmentsTable[[#This Row],[Date record entered]]&lt;&gt;"",CommitmentsTable[[#This Row],[Date record entered]]+30,""))</f>
        <v/>
      </c>
      <c r="K101" s="245"/>
      <c r="L101" s="245" t="str">
        <f ca="1">IF(CommitmentsTable[[#This Row],[Date Assigned if different from entry date]]&lt;&gt;"",CommitmentsTable[[#This Row],[Date Assigned if different from entry date]]+60,IF(CommitmentsTable[[#This Row],[Date record entered]]&lt;&gt;"",CommitmentsTable[[#This Row],[Date record entered]]+60,""))</f>
        <v/>
      </c>
      <c r="M101" s="214"/>
      <c r="N101" s="214"/>
      <c r="O101" s="236"/>
      <c r="P101" s="214"/>
      <c r="Q101" s="214"/>
      <c r="R101" s="214"/>
      <c r="S101" s="238" t="str">
        <f>IF(CommitmentsTable[[#This Row],[Commitment / deliverable]]="","",IF(CommitmentsTable[[#This Row],[Revised due]]&lt;&gt;"",CommitmentsTable[[#This Row],[Revised due]],CommitmentsTable[[#This Row],[Original due]]))</f>
        <v/>
      </c>
      <c r="T101" s="237" t="str">
        <f>IF(OR(CommitmentsTable[[#This Row],[Commitment / deliverable]]="",CommitmentsTable[[#This Row],[Owner]]=""),"",IF(CommitmentsTable[[#This Row],[Status2]]="","Open",CommitmentsTable[[#This Row],[Status2]]))</f>
        <v/>
      </c>
      <c r="U101" s="237" t="str">
        <f t="shared" ca="1" si="1"/>
        <v/>
      </c>
      <c r="V101" s="233"/>
      <c r="W101" s="63" t="s">
        <v>1068</v>
      </c>
    </row>
    <row r="102" spans="1:23" ht="26.15" customHeight="1">
      <c r="A102" s="213" t="str">
        <f>IF(OR(CommitmentsTable[[#This Row],[Commitment / deliverable]]="",CommitmentsTable[[#This Row],[Immutable Key]]=""),"",SUBSTITUTE(CommitmentsTable[[#This Row],[Immutable Key]],"-K-","-"))</f>
        <v/>
      </c>
      <c r="B102" s="233"/>
      <c r="C102" s="233"/>
      <c r="D102" s="213"/>
      <c r="E102" s="230"/>
      <c r="F102" s="213"/>
      <c r="G102" s="245" t="str">
        <f ca="1">IF(CommitmentsTable[[#This Row],[Commitment / deliverable]]="","",IF(CommitmentsTable[[#This Row],[Date record entered]]="",TODAY(),CommitmentsTable[[#This Row],[Date record entered]]))</f>
        <v/>
      </c>
      <c r="H102" s="245"/>
      <c r="I102" s="245" t="str">
        <f ca="1">IF(CommitmentsTable[[#This Row],[Date Assigned if different from entry date]]&lt;&gt;"",CommitmentsTable[[#This Row],[Date Assigned if different from entry date]]+90,IF(CommitmentsTable[[#This Row],[Date record entered]]&lt;&gt;"",CommitmentsTable[[#This Row],[Date record entered]]+90,""))</f>
        <v/>
      </c>
      <c r="J102" s="245" t="str">
        <f ca="1">IF(CommitmentsTable[[#This Row],[Date Assigned if different from entry date]]&lt;&gt;"",CommitmentsTable[[#This Row],[Date Assigned if different from entry date]]+30,IF(CommitmentsTable[[#This Row],[Date record entered]]&lt;&gt;"",CommitmentsTable[[#This Row],[Date record entered]]+30,""))</f>
        <v/>
      </c>
      <c r="K102" s="245"/>
      <c r="L102" s="245" t="str">
        <f ca="1">IF(CommitmentsTable[[#This Row],[Date Assigned if different from entry date]]&lt;&gt;"",CommitmentsTable[[#This Row],[Date Assigned if different from entry date]]+60,IF(CommitmentsTable[[#This Row],[Date record entered]]&lt;&gt;"",CommitmentsTable[[#This Row],[Date record entered]]+60,""))</f>
        <v/>
      </c>
      <c r="M102" s="214"/>
      <c r="N102" s="214"/>
      <c r="O102" s="236"/>
      <c r="P102" s="214"/>
      <c r="Q102" s="214"/>
      <c r="R102" s="214"/>
      <c r="S102" s="238" t="str">
        <f>IF(CommitmentsTable[[#This Row],[Commitment / deliverable]]="","",IF(CommitmentsTable[[#This Row],[Revised due]]&lt;&gt;"",CommitmentsTable[[#This Row],[Revised due]],CommitmentsTable[[#This Row],[Original due]]))</f>
        <v/>
      </c>
      <c r="T102" s="237" t="str">
        <f>IF(OR(CommitmentsTable[[#This Row],[Commitment / deliverable]]="",CommitmentsTable[[#This Row],[Owner]]=""),"",IF(CommitmentsTable[[#This Row],[Status2]]="","Open",CommitmentsTable[[#This Row],[Status2]]))</f>
        <v/>
      </c>
      <c r="U102" s="237" t="str">
        <f t="shared" ca="1" si="1"/>
        <v/>
      </c>
      <c r="V102" s="233"/>
      <c r="W102" s="63" t="s">
        <v>1069</v>
      </c>
    </row>
    <row r="103" spans="1:23" ht="26.15" customHeight="1">
      <c r="A103" s="213" t="str">
        <f>IF(OR(CommitmentsTable[[#This Row],[Commitment / deliverable]]="",CommitmentsTable[[#This Row],[Immutable Key]]=""),"",SUBSTITUTE(CommitmentsTable[[#This Row],[Immutable Key]],"-K-","-"))</f>
        <v/>
      </c>
      <c r="B103" s="233"/>
      <c r="C103" s="233"/>
      <c r="D103" s="213"/>
      <c r="E103" s="230"/>
      <c r="F103" s="213"/>
      <c r="G103" s="245" t="str">
        <f ca="1">IF(CommitmentsTable[[#This Row],[Commitment / deliverable]]="","",IF(CommitmentsTable[[#This Row],[Date record entered]]="",TODAY(),CommitmentsTable[[#This Row],[Date record entered]]))</f>
        <v/>
      </c>
      <c r="H103" s="245"/>
      <c r="I103" s="245" t="str">
        <f ca="1">IF(CommitmentsTable[[#This Row],[Date Assigned if different from entry date]]&lt;&gt;"",CommitmentsTable[[#This Row],[Date Assigned if different from entry date]]+90,IF(CommitmentsTable[[#This Row],[Date record entered]]&lt;&gt;"",CommitmentsTable[[#This Row],[Date record entered]]+90,""))</f>
        <v/>
      </c>
      <c r="J103" s="245" t="str">
        <f ca="1">IF(CommitmentsTable[[#This Row],[Date Assigned if different from entry date]]&lt;&gt;"",CommitmentsTable[[#This Row],[Date Assigned if different from entry date]]+30,IF(CommitmentsTable[[#This Row],[Date record entered]]&lt;&gt;"",CommitmentsTable[[#This Row],[Date record entered]]+30,""))</f>
        <v/>
      </c>
      <c r="K103" s="245"/>
      <c r="L103" s="245" t="str">
        <f ca="1">IF(CommitmentsTable[[#This Row],[Date Assigned if different from entry date]]&lt;&gt;"",CommitmentsTable[[#This Row],[Date Assigned if different from entry date]]+60,IF(CommitmentsTable[[#This Row],[Date record entered]]&lt;&gt;"",CommitmentsTable[[#This Row],[Date record entered]]+60,""))</f>
        <v/>
      </c>
      <c r="M103" s="214"/>
      <c r="N103" s="214"/>
      <c r="O103" s="236"/>
      <c r="P103" s="214"/>
      <c r="Q103" s="214"/>
      <c r="R103" s="214"/>
      <c r="S103" s="238" t="str">
        <f>IF(CommitmentsTable[[#This Row],[Commitment / deliverable]]="","",IF(CommitmentsTable[[#This Row],[Revised due]]&lt;&gt;"",CommitmentsTable[[#This Row],[Revised due]],CommitmentsTable[[#This Row],[Original due]]))</f>
        <v/>
      </c>
      <c r="T103" s="237" t="str">
        <f>IF(OR(CommitmentsTable[[#This Row],[Commitment / deliverable]]="",CommitmentsTable[[#This Row],[Owner]]=""),"",IF(CommitmentsTable[[#This Row],[Status2]]="","Open",CommitmentsTable[[#This Row],[Status2]]))</f>
        <v/>
      </c>
      <c r="U103" s="237" t="str">
        <f t="shared" ca="1" si="1"/>
        <v/>
      </c>
      <c r="V103" s="233"/>
      <c r="W103" s="63" t="s">
        <v>1070</v>
      </c>
    </row>
    <row r="104" spans="1:23" ht="26.15" customHeight="1">
      <c r="A104" s="213" t="str">
        <f>IF(OR(CommitmentsTable[[#This Row],[Commitment / deliverable]]="",CommitmentsTable[[#This Row],[Immutable Key]]=""),"",SUBSTITUTE(CommitmentsTable[[#This Row],[Immutable Key]],"-K-","-"))</f>
        <v/>
      </c>
      <c r="B104" s="233"/>
      <c r="C104" s="233"/>
      <c r="D104" s="213"/>
      <c r="E104" s="230"/>
      <c r="F104" s="213"/>
      <c r="G104" s="245" t="str">
        <f ca="1">IF(CommitmentsTable[[#This Row],[Commitment / deliverable]]="","",IF(CommitmentsTable[[#This Row],[Date record entered]]="",TODAY(),CommitmentsTable[[#This Row],[Date record entered]]))</f>
        <v/>
      </c>
      <c r="H104" s="245"/>
      <c r="I104" s="245" t="str">
        <f ca="1">IF(CommitmentsTable[[#This Row],[Date Assigned if different from entry date]]&lt;&gt;"",CommitmentsTable[[#This Row],[Date Assigned if different from entry date]]+90,IF(CommitmentsTable[[#This Row],[Date record entered]]&lt;&gt;"",CommitmentsTable[[#This Row],[Date record entered]]+90,""))</f>
        <v/>
      </c>
      <c r="J104" s="245" t="str">
        <f ca="1">IF(CommitmentsTable[[#This Row],[Date Assigned if different from entry date]]&lt;&gt;"",CommitmentsTable[[#This Row],[Date Assigned if different from entry date]]+30,IF(CommitmentsTable[[#This Row],[Date record entered]]&lt;&gt;"",CommitmentsTable[[#This Row],[Date record entered]]+30,""))</f>
        <v/>
      </c>
      <c r="K104" s="245"/>
      <c r="L104" s="245" t="str">
        <f ca="1">IF(CommitmentsTable[[#This Row],[Date Assigned if different from entry date]]&lt;&gt;"",CommitmentsTable[[#This Row],[Date Assigned if different from entry date]]+60,IF(CommitmentsTable[[#This Row],[Date record entered]]&lt;&gt;"",CommitmentsTable[[#This Row],[Date record entered]]+60,""))</f>
        <v/>
      </c>
      <c r="M104" s="214"/>
      <c r="N104" s="214"/>
      <c r="O104" s="236"/>
      <c r="P104" s="214"/>
      <c r="Q104" s="214"/>
      <c r="R104" s="214"/>
      <c r="S104" s="238" t="str">
        <f>IF(CommitmentsTable[[#This Row],[Commitment / deliverable]]="","",IF(CommitmentsTable[[#This Row],[Revised due]]&lt;&gt;"",CommitmentsTable[[#This Row],[Revised due]],CommitmentsTable[[#This Row],[Original due]]))</f>
        <v/>
      </c>
      <c r="T104" s="237" t="str">
        <f>IF(OR(CommitmentsTable[[#This Row],[Commitment / deliverable]]="",CommitmentsTable[[#This Row],[Owner]]=""),"",IF(CommitmentsTable[[#This Row],[Status2]]="","Open",CommitmentsTable[[#This Row],[Status2]]))</f>
        <v/>
      </c>
      <c r="U104" s="237" t="str">
        <f t="shared" ca="1" si="1"/>
        <v/>
      </c>
      <c r="V104" s="233"/>
      <c r="W104" s="63" t="s">
        <v>1071</v>
      </c>
    </row>
    <row r="105" spans="1:23" ht="26.15" customHeight="1">
      <c r="A105" s="213" t="str">
        <f>IF(OR(CommitmentsTable[[#This Row],[Commitment / deliverable]]="",CommitmentsTable[[#This Row],[Immutable Key]]=""),"",SUBSTITUTE(CommitmentsTable[[#This Row],[Immutable Key]],"-K-","-"))</f>
        <v/>
      </c>
      <c r="B105" s="233"/>
      <c r="C105" s="233"/>
      <c r="D105" s="213"/>
      <c r="E105" s="230"/>
      <c r="F105" s="213"/>
      <c r="G105" s="245" t="str">
        <f ca="1">IF(CommitmentsTable[[#This Row],[Commitment / deliverable]]="","",IF(CommitmentsTable[[#This Row],[Date record entered]]="",TODAY(),CommitmentsTable[[#This Row],[Date record entered]]))</f>
        <v/>
      </c>
      <c r="H105" s="245"/>
      <c r="I105" s="245" t="str">
        <f ca="1">IF(CommitmentsTable[[#This Row],[Date Assigned if different from entry date]]&lt;&gt;"",CommitmentsTable[[#This Row],[Date Assigned if different from entry date]]+90,IF(CommitmentsTable[[#This Row],[Date record entered]]&lt;&gt;"",CommitmentsTable[[#This Row],[Date record entered]]+90,""))</f>
        <v/>
      </c>
      <c r="J105" s="245" t="str">
        <f ca="1">IF(CommitmentsTable[[#This Row],[Date Assigned if different from entry date]]&lt;&gt;"",CommitmentsTable[[#This Row],[Date Assigned if different from entry date]]+30,IF(CommitmentsTable[[#This Row],[Date record entered]]&lt;&gt;"",CommitmentsTable[[#This Row],[Date record entered]]+30,""))</f>
        <v/>
      </c>
      <c r="K105" s="245"/>
      <c r="L105" s="245" t="str">
        <f ca="1">IF(CommitmentsTable[[#This Row],[Date Assigned if different from entry date]]&lt;&gt;"",CommitmentsTable[[#This Row],[Date Assigned if different from entry date]]+60,IF(CommitmentsTable[[#This Row],[Date record entered]]&lt;&gt;"",CommitmentsTable[[#This Row],[Date record entered]]+60,""))</f>
        <v/>
      </c>
      <c r="M105" s="214"/>
      <c r="N105" s="214"/>
      <c r="O105" s="236"/>
      <c r="P105" s="214"/>
      <c r="Q105" s="214"/>
      <c r="R105" s="214"/>
      <c r="S105" s="238" t="str">
        <f>IF(CommitmentsTable[[#This Row],[Commitment / deliverable]]="","",IF(CommitmentsTable[[#This Row],[Revised due]]&lt;&gt;"",CommitmentsTable[[#This Row],[Revised due]],CommitmentsTable[[#This Row],[Original due]]))</f>
        <v/>
      </c>
      <c r="T105" s="237" t="str">
        <f>IF(OR(CommitmentsTable[[#This Row],[Commitment / deliverable]]="",CommitmentsTable[[#This Row],[Owner]]=""),"",IF(CommitmentsTable[[#This Row],[Status2]]="","Open",CommitmentsTable[[#This Row],[Status2]]))</f>
        <v/>
      </c>
      <c r="U105" s="237" t="str">
        <f t="shared" ca="1" si="1"/>
        <v/>
      </c>
      <c r="V105" s="233"/>
      <c r="W105" s="63" t="s">
        <v>1072</v>
      </c>
    </row>
    <row r="106" spans="1:23" ht="26.15" customHeight="1">
      <c r="A106" s="213" t="str">
        <f>IF(OR(CommitmentsTable[[#This Row],[Commitment / deliverable]]="",CommitmentsTable[[#This Row],[Immutable Key]]=""),"",SUBSTITUTE(CommitmentsTable[[#This Row],[Immutable Key]],"-K-","-"))</f>
        <v/>
      </c>
      <c r="B106" s="233"/>
      <c r="C106" s="233"/>
      <c r="D106" s="213"/>
      <c r="E106" s="230"/>
      <c r="F106" s="213"/>
      <c r="G106" s="245" t="str">
        <f ca="1">IF(CommitmentsTable[[#This Row],[Commitment / deliverable]]="","",IF(CommitmentsTable[[#This Row],[Date record entered]]="",TODAY(),CommitmentsTable[[#This Row],[Date record entered]]))</f>
        <v/>
      </c>
      <c r="H106" s="245"/>
      <c r="I106" s="245" t="str">
        <f ca="1">IF(CommitmentsTable[[#This Row],[Date Assigned if different from entry date]]&lt;&gt;"",CommitmentsTable[[#This Row],[Date Assigned if different from entry date]]+90,IF(CommitmentsTable[[#This Row],[Date record entered]]&lt;&gt;"",CommitmentsTable[[#This Row],[Date record entered]]+90,""))</f>
        <v/>
      </c>
      <c r="J106" s="245" t="str">
        <f ca="1">IF(CommitmentsTable[[#This Row],[Date Assigned if different from entry date]]&lt;&gt;"",CommitmentsTable[[#This Row],[Date Assigned if different from entry date]]+30,IF(CommitmentsTable[[#This Row],[Date record entered]]&lt;&gt;"",CommitmentsTable[[#This Row],[Date record entered]]+30,""))</f>
        <v/>
      </c>
      <c r="K106" s="245"/>
      <c r="L106" s="245" t="str">
        <f ca="1">IF(CommitmentsTable[[#This Row],[Date Assigned if different from entry date]]&lt;&gt;"",CommitmentsTable[[#This Row],[Date Assigned if different from entry date]]+60,IF(CommitmentsTable[[#This Row],[Date record entered]]&lt;&gt;"",CommitmentsTable[[#This Row],[Date record entered]]+60,""))</f>
        <v/>
      </c>
      <c r="M106" s="214"/>
      <c r="N106" s="214"/>
      <c r="O106" s="236"/>
      <c r="P106" s="214"/>
      <c r="Q106" s="214"/>
      <c r="R106" s="214"/>
      <c r="S106" s="238" t="str">
        <f>IF(CommitmentsTable[[#This Row],[Commitment / deliverable]]="","",IF(CommitmentsTable[[#This Row],[Revised due]]&lt;&gt;"",CommitmentsTable[[#This Row],[Revised due]],CommitmentsTable[[#This Row],[Original due]]))</f>
        <v/>
      </c>
      <c r="T106" s="237" t="str">
        <f>IF(OR(CommitmentsTable[[#This Row],[Commitment / deliverable]]="",CommitmentsTable[[#This Row],[Owner]]=""),"",IF(CommitmentsTable[[#This Row],[Status2]]="","Open",CommitmentsTable[[#This Row],[Status2]]))</f>
        <v/>
      </c>
      <c r="U106" s="237" t="str">
        <f t="shared" ca="1" si="1"/>
        <v/>
      </c>
      <c r="V106" s="233"/>
      <c r="W106" s="63" t="s">
        <v>1073</v>
      </c>
    </row>
    <row r="107" spans="1:23" ht="26.15" customHeight="1">
      <c r="A107" s="213" t="str">
        <f>IF(OR(CommitmentsTable[[#This Row],[Commitment / deliverable]]="",CommitmentsTable[[#This Row],[Immutable Key]]=""),"",SUBSTITUTE(CommitmentsTable[[#This Row],[Immutable Key]],"-K-","-"))</f>
        <v/>
      </c>
      <c r="B107" s="233"/>
      <c r="C107" s="233"/>
      <c r="D107" s="213"/>
      <c r="E107" s="230"/>
      <c r="F107" s="213"/>
      <c r="G107" s="245" t="str">
        <f ca="1">IF(CommitmentsTable[[#This Row],[Commitment / deliverable]]="","",IF(CommitmentsTable[[#This Row],[Date record entered]]="",TODAY(),CommitmentsTable[[#This Row],[Date record entered]]))</f>
        <v/>
      </c>
      <c r="H107" s="245"/>
      <c r="I107" s="245" t="str">
        <f ca="1">IF(CommitmentsTable[[#This Row],[Date Assigned if different from entry date]]&lt;&gt;"",CommitmentsTable[[#This Row],[Date Assigned if different from entry date]]+90,IF(CommitmentsTable[[#This Row],[Date record entered]]&lt;&gt;"",CommitmentsTable[[#This Row],[Date record entered]]+90,""))</f>
        <v/>
      </c>
      <c r="J107" s="245" t="str">
        <f ca="1">IF(CommitmentsTable[[#This Row],[Date Assigned if different from entry date]]&lt;&gt;"",CommitmentsTable[[#This Row],[Date Assigned if different from entry date]]+30,IF(CommitmentsTable[[#This Row],[Date record entered]]&lt;&gt;"",CommitmentsTable[[#This Row],[Date record entered]]+30,""))</f>
        <v/>
      </c>
      <c r="K107" s="245"/>
      <c r="L107" s="245" t="str">
        <f ca="1">IF(CommitmentsTable[[#This Row],[Date Assigned if different from entry date]]&lt;&gt;"",CommitmentsTable[[#This Row],[Date Assigned if different from entry date]]+60,IF(CommitmentsTable[[#This Row],[Date record entered]]&lt;&gt;"",CommitmentsTable[[#This Row],[Date record entered]]+60,""))</f>
        <v/>
      </c>
      <c r="M107" s="214"/>
      <c r="N107" s="214"/>
      <c r="O107" s="236"/>
      <c r="P107" s="214"/>
      <c r="Q107" s="214"/>
      <c r="R107" s="214"/>
      <c r="S107" s="238" t="str">
        <f>IF(CommitmentsTable[[#This Row],[Commitment / deliverable]]="","",IF(CommitmentsTable[[#This Row],[Revised due]]&lt;&gt;"",CommitmentsTable[[#This Row],[Revised due]],CommitmentsTable[[#This Row],[Original due]]))</f>
        <v/>
      </c>
      <c r="T107" s="237" t="str">
        <f>IF(OR(CommitmentsTable[[#This Row],[Commitment / deliverable]]="",CommitmentsTable[[#This Row],[Owner]]=""),"",IF(CommitmentsTable[[#This Row],[Status2]]="","Open",CommitmentsTable[[#This Row],[Status2]]))</f>
        <v/>
      </c>
      <c r="U107" s="237" t="str">
        <f t="shared" ca="1" si="1"/>
        <v/>
      </c>
      <c r="V107" s="233"/>
      <c r="W107" s="63" t="s">
        <v>1074</v>
      </c>
    </row>
    <row r="108" spans="1:23" ht="26.15" customHeight="1">
      <c r="A108" s="213" t="str">
        <f>IF(OR(CommitmentsTable[[#This Row],[Commitment / deliverable]]="",CommitmentsTable[[#This Row],[Immutable Key]]=""),"",SUBSTITUTE(CommitmentsTable[[#This Row],[Immutable Key]],"-K-","-"))</f>
        <v/>
      </c>
      <c r="B108" s="233"/>
      <c r="C108" s="233"/>
      <c r="D108" s="213"/>
      <c r="E108" s="230"/>
      <c r="F108" s="213"/>
      <c r="G108" s="245" t="str">
        <f ca="1">IF(CommitmentsTable[[#This Row],[Commitment / deliverable]]="","",IF(CommitmentsTable[[#This Row],[Date record entered]]="",TODAY(),CommitmentsTable[[#This Row],[Date record entered]]))</f>
        <v/>
      </c>
      <c r="H108" s="245"/>
      <c r="I108" s="245" t="str">
        <f ca="1">IF(CommitmentsTable[[#This Row],[Date Assigned if different from entry date]]&lt;&gt;"",CommitmentsTable[[#This Row],[Date Assigned if different from entry date]]+90,IF(CommitmentsTable[[#This Row],[Date record entered]]&lt;&gt;"",CommitmentsTable[[#This Row],[Date record entered]]+90,""))</f>
        <v/>
      </c>
      <c r="J108" s="245" t="str">
        <f ca="1">IF(CommitmentsTable[[#This Row],[Date Assigned if different from entry date]]&lt;&gt;"",CommitmentsTable[[#This Row],[Date Assigned if different from entry date]]+30,IF(CommitmentsTable[[#This Row],[Date record entered]]&lt;&gt;"",CommitmentsTable[[#This Row],[Date record entered]]+30,""))</f>
        <v/>
      </c>
      <c r="K108" s="245"/>
      <c r="L108" s="245" t="str">
        <f ca="1">IF(CommitmentsTable[[#This Row],[Date Assigned if different from entry date]]&lt;&gt;"",CommitmentsTable[[#This Row],[Date Assigned if different from entry date]]+60,IF(CommitmentsTable[[#This Row],[Date record entered]]&lt;&gt;"",CommitmentsTable[[#This Row],[Date record entered]]+60,""))</f>
        <v/>
      </c>
      <c r="M108" s="214"/>
      <c r="N108" s="214"/>
      <c r="O108" s="236"/>
      <c r="P108" s="214"/>
      <c r="Q108" s="214"/>
      <c r="R108" s="214"/>
      <c r="S108" s="238" t="str">
        <f>IF(CommitmentsTable[[#This Row],[Commitment / deliverable]]="","",IF(CommitmentsTable[[#This Row],[Revised due]]&lt;&gt;"",CommitmentsTable[[#This Row],[Revised due]],CommitmentsTable[[#This Row],[Original due]]))</f>
        <v/>
      </c>
      <c r="T108" s="237" t="str">
        <f>IF(OR(CommitmentsTable[[#This Row],[Commitment / deliverable]]="",CommitmentsTable[[#This Row],[Owner]]=""),"",IF(CommitmentsTable[[#This Row],[Status2]]="","Open",CommitmentsTable[[#This Row],[Status2]]))</f>
        <v/>
      </c>
      <c r="U108" s="237" t="str">
        <f t="shared" ca="1" si="1"/>
        <v/>
      </c>
      <c r="V108" s="233"/>
      <c r="W108" s="63" t="s">
        <v>1075</v>
      </c>
    </row>
    <row r="109" spans="1:23" ht="26.15" customHeight="1">
      <c r="A109" s="213" t="str">
        <f>IF(OR(CommitmentsTable[[#This Row],[Commitment / deliverable]]="",CommitmentsTable[[#This Row],[Immutable Key]]=""),"",SUBSTITUTE(CommitmentsTable[[#This Row],[Immutable Key]],"-K-","-"))</f>
        <v/>
      </c>
      <c r="B109" s="233"/>
      <c r="C109" s="233"/>
      <c r="D109" s="213"/>
      <c r="E109" s="230"/>
      <c r="F109" s="213"/>
      <c r="G109" s="245" t="str">
        <f ca="1">IF(CommitmentsTable[[#This Row],[Commitment / deliverable]]="","",IF(CommitmentsTable[[#This Row],[Date record entered]]="",TODAY(),CommitmentsTable[[#This Row],[Date record entered]]))</f>
        <v/>
      </c>
      <c r="H109" s="245"/>
      <c r="I109" s="245" t="str">
        <f ca="1">IF(CommitmentsTable[[#This Row],[Date Assigned if different from entry date]]&lt;&gt;"",CommitmentsTable[[#This Row],[Date Assigned if different from entry date]]+90,IF(CommitmentsTable[[#This Row],[Date record entered]]&lt;&gt;"",CommitmentsTable[[#This Row],[Date record entered]]+90,""))</f>
        <v/>
      </c>
      <c r="J109" s="245" t="str">
        <f ca="1">IF(CommitmentsTable[[#This Row],[Date Assigned if different from entry date]]&lt;&gt;"",CommitmentsTable[[#This Row],[Date Assigned if different from entry date]]+30,IF(CommitmentsTable[[#This Row],[Date record entered]]&lt;&gt;"",CommitmentsTable[[#This Row],[Date record entered]]+30,""))</f>
        <v/>
      </c>
      <c r="K109" s="245"/>
      <c r="L109" s="245" t="str">
        <f ca="1">IF(CommitmentsTable[[#This Row],[Date Assigned if different from entry date]]&lt;&gt;"",CommitmentsTable[[#This Row],[Date Assigned if different from entry date]]+60,IF(CommitmentsTable[[#This Row],[Date record entered]]&lt;&gt;"",CommitmentsTable[[#This Row],[Date record entered]]+60,""))</f>
        <v/>
      </c>
      <c r="M109" s="214"/>
      <c r="N109" s="214"/>
      <c r="O109" s="236"/>
      <c r="P109" s="214"/>
      <c r="Q109" s="214"/>
      <c r="R109" s="214"/>
      <c r="S109" s="238" t="str">
        <f>IF(CommitmentsTable[[#This Row],[Commitment / deliverable]]="","",IF(CommitmentsTable[[#This Row],[Revised due]]&lt;&gt;"",CommitmentsTable[[#This Row],[Revised due]],CommitmentsTable[[#This Row],[Original due]]))</f>
        <v/>
      </c>
      <c r="T109" s="237" t="str">
        <f>IF(OR(CommitmentsTable[[#This Row],[Commitment / deliverable]]="",CommitmentsTable[[#This Row],[Owner]]=""),"",IF(CommitmentsTable[[#This Row],[Status2]]="","Open",CommitmentsTable[[#This Row],[Status2]]))</f>
        <v/>
      </c>
      <c r="U109" s="237" t="str">
        <f t="shared" ca="1" si="1"/>
        <v/>
      </c>
      <c r="V109" s="233"/>
      <c r="W109" s="63" t="s">
        <v>1076</v>
      </c>
    </row>
    <row r="110" spans="1:23" ht="26.15" customHeight="1">
      <c r="A110" s="213" t="str">
        <f>IF(OR(CommitmentsTable[[#This Row],[Commitment / deliverable]]="",CommitmentsTable[[#This Row],[Immutable Key]]=""),"",SUBSTITUTE(CommitmentsTable[[#This Row],[Immutable Key]],"-K-","-"))</f>
        <v/>
      </c>
      <c r="B110" s="233"/>
      <c r="C110" s="233"/>
      <c r="D110" s="213"/>
      <c r="E110" s="230"/>
      <c r="F110" s="213"/>
      <c r="G110" s="245" t="str">
        <f ca="1">IF(CommitmentsTable[[#This Row],[Commitment / deliverable]]="","",IF(CommitmentsTable[[#This Row],[Date record entered]]="",TODAY(),CommitmentsTable[[#This Row],[Date record entered]]))</f>
        <v/>
      </c>
      <c r="H110" s="245"/>
      <c r="I110" s="245" t="str">
        <f ca="1">IF(CommitmentsTable[[#This Row],[Date Assigned if different from entry date]]&lt;&gt;"",CommitmentsTable[[#This Row],[Date Assigned if different from entry date]]+90,IF(CommitmentsTable[[#This Row],[Date record entered]]&lt;&gt;"",CommitmentsTable[[#This Row],[Date record entered]]+90,""))</f>
        <v/>
      </c>
      <c r="J110" s="245" t="str">
        <f ca="1">IF(CommitmentsTable[[#This Row],[Date Assigned if different from entry date]]&lt;&gt;"",CommitmentsTable[[#This Row],[Date Assigned if different from entry date]]+30,IF(CommitmentsTable[[#This Row],[Date record entered]]&lt;&gt;"",CommitmentsTable[[#This Row],[Date record entered]]+30,""))</f>
        <v/>
      </c>
      <c r="K110" s="245"/>
      <c r="L110" s="245" t="str">
        <f ca="1">IF(CommitmentsTable[[#This Row],[Date Assigned if different from entry date]]&lt;&gt;"",CommitmentsTable[[#This Row],[Date Assigned if different from entry date]]+60,IF(CommitmentsTable[[#This Row],[Date record entered]]&lt;&gt;"",CommitmentsTable[[#This Row],[Date record entered]]+60,""))</f>
        <v/>
      </c>
      <c r="M110" s="214"/>
      <c r="N110" s="214"/>
      <c r="O110" s="236"/>
      <c r="P110" s="214"/>
      <c r="Q110" s="214"/>
      <c r="R110" s="214"/>
      <c r="S110" s="238" t="str">
        <f>IF(CommitmentsTable[[#This Row],[Commitment / deliverable]]="","",IF(CommitmentsTable[[#This Row],[Revised due]]&lt;&gt;"",CommitmentsTable[[#This Row],[Revised due]],CommitmentsTable[[#This Row],[Original due]]))</f>
        <v/>
      </c>
      <c r="T110" s="237" t="str">
        <f>IF(OR(CommitmentsTable[[#This Row],[Commitment / deliverable]]="",CommitmentsTable[[#This Row],[Owner]]=""),"",IF(CommitmentsTable[[#This Row],[Status2]]="","Open",CommitmentsTable[[#This Row],[Status2]]))</f>
        <v/>
      </c>
      <c r="U110" s="237" t="str">
        <f t="shared" ca="1" si="1"/>
        <v/>
      </c>
      <c r="V110" s="233"/>
      <c r="W110" s="63" t="s">
        <v>1077</v>
      </c>
    </row>
    <row r="111" spans="1:23" ht="26.15" customHeight="1">
      <c r="A111" s="213" t="str">
        <f>IF(OR(CommitmentsTable[[#This Row],[Commitment / deliverable]]="",CommitmentsTable[[#This Row],[Immutable Key]]=""),"",SUBSTITUTE(CommitmentsTable[[#This Row],[Immutable Key]],"-K-","-"))</f>
        <v/>
      </c>
      <c r="B111" s="233"/>
      <c r="C111" s="233"/>
      <c r="D111" s="213"/>
      <c r="E111" s="230"/>
      <c r="F111" s="213"/>
      <c r="G111" s="245" t="str">
        <f ca="1">IF(CommitmentsTable[[#This Row],[Commitment / deliverable]]="","",IF(CommitmentsTable[[#This Row],[Date record entered]]="",TODAY(),CommitmentsTable[[#This Row],[Date record entered]]))</f>
        <v/>
      </c>
      <c r="H111" s="245"/>
      <c r="I111" s="245" t="str">
        <f ca="1">IF(CommitmentsTable[[#This Row],[Date Assigned if different from entry date]]&lt;&gt;"",CommitmentsTable[[#This Row],[Date Assigned if different from entry date]]+90,IF(CommitmentsTable[[#This Row],[Date record entered]]&lt;&gt;"",CommitmentsTable[[#This Row],[Date record entered]]+90,""))</f>
        <v/>
      </c>
      <c r="J111" s="245" t="str">
        <f ca="1">IF(CommitmentsTable[[#This Row],[Date Assigned if different from entry date]]&lt;&gt;"",CommitmentsTable[[#This Row],[Date Assigned if different from entry date]]+30,IF(CommitmentsTable[[#This Row],[Date record entered]]&lt;&gt;"",CommitmentsTable[[#This Row],[Date record entered]]+30,""))</f>
        <v/>
      </c>
      <c r="K111" s="245"/>
      <c r="L111" s="245" t="str">
        <f ca="1">IF(CommitmentsTable[[#This Row],[Date Assigned if different from entry date]]&lt;&gt;"",CommitmentsTable[[#This Row],[Date Assigned if different from entry date]]+60,IF(CommitmentsTable[[#This Row],[Date record entered]]&lt;&gt;"",CommitmentsTable[[#This Row],[Date record entered]]+60,""))</f>
        <v/>
      </c>
      <c r="M111" s="214"/>
      <c r="N111" s="214"/>
      <c r="O111" s="236"/>
      <c r="P111" s="214"/>
      <c r="Q111" s="214"/>
      <c r="R111" s="214"/>
      <c r="S111" s="238" t="str">
        <f>IF(CommitmentsTable[[#This Row],[Commitment / deliverable]]="","",IF(CommitmentsTable[[#This Row],[Revised due]]&lt;&gt;"",CommitmentsTable[[#This Row],[Revised due]],CommitmentsTable[[#This Row],[Original due]]))</f>
        <v/>
      </c>
      <c r="T111" s="237" t="str">
        <f>IF(OR(CommitmentsTable[[#This Row],[Commitment / deliverable]]="",CommitmentsTable[[#This Row],[Owner]]=""),"",IF(CommitmentsTable[[#This Row],[Status2]]="","Open",CommitmentsTable[[#This Row],[Status2]]))</f>
        <v/>
      </c>
      <c r="U111" s="237" t="str">
        <f t="shared" ca="1" si="1"/>
        <v/>
      </c>
      <c r="V111" s="233"/>
      <c r="W111" s="63" t="s">
        <v>1078</v>
      </c>
    </row>
    <row r="112" spans="1:23" ht="26.15" customHeight="1">
      <c r="A112" s="213" t="str">
        <f>IF(OR(CommitmentsTable[[#This Row],[Commitment / deliverable]]="",CommitmentsTable[[#This Row],[Immutable Key]]=""),"",SUBSTITUTE(CommitmentsTable[[#This Row],[Immutable Key]],"-K-","-"))</f>
        <v/>
      </c>
      <c r="B112" s="233"/>
      <c r="C112" s="233"/>
      <c r="D112" s="213"/>
      <c r="E112" s="230"/>
      <c r="F112" s="213"/>
      <c r="G112" s="245" t="str">
        <f ca="1">IF(CommitmentsTable[[#This Row],[Commitment / deliverable]]="","",IF(CommitmentsTable[[#This Row],[Date record entered]]="",TODAY(),CommitmentsTable[[#This Row],[Date record entered]]))</f>
        <v/>
      </c>
      <c r="H112" s="245"/>
      <c r="I112" s="245" t="str">
        <f ca="1">IF(CommitmentsTable[[#This Row],[Date Assigned if different from entry date]]&lt;&gt;"",CommitmentsTable[[#This Row],[Date Assigned if different from entry date]]+90,IF(CommitmentsTable[[#This Row],[Date record entered]]&lt;&gt;"",CommitmentsTable[[#This Row],[Date record entered]]+90,""))</f>
        <v/>
      </c>
      <c r="J112" s="245" t="str">
        <f ca="1">IF(CommitmentsTable[[#This Row],[Date Assigned if different from entry date]]&lt;&gt;"",CommitmentsTable[[#This Row],[Date Assigned if different from entry date]]+30,IF(CommitmentsTable[[#This Row],[Date record entered]]&lt;&gt;"",CommitmentsTable[[#This Row],[Date record entered]]+30,""))</f>
        <v/>
      </c>
      <c r="K112" s="245"/>
      <c r="L112" s="245" t="str">
        <f ca="1">IF(CommitmentsTable[[#This Row],[Date Assigned if different from entry date]]&lt;&gt;"",CommitmentsTable[[#This Row],[Date Assigned if different from entry date]]+60,IF(CommitmentsTable[[#This Row],[Date record entered]]&lt;&gt;"",CommitmentsTable[[#This Row],[Date record entered]]+60,""))</f>
        <v/>
      </c>
      <c r="M112" s="214"/>
      <c r="N112" s="214"/>
      <c r="O112" s="236"/>
      <c r="P112" s="214"/>
      <c r="Q112" s="214"/>
      <c r="R112" s="214"/>
      <c r="S112" s="238" t="str">
        <f>IF(CommitmentsTable[[#This Row],[Commitment / deliverable]]="","",IF(CommitmentsTable[[#This Row],[Revised due]]&lt;&gt;"",CommitmentsTable[[#This Row],[Revised due]],CommitmentsTable[[#This Row],[Original due]]))</f>
        <v/>
      </c>
      <c r="T112" s="237" t="str">
        <f>IF(OR(CommitmentsTable[[#This Row],[Commitment / deliverable]]="",CommitmentsTable[[#This Row],[Owner]]=""),"",IF(CommitmentsTable[[#This Row],[Status2]]="","Open",CommitmentsTable[[#This Row],[Status2]]))</f>
        <v/>
      </c>
      <c r="U112" s="237" t="str">
        <f t="shared" ca="1" si="1"/>
        <v/>
      </c>
      <c r="V112" s="233"/>
      <c r="W112" s="63" t="s">
        <v>1079</v>
      </c>
    </row>
    <row r="113" spans="1:23" ht="26.15" customHeight="1">
      <c r="A113" s="213" t="str">
        <f>IF(OR(CommitmentsTable[[#This Row],[Commitment / deliverable]]="",CommitmentsTable[[#This Row],[Immutable Key]]=""),"",SUBSTITUTE(CommitmentsTable[[#This Row],[Immutable Key]],"-K-","-"))</f>
        <v/>
      </c>
      <c r="B113" s="233"/>
      <c r="C113" s="233"/>
      <c r="D113" s="213"/>
      <c r="E113" s="230"/>
      <c r="F113" s="213"/>
      <c r="G113" s="245" t="str">
        <f ca="1">IF(CommitmentsTable[[#This Row],[Commitment / deliverable]]="","",IF(CommitmentsTable[[#This Row],[Date record entered]]="",TODAY(),CommitmentsTable[[#This Row],[Date record entered]]))</f>
        <v/>
      </c>
      <c r="H113" s="245"/>
      <c r="I113" s="245" t="str">
        <f ca="1">IF(CommitmentsTable[[#This Row],[Date Assigned if different from entry date]]&lt;&gt;"",CommitmentsTable[[#This Row],[Date Assigned if different from entry date]]+90,IF(CommitmentsTable[[#This Row],[Date record entered]]&lt;&gt;"",CommitmentsTable[[#This Row],[Date record entered]]+90,""))</f>
        <v/>
      </c>
      <c r="J113" s="245" t="str">
        <f ca="1">IF(CommitmentsTable[[#This Row],[Date Assigned if different from entry date]]&lt;&gt;"",CommitmentsTable[[#This Row],[Date Assigned if different from entry date]]+30,IF(CommitmentsTable[[#This Row],[Date record entered]]&lt;&gt;"",CommitmentsTable[[#This Row],[Date record entered]]+30,""))</f>
        <v/>
      </c>
      <c r="K113" s="245"/>
      <c r="L113" s="245" t="str">
        <f ca="1">IF(CommitmentsTable[[#This Row],[Date Assigned if different from entry date]]&lt;&gt;"",CommitmentsTable[[#This Row],[Date Assigned if different from entry date]]+60,IF(CommitmentsTable[[#This Row],[Date record entered]]&lt;&gt;"",CommitmentsTable[[#This Row],[Date record entered]]+60,""))</f>
        <v/>
      </c>
      <c r="M113" s="214"/>
      <c r="N113" s="214"/>
      <c r="O113" s="236"/>
      <c r="P113" s="214"/>
      <c r="Q113" s="214"/>
      <c r="R113" s="214"/>
      <c r="S113" s="238" t="str">
        <f>IF(CommitmentsTable[[#This Row],[Commitment / deliverable]]="","",IF(CommitmentsTable[[#This Row],[Revised due]]&lt;&gt;"",CommitmentsTable[[#This Row],[Revised due]],CommitmentsTable[[#This Row],[Original due]]))</f>
        <v/>
      </c>
      <c r="T113" s="237" t="str">
        <f>IF(OR(CommitmentsTable[[#This Row],[Commitment / deliverable]]="",CommitmentsTable[[#This Row],[Owner]]=""),"",IF(CommitmentsTable[[#This Row],[Status2]]="","Open",CommitmentsTable[[#This Row],[Status2]]))</f>
        <v/>
      </c>
      <c r="U113" s="237" t="str">
        <f t="shared" ca="1" si="1"/>
        <v/>
      </c>
      <c r="V113" s="233"/>
      <c r="W113" s="63" t="s">
        <v>1080</v>
      </c>
    </row>
    <row r="114" spans="1:23" ht="26.15" customHeight="1">
      <c r="A114" s="213" t="str">
        <f>IF(OR(CommitmentsTable[[#This Row],[Commitment / deliverable]]="",CommitmentsTable[[#This Row],[Immutable Key]]=""),"",SUBSTITUTE(CommitmentsTable[[#This Row],[Immutable Key]],"-K-","-"))</f>
        <v/>
      </c>
      <c r="B114" s="233"/>
      <c r="C114" s="233"/>
      <c r="D114" s="213"/>
      <c r="E114" s="230"/>
      <c r="F114" s="213"/>
      <c r="G114" s="245" t="str">
        <f ca="1">IF(CommitmentsTable[[#This Row],[Commitment / deliverable]]="","",IF(CommitmentsTable[[#This Row],[Date record entered]]="",TODAY(),CommitmentsTable[[#This Row],[Date record entered]]))</f>
        <v/>
      </c>
      <c r="H114" s="245"/>
      <c r="I114" s="245" t="str">
        <f ca="1">IF(CommitmentsTable[[#This Row],[Date Assigned if different from entry date]]&lt;&gt;"",CommitmentsTable[[#This Row],[Date Assigned if different from entry date]]+90,IF(CommitmentsTable[[#This Row],[Date record entered]]&lt;&gt;"",CommitmentsTable[[#This Row],[Date record entered]]+90,""))</f>
        <v/>
      </c>
      <c r="J114" s="245" t="str">
        <f ca="1">IF(CommitmentsTable[[#This Row],[Date Assigned if different from entry date]]&lt;&gt;"",CommitmentsTable[[#This Row],[Date Assigned if different from entry date]]+30,IF(CommitmentsTable[[#This Row],[Date record entered]]&lt;&gt;"",CommitmentsTable[[#This Row],[Date record entered]]+30,""))</f>
        <v/>
      </c>
      <c r="K114" s="245"/>
      <c r="L114" s="245" t="str">
        <f ca="1">IF(CommitmentsTable[[#This Row],[Date Assigned if different from entry date]]&lt;&gt;"",CommitmentsTable[[#This Row],[Date Assigned if different from entry date]]+60,IF(CommitmentsTable[[#This Row],[Date record entered]]&lt;&gt;"",CommitmentsTable[[#This Row],[Date record entered]]+60,""))</f>
        <v/>
      </c>
      <c r="M114" s="214"/>
      <c r="N114" s="214"/>
      <c r="O114" s="236"/>
      <c r="P114" s="214"/>
      <c r="Q114" s="214"/>
      <c r="R114" s="214"/>
      <c r="S114" s="238" t="str">
        <f>IF(CommitmentsTable[[#This Row],[Commitment / deliverable]]="","",IF(CommitmentsTable[[#This Row],[Revised due]]&lt;&gt;"",CommitmentsTable[[#This Row],[Revised due]],CommitmentsTable[[#This Row],[Original due]]))</f>
        <v/>
      </c>
      <c r="T114" s="237" t="str">
        <f>IF(OR(CommitmentsTable[[#This Row],[Commitment / deliverable]]="",CommitmentsTable[[#This Row],[Owner]]=""),"",IF(CommitmentsTable[[#This Row],[Status2]]="","Open",CommitmentsTable[[#This Row],[Status2]]))</f>
        <v/>
      </c>
      <c r="U114" s="237" t="str">
        <f t="shared" ca="1" si="1"/>
        <v/>
      </c>
      <c r="V114" s="233"/>
      <c r="W114" s="63" t="s">
        <v>1081</v>
      </c>
    </row>
    <row r="115" spans="1:23" ht="26.15" customHeight="1">
      <c r="A115" s="213" t="str">
        <f>IF(OR(CommitmentsTable[[#This Row],[Commitment / deliverable]]="",CommitmentsTable[[#This Row],[Immutable Key]]=""),"",SUBSTITUTE(CommitmentsTable[[#This Row],[Immutable Key]],"-K-","-"))</f>
        <v/>
      </c>
      <c r="B115" s="233"/>
      <c r="C115" s="233"/>
      <c r="D115" s="213"/>
      <c r="E115" s="230"/>
      <c r="F115" s="213"/>
      <c r="G115" s="245" t="str">
        <f ca="1">IF(CommitmentsTable[[#This Row],[Commitment / deliverable]]="","",IF(CommitmentsTable[[#This Row],[Date record entered]]="",TODAY(),CommitmentsTable[[#This Row],[Date record entered]]))</f>
        <v/>
      </c>
      <c r="H115" s="245"/>
      <c r="I115" s="245" t="str">
        <f ca="1">IF(CommitmentsTable[[#This Row],[Date Assigned if different from entry date]]&lt;&gt;"",CommitmentsTable[[#This Row],[Date Assigned if different from entry date]]+90,IF(CommitmentsTable[[#This Row],[Date record entered]]&lt;&gt;"",CommitmentsTable[[#This Row],[Date record entered]]+90,""))</f>
        <v/>
      </c>
      <c r="J115" s="245" t="str">
        <f ca="1">IF(CommitmentsTable[[#This Row],[Date Assigned if different from entry date]]&lt;&gt;"",CommitmentsTable[[#This Row],[Date Assigned if different from entry date]]+30,IF(CommitmentsTable[[#This Row],[Date record entered]]&lt;&gt;"",CommitmentsTable[[#This Row],[Date record entered]]+30,""))</f>
        <v/>
      </c>
      <c r="K115" s="245"/>
      <c r="L115" s="245" t="str">
        <f ca="1">IF(CommitmentsTable[[#This Row],[Date Assigned if different from entry date]]&lt;&gt;"",CommitmentsTable[[#This Row],[Date Assigned if different from entry date]]+60,IF(CommitmentsTable[[#This Row],[Date record entered]]&lt;&gt;"",CommitmentsTable[[#This Row],[Date record entered]]+60,""))</f>
        <v/>
      </c>
      <c r="M115" s="214"/>
      <c r="N115" s="214"/>
      <c r="O115" s="236"/>
      <c r="P115" s="214"/>
      <c r="Q115" s="214"/>
      <c r="R115" s="214"/>
      <c r="S115" s="238" t="str">
        <f>IF(CommitmentsTable[[#This Row],[Commitment / deliverable]]="","",IF(CommitmentsTable[[#This Row],[Revised due]]&lt;&gt;"",CommitmentsTable[[#This Row],[Revised due]],CommitmentsTable[[#This Row],[Original due]]))</f>
        <v/>
      </c>
      <c r="T115" s="237" t="str">
        <f>IF(OR(CommitmentsTable[[#This Row],[Commitment / deliverable]]="",CommitmentsTable[[#This Row],[Owner]]=""),"",IF(CommitmentsTable[[#This Row],[Status2]]="","Open",CommitmentsTable[[#This Row],[Status2]]))</f>
        <v/>
      </c>
      <c r="U115" s="237" t="str">
        <f t="shared" ca="1" si="1"/>
        <v/>
      </c>
      <c r="V115" s="233"/>
      <c r="W115" s="63" t="s">
        <v>1082</v>
      </c>
    </row>
    <row r="116" spans="1:23" ht="26.15" customHeight="1">
      <c r="A116" s="213" t="str">
        <f>IF(OR(CommitmentsTable[[#This Row],[Commitment / deliverable]]="",CommitmentsTable[[#This Row],[Immutable Key]]=""),"",SUBSTITUTE(CommitmentsTable[[#This Row],[Immutable Key]],"-K-","-"))</f>
        <v/>
      </c>
      <c r="B116" s="233"/>
      <c r="C116" s="233"/>
      <c r="D116" s="213"/>
      <c r="E116" s="230"/>
      <c r="F116" s="213"/>
      <c r="G116" s="245" t="str">
        <f ca="1">IF(CommitmentsTable[[#This Row],[Commitment / deliverable]]="","",IF(CommitmentsTable[[#This Row],[Date record entered]]="",TODAY(),CommitmentsTable[[#This Row],[Date record entered]]))</f>
        <v/>
      </c>
      <c r="H116" s="245"/>
      <c r="I116" s="245" t="str">
        <f ca="1">IF(CommitmentsTable[[#This Row],[Date Assigned if different from entry date]]&lt;&gt;"",CommitmentsTable[[#This Row],[Date Assigned if different from entry date]]+90,IF(CommitmentsTable[[#This Row],[Date record entered]]&lt;&gt;"",CommitmentsTable[[#This Row],[Date record entered]]+90,""))</f>
        <v/>
      </c>
      <c r="J116" s="245" t="str">
        <f ca="1">IF(CommitmentsTable[[#This Row],[Date Assigned if different from entry date]]&lt;&gt;"",CommitmentsTable[[#This Row],[Date Assigned if different from entry date]]+30,IF(CommitmentsTable[[#This Row],[Date record entered]]&lt;&gt;"",CommitmentsTable[[#This Row],[Date record entered]]+30,""))</f>
        <v/>
      </c>
      <c r="K116" s="245"/>
      <c r="L116" s="245" t="str">
        <f ca="1">IF(CommitmentsTable[[#This Row],[Date Assigned if different from entry date]]&lt;&gt;"",CommitmentsTable[[#This Row],[Date Assigned if different from entry date]]+60,IF(CommitmentsTable[[#This Row],[Date record entered]]&lt;&gt;"",CommitmentsTable[[#This Row],[Date record entered]]+60,""))</f>
        <v/>
      </c>
      <c r="M116" s="214"/>
      <c r="N116" s="214"/>
      <c r="O116" s="236"/>
      <c r="P116" s="214"/>
      <c r="Q116" s="214"/>
      <c r="R116" s="214"/>
      <c r="S116" s="238" t="str">
        <f>IF(CommitmentsTable[[#This Row],[Commitment / deliverable]]="","",IF(CommitmentsTable[[#This Row],[Revised due]]&lt;&gt;"",CommitmentsTable[[#This Row],[Revised due]],CommitmentsTable[[#This Row],[Original due]]))</f>
        <v/>
      </c>
      <c r="T116" s="237" t="str">
        <f>IF(OR(CommitmentsTable[[#This Row],[Commitment / deliverable]]="",CommitmentsTable[[#This Row],[Owner]]=""),"",IF(CommitmentsTable[[#This Row],[Status2]]="","Open",CommitmentsTable[[#This Row],[Status2]]))</f>
        <v/>
      </c>
      <c r="U116" s="237" t="str">
        <f t="shared" ca="1" si="1"/>
        <v/>
      </c>
      <c r="V116" s="233"/>
      <c r="W116" s="63" t="s">
        <v>1083</v>
      </c>
    </row>
    <row r="117" spans="1:23" ht="26.15" customHeight="1">
      <c r="A117" s="213" t="str">
        <f>IF(OR(CommitmentsTable[[#This Row],[Commitment / deliverable]]="",CommitmentsTable[[#This Row],[Immutable Key]]=""),"",SUBSTITUTE(CommitmentsTable[[#This Row],[Immutable Key]],"-K-","-"))</f>
        <v/>
      </c>
      <c r="B117" s="233"/>
      <c r="C117" s="233"/>
      <c r="D117" s="213"/>
      <c r="E117" s="230"/>
      <c r="F117" s="213"/>
      <c r="G117" s="245" t="str">
        <f ca="1">IF(CommitmentsTable[[#This Row],[Commitment / deliverable]]="","",IF(CommitmentsTable[[#This Row],[Date record entered]]="",TODAY(),CommitmentsTable[[#This Row],[Date record entered]]))</f>
        <v/>
      </c>
      <c r="H117" s="245"/>
      <c r="I117" s="245" t="str">
        <f ca="1">IF(CommitmentsTable[[#This Row],[Date Assigned if different from entry date]]&lt;&gt;"",CommitmentsTable[[#This Row],[Date Assigned if different from entry date]]+90,IF(CommitmentsTable[[#This Row],[Date record entered]]&lt;&gt;"",CommitmentsTable[[#This Row],[Date record entered]]+90,""))</f>
        <v/>
      </c>
      <c r="J117" s="245" t="str">
        <f ca="1">IF(CommitmentsTable[[#This Row],[Date Assigned if different from entry date]]&lt;&gt;"",CommitmentsTable[[#This Row],[Date Assigned if different from entry date]]+30,IF(CommitmentsTable[[#This Row],[Date record entered]]&lt;&gt;"",CommitmentsTable[[#This Row],[Date record entered]]+30,""))</f>
        <v/>
      </c>
      <c r="K117" s="245"/>
      <c r="L117" s="245" t="str">
        <f ca="1">IF(CommitmentsTable[[#This Row],[Date Assigned if different from entry date]]&lt;&gt;"",CommitmentsTable[[#This Row],[Date Assigned if different from entry date]]+60,IF(CommitmentsTable[[#This Row],[Date record entered]]&lt;&gt;"",CommitmentsTable[[#This Row],[Date record entered]]+60,""))</f>
        <v/>
      </c>
      <c r="M117" s="214"/>
      <c r="N117" s="214"/>
      <c r="O117" s="236"/>
      <c r="P117" s="214"/>
      <c r="Q117" s="214"/>
      <c r="R117" s="214"/>
      <c r="S117" s="238" t="str">
        <f>IF(CommitmentsTable[[#This Row],[Commitment / deliverable]]="","",IF(CommitmentsTable[[#This Row],[Revised due]]&lt;&gt;"",CommitmentsTable[[#This Row],[Revised due]],CommitmentsTable[[#This Row],[Original due]]))</f>
        <v/>
      </c>
      <c r="T117" s="237" t="str">
        <f>IF(OR(CommitmentsTable[[#This Row],[Commitment / deliverable]]="",CommitmentsTable[[#This Row],[Owner]]=""),"",IF(CommitmentsTable[[#This Row],[Status2]]="","Open",CommitmentsTable[[#This Row],[Status2]]))</f>
        <v/>
      </c>
      <c r="U117" s="237" t="str">
        <f t="shared" ca="1" si="1"/>
        <v/>
      </c>
      <c r="V117" s="233"/>
      <c r="W117" s="63" t="s">
        <v>1084</v>
      </c>
    </row>
    <row r="118" spans="1:23" ht="26.15" customHeight="1">
      <c r="A118" s="213" t="str">
        <f>IF(OR(CommitmentsTable[[#This Row],[Commitment / deliverable]]="",CommitmentsTable[[#This Row],[Immutable Key]]=""),"",SUBSTITUTE(CommitmentsTable[[#This Row],[Immutable Key]],"-K-","-"))</f>
        <v/>
      </c>
      <c r="B118" s="233"/>
      <c r="C118" s="233"/>
      <c r="D118" s="213"/>
      <c r="E118" s="230"/>
      <c r="F118" s="213"/>
      <c r="G118" s="245" t="str">
        <f ca="1">IF(CommitmentsTable[[#This Row],[Commitment / deliverable]]="","",IF(CommitmentsTable[[#This Row],[Date record entered]]="",TODAY(),CommitmentsTable[[#This Row],[Date record entered]]))</f>
        <v/>
      </c>
      <c r="H118" s="245"/>
      <c r="I118" s="245" t="str">
        <f ca="1">IF(CommitmentsTable[[#This Row],[Date Assigned if different from entry date]]&lt;&gt;"",CommitmentsTable[[#This Row],[Date Assigned if different from entry date]]+90,IF(CommitmentsTable[[#This Row],[Date record entered]]&lt;&gt;"",CommitmentsTable[[#This Row],[Date record entered]]+90,""))</f>
        <v/>
      </c>
      <c r="J118" s="245" t="str">
        <f ca="1">IF(CommitmentsTable[[#This Row],[Date Assigned if different from entry date]]&lt;&gt;"",CommitmentsTable[[#This Row],[Date Assigned if different from entry date]]+30,IF(CommitmentsTable[[#This Row],[Date record entered]]&lt;&gt;"",CommitmentsTable[[#This Row],[Date record entered]]+30,""))</f>
        <v/>
      </c>
      <c r="K118" s="245"/>
      <c r="L118" s="245" t="str">
        <f ca="1">IF(CommitmentsTable[[#This Row],[Date Assigned if different from entry date]]&lt;&gt;"",CommitmentsTable[[#This Row],[Date Assigned if different from entry date]]+60,IF(CommitmentsTable[[#This Row],[Date record entered]]&lt;&gt;"",CommitmentsTable[[#This Row],[Date record entered]]+60,""))</f>
        <v/>
      </c>
      <c r="M118" s="214"/>
      <c r="N118" s="214"/>
      <c r="O118" s="236"/>
      <c r="P118" s="214"/>
      <c r="Q118" s="214"/>
      <c r="R118" s="214"/>
      <c r="S118" s="238" t="str">
        <f>IF(CommitmentsTable[[#This Row],[Commitment / deliverable]]="","",IF(CommitmentsTable[[#This Row],[Revised due]]&lt;&gt;"",CommitmentsTable[[#This Row],[Revised due]],CommitmentsTable[[#This Row],[Original due]]))</f>
        <v/>
      </c>
      <c r="T118" s="237" t="str">
        <f>IF(OR(CommitmentsTable[[#This Row],[Commitment / deliverable]]="",CommitmentsTable[[#This Row],[Owner]]=""),"",IF(CommitmentsTable[[#This Row],[Status2]]="","Open",CommitmentsTable[[#This Row],[Status2]]))</f>
        <v/>
      </c>
      <c r="U118" s="237" t="str">
        <f t="shared" ca="1" si="1"/>
        <v/>
      </c>
      <c r="V118" s="233"/>
      <c r="W118" s="63" t="s">
        <v>1085</v>
      </c>
    </row>
    <row r="119" spans="1:23" ht="26.15" customHeight="1">
      <c r="A119" s="213" t="str">
        <f>IF(OR(CommitmentsTable[[#This Row],[Commitment / deliverable]]="",CommitmentsTable[[#This Row],[Immutable Key]]=""),"",SUBSTITUTE(CommitmentsTable[[#This Row],[Immutable Key]],"-K-","-"))</f>
        <v/>
      </c>
      <c r="B119" s="233"/>
      <c r="C119" s="233"/>
      <c r="D119" s="213"/>
      <c r="E119" s="230"/>
      <c r="F119" s="213"/>
      <c r="G119" s="245" t="str">
        <f ca="1">IF(CommitmentsTable[[#This Row],[Commitment / deliverable]]="","",IF(CommitmentsTable[[#This Row],[Date record entered]]="",TODAY(),CommitmentsTable[[#This Row],[Date record entered]]))</f>
        <v/>
      </c>
      <c r="H119" s="245"/>
      <c r="I119" s="245" t="str">
        <f ca="1">IF(CommitmentsTable[[#This Row],[Date Assigned if different from entry date]]&lt;&gt;"",CommitmentsTable[[#This Row],[Date Assigned if different from entry date]]+90,IF(CommitmentsTable[[#This Row],[Date record entered]]&lt;&gt;"",CommitmentsTable[[#This Row],[Date record entered]]+90,""))</f>
        <v/>
      </c>
      <c r="J119" s="245" t="str">
        <f ca="1">IF(CommitmentsTable[[#This Row],[Date Assigned if different from entry date]]&lt;&gt;"",CommitmentsTable[[#This Row],[Date Assigned if different from entry date]]+30,IF(CommitmentsTable[[#This Row],[Date record entered]]&lt;&gt;"",CommitmentsTable[[#This Row],[Date record entered]]+30,""))</f>
        <v/>
      </c>
      <c r="K119" s="245"/>
      <c r="L119" s="245" t="str">
        <f ca="1">IF(CommitmentsTable[[#This Row],[Date Assigned if different from entry date]]&lt;&gt;"",CommitmentsTable[[#This Row],[Date Assigned if different from entry date]]+60,IF(CommitmentsTable[[#This Row],[Date record entered]]&lt;&gt;"",CommitmentsTable[[#This Row],[Date record entered]]+60,""))</f>
        <v/>
      </c>
      <c r="M119" s="214"/>
      <c r="N119" s="214"/>
      <c r="O119" s="236"/>
      <c r="P119" s="214"/>
      <c r="Q119" s="214"/>
      <c r="R119" s="214"/>
      <c r="S119" s="238" t="str">
        <f>IF(CommitmentsTable[[#This Row],[Commitment / deliverable]]="","",IF(CommitmentsTable[[#This Row],[Revised due]]&lt;&gt;"",CommitmentsTable[[#This Row],[Revised due]],CommitmentsTable[[#This Row],[Original due]]))</f>
        <v/>
      </c>
      <c r="T119" s="237" t="str">
        <f>IF(OR(CommitmentsTable[[#This Row],[Commitment / deliverable]]="",CommitmentsTable[[#This Row],[Owner]]=""),"",IF(CommitmentsTable[[#This Row],[Status2]]="","Open",CommitmentsTable[[#This Row],[Status2]]))</f>
        <v/>
      </c>
      <c r="U119" s="237" t="str">
        <f t="shared" ca="1" si="1"/>
        <v/>
      </c>
      <c r="V119" s="233"/>
      <c r="W119" s="63" t="s">
        <v>1086</v>
      </c>
    </row>
    <row r="120" spans="1:23" ht="26.15" customHeight="1">
      <c r="A120" s="213" t="str">
        <f>IF(OR(CommitmentsTable[[#This Row],[Commitment / deliverable]]="",CommitmentsTable[[#This Row],[Immutable Key]]=""),"",SUBSTITUTE(CommitmentsTable[[#This Row],[Immutable Key]],"-K-","-"))</f>
        <v/>
      </c>
      <c r="B120" s="233"/>
      <c r="C120" s="233"/>
      <c r="D120" s="213"/>
      <c r="E120" s="230"/>
      <c r="F120" s="213"/>
      <c r="G120" s="245" t="str">
        <f ca="1">IF(CommitmentsTable[[#This Row],[Commitment / deliverable]]="","",IF(CommitmentsTable[[#This Row],[Date record entered]]="",TODAY(),CommitmentsTable[[#This Row],[Date record entered]]))</f>
        <v/>
      </c>
      <c r="H120" s="245"/>
      <c r="I120" s="245" t="str">
        <f ca="1">IF(CommitmentsTable[[#This Row],[Date Assigned if different from entry date]]&lt;&gt;"",CommitmentsTable[[#This Row],[Date Assigned if different from entry date]]+90,IF(CommitmentsTable[[#This Row],[Date record entered]]&lt;&gt;"",CommitmentsTable[[#This Row],[Date record entered]]+90,""))</f>
        <v/>
      </c>
      <c r="J120" s="245" t="str">
        <f ca="1">IF(CommitmentsTable[[#This Row],[Date Assigned if different from entry date]]&lt;&gt;"",CommitmentsTable[[#This Row],[Date Assigned if different from entry date]]+30,IF(CommitmentsTable[[#This Row],[Date record entered]]&lt;&gt;"",CommitmentsTable[[#This Row],[Date record entered]]+30,""))</f>
        <v/>
      </c>
      <c r="K120" s="245"/>
      <c r="L120" s="245" t="str">
        <f ca="1">IF(CommitmentsTable[[#This Row],[Date Assigned if different from entry date]]&lt;&gt;"",CommitmentsTable[[#This Row],[Date Assigned if different from entry date]]+60,IF(CommitmentsTable[[#This Row],[Date record entered]]&lt;&gt;"",CommitmentsTable[[#This Row],[Date record entered]]+60,""))</f>
        <v/>
      </c>
      <c r="M120" s="214"/>
      <c r="N120" s="214"/>
      <c r="O120" s="236"/>
      <c r="P120" s="214"/>
      <c r="Q120" s="214"/>
      <c r="R120" s="214"/>
      <c r="S120" s="238" t="str">
        <f>IF(CommitmentsTable[[#This Row],[Commitment / deliverable]]="","",IF(CommitmentsTable[[#This Row],[Revised due]]&lt;&gt;"",CommitmentsTable[[#This Row],[Revised due]],CommitmentsTable[[#This Row],[Original due]]))</f>
        <v/>
      </c>
      <c r="T120" s="237" t="str">
        <f>IF(OR(CommitmentsTable[[#This Row],[Commitment / deliverable]]="",CommitmentsTable[[#This Row],[Owner]]=""),"",IF(CommitmentsTable[[#This Row],[Status2]]="","Open",CommitmentsTable[[#This Row],[Status2]]))</f>
        <v/>
      </c>
      <c r="U120" s="237" t="str">
        <f t="shared" ca="1" si="1"/>
        <v/>
      </c>
      <c r="V120" s="233"/>
      <c r="W120" s="63" t="s">
        <v>1087</v>
      </c>
    </row>
    <row r="121" spans="1:23" ht="26.15" customHeight="1">
      <c r="A121" s="213" t="str">
        <f>IF(OR(CommitmentsTable[[#This Row],[Commitment / deliverable]]="",CommitmentsTable[[#This Row],[Immutable Key]]=""),"",SUBSTITUTE(CommitmentsTable[[#This Row],[Immutable Key]],"-K-","-"))</f>
        <v/>
      </c>
      <c r="B121" s="233"/>
      <c r="C121" s="233"/>
      <c r="D121" s="213"/>
      <c r="E121" s="230"/>
      <c r="F121" s="213"/>
      <c r="G121" s="245" t="str">
        <f ca="1">IF(CommitmentsTable[[#This Row],[Commitment / deliverable]]="","",IF(CommitmentsTable[[#This Row],[Date record entered]]="",TODAY(),CommitmentsTable[[#This Row],[Date record entered]]))</f>
        <v/>
      </c>
      <c r="H121" s="245"/>
      <c r="I121" s="245" t="str">
        <f ca="1">IF(CommitmentsTable[[#This Row],[Date Assigned if different from entry date]]&lt;&gt;"",CommitmentsTable[[#This Row],[Date Assigned if different from entry date]]+90,IF(CommitmentsTable[[#This Row],[Date record entered]]&lt;&gt;"",CommitmentsTable[[#This Row],[Date record entered]]+90,""))</f>
        <v/>
      </c>
      <c r="J121" s="245" t="str">
        <f ca="1">IF(CommitmentsTable[[#This Row],[Date Assigned if different from entry date]]&lt;&gt;"",CommitmentsTable[[#This Row],[Date Assigned if different from entry date]]+30,IF(CommitmentsTable[[#This Row],[Date record entered]]&lt;&gt;"",CommitmentsTable[[#This Row],[Date record entered]]+30,""))</f>
        <v/>
      </c>
      <c r="K121" s="245"/>
      <c r="L121" s="245" t="str">
        <f ca="1">IF(CommitmentsTable[[#This Row],[Date Assigned if different from entry date]]&lt;&gt;"",CommitmentsTable[[#This Row],[Date Assigned if different from entry date]]+60,IF(CommitmentsTable[[#This Row],[Date record entered]]&lt;&gt;"",CommitmentsTable[[#This Row],[Date record entered]]+60,""))</f>
        <v/>
      </c>
      <c r="M121" s="214"/>
      <c r="N121" s="214"/>
      <c r="O121" s="236"/>
      <c r="P121" s="214"/>
      <c r="Q121" s="214"/>
      <c r="R121" s="214"/>
      <c r="S121" s="238" t="str">
        <f>IF(CommitmentsTable[[#This Row],[Commitment / deliverable]]="","",IF(CommitmentsTable[[#This Row],[Revised due]]&lt;&gt;"",CommitmentsTable[[#This Row],[Revised due]],CommitmentsTable[[#This Row],[Original due]]))</f>
        <v/>
      </c>
      <c r="T121" s="237" t="str">
        <f>IF(OR(CommitmentsTable[[#This Row],[Commitment / deliverable]]="",CommitmentsTable[[#This Row],[Owner]]=""),"",IF(CommitmentsTable[[#This Row],[Status2]]="","Open",CommitmentsTable[[#This Row],[Status2]]))</f>
        <v/>
      </c>
      <c r="U121" s="237" t="str">
        <f t="shared" ca="1" si="1"/>
        <v/>
      </c>
      <c r="V121" s="233"/>
      <c r="W121" s="63" t="s">
        <v>1088</v>
      </c>
    </row>
    <row r="122" spans="1:23" ht="26.15" customHeight="1">
      <c r="A122" s="213" t="str">
        <f>IF(OR(CommitmentsTable[[#This Row],[Commitment / deliverable]]="",CommitmentsTable[[#This Row],[Immutable Key]]=""),"",SUBSTITUTE(CommitmentsTable[[#This Row],[Immutable Key]],"-K-","-"))</f>
        <v/>
      </c>
      <c r="B122" s="233"/>
      <c r="C122" s="233"/>
      <c r="D122" s="213"/>
      <c r="E122" s="230"/>
      <c r="F122" s="213"/>
      <c r="G122" s="245" t="str">
        <f ca="1">IF(CommitmentsTable[[#This Row],[Commitment / deliverable]]="","",IF(CommitmentsTable[[#This Row],[Date record entered]]="",TODAY(),CommitmentsTable[[#This Row],[Date record entered]]))</f>
        <v/>
      </c>
      <c r="H122" s="245"/>
      <c r="I122" s="245" t="str">
        <f ca="1">IF(CommitmentsTable[[#This Row],[Date Assigned if different from entry date]]&lt;&gt;"",CommitmentsTable[[#This Row],[Date Assigned if different from entry date]]+90,IF(CommitmentsTable[[#This Row],[Date record entered]]&lt;&gt;"",CommitmentsTable[[#This Row],[Date record entered]]+90,""))</f>
        <v/>
      </c>
      <c r="J122" s="245" t="str">
        <f ca="1">IF(CommitmentsTable[[#This Row],[Date Assigned if different from entry date]]&lt;&gt;"",CommitmentsTable[[#This Row],[Date Assigned if different from entry date]]+30,IF(CommitmentsTable[[#This Row],[Date record entered]]&lt;&gt;"",CommitmentsTable[[#This Row],[Date record entered]]+30,""))</f>
        <v/>
      </c>
      <c r="K122" s="245"/>
      <c r="L122" s="245" t="str">
        <f ca="1">IF(CommitmentsTable[[#This Row],[Date Assigned if different from entry date]]&lt;&gt;"",CommitmentsTable[[#This Row],[Date Assigned if different from entry date]]+60,IF(CommitmentsTable[[#This Row],[Date record entered]]&lt;&gt;"",CommitmentsTable[[#This Row],[Date record entered]]+60,""))</f>
        <v/>
      </c>
      <c r="M122" s="214"/>
      <c r="N122" s="214"/>
      <c r="O122" s="236"/>
      <c r="P122" s="214"/>
      <c r="Q122" s="214"/>
      <c r="R122" s="214"/>
      <c r="S122" s="238" t="str">
        <f>IF(CommitmentsTable[[#This Row],[Commitment / deliverable]]="","",IF(CommitmentsTable[[#This Row],[Revised due]]&lt;&gt;"",CommitmentsTable[[#This Row],[Revised due]],CommitmentsTable[[#This Row],[Original due]]))</f>
        <v/>
      </c>
      <c r="T122" s="237" t="str">
        <f>IF(OR(CommitmentsTable[[#This Row],[Commitment / deliverable]]="",CommitmentsTable[[#This Row],[Owner]]=""),"",IF(CommitmentsTable[[#This Row],[Status2]]="","Open",CommitmentsTable[[#This Row],[Status2]]))</f>
        <v/>
      </c>
      <c r="U122" s="237" t="str">
        <f t="shared" ca="1" si="1"/>
        <v/>
      </c>
      <c r="V122" s="233"/>
      <c r="W122" s="63" t="s">
        <v>1089</v>
      </c>
    </row>
    <row r="123" spans="1:23" ht="26.15" customHeight="1">
      <c r="A123" s="213" t="str">
        <f>IF(OR(CommitmentsTable[[#This Row],[Commitment / deliverable]]="",CommitmentsTable[[#This Row],[Immutable Key]]=""),"",SUBSTITUTE(CommitmentsTable[[#This Row],[Immutable Key]],"-K-","-"))</f>
        <v/>
      </c>
      <c r="B123" s="233"/>
      <c r="C123" s="233"/>
      <c r="D123" s="213"/>
      <c r="E123" s="230"/>
      <c r="F123" s="213"/>
      <c r="G123" s="245" t="str">
        <f ca="1">IF(CommitmentsTable[[#This Row],[Commitment / deliverable]]="","",IF(CommitmentsTable[[#This Row],[Date record entered]]="",TODAY(),CommitmentsTable[[#This Row],[Date record entered]]))</f>
        <v/>
      </c>
      <c r="H123" s="245"/>
      <c r="I123" s="245" t="str">
        <f ca="1">IF(CommitmentsTable[[#This Row],[Date Assigned if different from entry date]]&lt;&gt;"",CommitmentsTable[[#This Row],[Date Assigned if different from entry date]]+90,IF(CommitmentsTable[[#This Row],[Date record entered]]&lt;&gt;"",CommitmentsTable[[#This Row],[Date record entered]]+90,""))</f>
        <v/>
      </c>
      <c r="J123" s="245" t="str">
        <f ca="1">IF(CommitmentsTable[[#This Row],[Date Assigned if different from entry date]]&lt;&gt;"",CommitmentsTable[[#This Row],[Date Assigned if different from entry date]]+30,IF(CommitmentsTable[[#This Row],[Date record entered]]&lt;&gt;"",CommitmentsTable[[#This Row],[Date record entered]]+30,""))</f>
        <v/>
      </c>
      <c r="K123" s="245"/>
      <c r="L123" s="245" t="str">
        <f ca="1">IF(CommitmentsTable[[#This Row],[Date Assigned if different from entry date]]&lt;&gt;"",CommitmentsTable[[#This Row],[Date Assigned if different from entry date]]+60,IF(CommitmentsTable[[#This Row],[Date record entered]]&lt;&gt;"",CommitmentsTable[[#This Row],[Date record entered]]+60,""))</f>
        <v/>
      </c>
      <c r="M123" s="214"/>
      <c r="N123" s="214"/>
      <c r="O123" s="236"/>
      <c r="P123" s="214"/>
      <c r="Q123" s="214"/>
      <c r="R123" s="214"/>
      <c r="S123" s="238" t="str">
        <f>IF(CommitmentsTable[[#This Row],[Commitment / deliverable]]="","",IF(CommitmentsTable[[#This Row],[Revised due]]&lt;&gt;"",CommitmentsTable[[#This Row],[Revised due]],CommitmentsTable[[#This Row],[Original due]]))</f>
        <v/>
      </c>
      <c r="T123" s="237" t="str">
        <f>IF(OR(CommitmentsTable[[#This Row],[Commitment / deliverable]]="",CommitmentsTable[[#This Row],[Owner]]=""),"",IF(CommitmentsTable[[#This Row],[Status2]]="","Open",CommitmentsTable[[#This Row],[Status2]]))</f>
        <v/>
      </c>
      <c r="U123" s="237" t="str">
        <f t="shared" ca="1" si="1"/>
        <v/>
      </c>
      <c r="V123" s="233"/>
      <c r="W123" s="63" t="s">
        <v>1090</v>
      </c>
    </row>
    <row r="124" spans="1:23" ht="26.15" customHeight="1">
      <c r="A124" s="213" t="str">
        <f>IF(OR(CommitmentsTable[[#This Row],[Commitment / deliverable]]="",CommitmentsTable[[#This Row],[Immutable Key]]=""),"",SUBSTITUTE(CommitmentsTable[[#This Row],[Immutable Key]],"-K-","-"))</f>
        <v/>
      </c>
      <c r="B124" s="233"/>
      <c r="C124" s="233"/>
      <c r="D124" s="213"/>
      <c r="E124" s="230"/>
      <c r="F124" s="213"/>
      <c r="G124" s="245" t="str">
        <f ca="1">IF(CommitmentsTable[[#This Row],[Commitment / deliverable]]="","",IF(CommitmentsTable[[#This Row],[Date record entered]]="",TODAY(),CommitmentsTable[[#This Row],[Date record entered]]))</f>
        <v/>
      </c>
      <c r="H124" s="245"/>
      <c r="I124" s="245" t="str">
        <f ca="1">IF(CommitmentsTable[[#This Row],[Date Assigned if different from entry date]]&lt;&gt;"",CommitmentsTable[[#This Row],[Date Assigned if different from entry date]]+90,IF(CommitmentsTable[[#This Row],[Date record entered]]&lt;&gt;"",CommitmentsTable[[#This Row],[Date record entered]]+90,""))</f>
        <v/>
      </c>
      <c r="J124" s="245" t="str">
        <f ca="1">IF(CommitmentsTable[[#This Row],[Date Assigned if different from entry date]]&lt;&gt;"",CommitmentsTable[[#This Row],[Date Assigned if different from entry date]]+30,IF(CommitmentsTable[[#This Row],[Date record entered]]&lt;&gt;"",CommitmentsTable[[#This Row],[Date record entered]]+30,""))</f>
        <v/>
      </c>
      <c r="K124" s="245"/>
      <c r="L124" s="245" t="str">
        <f ca="1">IF(CommitmentsTable[[#This Row],[Date Assigned if different from entry date]]&lt;&gt;"",CommitmentsTable[[#This Row],[Date Assigned if different from entry date]]+60,IF(CommitmentsTable[[#This Row],[Date record entered]]&lt;&gt;"",CommitmentsTable[[#This Row],[Date record entered]]+60,""))</f>
        <v/>
      </c>
      <c r="M124" s="214"/>
      <c r="N124" s="214"/>
      <c r="O124" s="236"/>
      <c r="P124" s="214"/>
      <c r="Q124" s="214"/>
      <c r="R124" s="214"/>
      <c r="S124" s="238" t="str">
        <f>IF(CommitmentsTable[[#This Row],[Commitment / deliverable]]="","",IF(CommitmentsTable[[#This Row],[Revised due]]&lt;&gt;"",CommitmentsTable[[#This Row],[Revised due]],CommitmentsTable[[#This Row],[Original due]]))</f>
        <v/>
      </c>
      <c r="T124" s="237" t="str">
        <f>IF(OR(CommitmentsTable[[#This Row],[Commitment / deliverable]]="",CommitmentsTable[[#This Row],[Owner]]=""),"",IF(CommitmentsTable[[#This Row],[Status2]]="","Open",CommitmentsTable[[#This Row],[Status2]]))</f>
        <v/>
      </c>
      <c r="U124" s="237" t="str">
        <f t="shared" ca="1" si="1"/>
        <v/>
      </c>
      <c r="V124" s="233"/>
      <c r="W124" s="63" t="s">
        <v>1091</v>
      </c>
    </row>
    <row r="125" spans="1:23" ht="26.15" customHeight="1">
      <c r="A125" s="213" t="str">
        <f>IF(OR(CommitmentsTable[[#This Row],[Commitment / deliverable]]="",CommitmentsTable[[#This Row],[Immutable Key]]=""),"",SUBSTITUTE(CommitmentsTable[[#This Row],[Immutable Key]],"-K-","-"))</f>
        <v/>
      </c>
      <c r="B125" s="233"/>
      <c r="C125" s="233"/>
      <c r="D125" s="213"/>
      <c r="E125" s="230"/>
      <c r="F125" s="213"/>
      <c r="G125" s="245" t="str">
        <f ca="1">IF(CommitmentsTable[[#This Row],[Commitment / deliverable]]="","",IF(CommitmentsTable[[#This Row],[Date record entered]]="",TODAY(),CommitmentsTable[[#This Row],[Date record entered]]))</f>
        <v/>
      </c>
      <c r="H125" s="245"/>
      <c r="I125" s="245" t="str">
        <f ca="1">IF(CommitmentsTable[[#This Row],[Date Assigned if different from entry date]]&lt;&gt;"",CommitmentsTable[[#This Row],[Date Assigned if different from entry date]]+90,IF(CommitmentsTable[[#This Row],[Date record entered]]&lt;&gt;"",CommitmentsTable[[#This Row],[Date record entered]]+90,""))</f>
        <v/>
      </c>
      <c r="J125" s="245" t="str">
        <f ca="1">IF(CommitmentsTable[[#This Row],[Date Assigned if different from entry date]]&lt;&gt;"",CommitmentsTable[[#This Row],[Date Assigned if different from entry date]]+30,IF(CommitmentsTable[[#This Row],[Date record entered]]&lt;&gt;"",CommitmentsTable[[#This Row],[Date record entered]]+30,""))</f>
        <v/>
      </c>
      <c r="K125" s="245"/>
      <c r="L125" s="245" t="str">
        <f ca="1">IF(CommitmentsTable[[#This Row],[Date Assigned if different from entry date]]&lt;&gt;"",CommitmentsTable[[#This Row],[Date Assigned if different from entry date]]+60,IF(CommitmentsTable[[#This Row],[Date record entered]]&lt;&gt;"",CommitmentsTable[[#This Row],[Date record entered]]+60,""))</f>
        <v/>
      </c>
      <c r="M125" s="214"/>
      <c r="N125" s="214"/>
      <c r="O125" s="236"/>
      <c r="P125" s="214"/>
      <c r="Q125" s="214"/>
      <c r="R125" s="214"/>
      <c r="S125" s="238" t="str">
        <f>IF(CommitmentsTable[[#This Row],[Commitment / deliverable]]="","",IF(CommitmentsTable[[#This Row],[Revised due]]&lt;&gt;"",CommitmentsTable[[#This Row],[Revised due]],CommitmentsTable[[#This Row],[Original due]]))</f>
        <v/>
      </c>
      <c r="T125" s="237" t="str">
        <f>IF(OR(CommitmentsTable[[#This Row],[Commitment / deliverable]]="",CommitmentsTable[[#This Row],[Owner]]=""),"",IF(CommitmentsTable[[#This Row],[Status2]]="","Open",CommitmentsTable[[#This Row],[Status2]]))</f>
        <v/>
      </c>
      <c r="U125" s="237" t="str">
        <f t="shared" ca="1" si="1"/>
        <v/>
      </c>
      <c r="V125" s="233"/>
      <c r="W125" s="63" t="s">
        <v>1092</v>
      </c>
    </row>
    <row r="126" spans="1:23" ht="26.15" customHeight="1">
      <c r="A126" s="213" t="str">
        <f>IF(OR(CommitmentsTable[[#This Row],[Commitment / deliverable]]="",CommitmentsTable[[#This Row],[Immutable Key]]=""),"",SUBSTITUTE(CommitmentsTable[[#This Row],[Immutable Key]],"-K-","-"))</f>
        <v/>
      </c>
      <c r="B126" s="233"/>
      <c r="C126" s="233"/>
      <c r="D126" s="213"/>
      <c r="E126" s="230"/>
      <c r="F126" s="213"/>
      <c r="G126" s="245" t="str">
        <f ca="1">IF(CommitmentsTable[[#This Row],[Commitment / deliverable]]="","",IF(CommitmentsTable[[#This Row],[Date record entered]]="",TODAY(),CommitmentsTable[[#This Row],[Date record entered]]))</f>
        <v/>
      </c>
      <c r="H126" s="245"/>
      <c r="I126" s="245" t="str">
        <f ca="1">IF(CommitmentsTable[[#This Row],[Date Assigned if different from entry date]]&lt;&gt;"",CommitmentsTable[[#This Row],[Date Assigned if different from entry date]]+90,IF(CommitmentsTable[[#This Row],[Date record entered]]&lt;&gt;"",CommitmentsTable[[#This Row],[Date record entered]]+90,""))</f>
        <v/>
      </c>
      <c r="J126" s="245" t="str">
        <f ca="1">IF(CommitmentsTable[[#This Row],[Date Assigned if different from entry date]]&lt;&gt;"",CommitmentsTable[[#This Row],[Date Assigned if different from entry date]]+30,IF(CommitmentsTable[[#This Row],[Date record entered]]&lt;&gt;"",CommitmentsTable[[#This Row],[Date record entered]]+30,""))</f>
        <v/>
      </c>
      <c r="K126" s="245"/>
      <c r="L126" s="245" t="str">
        <f ca="1">IF(CommitmentsTable[[#This Row],[Date Assigned if different from entry date]]&lt;&gt;"",CommitmentsTable[[#This Row],[Date Assigned if different from entry date]]+60,IF(CommitmentsTable[[#This Row],[Date record entered]]&lt;&gt;"",CommitmentsTable[[#This Row],[Date record entered]]+60,""))</f>
        <v/>
      </c>
      <c r="M126" s="214"/>
      <c r="N126" s="214"/>
      <c r="O126" s="236"/>
      <c r="P126" s="214"/>
      <c r="Q126" s="214"/>
      <c r="R126" s="214"/>
      <c r="S126" s="238" t="str">
        <f>IF(CommitmentsTable[[#This Row],[Commitment / deliverable]]="","",IF(CommitmentsTable[[#This Row],[Revised due]]&lt;&gt;"",CommitmentsTable[[#This Row],[Revised due]],CommitmentsTable[[#This Row],[Original due]]))</f>
        <v/>
      </c>
      <c r="T126" s="237" t="str">
        <f>IF(OR(CommitmentsTable[[#This Row],[Commitment / deliverable]]="",CommitmentsTable[[#This Row],[Owner]]=""),"",IF(CommitmentsTable[[#This Row],[Status2]]="","Open",CommitmentsTable[[#This Row],[Status2]]))</f>
        <v/>
      </c>
      <c r="U126" s="237" t="str">
        <f t="shared" ca="1" si="1"/>
        <v/>
      </c>
      <c r="V126" s="233"/>
      <c r="W126" s="63" t="s">
        <v>1093</v>
      </c>
    </row>
    <row r="127" spans="1:23" ht="26.15" customHeight="1">
      <c r="A127" s="213" t="str">
        <f>IF(OR(CommitmentsTable[[#This Row],[Commitment / deliverable]]="",CommitmentsTable[[#This Row],[Immutable Key]]=""),"",SUBSTITUTE(CommitmentsTable[[#This Row],[Immutable Key]],"-K-","-"))</f>
        <v/>
      </c>
      <c r="B127" s="233"/>
      <c r="C127" s="233"/>
      <c r="D127" s="213"/>
      <c r="E127" s="230"/>
      <c r="F127" s="213"/>
      <c r="G127" s="245" t="str">
        <f ca="1">IF(CommitmentsTable[[#This Row],[Commitment / deliverable]]="","",IF(CommitmentsTable[[#This Row],[Date record entered]]="",TODAY(),CommitmentsTable[[#This Row],[Date record entered]]))</f>
        <v/>
      </c>
      <c r="H127" s="245"/>
      <c r="I127" s="245" t="str">
        <f ca="1">IF(CommitmentsTable[[#This Row],[Date Assigned if different from entry date]]&lt;&gt;"",CommitmentsTable[[#This Row],[Date Assigned if different from entry date]]+90,IF(CommitmentsTable[[#This Row],[Date record entered]]&lt;&gt;"",CommitmentsTable[[#This Row],[Date record entered]]+90,""))</f>
        <v/>
      </c>
      <c r="J127" s="245" t="str">
        <f ca="1">IF(CommitmentsTable[[#This Row],[Date Assigned if different from entry date]]&lt;&gt;"",CommitmentsTable[[#This Row],[Date Assigned if different from entry date]]+30,IF(CommitmentsTable[[#This Row],[Date record entered]]&lt;&gt;"",CommitmentsTable[[#This Row],[Date record entered]]+30,""))</f>
        <v/>
      </c>
      <c r="K127" s="245"/>
      <c r="L127" s="245" t="str">
        <f ca="1">IF(CommitmentsTable[[#This Row],[Date Assigned if different from entry date]]&lt;&gt;"",CommitmentsTable[[#This Row],[Date Assigned if different from entry date]]+60,IF(CommitmentsTable[[#This Row],[Date record entered]]&lt;&gt;"",CommitmentsTable[[#This Row],[Date record entered]]+60,""))</f>
        <v/>
      </c>
      <c r="M127" s="214"/>
      <c r="N127" s="214"/>
      <c r="O127" s="236"/>
      <c r="P127" s="214"/>
      <c r="Q127" s="214"/>
      <c r="R127" s="214"/>
      <c r="S127" s="238" t="str">
        <f>IF(CommitmentsTable[[#This Row],[Commitment / deliverable]]="","",IF(CommitmentsTable[[#This Row],[Revised due]]&lt;&gt;"",CommitmentsTable[[#This Row],[Revised due]],CommitmentsTable[[#This Row],[Original due]]))</f>
        <v/>
      </c>
      <c r="T127" s="237" t="str">
        <f>IF(OR(CommitmentsTable[[#This Row],[Commitment / deliverable]]="",CommitmentsTable[[#This Row],[Owner]]=""),"",IF(CommitmentsTable[[#This Row],[Status2]]="","Open",CommitmentsTable[[#This Row],[Status2]]))</f>
        <v/>
      </c>
      <c r="U127" s="237" t="str">
        <f t="shared" ca="1" si="1"/>
        <v/>
      </c>
      <c r="V127" s="233"/>
      <c r="W127" s="63" t="s">
        <v>1094</v>
      </c>
    </row>
    <row r="128" spans="1:23" ht="26.15" customHeight="1">
      <c r="A128" s="213" t="str">
        <f>IF(OR(CommitmentsTable[[#This Row],[Commitment / deliverable]]="",CommitmentsTable[[#This Row],[Immutable Key]]=""),"",SUBSTITUTE(CommitmentsTable[[#This Row],[Immutable Key]],"-K-","-"))</f>
        <v/>
      </c>
      <c r="B128" s="233"/>
      <c r="C128" s="233"/>
      <c r="D128" s="213"/>
      <c r="E128" s="230"/>
      <c r="F128" s="213"/>
      <c r="G128" s="245" t="str">
        <f ca="1">IF(CommitmentsTable[[#This Row],[Commitment / deliverable]]="","",IF(CommitmentsTable[[#This Row],[Date record entered]]="",TODAY(),CommitmentsTable[[#This Row],[Date record entered]]))</f>
        <v/>
      </c>
      <c r="H128" s="245"/>
      <c r="I128" s="245" t="str">
        <f ca="1">IF(CommitmentsTable[[#This Row],[Date Assigned if different from entry date]]&lt;&gt;"",CommitmentsTable[[#This Row],[Date Assigned if different from entry date]]+90,IF(CommitmentsTable[[#This Row],[Date record entered]]&lt;&gt;"",CommitmentsTable[[#This Row],[Date record entered]]+90,""))</f>
        <v/>
      </c>
      <c r="J128" s="245" t="str">
        <f ca="1">IF(CommitmentsTable[[#This Row],[Date Assigned if different from entry date]]&lt;&gt;"",CommitmentsTable[[#This Row],[Date Assigned if different from entry date]]+30,IF(CommitmentsTable[[#This Row],[Date record entered]]&lt;&gt;"",CommitmentsTable[[#This Row],[Date record entered]]+30,""))</f>
        <v/>
      </c>
      <c r="K128" s="245"/>
      <c r="L128" s="245" t="str">
        <f ca="1">IF(CommitmentsTable[[#This Row],[Date Assigned if different from entry date]]&lt;&gt;"",CommitmentsTable[[#This Row],[Date Assigned if different from entry date]]+60,IF(CommitmentsTable[[#This Row],[Date record entered]]&lt;&gt;"",CommitmentsTable[[#This Row],[Date record entered]]+60,""))</f>
        <v/>
      </c>
      <c r="M128" s="214"/>
      <c r="N128" s="214"/>
      <c r="O128" s="236"/>
      <c r="P128" s="214"/>
      <c r="Q128" s="214"/>
      <c r="R128" s="214"/>
      <c r="S128" s="238" t="str">
        <f>IF(CommitmentsTable[[#This Row],[Commitment / deliverable]]="","",IF(CommitmentsTable[[#This Row],[Revised due]]&lt;&gt;"",CommitmentsTable[[#This Row],[Revised due]],CommitmentsTable[[#This Row],[Original due]]))</f>
        <v/>
      </c>
      <c r="T128" s="237" t="str">
        <f>IF(OR(CommitmentsTable[[#This Row],[Commitment / deliverable]]="",CommitmentsTable[[#This Row],[Owner]]=""),"",IF(CommitmentsTable[[#This Row],[Status2]]="","Open",CommitmentsTable[[#This Row],[Status2]]))</f>
        <v/>
      </c>
      <c r="U128" s="237" t="str">
        <f t="shared" ca="1" si="1"/>
        <v/>
      </c>
      <c r="V128" s="233"/>
      <c r="W128" s="63" t="s">
        <v>1095</v>
      </c>
    </row>
    <row r="129" spans="1:23" ht="26.15" customHeight="1">
      <c r="A129" s="213" t="str">
        <f>IF(OR(CommitmentsTable[[#This Row],[Commitment / deliverable]]="",CommitmentsTable[[#This Row],[Immutable Key]]=""),"",SUBSTITUTE(CommitmentsTable[[#This Row],[Immutable Key]],"-K-","-"))</f>
        <v/>
      </c>
      <c r="B129" s="233"/>
      <c r="C129" s="233"/>
      <c r="D129" s="213"/>
      <c r="E129" s="230"/>
      <c r="F129" s="213"/>
      <c r="G129" s="245" t="str">
        <f ca="1">IF(CommitmentsTable[[#This Row],[Commitment / deliverable]]="","",IF(CommitmentsTable[[#This Row],[Date record entered]]="",TODAY(),CommitmentsTable[[#This Row],[Date record entered]]))</f>
        <v/>
      </c>
      <c r="H129" s="245"/>
      <c r="I129" s="245" t="str">
        <f ca="1">IF(CommitmentsTable[[#This Row],[Date Assigned if different from entry date]]&lt;&gt;"",CommitmentsTable[[#This Row],[Date Assigned if different from entry date]]+90,IF(CommitmentsTable[[#This Row],[Date record entered]]&lt;&gt;"",CommitmentsTable[[#This Row],[Date record entered]]+90,""))</f>
        <v/>
      </c>
      <c r="J129" s="245" t="str">
        <f ca="1">IF(CommitmentsTable[[#This Row],[Date Assigned if different from entry date]]&lt;&gt;"",CommitmentsTable[[#This Row],[Date Assigned if different from entry date]]+30,IF(CommitmentsTable[[#This Row],[Date record entered]]&lt;&gt;"",CommitmentsTable[[#This Row],[Date record entered]]+30,""))</f>
        <v/>
      </c>
      <c r="K129" s="245"/>
      <c r="L129" s="245" t="str">
        <f ca="1">IF(CommitmentsTable[[#This Row],[Date Assigned if different from entry date]]&lt;&gt;"",CommitmentsTable[[#This Row],[Date Assigned if different from entry date]]+60,IF(CommitmentsTable[[#This Row],[Date record entered]]&lt;&gt;"",CommitmentsTable[[#This Row],[Date record entered]]+60,""))</f>
        <v/>
      </c>
      <c r="M129" s="214"/>
      <c r="N129" s="214"/>
      <c r="O129" s="236"/>
      <c r="P129" s="214"/>
      <c r="Q129" s="214"/>
      <c r="R129" s="214"/>
      <c r="S129" s="238" t="str">
        <f>IF(CommitmentsTable[[#This Row],[Commitment / deliverable]]="","",IF(CommitmentsTable[[#This Row],[Revised due]]&lt;&gt;"",CommitmentsTable[[#This Row],[Revised due]],CommitmentsTable[[#This Row],[Original due]]))</f>
        <v/>
      </c>
      <c r="T129" s="237" t="str">
        <f>IF(OR(CommitmentsTable[[#This Row],[Commitment / deliverable]]="",CommitmentsTable[[#This Row],[Owner]]=""),"",IF(CommitmentsTable[[#This Row],[Status2]]="","Open",CommitmentsTable[[#This Row],[Status2]]))</f>
        <v/>
      </c>
      <c r="U129" s="237" t="str">
        <f t="shared" ca="1" si="1"/>
        <v/>
      </c>
      <c r="V129" s="233"/>
      <c r="W129" s="63" t="s">
        <v>1096</v>
      </c>
    </row>
    <row r="130" spans="1:23" ht="26.15" customHeight="1">
      <c r="A130" s="213" t="str">
        <f>IF(OR(CommitmentsTable[[#This Row],[Commitment / deliverable]]="",CommitmentsTable[[#This Row],[Immutable Key]]=""),"",SUBSTITUTE(CommitmentsTable[[#This Row],[Immutable Key]],"-K-","-"))</f>
        <v/>
      </c>
      <c r="B130" s="233"/>
      <c r="C130" s="233"/>
      <c r="D130" s="213"/>
      <c r="E130" s="230"/>
      <c r="F130" s="213"/>
      <c r="G130" s="245" t="str">
        <f ca="1">IF(CommitmentsTable[[#This Row],[Commitment / deliverable]]="","",IF(CommitmentsTable[[#This Row],[Date record entered]]="",TODAY(),CommitmentsTable[[#This Row],[Date record entered]]))</f>
        <v/>
      </c>
      <c r="H130" s="245"/>
      <c r="I130" s="245" t="str">
        <f ca="1">IF(CommitmentsTable[[#This Row],[Date Assigned if different from entry date]]&lt;&gt;"",CommitmentsTable[[#This Row],[Date Assigned if different from entry date]]+90,IF(CommitmentsTable[[#This Row],[Date record entered]]&lt;&gt;"",CommitmentsTable[[#This Row],[Date record entered]]+90,""))</f>
        <v/>
      </c>
      <c r="J130" s="245" t="str">
        <f ca="1">IF(CommitmentsTable[[#This Row],[Date Assigned if different from entry date]]&lt;&gt;"",CommitmentsTable[[#This Row],[Date Assigned if different from entry date]]+30,IF(CommitmentsTable[[#This Row],[Date record entered]]&lt;&gt;"",CommitmentsTable[[#This Row],[Date record entered]]+30,""))</f>
        <v/>
      </c>
      <c r="K130" s="245"/>
      <c r="L130" s="245" t="str">
        <f ca="1">IF(CommitmentsTable[[#This Row],[Date Assigned if different from entry date]]&lt;&gt;"",CommitmentsTable[[#This Row],[Date Assigned if different from entry date]]+60,IF(CommitmentsTable[[#This Row],[Date record entered]]&lt;&gt;"",CommitmentsTable[[#This Row],[Date record entered]]+60,""))</f>
        <v/>
      </c>
      <c r="M130" s="214"/>
      <c r="N130" s="214"/>
      <c r="O130" s="236"/>
      <c r="P130" s="214"/>
      <c r="Q130" s="214"/>
      <c r="R130" s="214"/>
      <c r="S130" s="238" t="str">
        <f>IF(CommitmentsTable[[#This Row],[Commitment / deliverable]]="","",IF(CommitmentsTable[[#This Row],[Revised due]]&lt;&gt;"",CommitmentsTable[[#This Row],[Revised due]],CommitmentsTable[[#This Row],[Original due]]))</f>
        <v/>
      </c>
      <c r="T130" s="237" t="str">
        <f>IF(OR(CommitmentsTable[[#This Row],[Commitment / deliverable]]="",CommitmentsTable[[#This Row],[Owner]]=""),"",IF(CommitmentsTable[[#This Row],[Status2]]="","Open",CommitmentsTable[[#This Row],[Status2]]))</f>
        <v/>
      </c>
      <c r="U130" s="237" t="str">
        <f t="shared" ca="1" si="1"/>
        <v/>
      </c>
      <c r="V130" s="233"/>
      <c r="W130" s="63" t="s">
        <v>1097</v>
      </c>
    </row>
    <row r="131" spans="1:23" ht="26.15" customHeight="1">
      <c r="A131" s="213" t="str">
        <f>IF(OR(CommitmentsTable[[#This Row],[Commitment / deliverable]]="",CommitmentsTable[[#This Row],[Immutable Key]]=""),"",SUBSTITUTE(CommitmentsTable[[#This Row],[Immutable Key]],"-K-","-"))</f>
        <v/>
      </c>
      <c r="B131" s="233"/>
      <c r="C131" s="233"/>
      <c r="D131" s="213"/>
      <c r="E131" s="230"/>
      <c r="F131" s="213"/>
      <c r="G131" s="245" t="str">
        <f ca="1">IF(CommitmentsTable[[#This Row],[Commitment / deliverable]]="","",IF(CommitmentsTable[[#This Row],[Date record entered]]="",TODAY(),CommitmentsTable[[#This Row],[Date record entered]]))</f>
        <v/>
      </c>
      <c r="H131" s="245"/>
      <c r="I131" s="245" t="str">
        <f ca="1">IF(CommitmentsTable[[#This Row],[Date Assigned if different from entry date]]&lt;&gt;"",CommitmentsTable[[#This Row],[Date Assigned if different from entry date]]+90,IF(CommitmentsTable[[#This Row],[Date record entered]]&lt;&gt;"",CommitmentsTable[[#This Row],[Date record entered]]+90,""))</f>
        <v/>
      </c>
      <c r="J131" s="245" t="str">
        <f ca="1">IF(CommitmentsTable[[#This Row],[Date Assigned if different from entry date]]&lt;&gt;"",CommitmentsTable[[#This Row],[Date Assigned if different from entry date]]+30,IF(CommitmentsTable[[#This Row],[Date record entered]]&lt;&gt;"",CommitmentsTable[[#This Row],[Date record entered]]+30,""))</f>
        <v/>
      </c>
      <c r="K131" s="245"/>
      <c r="L131" s="245" t="str">
        <f ca="1">IF(CommitmentsTable[[#This Row],[Date Assigned if different from entry date]]&lt;&gt;"",CommitmentsTable[[#This Row],[Date Assigned if different from entry date]]+60,IF(CommitmentsTable[[#This Row],[Date record entered]]&lt;&gt;"",CommitmentsTable[[#This Row],[Date record entered]]+60,""))</f>
        <v/>
      </c>
      <c r="M131" s="214"/>
      <c r="N131" s="214"/>
      <c r="O131" s="236"/>
      <c r="P131" s="214"/>
      <c r="Q131" s="214"/>
      <c r="R131" s="214"/>
      <c r="S131" s="238" t="str">
        <f>IF(CommitmentsTable[[#This Row],[Commitment / deliverable]]="","",IF(CommitmentsTable[[#This Row],[Revised due]]&lt;&gt;"",CommitmentsTable[[#This Row],[Revised due]],CommitmentsTable[[#This Row],[Original due]]))</f>
        <v/>
      </c>
      <c r="T131" s="237" t="str">
        <f>IF(OR(CommitmentsTable[[#This Row],[Commitment / deliverable]]="",CommitmentsTable[[#This Row],[Owner]]=""),"",IF(CommitmentsTable[[#This Row],[Status2]]="","Open",CommitmentsTable[[#This Row],[Status2]]))</f>
        <v/>
      </c>
      <c r="U131" s="237" t="str">
        <f t="shared" ca="1" si="1"/>
        <v/>
      </c>
      <c r="V131" s="233"/>
      <c r="W131" s="63" t="s">
        <v>1098</v>
      </c>
    </row>
    <row r="132" spans="1:23" ht="26.15" customHeight="1">
      <c r="A132" s="213" t="str">
        <f>IF(OR(CommitmentsTable[[#This Row],[Commitment / deliverable]]="",CommitmentsTable[[#This Row],[Immutable Key]]=""),"",SUBSTITUTE(CommitmentsTable[[#This Row],[Immutable Key]],"-K-","-"))</f>
        <v/>
      </c>
      <c r="B132" s="233"/>
      <c r="C132" s="233"/>
      <c r="D132" s="213"/>
      <c r="E132" s="230"/>
      <c r="F132" s="213"/>
      <c r="G132" s="245" t="str">
        <f ca="1">IF(CommitmentsTable[[#This Row],[Commitment / deliverable]]="","",IF(CommitmentsTable[[#This Row],[Date record entered]]="",TODAY(),CommitmentsTable[[#This Row],[Date record entered]]))</f>
        <v/>
      </c>
      <c r="H132" s="245"/>
      <c r="I132" s="245" t="str">
        <f ca="1">IF(CommitmentsTable[[#This Row],[Date Assigned if different from entry date]]&lt;&gt;"",CommitmentsTable[[#This Row],[Date Assigned if different from entry date]]+90,IF(CommitmentsTable[[#This Row],[Date record entered]]&lt;&gt;"",CommitmentsTable[[#This Row],[Date record entered]]+90,""))</f>
        <v/>
      </c>
      <c r="J132" s="245" t="str">
        <f ca="1">IF(CommitmentsTable[[#This Row],[Date Assigned if different from entry date]]&lt;&gt;"",CommitmentsTable[[#This Row],[Date Assigned if different from entry date]]+30,IF(CommitmentsTable[[#This Row],[Date record entered]]&lt;&gt;"",CommitmentsTable[[#This Row],[Date record entered]]+30,""))</f>
        <v/>
      </c>
      <c r="K132" s="245"/>
      <c r="L132" s="245" t="str">
        <f ca="1">IF(CommitmentsTable[[#This Row],[Date Assigned if different from entry date]]&lt;&gt;"",CommitmentsTable[[#This Row],[Date Assigned if different from entry date]]+60,IF(CommitmentsTable[[#This Row],[Date record entered]]&lt;&gt;"",CommitmentsTable[[#This Row],[Date record entered]]+60,""))</f>
        <v/>
      </c>
      <c r="M132" s="214"/>
      <c r="N132" s="214"/>
      <c r="O132" s="236"/>
      <c r="P132" s="214"/>
      <c r="Q132" s="214"/>
      <c r="R132" s="214"/>
      <c r="S132" s="238" t="str">
        <f>IF(CommitmentsTable[[#This Row],[Commitment / deliverable]]="","",IF(CommitmentsTable[[#This Row],[Revised due]]&lt;&gt;"",CommitmentsTable[[#This Row],[Revised due]],CommitmentsTable[[#This Row],[Original due]]))</f>
        <v/>
      </c>
      <c r="T132" s="237" t="str">
        <f>IF(OR(CommitmentsTable[[#This Row],[Commitment / deliverable]]="",CommitmentsTable[[#This Row],[Owner]]=""),"",IF(CommitmentsTable[[#This Row],[Status2]]="","Open",CommitmentsTable[[#This Row],[Status2]]))</f>
        <v/>
      </c>
      <c r="U132" s="237" t="str">
        <f t="shared" ca="1" si="1"/>
        <v/>
      </c>
      <c r="V132" s="233"/>
      <c r="W132" s="63" t="s">
        <v>1099</v>
      </c>
    </row>
    <row r="133" spans="1:23" ht="26.15" customHeight="1">
      <c r="A133" s="213" t="str">
        <f>IF(OR(CommitmentsTable[[#This Row],[Commitment / deliverable]]="",CommitmentsTable[[#This Row],[Immutable Key]]=""),"",SUBSTITUTE(CommitmentsTable[[#This Row],[Immutable Key]],"-K-","-"))</f>
        <v/>
      </c>
      <c r="B133" s="233"/>
      <c r="C133" s="233"/>
      <c r="D133" s="213"/>
      <c r="E133" s="230"/>
      <c r="F133" s="213"/>
      <c r="G133" s="245" t="str">
        <f ca="1">IF(CommitmentsTable[[#This Row],[Commitment / deliverable]]="","",IF(CommitmentsTable[[#This Row],[Date record entered]]="",TODAY(),CommitmentsTable[[#This Row],[Date record entered]]))</f>
        <v/>
      </c>
      <c r="H133" s="245"/>
      <c r="I133" s="245" t="str">
        <f ca="1">IF(CommitmentsTable[[#This Row],[Date Assigned if different from entry date]]&lt;&gt;"",CommitmentsTable[[#This Row],[Date Assigned if different from entry date]]+90,IF(CommitmentsTable[[#This Row],[Date record entered]]&lt;&gt;"",CommitmentsTable[[#This Row],[Date record entered]]+90,""))</f>
        <v/>
      </c>
      <c r="J133" s="245" t="str">
        <f ca="1">IF(CommitmentsTable[[#This Row],[Date Assigned if different from entry date]]&lt;&gt;"",CommitmentsTable[[#This Row],[Date Assigned if different from entry date]]+30,IF(CommitmentsTable[[#This Row],[Date record entered]]&lt;&gt;"",CommitmentsTable[[#This Row],[Date record entered]]+30,""))</f>
        <v/>
      </c>
      <c r="K133" s="245"/>
      <c r="L133" s="245" t="str">
        <f ca="1">IF(CommitmentsTable[[#This Row],[Date Assigned if different from entry date]]&lt;&gt;"",CommitmentsTable[[#This Row],[Date Assigned if different from entry date]]+60,IF(CommitmentsTable[[#This Row],[Date record entered]]&lt;&gt;"",CommitmentsTable[[#This Row],[Date record entered]]+60,""))</f>
        <v/>
      </c>
      <c r="M133" s="214"/>
      <c r="N133" s="214"/>
      <c r="O133" s="236"/>
      <c r="P133" s="214"/>
      <c r="Q133" s="214"/>
      <c r="R133" s="214"/>
      <c r="S133" s="238" t="str">
        <f>IF(CommitmentsTable[[#This Row],[Commitment / deliverable]]="","",IF(CommitmentsTable[[#This Row],[Revised due]]&lt;&gt;"",CommitmentsTable[[#This Row],[Revised due]],CommitmentsTable[[#This Row],[Original due]]))</f>
        <v/>
      </c>
      <c r="T133" s="237" t="str">
        <f>IF(OR(CommitmentsTable[[#This Row],[Commitment / deliverable]]="",CommitmentsTable[[#This Row],[Owner]]=""),"",IF(CommitmentsTable[[#This Row],[Status2]]="","Open",CommitmentsTable[[#This Row],[Status2]]))</f>
        <v/>
      </c>
      <c r="U133" s="237" t="str">
        <f t="shared" ca="1" si="1"/>
        <v/>
      </c>
      <c r="V133" s="233"/>
      <c r="W133" s="63" t="s">
        <v>1100</v>
      </c>
    </row>
    <row r="134" spans="1:23" ht="26.15" customHeight="1">
      <c r="A134" s="213" t="str">
        <f>IF(OR(CommitmentsTable[[#This Row],[Commitment / deliverable]]="",CommitmentsTable[[#This Row],[Immutable Key]]=""),"",SUBSTITUTE(CommitmentsTable[[#This Row],[Immutable Key]],"-K-","-"))</f>
        <v/>
      </c>
      <c r="B134" s="233"/>
      <c r="C134" s="233"/>
      <c r="D134" s="213"/>
      <c r="E134" s="230"/>
      <c r="F134" s="213"/>
      <c r="G134" s="245" t="str">
        <f ca="1">IF(CommitmentsTable[[#This Row],[Commitment / deliverable]]="","",IF(CommitmentsTable[[#This Row],[Date record entered]]="",TODAY(),CommitmentsTable[[#This Row],[Date record entered]]))</f>
        <v/>
      </c>
      <c r="H134" s="245"/>
      <c r="I134" s="245" t="str">
        <f ca="1">IF(CommitmentsTable[[#This Row],[Date Assigned if different from entry date]]&lt;&gt;"",CommitmentsTable[[#This Row],[Date Assigned if different from entry date]]+90,IF(CommitmentsTable[[#This Row],[Date record entered]]&lt;&gt;"",CommitmentsTable[[#This Row],[Date record entered]]+90,""))</f>
        <v/>
      </c>
      <c r="J134" s="245" t="str">
        <f ca="1">IF(CommitmentsTable[[#This Row],[Date Assigned if different from entry date]]&lt;&gt;"",CommitmentsTable[[#This Row],[Date Assigned if different from entry date]]+30,IF(CommitmentsTable[[#This Row],[Date record entered]]&lt;&gt;"",CommitmentsTable[[#This Row],[Date record entered]]+30,""))</f>
        <v/>
      </c>
      <c r="K134" s="245"/>
      <c r="L134" s="245" t="str">
        <f ca="1">IF(CommitmentsTable[[#This Row],[Date Assigned if different from entry date]]&lt;&gt;"",CommitmentsTable[[#This Row],[Date Assigned if different from entry date]]+60,IF(CommitmentsTable[[#This Row],[Date record entered]]&lt;&gt;"",CommitmentsTable[[#This Row],[Date record entered]]+60,""))</f>
        <v/>
      </c>
      <c r="M134" s="214"/>
      <c r="N134" s="214"/>
      <c r="O134" s="236"/>
      <c r="P134" s="214"/>
      <c r="Q134" s="214"/>
      <c r="R134" s="214"/>
      <c r="S134" s="238" t="str">
        <f>IF(CommitmentsTable[[#This Row],[Commitment / deliverable]]="","",IF(CommitmentsTable[[#This Row],[Revised due]]&lt;&gt;"",CommitmentsTable[[#This Row],[Revised due]],CommitmentsTable[[#This Row],[Original due]]))</f>
        <v/>
      </c>
      <c r="T134" s="237" t="str">
        <f>IF(OR(CommitmentsTable[[#This Row],[Commitment / deliverable]]="",CommitmentsTable[[#This Row],[Owner]]=""),"",IF(CommitmentsTable[[#This Row],[Status2]]="","Open",CommitmentsTable[[#This Row],[Status2]]))</f>
        <v/>
      </c>
      <c r="U134" s="237" t="str">
        <f t="shared" ca="1" si="1"/>
        <v/>
      </c>
      <c r="V134" s="233"/>
      <c r="W134" s="63" t="s">
        <v>1101</v>
      </c>
    </row>
    <row r="135" spans="1:23" ht="26.15" customHeight="1">
      <c r="A135" s="213" t="str">
        <f>IF(OR(CommitmentsTable[[#This Row],[Commitment / deliverable]]="",CommitmentsTable[[#This Row],[Immutable Key]]=""),"",SUBSTITUTE(CommitmentsTable[[#This Row],[Immutable Key]],"-K-","-"))</f>
        <v/>
      </c>
      <c r="B135" s="233"/>
      <c r="C135" s="233"/>
      <c r="D135" s="213"/>
      <c r="E135" s="230"/>
      <c r="F135" s="213"/>
      <c r="G135" s="245" t="str">
        <f ca="1">IF(CommitmentsTable[[#This Row],[Commitment / deliverable]]="","",IF(CommitmentsTable[[#This Row],[Date record entered]]="",TODAY(),CommitmentsTable[[#This Row],[Date record entered]]))</f>
        <v/>
      </c>
      <c r="H135" s="245"/>
      <c r="I135" s="245" t="str">
        <f ca="1">IF(CommitmentsTable[[#This Row],[Date Assigned if different from entry date]]&lt;&gt;"",CommitmentsTable[[#This Row],[Date Assigned if different from entry date]]+90,IF(CommitmentsTable[[#This Row],[Date record entered]]&lt;&gt;"",CommitmentsTable[[#This Row],[Date record entered]]+90,""))</f>
        <v/>
      </c>
      <c r="J135" s="245" t="str">
        <f ca="1">IF(CommitmentsTable[[#This Row],[Date Assigned if different from entry date]]&lt;&gt;"",CommitmentsTable[[#This Row],[Date Assigned if different from entry date]]+30,IF(CommitmentsTable[[#This Row],[Date record entered]]&lt;&gt;"",CommitmentsTable[[#This Row],[Date record entered]]+30,""))</f>
        <v/>
      </c>
      <c r="K135" s="245"/>
      <c r="L135" s="245" t="str">
        <f ca="1">IF(CommitmentsTable[[#This Row],[Date Assigned if different from entry date]]&lt;&gt;"",CommitmentsTable[[#This Row],[Date Assigned if different from entry date]]+60,IF(CommitmentsTable[[#This Row],[Date record entered]]&lt;&gt;"",CommitmentsTable[[#This Row],[Date record entered]]+60,""))</f>
        <v/>
      </c>
      <c r="M135" s="214"/>
      <c r="N135" s="214"/>
      <c r="O135" s="236"/>
      <c r="P135" s="214"/>
      <c r="Q135" s="214"/>
      <c r="R135" s="214"/>
      <c r="S135" s="238" t="str">
        <f>IF(CommitmentsTable[[#This Row],[Commitment / deliverable]]="","",IF(CommitmentsTable[[#This Row],[Revised due]]&lt;&gt;"",CommitmentsTable[[#This Row],[Revised due]],CommitmentsTable[[#This Row],[Original due]]))</f>
        <v/>
      </c>
      <c r="T135" s="237" t="str">
        <f>IF(OR(CommitmentsTable[[#This Row],[Commitment / deliverable]]="",CommitmentsTable[[#This Row],[Owner]]=""),"",IF(CommitmentsTable[[#This Row],[Status2]]="","Open",CommitmentsTable[[#This Row],[Status2]]))</f>
        <v/>
      </c>
      <c r="U135" s="237" t="str">
        <f t="shared" ca="1" si="1"/>
        <v/>
      </c>
      <c r="V135" s="233"/>
      <c r="W135" s="63" t="s">
        <v>1102</v>
      </c>
    </row>
    <row r="136" spans="1:23" ht="26.15" customHeight="1">
      <c r="A136" s="213" t="str">
        <f>IF(OR(CommitmentsTable[[#This Row],[Commitment / deliverable]]="",CommitmentsTable[[#This Row],[Immutable Key]]=""),"",SUBSTITUTE(CommitmentsTable[[#This Row],[Immutable Key]],"-K-","-"))</f>
        <v/>
      </c>
      <c r="B136" s="233"/>
      <c r="C136" s="233"/>
      <c r="D136" s="213"/>
      <c r="E136" s="230"/>
      <c r="F136" s="213"/>
      <c r="G136" s="245" t="str">
        <f ca="1">IF(CommitmentsTable[[#This Row],[Commitment / deliverable]]="","",IF(CommitmentsTable[[#This Row],[Date record entered]]="",TODAY(),CommitmentsTable[[#This Row],[Date record entered]]))</f>
        <v/>
      </c>
      <c r="H136" s="245"/>
      <c r="I136" s="245" t="str">
        <f ca="1">IF(CommitmentsTable[[#This Row],[Date Assigned if different from entry date]]&lt;&gt;"",CommitmentsTable[[#This Row],[Date Assigned if different from entry date]]+90,IF(CommitmentsTable[[#This Row],[Date record entered]]&lt;&gt;"",CommitmentsTable[[#This Row],[Date record entered]]+90,""))</f>
        <v/>
      </c>
      <c r="J136" s="245" t="str">
        <f ca="1">IF(CommitmentsTable[[#This Row],[Date Assigned if different from entry date]]&lt;&gt;"",CommitmentsTable[[#This Row],[Date Assigned if different from entry date]]+30,IF(CommitmentsTable[[#This Row],[Date record entered]]&lt;&gt;"",CommitmentsTable[[#This Row],[Date record entered]]+30,""))</f>
        <v/>
      </c>
      <c r="K136" s="245"/>
      <c r="L136" s="245" t="str">
        <f ca="1">IF(CommitmentsTable[[#This Row],[Date Assigned if different from entry date]]&lt;&gt;"",CommitmentsTable[[#This Row],[Date Assigned if different from entry date]]+60,IF(CommitmentsTable[[#This Row],[Date record entered]]&lt;&gt;"",CommitmentsTable[[#This Row],[Date record entered]]+60,""))</f>
        <v/>
      </c>
      <c r="M136" s="214"/>
      <c r="N136" s="214"/>
      <c r="O136" s="236"/>
      <c r="P136" s="214"/>
      <c r="Q136" s="214"/>
      <c r="R136" s="214"/>
      <c r="S136" s="238" t="str">
        <f>IF(CommitmentsTable[[#This Row],[Commitment / deliverable]]="","",IF(CommitmentsTable[[#This Row],[Revised due]]&lt;&gt;"",CommitmentsTable[[#This Row],[Revised due]],CommitmentsTable[[#This Row],[Original due]]))</f>
        <v/>
      </c>
      <c r="T136" s="237" t="str">
        <f>IF(OR(CommitmentsTable[[#This Row],[Commitment / deliverable]]="",CommitmentsTable[[#This Row],[Owner]]=""),"",IF(CommitmentsTable[[#This Row],[Status2]]="","Open",CommitmentsTable[[#This Row],[Status2]]))</f>
        <v/>
      </c>
      <c r="U136" s="237" t="str">
        <f t="shared" ca="1" si="1"/>
        <v/>
      </c>
      <c r="V136" s="233"/>
      <c r="W136" s="63" t="s">
        <v>1103</v>
      </c>
    </row>
    <row r="137" spans="1:23" ht="26.15" customHeight="1">
      <c r="A137" s="213" t="str">
        <f>IF(OR(CommitmentsTable[[#This Row],[Commitment / deliverable]]="",CommitmentsTable[[#This Row],[Immutable Key]]=""),"",SUBSTITUTE(CommitmentsTable[[#This Row],[Immutable Key]],"-K-","-"))</f>
        <v/>
      </c>
      <c r="B137" s="233"/>
      <c r="C137" s="233"/>
      <c r="D137" s="213"/>
      <c r="E137" s="230"/>
      <c r="F137" s="213"/>
      <c r="G137" s="245" t="str">
        <f ca="1">IF(CommitmentsTable[[#This Row],[Commitment / deliverable]]="","",IF(CommitmentsTable[[#This Row],[Date record entered]]="",TODAY(),CommitmentsTable[[#This Row],[Date record entered]]))</f>
        <v/>
      </c>
      <c r="H137" s="245"/>
      <c r="I137" s="245" t="str">
        <f ca="1">IF(CommitmentsTable[[#This Row],[Date Assigned if different from entry date]]&lt;&gt;"",CommitmentsTable[[#This Row],[Date Assigned if different from entry date]]+90,IF(CommitmentsTable[[#This Row],[Date record entered]]&lt;&gt;"",CommitmentsTable[[#This Row],[Date record entered]]+90,""))</f>
        <v/>
      </c>
      <c r="J137" s="245" t="str">
        <f ca="1">IF(CommitmentsTable[[#This Row],[Date Assigned if different from entry date]]&lt;&gt;"",CommitmentsTable[[#This Row],[Date Assigned if different from entry date]]+30,IF(CommitmentsTable[[#This Row],[Date record entered]]&lt;&gt;"",CommitmentsTable[[#This Row],[Date record entered]]+30,""))</f>
        <v/>
      </c>
      <c r="K137" s="245"/>
      <c r="L137" s="245" t="str">
        <f ca="1">IF(CommitmentsTable[[#This Row],[Date Assigned if different from entry date]]&lt;&gt;"",CommitmentsTable[[#This Row],[Date Assigned if different from entry date]]+60,IF(CommitmentsTable[[#This Row],[Date record entered]]&lt;&gt;"",CommitmentsTable[[#This Row],[Date record entered]]+60,""))</f>
        <v/>
      </c>
      <c r="M137" s="214"/>
      <c r="N137" s="214"/>
      <c r="O137" s="236"/>
      <c r="P137" s="214"/>
      <c r="Q137" s="214"/>
      <c r="R137" s="214"/>
      <c r="S137" s="238" t="str">
        <f>IF(CommitmentsTable[[#This Row],[Commitment / deliverable]]="","",IF(CommitmentsTable[[#This Row],[Revised due]]&lt;&gt;"",CommitmentsTable[[#This Row],[Revised due]],CommitmentsTable[[#This Row],[Original due]]))</f>
        <v/>
      </c>
      <c r="T137" s="237" t="str">
        <f>IF(OR(CommitmentsTable[[#This Row],[Commitment / deliverable]]="",CommitmentsTable[[#This Row],[Owner]]=""),"",IF(CommitmentsTable[[#This Row],[Status2]]="","Open",CommitmentsTable[[#This Row],[Status2]]))</f>
        <v/>
      </c>
      <c r="U137" s="237" t="str">
        <f t="shared" ca="1" si="1"/>
        <v/>
      </c>
      <c r="V137" s="233"/>
      <c r="W137" s="63" t="s">
        <v>1104</v>
      </c>
    </row>
    <row r="138" spans="1:23" ht="26.15" customHeight="1">
      <c r="A138" s="213" t="str">
        <f>IF(OR(CommitmentsTable[[#This Row],[Commitment / deliverable]]="",CommitmentsTable[[#This Row],[Immutable Key]]=""),"",SUBSTITUTE(CommitmentsTable[[#This Row],[Immutable Key]],"-K-","-"))</f>
        <v/>
      </c>
      <c r="B138" s="233"/>
      <c r="C138" s="233"/>
      <c r="D138" s="213"/>
      <c r="E138" s="230"/>
      <c r="F138" s="213"/>
      <c r="G138" s="245" t="str">
        <f ca="1">IF(CommitmentsTable[[#This Row],[Commitment / deliverable]]="","",IF(CommitmentsTable[[#This Row],[Date record entered]]="",TODAY(),CommitmentsTable[[#This Row],[Date record entered]]))</f>
        <v/>
      </c>
      <c r="H138" s="245"/>
      <c r="I138" s="245" t="str">
        <f ca="1">IF(CommitmentsTable[[#This Row],[Date Assigned if different from entry date]]&lt;&gt;"",CommitmentsTable[[#This Row],[Date Assigned if different from entry date]]+90,IF(CommitmentsTable[[#This Row],[Date record entered]]&lt;&gt;"",CommitmentsTable[[#This Row],[Date record entered]]+90,""))</f>
        <v/>
      </c>
      <c r="J138" s="245" t="str">
        <f ca="1">IF(CommitmentsTable[[#This Row],[Date Assigned if different from entry date]]&lt;&gt;"",CommitmentsTable[[#This Row],[Date Assigned if different from entry date]]+30,IF(CommitmentsTable[[#This Row],[Date record entered]]&lt;&gt;"",CommitmentsTable[[#This Row],[Date record entered]]+30,""))</f>
        <v/>
      </c>
      <c r="K138" s="245"/>
      <c r="L138" s="245" t="str">
        <f ca="1">IF(CommitmentsTable[[#This Row],[Date Assigned if different from entry date]]&lt;&gt;"",CommitmentsTable[[#This Row],[Date Assigned if different from entry date]]+60,IF(CommitmentsTable[[#This Row],[Date record entered]]&lt;&gt;"",CommitmentsTable[[#This Row],[Date record entered]]+60,""))</f>
        <v/>
      </c>
      <c r="M138" s="214"/>
      <c r="N138" s="214"/>
      <c r="O138" s="236"/>
      <c r="P138" s="214"/>
      <c r="Q138" s="214"/>
      <c r="R138" s="214"/>
      <c r="S138" s="238" t="str">
        <f>IF(CommitmentsTable[[#This Row],[Commitment / deliverable]]="","",IF(CommitmentsTable[[#This Row],[Revised due]]&lt;&gt;"",CommitmentsTable[[#This Row],[Revised due]],CommitmentsTable[[#This Row],[Original due]]))</f>
        <v/>
      </c>
      <c r="T138" s="237" t="str">
        <f>IF(OR(CommitmentsTable[[#This Row],[Commitment / deliverable]]="",CommitmentsTable[[#This Row],[Owner]]=""),"",IF(CommitmentsTable[[#This Row],[Status2]]="","Open",CommitmentsTable[[#This Row],[Status2]]))</f>
        <v/>
      </c>
      <c r="U138" s="237" t="str">
        <f t="shared" ca="1" si="1"/>
        <v/>
      </c>
      <c r="V138" s="233"/>
      <c r="W138" s="63" t="s">
        <v>1105</v>
      </c>
    </row>
    <row r="139" spans="1:23" ht="26.15" customHeight="1">
      <c r="A139" s="213" t="str">
        <f>IF(OR(CommitmentsTable[[#This Row],[Commitment / deliverable]]="",CommitmentsTable[[#This Row],[Immutable Key]]=""),"",SUBSTITUTE(CommitmentsTable[[#This Row],[Immutable Key]],"-K-","-"))</f>
        <v/>
      </c>
      <c r="B139" s="233"/>
      <c r="C139" s="233"/>
      <c r="D139" s="213"/>
      <c r="E139" s="230"/>
      <c r="F139" s="213"/>
      <c r="G139" s="245" t="str">
        <f ca="1">IF(CommitmentsTable[[#This Row],[Commitment / deliverable]]="","",IF(CommitmentsTable[[#This Row],[Date record entered]]="",TODAY(),CommitmentsTable[[#This Row],[Date record entered]]))</f>
        <v/>
      </c>
      <c r="H139" s="245"/>
      <c r="I139" s="245" t="str">
        <f ca="1">IF(CommitmentsTable[[#This Row],[Date Assigned if different from entry date]]&lt;&gt;"",CommitmentsTable[[#This Row],[Date Assigned if different from entry date]]+90,IF(CommitmentsTable[[#This Row],[Date record entered]]&lt;&gt;"",CommitmentsTable[[#This Row],[Date record entered]]+90,""))</f>
        <v/>
      </c>
      <c r="J139" s="245" t="str">
        <f ca="1">IF(CommitmentsTable[[#This Row],[Date Assigned if different from entry date]]&lt;&gt;"",CommitmentsTable[[#This Row],[Date Assigned if different from entry date]]+30,IF(CommitmentsTable[[#This Row],[Date record entered]]&lt;&gt;"",CommitmentsTable[[#This Row],[Date record entered]]+30,""))</f>
        <v/>
      </c>
      <c r="K139" s="245"/>
      <c r="L139" s="245" t="str">
        <f ca="1">IF(CommitmentsTable[[#This Row],[Date Assigned if different from entry date]]&lt;&gt;"",CommitmentsTable[[#This Row],[Date Assigned if different from entry date]]+60,IF(CommitmentsTable[[#This Row],[Date record entered]]&lt;&gt;"",CommitmentsTable[[#This Row],[Date record entered]]+60,""))</f>
        <v/>
      </c>
      <c r="M139" s="214"/>
      <c r="N139" s="214"/>
      <c r="O139" s="236"/>
      <c r="P139" s="214"/>
      <c r="Q139" s="214"/>
      <c r="R139" s="214"/>
      <c r="S139" s="238" t="str">
        <f>IF(CommitmentsTable[[#This Row],[Commitment / deliverable]]="","",IF(CommitmentsTable[[#This Row],[Revised due]]&lt;&gt;"",CommitmentsTable[[#This Row],[Revised due]],CommitmentsTable[[#This Row],[Original due]]))</f>
        <v/>
      </c>
      <c r="T139" s="237" t="str">
        <f>IF(OR(CommitmentsTable[[#This Row],[Commitment / deliverable]]="",CommitmentsTable[[#This Row],[Owner]]=""),"",IF(CommitmentsTable[[#This Row],[Status2]]="","Open",CommitmentsTable[[#This Row],[Status2]]))</f>
        <v/>
      </c>
      <c r="U139" s="237" t="str">
        <f t="shared" ca="1" si="1"/>
        <v/>
      </c>
      <c r="V139" s="233"/>
      <c r="W139" s="63" t="s">
        <v>1106</v>
      </c>
    </row>
    <row r="140" spans="1:23" ht="26.15" customHeight="1">
      <c r="A140" s="213" t="str">
        <f>IF(OR(CommitmentsTable[[#This Row],[Commitment / deliverable]]="",CommitmentsTable[[#This Row],[Immutable Key]]=""),"",SUBSTITUTE(CommitmentsTable[[#This Row],[Immutable Key]],"-K-","-"))</f>
        <v/>
      </c>
      <c r="B140" s="233"/>
      <c r="C140" s="233"/>
      <c r="D140" s="213"/>
      <c r="E140" s="230"/>
      <c r="F140" s="213"/>
      <c r="G140" s="245" t="str">
        <f ca="1">IF(CommitmentsTable[[#This Row],[Commitment / deliverable]]="","",IF(CommitmentsTable[[#This Row],[Date record entered]]="",TODAY(),CommitmentsTable[[#This Row],[Date record entered]]))</f>
        <v/>
      </c>
      <c r="H140" s="245"/>
      <c r="I140" s="245" t="str">
        <f ca="1">IF(CommitmentsTable[[#This Row],[Date Assigned if different from entry date]]&lt;&gt;"",CommitmentsTable[[#This Row],[Date Assigned if different from entry date]]+90,IF(CommitmentsTable[[#This Row],[Date record entered]]&lt;&gt;"",CommitmentsTable[[#This Row],[Date record entered]]+90,""))</f>
        <v/>
      </c>
      <c r="J140" s="245" t="str">
        <f ca="1">IF(CommitmentsTable[[#This Row],[Date Assigned if different from entry date]]&lt;&gt;"",CommitmentsTable[[#This Row],[Date Assigned if different from entry date]]+30,IF(CommitmentsTable[[#This Row],[Date record entered]]&lt;&gt;"",CommitmentsTable[[#This Row],[Date record entered]]+30,""))</f>
        <v/>
      </c>
      <c r="K140" s="245"/>
      <c r="L140" s="245" t="str">
        <f ca="1">IF(CommitmentsTable[[#This Row],[Date Assigned if different from entry date]]&lt;&gt;"",CommitmentsTable[[#This Row],[Date Assigned if different from entry date]]+60,IF(CommitmentsTable[[#This Row],[Date record entered]]&lt;&gt;"",CommitmentsTable[[#This Row],[Date record entered]]+60,""))</f>
        <v/>
      </c>
      <c r="M140" s="214"/>
      <c r="N140" s="214"/>
      <c r="O140" s="236"/>
      <c r="P140" s="214"/>
      <c r="Q140" s="214"/>
      <c r="R140" s="214"/>
      <c r="S140" s="238" t="str">
        <f>IF(CommitmentsTable[[#This Row],[Commitment / deliverable]]="","",IF(CommitmentsTable[[#This Row],[Revised due]]&lt;&gt;"",CommitmentsTable[[#This Row],[Revised due]],CommitmentsTable[[#This Row],[Original due]]))</f>
        <v/>
      </c>
      <c r="T140" s="237" t="str">
        <f>IF(OR(CommitmentsTable[[#This Row],[Commitment / deliverable]]="",CommitmentsTable[[#This Row],[Owner]]=""),"",IF(CommitmentsTable[[#This Row],[Status2]]="","Open",CommitmentsTable[[#This Row],[Status2]]))</f>
        <v/>
      </c>
      <c r="U140" s="237" t="str">
        <f t="shared" ca="1" si="1"/>
        <v/>
      </c>
      <c r="V140" s="233"/>
      <c r="W140" s="63" t="s">
        <v>1107</v>
      </c>
    </row>
    <row r="141" spans="1:23" ht="26.15" customHeight="1">
      <c r="A141" s="213" t="str">
        <f>IF(OR(CommitmentsTable[[#This Row],[Commitment / deliverable]]="",CommitmentsTable[[#This Row],[Immutable Key]]=""),"",SUBSTITUTE(CommitmentsTable[[#This Row],[Immutable Key]],"-K-","-"))</f>
        <v/>
      </c>
      <c r="B141" s="233"/>
      <c r="C141" s="233"/>
      <c r="D141" s="213"/>
      <c r="E141" s="230"/>
      <c r="F141" s="213"/>
      <c r="G141" s="245" t="str">
        <f ca="1">IF(CommitmentsTable[[#This Row],[Commitment / deliverable]]="","",IF(CommitmentsTable[[#This Row],[Date record entered]]="",TODAY(),CommitmentsTable[[#This Row],[Date record entered]]))</f>
        <v/>
      </c>
      <c r="H141" s="245"/>
      <c r="I141" s="245" t="str">
        <f ca="1">IF(CommitmentsTable[[#This Row],[Date Assigned if different from entry date]]&lt;&gt;"",CommitmentsTable[[#This Row],[Date Assigned if different from entry date]]+90,IF(CommitmentsTable[[#This Row],[Date record entered]]&lt;&gt;"",CommitmentsTable[[#This Row],[Date record entered]]+90,""))</f>
        <v/>
      </c>
      <c r="J141" s="245" t="str">
        <f ca="1">IF(CommitmentsTable[[#This Row],[Date Assigned if different from entry date]]&lt;&gt;"",CommitmentsTable[[#This Row],[Date Assigned if different from entry date]]+30,IF(CommitmentsTable[[#This Row],[Date record entered]]&lt;&gt;"",CommitmentsTable[[#This Row],[Date record entered]]+30,""))</f>
        <v/>
      </c>
      <c r="K141" s="245"/>
      <c r="L141" s="245" t="str">
        <f ca="1">IF(CommitmentsTable[[#This Row],[Date Assigned if different from entry date]]&lt;&gt;"",CommitmentsTable[[#This Row],[Date Assigned if different from entry date]]+60,IF(CommitmentsTable[[#This Row],[Date record entered]]&lt;&gt;"",CommitmentsTable[[#This Row],[Date record entered]]+60,""))</f>
        <v/>
      </c>
      <c r="M141" s="214"/>
      <c r="N141" s="214"/>
      <c r="O141" s="236"/>
      <c r="P141" s="214"/>
      <c r="Q141" s="214"/>
      <c r="R141" s="214"/>
      <c r="S141" s="238" t="str">
        <f>IF(CommitmentsTable[[#This Row],[Commitment / deliverable]]="","",IF(CommitmentsTable[[#This Row],[Revised due]]&lt;&gt;"",CommitmentsTable[[#This Row],[Revised due]],CommitmentsTable[[#This Row],[Original due]]))</f>
        <v/>
      </c>
      <c r="T141" s="237" t="str">
        <f>IF(OR(CommitmentsTable[[#This Row],[Commitment / deliverable]]="",CommitmentsTable[[#This Row],[Owner]]=""),"",IF(CommitmentsTable[[#This Row],[Status2]]="","Open",CommitmentsTable[[#This Row],[Status2]]))</f>
        <v/>
      </c>
      <c r="U141" s="237" t="str">
        <f t="shared" ref="U141:U204" ca="1" si="2">IF(B141="","",IF(T141="Closed","",IF(OR(T141="Slipped",T141="At risk",AND(S141&lt;&gt;"",S141&lt;TODAY())),"Slipped / at risk",IF(G141=TODAY(),"New today",IF(S141=TODAY()+1,"Due tomorrow","")))))</f>
        <v/>
      </c>
      <c r="V141" s="233"/>
      <c r="W141" s="63" t="s">
        <v>1108</v>
      </c>
    </row>
    <row r="142" spans="1:23" ht="26.15" customHeight="1">
      <c r="A142" s="213" t="str">
        <f>IF(OR(CommitmentsTable[[#This Row],[Commitment / deliverable]]="",CommitmentsTable[[#This Row],[Immutable Key]]=""),"",SUBSTITUTE(CommitmentsTable[[#This Row],[Immutable Key]],"-K-","-"))</f>
        <v/>
      </c>
      <c r="B142" s="233"/>
      <c r="C142" s="233"/>
      <c r="D142" s="213"/>
      <c r="E142" s="230"/>
      <c r="F142" s="213"/>
      <c r="G142" s="245" t="str">
        <f ca="1">IF(CommitmentsTable[[#This Row],[Commitment / deliverable]]="","",IF(CommitmentsTable[[#This Row],[Date record entered]]="",TODAY(),CommitmentsTable[[#This Row],[Date record entered]]))</f>
        <v/>
      </c>
      <c r="H142" s="245"/>
      <c r="I142" s="245" t="str">
        <f ca="1">IF(CommitmentsTable[[#This Row],[Date Assigned if different from entry date]]&lt;&gt;"",CommitmentsTable[[#This Row],[Date Assigned if different from entry date]]+90,IF(CommitmentsTable[[#This Row],[Date record entered]]&lt;&gt;"",CommitmentsTable[[#This Row],[Date record entered]]+90,""))</f>
        <v/>
      </c>
      <c r="J142" s="245" t="str">
        <f ca="1">IF(CommitmentsTable[[#This Row],[Date Assigned if different from entry date]]&lt;&gt;"",CommitmentsTable[[#This Row],[Date Assigned if different from entry date]]+30,IF(CommitmentsTable[[#This Row],[Date record entered]]&lt;&gt;"",CommitmentsTable[[#This Row],[Date record entered]]+30,""))</f>
        <v/>
      </c>
      <c r="K142" s="245"/>
      <c r="L142" s="245" t="str">
        <f ca="1">IF(CommitmentsTable[[#This Row],[Date Assigned if different from entry date]]&lt;&gt;"",CommitmentsTable[[#This Row],[Date Assigned if different from entry date]]+60,IF(CommitmentsTable[[#This Row],[Date record entered]]&lt;&gt;"",CommitmentsTable[[#This Row],[Date record entered]]+60,""))</f>
        <v/>
      </c>
      <c r="M142" s="214"/>
      <c r="N142" s="214"/>
      <c r="O142" s="236"/>
      <c r="P142" s="214"/>
      <c r="Q142" s="214"/>
      <c r="R142" s="214"/>
      <c r="S142" s="238" t="str">
        <f>IF(CommitmentsTable[[#This Row],[Commitment / deliverable]]="","",IF(CommitmentsTable[[#This Row],[Revised due]]&lt;&gt;"",CommitmentsTable[[#This Row],[Revised due]],CommitmentsTable[[#This Row],[Original due]]))</f>
        <v/>
      </c>
      <c r="T142" s="237" t="str">
        <f>IF(OR(CommitmentsTable[[#This Row],[Commitment / deliverable]]="",CommitmentsTable[[#This Row],[Owner]]=""),"",IF(CommitmentsTable[[#This Row],[Status2]]="","Open",CommitmentsTable[[#This Row],[Status2]]))</f>
        <v/>
      </c>
      <c r="U142" s="237" t="str">
        <f t="shared" ca="1" si="2"/>
        <v/>
      </c>
      <c r="V142" s="233"/>
      <c r="W142" s="63" t="s">
        <v>1109</v>
      </c>
    </row>
    <row r="143" spans="1:23" ht="26.15" customHeight="1">
      <c r="A143" s="213" t="str">
        <f>IF(OR(CommitmentsTable[[#This Row],[Commitment / deliverable]]="",CommitmentsTable[[#This Row],[Immutable Key]]=""),"",SUBSTITUTE(CommitmentsTable[[#This Row],[Immutable Key]],"-K-","-"))</f>
        <v/>
      </c>
      <c r="B143" s="233"/>
      <c r="C143" s="233"/>
      <c r="D143" s="213"/>
      <c r="E143" s="230"/>
      <c r="F143" s="213"/>
      <c r="G143" s="245" t="str">
        <f ca="1">IF(CommitmentsTable[[#This Row],[Commitment / deliverable]]="","",IF(CommitmentsTable[[#This Row],[Date record entered]]="",TODAY(),CommitmentsTable[[#This Row],[Date record entered]]))</f>
        <v/>
      </c>
      <c r="H143" s="245"/>
      <c r="I143" s="245" t="str">
        <f ca="1">IF(CommitmentsTable[[#This Row],[Date Assigned if different from entry date]]&lt;&gt;"",CommitmentsTable[[#This Row],[Date Assigned if different from entry date]]+90,IF(CommitmentsTable[[#This Row],[Date record entered]]&lt;&gt;"",CommitmentsTable[[#This Row],[Date record entered]]+90,""))</f>
        <v/>
      </c>
      <c r="J143" s="245" t="str">
        <f ca="1">IF(CommitmentsTable[[#This Row],[Date Assigned if different from entry date]]&lt;&gt;"",CommitmentsTable[[#This Row],[Date Assigned if different from entry date]]+30,IF(CommitmentsTable[[#This Row],[Date record entered]]&lt;&gt;"",CommitmentsTable[[#This Row],[Date record entered]]+30,""))</f>
        <v/>
      </c>
      <c r="K143" s="245"/>
      <c r="L143" s="245" t="str">
        <f ca="1">IF(CommitmentsTable[[#This Row],[Date Assigned if different from entry date]]&lt;&gt;"",CommitmentsTable[[#This Row],[Date Assigned if different from entry date]]+60,IF(CommitmentsTable[[#This Row],[Date record entered]]&lt;&gt;"",CommitmentsTable[[#This Row],[Date record entered]]+60,""))</f>
        <v/>
      </c>
      <c r="M143" s="214"/>
      <c r="N143" s="214"/>
      <c r="O143" s="236"/>
      <c r="P143" s="214"/>
      <c r="Q143" s="214"/>
      <c r="R143" s="214"/>
      <c r="S143" s="238" t="str">
        <f>IF(CommitmentsTable[[#This Row],[Commitment / deliverable]]="","",IF(CommitmentsTable[[#This Row],[Revised due]]&lt;&gt;"",CommitmentsTable[[#This Row],[Revised due]],CommitmentsTable[[#This Row],[Original due]]))</f>
        <v/>
      </c>
      <c r="T143" s="237" t="str">
        <f>IF(OR(CommitmentsTable[[#This Row],[Commitment / deliverable]]="",CommitmentsTable[[#This Row],[Owner]]=""),"",IF(CommitmentsTable[[#This Row],[Status2]]="","Open",CommitmentsTable[[#This Row],[Status2]]))</f>
        <v/>
      </c>
      <c r="U143" s="237" t="str">
        <f t="shared" ca="1" si="2"/>
        <v/>
      </c>
      <c r="V143" s="233"/>
      <c r="W143" s="63" t="s">
        <v>1110</v>
      </c>
    </row>
    <row r="144" spans="1:23" ht="26.15" customHeight="1">
      <c r="A144" s="213" t="str">
        <f>IF(OR(CommitmentsTable[[#This Row],[Commitment / deliverable]]="",CommitmentsTable[[#This Row],[Immutable Key]]=""),"",SUBSTITUTE(CommitmentsTable[[#This Row],[Immutable Key]],"-K-","-"))</f>
        <v/>
      </c>
      <c r="B144" s="233"/>
      <c r="C144" s="233"/>
      <c r="D144" s="213"/>
      <c r="E144" s="230"/>
      <c r="F144" s="213"/>
      <c r="G144" s="245" t="str">
        <f ca="1">IF(CommitmentsTable[[#This Row],[Commitment / deliverable]]="","",IF(CommitmentsTable[[#This Row],[Date record entered]]="",TODAY(),CommitmentsTable[[#This Row],[Date record entered]]))</f>
        <v/>
      </c>
      <c r="H144" s="245"/>
      <c r="I144" s="245" t="str">
        <f ca="1">IF(CommitmentsTable[[#This Row],[Date Assigned if different from entry date]]&lt;&gt;"",CommitmentsTable[[#This Row],[Date Assigned if different from entry date]]+90,IF(CommitmentsTable[[#This Row],[Date record entered]]&lt;&gt;"",CommitmentsTable[[#This Row],[Date record entered]]+90,""))</f>
        <v/>
      </c>
      <c r="J144" s="245" t="str">
        <f ca="1">IF(CommitmentsTable[[#This Row],[Date Assigned if different from entry date]]&lt;&gt;"",CommitmentsTable[[#This Row],[Date Assigned if different from entry date]]+30,IF(CommitmentsTable[[#This Row],[Date record entered]]&lt;&gt;"",CommitmentsTable[[#This Row],[Date record entered]]+30,""))</f>
        <v/>
      </c>
      <c r="K144" s="245"/>
      <c r="L144" s="245" t="str">
        <f ca="1">IF(CommitmentsTable[[#This Row],[Date Assigned if different from entry date]]&lt;&gt;"",CommitmentsTable[[#This Row],[Date Assigned if different from entry date]]+60,IF(CommitmentsTable[[#This Row],[Date record entered]]&lt;&gt;"",CommitmentsTable[[#This Row],[Date record entered]]+60,""))</f>
        <v/>
      </c>
      <c r="M144" s="214"/>
      <c r="N144" s="214"/>
      <c r="O144" s="236"/>
      <c r="P144" s="214"/>
      <c r="Q144" s="214"/>
      <c r="R144" s="214"/>
      <c r="S144" s="238" t="str">
        <f>IF(CommitmentsTable[[#This Row],[Commitment / deliverable]]="","",IF(CommitmentsTable[[#This Row],[Revised due]]&lt;&gt;"",CommitmentsTable[[#This Row],[Revised due]],CommitmentsTable[[#This Row],[Original due]]))</f>
        <v/>
      </c>
      <c r="T144" s="237" t="str">
        <f>IF(OR(CommitmentsTable[[#This Row],[Commitment / deliverable]]="",CommitmentsTable[[#This Row],[Owner]]=""),"",IF(CommitmentsTable[[#This Row],[Status2]]="","Open",CommitmentsTable[[#This Row],[Status2]]))</f>
        <v/>
      </c>
      <c r="U144" s="237" t="str">
        <f t="shared" ca="1" si="2"/>
        <v/>
      </c>
      <c r="V144" s="233"/>
      <c r="W144" s="63" t="s">
        <v>1111</v>
      </c>
    </row>
    <row r="145" spans="1:23" ht="26.15" customHeight="1">
      <c r="A145" s="213" t="str">
        <f>IF(OR(CommitmentsTable[[#This Row],[Commitment / deliverable]]="",CommitmentsTable[[#This Row],[Immutable Key]]=""),"",SUBSTITUTE(CommitmentsTable[[#This Row],[Immutable Key]],"-K-","-"))</f>
        <v/>
      </c>
      <c r="B145" s="233"/>
      <c r="C145" s="233"/>
      <c r="D145" s="213"/>
      <c r="E145" s="230"/>
      <c r="F145" s="213"/>
      <c r="G145" s="245" t="str">
        <f ca="1">IF(CommitmentsTable[[#This Row],[Commitment / deliverable]]="","",IF(CommitmentsTable[[#This Row],[Date record entered]]="",TODAY(),CommitmentsTable[[#This Row],[Date record entered]]))</f>
        <v/>
      </c>
      <c r="H145" s="245"/>
      <c r="I145" s="245" t="str">
        <f ca="1">IF(CommitmentsTable[[#This Row],[Date Assigned if different from entry date]]&lt;&gt;"",CommitmentsTable[[#This Row],[Date Assigned if different from entry date]]+90,IF(CommitmentsTable[[#This Row],[Date record entered]]&lt;&gt;"",CommitmentsTable[[#This Row],[Date record entered]]+90,""))</f>
        <v/>
      </c>
      <c r="J145" s="245" t="str">
        <f ca="1">IF(CommitmentsTable[[#This Row],[Date Assigned if different from entry date]]&lt;&gt;"",CommitmentsTable[[#This Row],[Date Assigned if different from entry date]]+30,IF(CommitmentsTable[[#This Row],[Date record entered]]&lt;&gt;"",CommitmentsTable[[#This Row],[Date record entered]]+30,""))</f>
        <v/>
      </c>
      <c r="K145" s="245"/>
      <c r="L145" s="245" t="str">
        <f ca="1">IF(CommitmentsTable[[#This Row],[Date Assigned if different from entry date]]&lt;&gt;"",CommitmentsTable[[#This Row],[Date Assigned if different from entry date]]+60,IF(CommitmentsTable[[#This Row],[Date record entered]]&lt;&gt;"",CommitmentsTable[[#This Row],[Date record entered]]+60,""))</f>
        <v/>
      </c>
      <c r="M145" s="214"/>
      <c r="N145" s="214"/>
      <c r="O145" s="236"/>
      <c r="P145" s="214"/>
      <c r="Q145" s="214"/>
      <c r="R145" s="214"/>
      <c r="S145" s="238" t="str">
        <f>IF(CommitmentsTable[[#This Row],[Commitment / deliverable]]="","",IF(CommitmentsTable[[#This Row],[Revised due]]&lt;&gt;"",CommitmentsTable[[#This Row],[Revised due]],CommitmentsTable[[#This Row],[Original due]]))</f>
        <v/>
      </c>
      <c r="T145" s="237" t="str">
        <f>IF(OR(CommitmentsTable[[#This Row],[Commitment / deliverable]]="",CommitmentsTable[[#This Row],[Owner]]=""),"",IF(CommitmentsTable[[#This Row],[Status2]]="","Open",CommitmentsTable[[#This Row],[Status2]]))</f>
        <v/>
      </c>
      <c r="U145" s="237" t="str">
        <f t="shared" ca="1" si="2"/>
        <v/>
      </c>
      <c r="V145" s="233"/>
      <c r="W145" s="63" t="s">
        <v>1112</v>
      </c>
    </row>
    <row r="146" spans="1:23" ht="26.15" customHeight="1">
      <c r="A146" s="213" t="str">
        <f>IF(OR(CommitmentsTable[[#This Row],[Commitment / deliverable]]="",CommitmentsTable[[#This Row],[Immutable Key]]=""),"",SUBSTITUTE(CommitmentsTable[[#This Row],[Immutable Key]],"-K-","-"))</f>
        <v/>
      </c>
      <c r="B146" s="233"/>
      <c r="C146" s="233"/>
      <c r="D146" s="213"/>
      <c r="E146" s="230"/>
      <c r="F146" s="213"/>
      <c r="G146" s="245" t="str">
        <f ca="1">IF(CommitmentsTable[[#This Row],[Commitment / deliverable]]="","",IF(CommitmentsTable[[#This Row],[Date record entered]]="",TODAY(),CommitmentsTable[[#This Row],[Date record entered]]))</f>
        <v/>
      </c>
      <c r="H146" s="245"/>
      <c r="I146" s="245" t="str">
        <f ca="1">IF(CommitmentsTable[[#This Row],[Date Assigned if different from entry date]]&lt;&gt;"",CommitmentsTable[[#This Row],[Date Assigned if different from entry date]]+90,IF(CommitmentsTable[[#This Row],[Date record entered]]&lt;&gt;"",CommitmentsTable[[#This Row],[Date record entered]]+90,""))</f>
        <v/>
      </c>
      <c r="J146" s="245" t="str">
        <f ca="1">IF(CommitmentsTable[[#This Row],[Date Assigned if different from entry date]]&lt;&gt;"",CommitmentsTable[[#This Row],[Date Assigned if different from entry date]]+30,IF(CommitmentsTable[[#This Row],[Date record entered]]&lt;&gt;"",CommitmentsTable[[#This Row],[Date record entered]]+30,""))</f>
        <v/>
      </c>
      <c r="K146" s="245"/>
      <c r="L146" s="245" t="str">
        <f ca="1">IF(CommitmentsTable[[#This Row],[Date Assigned if different from entry date]]&lt;&gt;"",CommitmentsTable[[#This Row],[Date Assigned if different from entry date]]+60,IF(CommitmentsTable[[#This Row],[Date record entered]]&lt;&gt;"",CommitmentsTable[[#This Row],[Date record entered]]+60,""))</f>
        <v/>
      </c>
      <c r="M146" s="214"/>
      <c r="N146" s="214"/>
      <c r="O146" s="236"/>
      <c r="P146" s="214"/>
      <c r="Q146" s="214"/>
      <c r="R146" s="214"/>
      <c r="S146" s="238" t="str">
        <f>IF(CommitmentsTable[[#This Row],[Commitment / deliverable]]="","",IF(CommitmentsTable[[#This Row],[Revised due]]&lt;&gt;"",CommitmentsTable[[#This Row],[Revised due]],CommitmentsTable[[#This Row],[Original due]]))</f>
        <v/>
      </c>
      <c r="T146" s="237" t="str">
        <f>IF(OR(CommitmentsTable[[#This Row],[Commitment / deliverable]]="",CommitmentsTable[[#This Row],[Owner]]=""),"",IF(CommitmentsTable[[#This Row],[Status2]]="","Open",CommitmentsTable[[#This Row],[Status2]]))</f>
        <v/>
      </c>
      <c r="U146" s="237" t="str">
        <f t="shared" ca="1" si="2"/>
        <v/>
      </c>
      <c r="V146" s="233"/>
      <c r="W146" s="63" t="s">
        <v>1113</v>
      </c>
    </row>
    <row r="147" spans="1:23" ht="26.15" customHeight="1">
      <c r="A147" s="213" t="str">
        <f>IF(OR(CommitmentsTable[[#This Row],[Commitment / deliverable]]="",CommitmentsTable[[#This Row],[Immutable Key]]=""),"",SUBSTITUTE(CommitmentsTable[[#This Row],[Immutable Key]],"-K-","-"))</f>
        <v/>
      </c>
      <c r="B147" s="233"/>
      <c r="C147" s="233"/>
      <c r="D147" s="213"/>
      <c r="E147" s="230"/>
      <c r="F147" s="213"/>
      <c r="G147" s="245" t="str">
        <f ca="1">IF(CommitmentsTable[[#This Row],[Commitment / deliverable]]="","",IF(CommitmentsTable[[#This Row],[Date record entered]]="",TODAY(),CommitmentsTable[[#This Row],[Date record entered]]))</f>
        <v/>
      </c>
      <c r="H147" s="245"/>
      <c r="I147" s="245" t="str">
        <f ca="1">IF(CommitmentsTable[[#This Row],[Date Assigned if different from entry date]]&lt;&gt;"",CommitmentsTable[[#This Row],[Date Assigned if different from entry date]]+90,IF(CommitmentsTable[[#This Row],[Date record entered]]&lt;&gt;"",CommitmentsTable[[#This Row],[Date record entered]]+90,""))</f>
        <v/>
      </c>
      <c r="J147" s="245" t="str">
        <f ca="1">IF(CommitmentsTable[[#This Row],[Date Assigned if different from entry date]]&lt;&gt;"",CommitmentsTable[[#This Row],[Date Assigned if different from entry date]]+30,IF(CommitmentsTable[[#This Row],[Date record entered]]&lt;&gt;"",CommitmentsTable[[#This Row],[Date record entered]]+30,""))</f>
        <v/>
      </c>
      <c r="K147" s="245"/>
      <c r="L147" s="245" t="str">
        <f ca="1">IF(CommitmentsTable[[#This Row],[Date Assigned if different from entry date]]&lt;&gt;"",CommitmentsTable[[#This Row],[Date Assigned if different from entry date]]+60,IF(CommitmentsTable[[#This Row],[Date record entered]]&lt;&gt;"",CommitmentsTable[[#This Row],[Date record entered]]+60,""))</f>
        <v/>
      </c>
      <c r="M147" s="214"/>
      <c r="N147" s="214"/>
      <c r="O147" s="236"/>
      <c r="P147" s="214"/>
      <c r="Q147" s="214"/>
      <c r="R147" s="214"/>
      <c r="S147" s="238" t="str">
        <f>IF(CommitmentsTable[[#This Row],[Commitment / deliverable]]="","",IF(CommitmentsTable[[#This Row],[Revised due]]&lt;&gt;"",CommitmentsTable[[#This Row],[Revised due]],CommitmentsTable[[#This Row],[Original due]]))</f>
        <v/>
      </c>
      <c r="T147" s="237" t="str">
        <f>IF(OR(CommitmentsTable[[#This Row],[Commitment / deliverable]]="",CommitmentsTable[[#This Row],[Owner]]=""),"",IF(CommitmentsTable[[#This Row],[Status2]]="","Open",CommitmentsTable[[#This Row],[Status2]]))</f>
        <v/>
      </c>
      <c r="U147" s="237" t="str">
        <f t="shared" ca="1" si="2"/>
        <v/>
      </c>
      <c r="V147" s="233"/>
      <c r="W147" s="63" t="s">
        <v>1114</v>
      </c>
    </row>
    <row r="148" spans="1:23" ht="26.15" customHeight="1">
      <c r="A148" s="213" t="str">
        <f>IF(OR(CommitmentsTable[[#This Row],[Commitment / deliverable]]="",CommitmentsTable[[#This Row],[Immutable Key]]=""),"",SUBSTITUTE(CommitmentsTable[[#This Row],[Immutable Key]],"-K-","-"))</f>
        <v/>
      </c>
      <c r="B148" s="233"/>
      <c r="C148" s="233"/>
      <c r="D148" s="213"/>
      <c r="E148" s="230"/>
      <c r="F148" s="213"/>
      <c r="G148" s="245" t="str">
        <f ca="1">IF(CommitmentsTable[[#This Row],[Commitment / deliverable]]="","",IF(CommitmentsTable[[#This Row],[Date record entered]]="",TODAY(),CommitmentsTable[[#This Row],[Date record entered]]))</f>
        <v/>
      </c>
      <c r="H148" s="245"/>
      <c r="I148" s="245" t="str">
        <f ca="1">IF(CommitmentsTable[[#This Row],[Date Assigned if different from entry date]]&lt;&gt;"",CommitmentsTable[[#This Row],[Date Assigned if different from entry date]]+90,IF(CommitmentsTable[[#This Row],[Date record entered]]&lt;&gt;"",CommitmentsTable[[#This Row],[Date record entered]]+90,""))</f>
        <v/>
      </c>
      <c r="J148" s="245" t="str">
        <f ca="1">IF(CommitmentsTable[[#This Row],[Date Assigned if different from entry date]]&lt;&gt;"",CommitmentsTable[[#This Row],[Date Assigned if different from entry date]]+30,IF(CommitmentsTable[[#This Row],[Date record entered]]&lt;&gt;"",CommitmentsTable[[#This Row],[Date record entered]]+30,""))</f>
        <v/>
      </c>
      <c r="K148" s="245"/>
      <c r="L148" s="245" t="str">
        <f ca="1">IF(CommitmentsTable[[#This Row],[Date Assigned if different from entry date]]&lt;&gt;"",CommitmentsTable[[#This Row],[Date Assigned if different from entry date]]+60,IF(CommitmentsTable[[#This Row],[Date record entered]]&lt;&gt;"",CommitmentsTable[[#This Row],[Date record entered]]+60,""))</f>
        <v/>
      </c>
      <c r="M148" s="214"/>
      <c r="N148" s="214"/>
      <c r="O148" s="236"/>
      <c r="P148" s="214"/>
      <c r="Q148" s="214"/>
      <c r="R148" s="214"/>
      <c r="S148" s="238" t="str">
        <f>IF(CommitmentsTable[[#This Row],[Commitment / deliverable]]="","",IF(CommitmentsTable[[#This Row],[Revised due]]&lt;&gt;"",CommitmentsTable[[#This Row],[Revised due]],CommitmentsTable[[#This Row],[Original due]]))</f>
        <v/>
      </c>
      <c r="T148" s="237" t="str">
        <f>IF(OR(CommitmentsTable[[#This Row],[Commitment / deliverable]]="",CommitmentsTable[[#This Row],[Owner]]=""),"",IF(CommitmentsTable[[#This Row],[Status2]]="","Open",CommitmentsTable[[#This Row],[Status2]]))</f>
        <v/>
      </c>
      <c r="U148" s="237" t="str">
        <f t="shared" ca="1" si="2"/>
        <v/>
      </c>
      <c r="V148" s="233"/>
      <c r="W148" s="63" t="s">
        <v>1115</v>
      </c>
    </row>
    <row r="149" spans="1:23" ht="26.15" customHeight="1">
      <c r="A149" s="213" t="str">
        <f>IF(OR(CommitmentsTable[[#This Row],[Commitment / deliverable]]="",CommitmentsTable[[#This Row],[Immutable Key]]=""),"",SUBSTITUTE(CommitmentsTable[[#This Row],[Immutable Key]],"-K-","-"))</f>
        <v/>
      </c>
      <c r="B149" s="233"/>
      <c r="C149" s="233"/>
      <c r="D149" s="213"/>
      <c r="E149" s="230"/>
      <c r="F149" s="213"/>
      <c r="G149" s="245" t="str">
        <f ca="1">IF(CommitmentsTable[[#This Row],[Commitment / deliverable]]="","",IF(CommitmentsTable[[#This Row],[Date record entered]]="",TODAY(),CommitmentsTable[[#This Row],[Date record entered]]))</f>
        <v/>
      </c>
      <c r="H149" s="245"/>
      <c r="I149" s="245" t="str">
        <f ca="1">IF(CommitmentsTable[[#This Row],[Date Assigned if different from entry date]]&lt;&gt;"",CommitmentsTable[[#This Row],[Date Assigned if different from entry date]]+90,IF(CommitmentsTable[[#This Row],[Date record entered]]&lt;&gt;"",CommitmentsTable[[#This Row],[Date record entered]]+90,""))</f>
        <v/>
      </c>
      <c r="J149" s="245" t="str">
        <f ca="1">IF(CommitmentsTable[[#This Row],[Date Assigned if different from entry date]]&lt;&gt;"",CommitmentsTable[[#This Row],[Date Assigned if different from entry date]]+30,IF(CommitmentsTable[[#This Row],[Date record entered]]&lt;&gt;"",CommitmentsTable[[#This Row],[Date record entered]]+30,""))</f>
        <v/>
      </c>
      <c r="K149" s="245"/>
      <c r="L149" s="245" t="str">
        <f ca="1">IF(CommitmentsTable[[#This Row],[Date Assigned if different from entry date]]&lt;&gt;"",CommitmentsTable[[#This Row],[Date Assigned if different from entry date]]+60,IF(CommitmentsTable[[#This Row],[Date record entered]]&lt;&gt;"",CommitmentsTable[[#This Row],[Date record entered]]+60,""))</f>
        <v/>
      </c>
      <c r="M149" s="214"/>
      <c r="N149" s="214"/>
      <c r="O149" s="236"/>
      <c r="P149" s="214"/>
      <c r="Q149" s="214"/>
      <c r="R149" s="214"/>
      <c r="S149" s="238" t="str">
        <f>IF(CommitmentsTable[[#This Row],[Commitment / deliverable]]="","",IF(CommitmentsTable[[#This Row],[Revised due]]&lt;&gt;"",CommitmentsTable[[#This Row],[Revised due]],CommitmentsTable[[#This Row],[Original due]]))</f>
        <v/>
      </c>
      <c r="T149" s="237" t="str">
        <f>IF(OR(CommitmentsTable[[#This Row],[Commitment / deliverable]]="",CommitmentsTable[[#This Row],[Owner]]=""),"",IF(CommitmentsTable[[#This Row],[Status2]]="","Open",CommitmentsTable[[#This Row],[Status2]]))</f>
        <v/>
      </c>
      <c r="U149" s="237" t="str">
        <f t="shared" ca="1" si="2"/>
        <v/>
      </c>
      <c r="V149" s="233"/>
      <c r="W149" s="63" t="s">
        <v>1116</v>
      </c>
    </row>
    <row r="150" spans="1:23" ht="26.15" customHeight="1">
      <c r="A150" s="213" t="str">
        <f>IF(OR(CommitmentsTable[[#This Row],[Commitment / deliverable]]="",CommitmentsTable[[#This Row],[Immutable Key]]=""),"",SUBSTITUTE(CommitmentsTable[[#This Row],[Immutable Key]],"-K-","-"))</f>
        <v/>
      </c>
      <c r="B150" s="233"/>
      <c r="C150" s="233"/>
      <c r="D150" s="213"/>
      <c r="E150" s="230"/>
      <c r="F150" s="213"/>
      <c r="G150" s="245" t="str">
        <f ca="1">IF(CommitmentsTable[[#This Row],[Commitment / deliverable]]="","",IF(CommitmentsTable[[#This Row],[Date record entered]]="",TODAY(),CommitmentsTable[[#This Row],[Date record entered]]))</f>
        <v/>
      </c>
      <c r="H150" s="245"/>
      <c r="I150" s="245" t="str">
        <f ca="1">IF(CommitmentsTable[[#This Row],[Date Assigned if different from entry date]]&lt;&gt;"",CommitmentsTable[[#This Row],[Date Assigned if different from entry date]]+90,IF(CommitmentsTable[[#This Row],[Date record entered]]&lt;&gt;"",CommitmentsTable[[#This Row],[Date record entered]]+90,""))</f>
        <v/>
      </c>
      <c r="J150" s="245" t="str">
        <f ca="1">IF(CommitmentsTable[[#This Row],[Date Assigned if different from entry date]]&lt;&gt;"",CommitmentsTable[[#This Row],[Date Assigned if different from entry date]]+30,IF(CommitmentsTable[[#This Row],[Date record entered]]&lt;&gt;"",CommitmentsTable[[#This Row],[Date record entered]]+30,""))</f>
        <v/>
      </c>
      <c r="K150" s="245"/>
      <c r="L150" s="245" t="str">
        <f ca="1">IF(CommitmentsTable[[#This Row],[Date Assigned if different from entry date]]&lt;&gt;"",CommitmentsTable[[#This Row],[Date Assigned if different from entry date]]+60,IF(CommitmentsTable[[#This Row],[Date record entered]]&lt;&gt;"",CommitmentsTable[[#This Row],[Date record entered]]+60,""))</f>
        <v/>
      </c>
      <c r="M150" s="214"/>
      <c r="N150" s="214"/>
      <c r="O150" s="236"/>
      <c r="P150" s="214"/>
      <c r="Q150" s="214"/>
      <c r="R150" s="214"/>
      <c r="S150" s="238" t="str">
        <f>IF(CommitmentsTable[[#This Row],[Commitment / deliverable]]="","",IF(CommitmentsTable[[#This Row],[Revised due]]&lt;&gt;"",CommitmentsTable[[#This Row],[Revised due]],CommitmentsTable[[#This Row],[Original due]]))</f>
        <v/>
      </c>
      <c r="T150" s="237" t="str">
        <f>IF(OR(CommitmentsTable[[#This Row],[Commitment / deliverable]]="",CommitmentsTable[[#This Row],[Owner]]=""),"",IF(CommitmentsTable[[#This Row],[Status2]]="","Open",CommitmentsTable[[#This Row],[Status2]]))</f>
        <v/>
      </c>
      <c r="U150" s="237" t="str">
        <f t="shared" ca="1" si="2"/>
        <v/>
      </c>
      <c r="V150" s="233"/>
      <c r="W150" s="63" t="s">
        <v>1117</v>
      </c>
    </row>
    <row r="151" spans="1:23" ht="26.15" customHeight="1">
      <c r="A151" s="213" t="str">
        <f>IF(OR(CommitmentsTable[[#This Row],[Commitment / deliverable]]="",CommitmentsTable[[#This Row],[Immutable Key]]=""),"",SUBSTITUTE(CommitmentsTable[[#This Row],[Immutable Key]],"-K-","-"))</f>
        <v/>
      </c>
      <c r="B151" s="233"/>
      <c r="C151" s="233"/>
      <c r="D151" s="213"/>
      <c r="E151" s="230"/>
      <c r="F151" s="213"/>
      <c r="G151" s="245" t="str">
        <f ca="1">IF(CommitmentsTable[[#This Row],[Commitment / deliverable]]="","",IF(CommitmentsTable[[#This Row],[Date record entered]]="",TODAY(),CommitmentsTable[[#This Row],[Date record entered]]))</f>
        <v/>
      </c>
      <c r="H151" s="245"/>
      <c r="I151" s="245" t="str">
        <f ca="1">IF(CommitmentsTable[[#This Row],[Date Assigned if different from entry date]]&lt;&gt;"",CommitmentsTable[[#This Row],[Date Assigned if different from entry date]]+90,IF(CommitmentsTable[[#This Row],[Date record entered]]&lt;&gt;"",CommitmentsTable[[#This Row],[Date record entered]]+90,""))</f>
        <v/>
      </c>
      <c r="J151" s="245" t="str">
        <f ca="1">IF(CommitmentsTable[[#This Row],[Date Assigned if different from entry date]]&lt;&gt;"",CommitmentsTable[[#This Row],[Date Assigned if different from entry date]]+30,IF(CommitmentsTable[[#This Row],[Date record entered]]&lt;&gt;"",CommitmentsTable[[#This Row],[Date record entered]]+30,""))</f>
        <v/>
      </c>
      <c r="K151" s="245"/>
      <c r="L151" s="245" t="str">
        <f ca="1">IF(CommitmentsTable[[#This Row],[Date Assigned if different from entry date]]&lt;&gt;"",CommitmentsTable[[#This Row],[Date Assigned if different from entry date]]+60,IF(CommitmentsTable[[#This Row],[Date record entered]]&lt;&gt;"",CommitmentsTable[[#This Row],[Date record entered]]+60,""))</f>
        <v/>
      </c>
      <c r="M151" s="214"/>
      <c r="N151" s="214"/>
      <c r="O151" s="236"/>
      <c r="P151" s="214"/>
      <c r="Q151" s="214"/>
      <c r="R151" s="214"/>
      <c r="S151" s="238" t="str">
        <f>IF(CommitmentsTable[[#This Row],[Commitment / deliverable]]="","",IF(CommitmentsTable[[#This Row],[Revised due]]&lt;&gt;"",CommitmentsTable[[#This Row],[Revised due]],CommitmentsTable[[#This Row],[Original due]]))</f>
        <v/>
      </c>
      <c r="T151" s="237" t="str">
        <f>IF(OR(CommitmentsTable[[#This Row],[Commitment / deliverable]]="",CommitmentsTable[[#This Row],[Owner]]=""),"",IF(CommitmentsTable[[#This Row],[Status2]]="","Open",CommitmentsTable[[#This Row],[Status2]]))</f>
        <v/>
      </c>
      <c r="U151" s="237" t="str">
        <f t="shared" ca="1" si="2"/>
        <v/>
      </c>
      <c r="V151" s="233"/>
      <c r="W151" s="63" t="s">
        <v>1118</v>
      </c>
    </row>
    <row r="152" spans="1:23" ht="26.15" customHeight="1">
      <c r="A152" s="213" t="str">
        <f>IF(OR(CommitmentsTable[[#This Row],[Commitment / deliverable]]="",CommitmentsTable[[#This Row],[Immutable Key]]=""),"",SUBSTITUTE(CommitmentsTable[[#This Row],[Immutable Key]],"-K-","-"))</f>
        <v/>
      </c>
      <c r="B152" s="233"/>
      <c r="C152" s="233"/>
      <c r="D152" s="213"/>
      <c r="E152" s="230"/>
      <c r="F152" s="213"/>
      <c r="G152" s="245" t="str">
        <f ca="1">IF(CommitmentsTable[[#This Row],[Commitment / deliverable]]="","",IF(CommitmentsTable[[#This Row],[Date record entered]]="",TODAY(),CommitmentsTable[[#This Row],[Date record entered]]))</f>
        <v/>
      </c>
      <c r="H152" s="245"/>
      <c r="I152" s="245" t="str">
        <f ca="1">IF(CommitmentsTable[[#This Row],[Date Assigned if different from entry date]]&lt;&gt;"",CommitmentsTable[[#This Row],[Date Assigned if different from entry date]]+90,IF(CommitmentsTable[[#This Row],[Date record entered]]&lt;&gt;"",CommitmentsTable[[#This Row],[Date record entered]]+90,""))</f>
        <v/>
      </c>
      <c r="J152" s="245" t="str">
        <f ca="1">IF(CommitmentsTable[[#This Row],[Date Assigned if different from entry date]]&lt;&gt;"",CommitmentsTable[[#This Row],[Date Assigned if different from entry date]]+30,IF(CommitmentsTable[[#This Row],[Date record entered]]&lt;&gt;"",CommitmentsTable[[#This Row],[Date record entered]]+30,""))</f>
        <v/>
      </c>
      <c r="K152" s="245"/>
      <c r="L152" s="245" t="str">
        <f ca="1">IF(CommitmentsTable[[#This Row],[Date Assigned if different from entry date]]&lt;&gt;"",CommitmentsTable[[#This Row],[Date Assigned if different from entry date]]+60,IF(CommitmentsTable[[#This Row],[Date record entered]]&lt;&gt;"",CommitmentsTable[[#This Row],[Date record entered]]+60,""))</f>
        <v/>
      </c>
      <c r="M152" s="214"/>
      <c r="N152" s="214"/>
      <c r="O152" s="236"/>
      <c r="P152" s="214"/>
      <c r="Q152" s="214"/>
      <c r="R152" s="214"/>
      <c r="S152" s="238" t="str">
        <f>IF(CommitmentsTable[[#This Row],[Commitment / deliverable]]="","",IF(CommitmentsTable[[#This Row],[Revised due]]&lt;&gt;"",CommitmentsTable[[#This Row],[Revised due]],CommitmentsTable[[#This Row],[Original due]]))</f>
        <v/>
      </c>
      <c r="T152" s="237" t="str">
        <f>IF(OR(CommitmentsTable[[#This Row],[Commitment / deliverable]]="",CommitmentsTable[[#This Row],[Owner]]=""),"",IF(CommitmentsTable[[#This Row],[Status2]]="","Open",CommitmentsTable[[#This Row],[Status2]]))</f>
        <v/>
      </c>
      <c r="U152" s="237" t="str">
        <f t="shared" ca="1" si="2"/>
        <v/>
      </c>
      <c r="V152" s="233"/>
      <c r="W152" s="63" t="s">
        <v>1119</v>
      </c>
    </row>
    <row r="153" spans="1:23" ht="26.15" customHeight="1">
      <c r="A153" s="213" t="str">
        <f>IF(OR(CommitmentsTable[[#This Row],[Commitment / deliverable]]="",CommitmentsTable[[#This Row],[Immutable Key]]=""),"",SUBSTITUTE(CommitmentsTable[[#This Row],[Immutable Key]],"-K-","-"))</f>
        <v/>
      </c>
      <c r="B153" s="233"/>
      <c r="C153" s="233"/>
      <c r="D153" s="213"/>
      <c r="E153" s="230"/>
      <c r="F153" s="213"/>
      <c r="G153" s="245" t="str">
        <f ca="1">IF(CommitmentsTable[[#This Row],[Commitment / deliverable]]="","",IF(CommitmentsTable[[#This Row],[Date record entered]]="",TODAY(),CommitmentsTable[[#This Row],[Date record entered]]))</f>
        <v/>
      </c>
      <c r="H153" s="245"/>
      <c r="I153" s="245" t="str">
        <f ca="1">IF(CommitmentsTable[[#This Row],[Date Assigned if different from entry date]]&lt;&gt;"",CommitmentsTable[[#This Row],[Date Assigned if different from entry date]]+90,IF(CommitmentsTable[[#This Row],[Date record entered]]&lt;&gt;"",CommitmentsTable[[#This Row],[Date record entered]]+90,""))</f>
        <v/>
      </c>
      <c r="J153" s="245" t="str">
        <f ca="1">IF(CommitmentsTable[[#This Row],[Date Assigned if different from entry date]]&lt;&gt;"",CommitmentsTable[[#This Row],[Date Assigned if different from entry date]]+30,IF(CommitmentsTable[[#This Row],[Date record entered]]&lt;&gt;"",CommitmentsTable[[#This Row],[Date record entered]]+30,""))</f>
        <v/>
      </c>
      <c r="K153" s="245"/>
      <c r="L153" s="245" t="str">
        <f ca="1">IF(CommitmentsTable[[#This Row],[Date Assigned if different from entry date]]&lt;&gt;"",CommitmentsTable[[#This Row],[Date Assigned if different from entry date]]+60,IF(CommitmentsTable[[#This Row],[Date record entered]]&lt;&gt;"",CommitmentsTable[[#This Row],[Date record entered]]+60,""))</f>
        <v/>
      </c>
      <c r="M153" s="214"/>
      <c r="N153" s="214"/>
      <c r="O153" s="236"/>
      <c r="P153" s="214"/>
      <c r="Q153" s="214"/>
      <c r="R153" s="214"/>
      <c r="S153" s="238" t="str">
        <f>IF(CommitmentsTable[[#This Row],[Commitment / deliverable]]="","",IF(CommitmentsTable[[#This Row],[Revised due]]&lt;&gt;"",CommitmentsTable[[#This Row],[Revised due]],CommitmentsTable[[#This Row],[Original due]]))</f>
        <v/>
      </c>
      <c r="T153" s="237" t="str">
        <f>IF(OR(CommitmentsTable[[#This Row],[Commitment / deliverable]]="",CommitmentsTable[[#This Row],[Owner]]=""),"",IF(CommitmentsTable[[#This Row],[Status2]]="","Open",CommitmentsTable[[#This Row],[Status2]]))</f>
        <v/>
      </c>
      <c r="U153" s="237" t="str">
        <f t="shared" ca="1" si="2"/>
        <v/>
      </c>
      <c r="V153" s="233"/>
      <c r="W153" s="63" t="s">
        <v>1120</v>
      </c>
    </row>
    <row r="154" spans="1:23" ht="26.15" customHeight="1">
      <c r="A154" s="213" t="str">
        <f>IF(OR(CommitmentsTable[[#This Row],[Commitment / deliverable]]="",CommitmentsTable[[#This Row],[Immutable Key]]=""),"",SUBSTITUTE(CommitmentsTable[[#This Row],[Immutable Key]],"-K-","-"))</f>
        <v/>
      </c>
      <c r="B154" s="233"/>
      <c r="C154" s="233"/>
      <c r="D154" s="213"/>
      <c r="E154" s="230"/>
      <c r="F154" s="213"/>
      <c r="G154" s="245" t="str">
        <f ca="1">IF(CommitmentsTable[[#This Row],[Commitment / deliverable]]="","",IF(CommitmentsTable[[#This Row],[Date record entered]]="",TODAY(),CommitmentsTable[[#This Row],[Date record entered]]))</f>
        <v/>
      </c>
      <c r="H154" s="245"/>
      <c r="I154" s="245" t="str">
        <f ca="1">IF(CommitmentsTable[[#This Row],[Date Assigned if different from entry date]]&lt;&gt;"",CommitmentsTable[[#This Row],[Date Assigned if different from entry date]]+90,IF(CommitmentsTable[[#This Row],[Date record entered]]&lt;&gt;"",CommitmentsTable[[#This Row],[Date record entered]]+90,""))</f>
        <v/>
      </c>
      <c r="J154" s="245" t="str">
        <f ca="1">IF(CommitmentsTable[[#This Row],[Date Assigned if different from entry date]]&lt;&gt;"",CommitmentsTable[[#This Row],[Date Assigned if different from entry date]]+30,IF(CommitmentsTable[[#This Row],[Date record entered]]&lt;&gt;"",CommitmentsTable[[#This Row],[Date record entered]]+30,""))</f>
        <v/>
      </c>
      <c r="K154" s="245"/>
      <c r="L154" s="245" t="str">
        <f ca="1">IF(CommitmentsTable[[#This Row],[Date Assigned if different from entry date]]&lt;&gt;"",CommitmentsTable[[#This Row],[Date Assigned if different from entry date]]+60,IF(CommitmentsTable[[#This Row],[Date record entered]]&lt;&gt;"",CommitmentsTable[[#This Row],[Date record entered]]+60,""))</f>
        <v/>
      </c>
      <c r="M154" s="214"/>
      <c r="N154" s="214"/>
      <c r="O154" s="236"/>
      <c r="P154" s="214"/>
      <c r="Q154" s="214"/>
      <c r="R154" s="214"/>
      <c r="S154" s="238" t="str">
        <f>IF(CommitmentsTable[[#This Row],[Commitment / deliverable]]="","",IF(CommitmentsTable[[#This Row],[Revised due]]&lt;&gt;"",CommitmentsTable[[#This Row],[Revised due]],CommitmentsTable[[#This Row],[Original due]]))</f>
        <v/>
      </c>
      <c r="T154" s="237" t="str">
        <f>IF(OR(CommitmentsTable[[#This Row],[Commitment / deliverable]]="",CommitmentsTable[[#This Row],[Owner]]=""),"",IF(CommitmentsTable[[#This Row],[Status2]]="","Open",CommitmentsTable[[#This Row],[Status2]]))</f>
        <v/>
      </c>
      <c r="U154" s="237" t="str">
        <f t="shared" ca="1" si="2"/>
        <v/>
      </c>
      <c r="V154" s="233"/>
      <c r="W154" s="63" t="s">
        <v>1121</v>
      </c>
    </row>
    <row r="155" spans="1:23" ht="26.15" customHeight="1">
      <c r="A155" s="213" t="str">
        <f>IF(OR(CommitmentsTable[[#This Row],[Commitment / deliverable]]="",CommitmentsTable[[#This Row],[Immutable Key]]=""),"",SUBSTITUTE(CommitmentsTable[[#This Row],[Immutable Key]],"-K-","-"))</f>
        <v/>
      </c>
      <c r="B155" s="233"/>
      <c r="C155" s="233"/>
      <c r="D155" s="213"/>
      <c r="E155" s="230"/>
      <c r="F155" s="213"/>
      <c r="G155" s="245" t="str">
        <f ca="1">IF(CommitmentsTable[[#This Row],[Commitment / deliverable]]="","",IF(CommitmentsTable[[#This Row],[Date record entered]]="",TODAY(),CommitmentsTable[[#This Row],[Date record entered]]))</f>
        <v/>
      </c>
      <c r="H155" s="245"/>
      <c r="I155" s="245" t="str">
        <f ca="1">IF(CommitmentsTable[[#This Row],[Date Assigned if different from entry date]]&lt;&gt;"",CommitmentsTable[[#This Row],[Date Assigned if different from entry date]]+90,IF(CommitmentsTable[[#This Row],[Date record entered]]&lt;&gt;"",CommitmentsTable[[#This Row],[Date record entered]]+90,""))</f>
        <v/>
      </c>
      <c r="J155" s="245" t="str">
        <f ca="1">IF(CommitmentsTable[[#This Row],[Date Assigned if different from entry date]]&lt;&gt;"",CommitmentsTable[[#This Row],[Date Assigned if different from entry date]]+30,IF(CommitmentsTable[[#This Row],[Date record entered]]&lt;&gt;"",CommitmentsTable[[#This Row],[Date record entered]]+30,""))</f>
        <v/>
      </c>
      <c r="K155" s="245"/>
      <c r="L155" s="245" t="str">
        <f ca="1">IF(CommitmentsTable[[#This Row],[Date Assigned if different from entry date]]&lt;&gt;"",CommitmentsTable[[#This Row],[Date Assigned if different from entry date]]+60,IF(CommitmentsTable[[#This Row],[Date record entered]]&lt;&gt;"",CommitmentsTable[[#This Row],[Date record entered]]+60,""))</f>
        <v/>
      </c>
      <c r="M155" s="214"/>
      <c r="N155" s="214"/>
      <c r="O155" s="236"/>
      <c r="P155" s="214"/>
      <c r="Q155" s="214"/>
      <c r="R155" s="214"/>
      <c r="S155" s="238" t="str">
        <f>IF(CommitmentsTable[[#This Row],[Commitment / deliverable]]="","",IF(CommitmentsTable[[#This Row],[Revised due]]&lt;&gt;"",CommitmentsTable[[#This Row],[Revised due]],CommitmentsTable[[#This Row],[Original due]]))</f>
        <v/>
      </c>
      <c r="T155" s="237" t="str">
        <f>IF(OR(CommitmentsTable[[#This Row],[Commitment / deliverable]]="",CommitmentsTable[[#This Row],[Owner]]=""),"",IF(CommitmentsTable[[#This Row],[Status2]]="","Open",CommitmentsTable[[#This Row],[Status2]]))</f>
        <v/>
      </c>
      <c r="U155" s="237" t="str">
        <f t="shared" ca="1" si="2"/>
        <v/>
      </c>
      <c r="V155" s="233"/>
      <c r="W155" s="63" t="s">
        <v>1122</v>
      </c>
    </row>
    <row r="156" spans="1:23" ht="26.15" customHeight="1">
      <c r="A156" s="213" t="str">
        <f>IF(OR(CommitmentsTable[[#This Row],[Commitment / deliverable]]="",CommitmentsTable[[#This Row],[Immutable Key]]=""),"",SUBSTITUTE(CommitmentsTable[[#This Row],[Immutable Key]],"-K-","-"))</f>
        <v/>
      </c>
      <c r="B156" s="233"/>
      <c r="C156" s="233"/>
      <c r="D156" s="213"/>
      <c r="E156" s="230"/>
      <c r="F156" s="213"/>
      <c r="G156" s="245" t="str">
        <f ca="1">IF(CommitmentsTable[[#This Row],[Commitment / deliverable]]="","",IF(CommitmentsTable[[#This Row],[Date record entered]]="",TODAY(),CommitmentsTable[[#This Row],[Date record entered]]))</f>
        <v/>
      </c>
      <c r="H156" s="245"/>
      <c r="I156" s="245" t="str">
        <f ca="1">IF(CommitmentsTable[[#This Row],[Date Assigned if different from entry date]]&lt;&gt;"",CommitmentsTable[[#This Row],[Date Assigned if different from entry date]]+90,IF(CommitmentsTable[[#This Row],[Date record entered]]&lt;&gt;"",CommitmentsTable[[#This Row],[Date record entered]]+90,""))</f>
        <v/>
      </c>
      <c r="J156" s="245" t="str">
        <f ca="1">IF(CommitmentsTable[[#This Row],[Date Assigned if different from entry date]]&lt;&gt;"",CommitmentsTable[[#This Row],[Date Assigned if different from entry date]]+30,IF(CommitmentsTable[[#This Row],[Date record entered]]&lt;&gt;"",CommitmentsTable[[#This Row],[Date record entered]]+30,""))</f>
        <v/>
      </c>
      <c r="K156" s="245"/>
      <c r="L156" s="245" t="str">
        <f ca="1">IF(CommitmentsTable[[#This Row],[Date Assigned if different from entry date]]&lt;&gt;"",CommitmentsTable[[#This Row],[Date Assigned if different from entry date]]+60,IF(CommitmentsTable[[#This Row],[Date record entered]]&lt;&gt;"",CommitmentsTable[[#This Row],[Date record entered]]+60,""))</f>
        <v/>
      </c>
      <c r="M156" s="214"/>
      <c r="N156" s="214"/>
      <c r="O156" s="236"/>
      <c r="P156" s="214"/>
      <c r="Q156" s="214"/>
      <c r="R156" s="214"/>
      <c r="S156" s="238" t="str">
        <f>IF(CommitmentsTable[[#This Row],[Commitment / deliverable]]="","",IF(CommitmentsTable[[#This Row],[Revised due]]&lt;&gt;"",CommitmentsTable[[#This Row],[Revised due]],CommitmentsTable[[#This Row],[Original due]]))</f>
        <v/>
      </c>
      <c r="T156" s="237" t="str">
        <f>IF(OR(CommitmentsTable[[#This Row],[Commitment / deliverable]]="",CommitmentsTable[[#This Row],[Owner]]=""),"",IF(CommitmentsTable[[#This Row],[Status2]]="","Open",CommitmentsTable[[#This Row],[Status2]]))</f>
        <v/>
      </c>
      <c r="U156" s="237" t="str">
        <f t="shared" ca="1" si="2"/>
        <v/>
      </c>
      <c r="V156" s="233"/>
      <c r="W156" s="63" t="s">
        <v>1123</v>
      </c>
    </row>
    <row r="157" spans="1:23" ht="26.15" customHeight="1">
      <c r="A157" s="213" t="str">
        <f>IF(OR(CommitmentsTable[[#This Row],[Commitment / deliverable]]="",CommitmentsTable[[#This Row],[Immutable Key]]=""),"",SUBSTITUTE(CommitmentsTable[[#This Row],[Immutable Key]],"-K-","-"))</f>
        <v/>
      </c>
      <c r="B157" s="233"/>
      <c r="C157" s="233"/>
      <c r="D157" s="213"/>
      <c r="E157" s="230"/>
      <c r="F157" s="213"/>
      <c r="G157" s="245" t="str">
        <f ca="1">IF(CommitmentsTable[[#This Row],[Commitment / deliverable]]="","",IF(CommitmentsTable[[#This Row],[Date record entered]]="",TODAY(),CommitmentsTable[[#This Row],[Date record entered]]))</f>
        <v/>
      </c>
      <c r="H157" s="245"/>
      <c r="I157" s="245" t="str">
        <f ca="1">IF(CommitmentsTable[[#This Row],[Date Assigned if different from entry date]]&lt;&gt;"",CommitmentsTable[[#This Row],[Date Assigned if different from entry date]]+90,IF(CommitmentsTable[[#This Row],[Date record entered]]&lt;&gt;"",CommitmentsTable[[#This Row],[Date record entered]]+90,""))</f>
        <v/>
      </c>
      <c r="J157" s="245" t="str">
        <f ca="1">IF(CommitmentsTable[[#This Row],[Date Assigned if different from entry date]]&lt;&gt;"",CommitmentsTable[[#This Row],[Date Assigned if different from entry date]]+30,IF(CommitmentsTable[[#This Row],[Date record entered]]&lt;&gt;"",CommitmentsTable[[#This Row],[Date record entered]]+30,""))</f>
        <v/>
      </c>
      <c r="K157" s="245"/>
      <c r="L157" s="245" t="str">
        <f ca="1">IF(CommitmentsTable[[#This Row],[Date Assigned if different from entry date]]&lt;&gt;"",CommitmentsTable[[#This Row],[Date Assigned if different from entry date]]+60,IF(CommitmentsTable[[#This Row],[Date record entered]]&lt;&gt;"",CommitmentsTable[[#This Row],[Date record entered]]+60,""))</f>
        <v/>
      </c>
      <c r="M157" s="214"/>
      <c r="N157" s="214"/>
      <c r="O157" s="236"/>
      <c r="P157" s="214"/>
      <c r="Q157" s="214"/>
      <c r="R157" s="214"/>
      <c r="S157" s="238" t="str">
        <f>IF(CommitmentsTable[[#This Row],[Commitment / deliverable]]="","",IF(CommitmentsTable[[#This Row],[Revised due]]&lt;&gt;"",CommitmentsTable[[#This Row],[Revised due]],CommitmentsTable[[#This Row],[Original due]]))</f>
        <v/>
      </c>
      <c r="T157" s="237" t="str">
        <f>IF(OR(CommitmentsTable[[#This Row],[Commitment / deliverable]]="",CommitmentsTable[[#This Row],[Owner]]=""),"",IF(CommitmentsTable[[#This Row],[Status2]]="","Open",CommitmentsTable[[#This Row],[Status2]]))</f>
        <v/>
      </c>
      <c r="U157" s="237" t="str">
        <f t="shared" ca="1" si="2"/>
        <v/>
      </c>
      <c r="V157" s="233"/>
      <c r="W157" s="63" t="s">
        <v>1124</v>
      </c>
    </row>
    <row r="158" spans="1:23" ht="26.15" customHeight="1">
      <c r="A158" s="213" t="str">
        <f>IF(OR(CommitmentsTable[[#This Row],[Commitment / deliverable]]="",CommitmentsTable[[#This Row],[Immutable Key]]=""),"",SUBSTITUTE(CommitmentsTable[[#This Row],[Immutable Key]],"-K-","-"))</f>
        <v/>
      </c>
      <c r="B158" s="233"/>
      <c r="C158" s="233"/>
      <c r="D158" s="213"/>
      <c r="E158" s="230"/>
      <c r="F158" s="213"/>
      <c r="G158" s="245" t="str">
        <f ca="1">IF(CommitmentsTable[[#This Row],[Commitment / deliverable]]="","",IF(CommitmentsTable[[#This Row],[Date record entered]]="",TODAY(),CommitmentsTable[[#This Row],[Date record entered]]))</f>
        <v/>
      </c>
      <c r="H158" s="245"/>
      <c r="I158" s="245" t="str">
        <f ca="1">IF(CommitmentsTable[[#This Row],[Date Assigned if different from entry date]]&lt;&gt;"",CommitmentsTable[[#This Row],[Date Assigned if different from entry date]]+90,IF(CommitmentsTable[[#This Row],[Date record entered]]&lt;&gt;"",CommitmentsTable[[#This Row],[Date record entered]]+90,""))</f>
        <v/>
      </c>
      <c r="J158" s="245" t="str">
        <f ca="1">IF(CommitmentsTable[[#This Row],[Date Assigned if different from entry date]]&lt;&gt;"",CommitmentsTable[[#This Row],[Date Assigned if different from entry date]]+30,IF(CommitmentsTable[[#This Row],[Date record entered]]&lt;&gt;"",CommitmentsTable[[#This Row],[Date record entered]]+30,""))</f>
        <v/>
      </c>
      <c r="K158" s="245"/>
      <c r="L158" s="245" t="str">
        <f ca="1">IF(CommitmentsTable[[#This Row],[Date Assigned if different from entry date]]&lt;&gt;"",CommitmentsTable[[#This Row],[Date Assigned if different from entry date]]+60,IF(CommitmentsTable[[#This Row],[Date record entered]]&lt;&gt;"",CommitmentsTable[[#This Row],[Date record entered]]+60,""))</f>
        <v/>
      </c>
      <c r="M158" s="214"/>
      <c r="N158" s="214"/>
      <c r="O158" s="236"/>
      <c r="P158" s="214"/>
      <c r="Q158" s="214"/>
      <c r="R158" s="214"/>
      <c r="S158" s="238" t="str">
        <f>IF(CommitmentsTable[[#This Row],[Commitment / deliverable]]="","",IF(CommitmentsTable[[#This Row],[Revised due]]&lt;&gt;"",CommitmentsTable[[#This Row],[Revised due]],CommitmentsTable[[#This Row],[Original due]]))</f>
        <v/>
      </c>
      <c r="T158" s="237" t="str">
        <f>IF(OR(CommitmentsTable[[#This Row],[Commitment / deliverable]]="",CommitmentsTable[[#This Row],[Owner]]=""),"",IF(CommitmentsTable[[#This Row],[Status2]]="","Open",CommitmentsTable[[#This Row],[Status2]]))</f>
        <v/>
      </c>
      <c r="U158" s="237" t="str">
        <f t="shared" ca="1" si="2"/>
        <v/>
      </c>
      <c r="V158" s="233"/>
      <c r="W158" s="63" t="s">
        <v>1125</v>
      </c>
    </row>
    <row r="159" spans="1:23" ht="26.15" customHeight="1">
      <c r="A159" s="213" t="str">
        <f>IF(OR(CommitmentsTable[[#This Row],[Commitment / deliverable]]="",CommitmentsTable[[#This Row],[Immutable Key]]=""),"",SUBSTITUTE(CommitmentsTable[[#This Row],[Immutable Key]],"-K-","-"))</f>
        <v/>
      </c>
      <c r="B159" s="233"/>
      <c r="C159" s="233"/>
      <c r="D159" s="213"/>
      <c r="E159" s="230"/>
      <c r="F159" s="213"/>
      <c r="G159" s="245" t="str">
        <f ca="1">IF(CommitmentsTable[[#This Row],[Commitment / deliverable]]="","",IF(CommitmentsTable[[#This Row],[Date record entered]]="",TODAY(),CommitmentsTable[[#This Row],[Date record entered]]))</f>
        <v/>
      </c>
      <c r="H159" s="245"/>
      <c r="I159" s="245" t="str">
        <f ca="1">IF(CommitmentsTable[[#This Row],[Date Assigned if different from entry date]]&lt;&gt;"",CommitmentsTable[[#This Row],[Date Assigned if different from entry date]]+90,IF(CommitmentsTable[[#This Row],[Date record entered]]&lt;&gt;"",CommitmentsTable[[#This Row],[Date record entered]]+90,""))</f>
        <v/>
      </c>
      <c r="J159" s="245" t="str">
        <f ca="1">IF(CommitmentsTable[[#This Row],[Date Assigned if different from entry date]]&lt;&gt;"",CommitmentsTable[[#This Row],[Date Assigned if different from entry date]]+30,IF(CommitmentsTable[[#This Row],[Date record entered]]&lt;&gt;"",CommitmentsTable[[#This Row],[Date record entered]]+30,""))</f>
        <v/>
      </c>
      <c r="K159" s="245"/>
      <c r="L159" s="245" t="str">
        <f ca="1">IF(CommitmentsTable[[#This Row],[Date Assigned if different from entry date]]&lt;&gt;"",CommitmentsTable[[#This Row],[Date Assigned if different from entry date]]+60,IF(CommitmentsTable[[#This Row],[Date record entered]]&lt;&gt;"",CommitmentsTable[[#This Row],[Date record entered]]+60,""))</f>
        <v/>
      </c>
      <c r="M159" s="214"/>
      <c r="N159" s="214"/>
      <c r="O159" s="236"/>
      <c r="P159" s="214"/>
      <c r="Q159" s="214"/>
      <c r="R159" s="214"/>
      <c r="S159" s="238" t="str">
        <f>IF(CommitmentsTable[[#This Row],[Commitment / deliverable]]="","",IF(CommitmentsTable[[#This Row],[Revised due]]&lt;&gt;"",CommitmentsTable[[#This Row],[Revised due]],CommitmentsTable[[#This Row],[Original due]]))</f>
        <v/>
      </c>
      <c r="T159" s="237" t="str">
        <f>IF(OR(CommitmentsTable[[#This Row],[Commitment / deliverable]]="",CommitmentsTable[[#This Row],[Owner]]=""),"",IF(CommitmentsTable[[#This Row],[Status2]]="","Open",CommitmentsTable[[#This Row],[Status2]]))</f>
        <v/>
      </c>
      <c r="U159" s="237" t="str">
        <f t="shared" ca="1" si="2"/>
        <v/>
      </c>
      <c r="V159" s="233"/>
      <c r="W159" s="63" t="s">
        <v>1126</v>
      </c>
    </row>
    <row r="160" spans="1:23" ht="26.15" customHeight="1">
      <c r="A160" s="213" t="str">
        <f>IF(OR(CommitmentsTable[[#This Row],[Commitment / deliverable]]="",CommitmentsTable[[#This Row],[Immutable Key]]=""),"",SUBSTITUTE(CommitmentsTable[[#This Row],[Immutable Key]],"-K-","-"))</f>
        <v/>
      </c>
      <c r="B160" s="233"/>
      <c r="C160" s="233"/>
      <c r="D160" s="213"/>
      <c r="E160" s="230"/>
      <c r="F160" s="213"/>
      <c r="G160" s="245" t="str">
        <f ca="1">IF(CommitmentsTable[[#This Row],[Commitment / deliverable]]="","",IF(CommitmentsTable[[#This Row],[Date record entered]]="",TODAY(),CommitmentsTable[[#This Row],[Date record entered]]))</f>
        <v/>
      </c>
      <c r="H160" s="245"/>
      <c r="I160" s="245" t="str">
        <f ca="1">IF(CommitmentsTable[[#This Row],[Date Assigned if different from entry date]]&lt;&gt;"",CommitmentsTable[[#This Row],[Date Assigned if different from entry date]]+90,IF(CommitmentsTable[[#This Row],[Date record entered]]&lt;&gt;"",CommitmentsTable[[#This Row],[Date record entered]]+90,""))</f>
        <v/>
      </c>
      <c r="J160" s="245" t="str">
        <f ca="1">IF(CommitmentsTable[[#This Row],[Date Assigned if different from entry date]]&lt;&gt;"",CommitmentsTable[[#This Row],[Date Assigned if different from entry date]]+30,IF(CommitmentsTable[[#This Row],[Date record entered]]&lt;&gt;"",CommitmentsTable[[#This Row],[Date record entered]]+30,""))</f>
        <v/>
      </c>
      <c r="K160" s="245"/>
      <c r="L160" s="245" t="str">
        <f ca="1">IF(CommitmentsTable[[#This Row],[Date Assigned if different from entry date]]&lt;&gt;"",CommitmentsTable[[#This Row],[Date Assigned if different from entry date]]+60,IF(CommitmentsTable[[#This Row],[Date record entered]]&lt;&gt;"",CommitmentsTable[[#This Row],[Date record entered]]+60,""))</f>
        <v/>
      </c>
      <c r="M160" s="214"/>
      <c r="N160" s="214"/>
      <c r="O160" s="236"/>
      <c r="P160" s="214"/>
      <c r="Q160" s="214"/>
      <c r="R160" s="214"/>
      <c r="S160" s="238" t="str">
        <f>IF(CommitmentsTable[[#This Row],[Commitment / deliverable]]="","",IF(CommitmentsTable[[#This Row],[Revised due]]&lt;&gt;"",CommitmentsTable[[#This Row],[Revised due]],CommitmentsTable[[#This Row],[Original due]]))</f>
        <v/>
      </c>
      <c r="T160" s="237" t="str">
        <f>IF(OR(CommitmentsTable[[#This Row],[Commitment / deliverable]]="",CommitmentsTable[[#This Row],[Owner]]=""),"",IF(CommitmentsTable[[#This Row],[Status2]]="","Open",CommitmentsTable[[#This Row],[Status2]]))</f>
        <v/>
      </c>
      <c r="U160" s="237" t="str">
        <f t="shared" ca="1" si="2"/>
        <v/>
      </c>
      <c r="V160" s="233"/>
      <c r="W160" s="63" t="s">
        <v>1127</v>
      </c>
    </row>
    <row r="161" spans="1:23" ht="26.15" customHeight="1">
      <c r="A161" s="213" t="str">
        <f>IF(OR(CommitmentsTable[[#This Row],[Commitment / deliverable]]="",CommitmentsTable[[#This Row],[Immutable Key]]=""),"",SUBSTITUTE(CommitmentsTable[[#This Row],[Immutable Key]],"-K-","-"))</f>
        <v/>
      </c>
      <c r="B161" s="233"/>
      <c r="C161" s="233"/>
      <c r="D161" s="213"/>
      <c r="E161" s="230"/>
      <c r="F161" s="213"/>
      <c r="G161" s="245" t="str">
        <f ca="1">IF(CommitmentsTable[[#This Row],[Commitment / deliverable]]="","",IF(CommitmentsTable[[#This Row],[Date record entered]]="",TODAY(),CommitmentsTable[[#This Row],[Date record entered]]))</f>
        <v/>
      </c>
      <c r="H161" s="245"/>
      <c r="I161" s="245" t="str">
        <f ca="1">IF(CommitmentsTable[[#This Row],[Date Assigned if different from entry date]]&lt;&gt;"",CommitmentsTable[[#This Row],[Date Assigned if different from entry date]]+90,IF(CommitmentsTable[[#This Row],[Date record entered]]&lt;&gt;"",CommitmentsTable[[#This Row],[Date record entered]]+90,""))</f>
        <v/>
      </c>
      <c r="J161" s="245" t="str">
        <f ca="1">IF(CommitmentsTable[[#This Row],[Date Assigned if different from entry date]]&lt;&gt;"",CommitmentsTable[[#This Row],[Date Assigned if different from entry date]]+30,IF(CommitmentsTable[[#This Row],[Date record entered]]&lt;&gt;"",CommitmentsTable[[#This Row],[Date record entered]]+30,""))</f>
        <v/>
      </c>
      <c r="K161" s="245"/>
      <c r="L161" s="245" t="str">
        <f ca="1">IF(CommitmentsTable[[#This Row],[Date Assigned if different from entry date]]&lt;&gt;"",CommitmentsTable[[#This Row],[Date Assigned if different from entry date]]+60,IF(CommitmentsTable[[#This Row],[Date record entered]]&lt;&gt;"",CommitmentsTable[[#This Row],[Date record entered]]+60,""))</f>
        <v/>
      </c>
      <c r="M161" s="214"/>
      <c r="N161" s="214"/>
      <c r="O161" s="236"/>
      <c r="P161" s="214"/>
      <c r="Q161" s="214"/>
      <c r="R161" s="214"/>
      <c r="S161" s="238" t="str">
        <f>IF(CommitmentsTable[[#This Row],[Commitment / deliverable]]="","",IF(CommitmentsTable[[#This Row],[Revised due]]&lt;&gt;"",CommitmentsTable[[#This Row],[Revised due]],CommitmentsTable[[#This Row],[Original due]]))</f>
        <v/>
      </c>
      <c r="T161" s="237" t="str">
        <f>IF(OR(CommitmentsTable[[#This Row],[Commitment / deliverable]]="",CommitmentsTable[[#This Row],[Owner]]=""),"",IF(CommitmentsTable[[#This Row],[Status2]]="","Open",CommitmentsTable[[#This Row],[Status2]]))</f>
        <v/>
      </c>
      <c r="U161" s="237" t="str">
        <f t="shared" ca="1" si="2"/>
        <v/>
      </c>
      <c r="V161" s="233"/>
      <c r="W161" s="63" t="s">
        <v>1128</v>
      </c>
    </row>
    <row r="162" spans="1:23" ht="26.15" customHeight="1">
      <c r="A162" s="213" t="str">
        <f>IF(OR(CommitmentsTable[[#This Row],[Commitment / deliverable]]="",CommitmentsTable[[#This Row],[Immutable Key]]=""),"",SUBSTITUTE(CommitmentsTable[[#This Row],[Immutable Key]],"-K-","-"))</f>
        <v/>
      </c>
      <c r="B162" s="233"/>
      <c r="C162" s="233"/>
      <c r="D162" s="213"/>
      <c r="E162" s="230"/>
      <c r="F162" s="213"/>
      <c r="G162" s="245" t="str">
        <f ca="1">IF(CommitmentsTable[[#This Row],[Commitment / deliverable]]="","",IF(CommitmentsTable[[#This Row],[Date record entered]]="",TODAY(),CommitmentsTable[[#This Row],[Date record entered]]))</f>
        <v/>
      </c>
      <c r="H162" s="245"/>
      <c r="I162" s="245" t="str">
        <f ca="1">IF(CommitmentsTable[[#This Row],[Date Assigned if different from entry date]]&lt;&gt;"",CommitmentsTable[[#This Row],[Date Assigned if different from entry date]]+90,IF(CommitmentsTable[[#This Row],[Date record entered]]&lt;&gt;"",CommitmentsTable[[#This Row],[Date record entered]]+90,""))</f>
        <v/>
      </c>
      <c r="J162" s="245" t="str">
        <f ca="1">IF(CommitmentsTable[[#This Row],[Date Assigned if different from entry date]]&lt;&gt;"",CommitmentsTable[[#This Row],[Date Assigned if different from entry date]]+30,IF(CommitmentsTable[[#This Row],[Date record entered]]&lt;&gt;"",CommitmentsTable[[#This Row],[Date record entered]]+30,""))</f>
        <v/>
      </c>
      <c r="K162" s="245"/>
      <c r="L162" s="245" t="str">
        <f ca="1">IF(CommitmentsTable[[#This Row],[Date Assigned if different from entry date]]&lt;&gt;"",CommitmentsTable[[#This Row],[Date Assigned if different from entry date]]+60,IF(CommitmentsTable[[#This Row],[Date record entered]]&lt;&gt;"",CommitmentsTable[[#This Row],[Date record entered]]+60,""))</f>
        <v/>
      </c>
      <c r="M162" s="214"/>
      <c r="N162" s="214"/>
      <c r="O162" s="236"/>
      <c r="P162" s="214"/>
      <c r="Q162" s="214"/>
      <c r="R162" s="214"/>
      <c r="S162" s="238" t="str">
        <f>IF(CommitmentsTable[[#This Row],[Commitment / deliverable]]="","",IF(CommitmentsTable[[#This Row],[Revised due]]&lt;&gt;"",CommitmentsTable[[#This Row],[Revised due]],CommitmentsTable[[#This Row],[Original due]]))</f>
        <v/>
      </c>
      <c r="T162" s="237" t="str">
        <f>IF(OR(CommitmentsTable[[#This Row],[Commitment / deliverable]]="",CommitmentsTable[[#This Row],[Owner]]=""),"",IF(CommitmentsTable[[#This Row],[Status2]]="","Open",CommitmentsTable[[#This Row],[Status2]]))</f>
        <v/>
      </c>
      <c r="U162" s="237" t="str">
        <f t="shared" ca="1" si="2"/>
        <v/>
      </c>
      <c r="V162" s="233"/>
      <c r="W162" s="63" t="s">
        <v>1129</v>
      </c>
    </row>
    <row r="163" spans="1:23" ht="26.15" customHeight="1">
      <c r="A163" s="213" t="str">
        <f>IF(OR(CommitmentsTable[[#This Row],[Commitment / deliverable]]="",CommitmentsTable[[#This Row],[Immutable Key]]=""),"",SUBSTITUTE(CommitmentsTable[[#This Row],[Immutable Key]],"-K-","-"))</f>
        <v/>
      </c>
      <c r="B163" s="233"/>
      <c r="C163" s="233"/>
      <c r="D163" s="213"/>
      <c r="E163" s="230"/>
      <c r="F163" s="213"/>
      <c r="G163" s="245" t="str">
        <f ca="1">IF(CommitmentsTable[[#This Row],[Commitment / deliverable]]="","",IF(CommitmentsTable[[#This Row],[Date record entered]]="",TODAY(),CommitmentsTable[[#This Row],[Date record entered]]))</f>
        <v/>
      </c>
      <c r="H163" s="245"/>
      <c r="I163" s="245" t="str">
        <f ca="1">IF(CommitmentsTable[[#This Row],[Date Assigned if different from entry date]]&lt;&gt;"",CommitmentsTable[[#This Row],[Date Assigned if different from entry date]]+90,IF(CommitmentsTable[[#This Row],[Date record entered]]&lt;&gt;"",CommitmentsTable[[#This Row],[Date record entered]]+90,""))</f>
        <v/>
      </c>
      <c r="J163" s="245" t="str">
        <f ca="1">IF(CommitmentsTable[[#This Row],[Date Assigned if different from entry date]]&lt;&gt;"",CommitmentsTable[[#This Row],[Date Assigned if different from entry date]]+30,IF(CommitmentsTable[[#This Row],[Date record entered]]&lt;&gt;"",CommitmentsTable[[#This Row],[Date record entered]]+30,""))</f>
        <v/>
      </c>
      <c r="K163" s="245"/>
      <c r="L163" s="245" t="str">
        <f ca="1">IF(CommitmentsTable[[#This Row],[Date Assigned if different from entry date]]&lt;&gt;"",CommitmentsTable[[#This Row],[Date Assigned if different from entry date]]+60,IF(CommitmentsTable[[#This Row],[Date record entered]]&lt;&gt;"",CommitmentsTable[[#This Row],[Date record entered]]+60,""))</f>
        <v/>
      </c>
      <c r="M163" s="214"/>
      <c r="N163" s="214"/>
      <c r="O163" s="236"/>
      <c r="P163" s="214"/>
      <c r="Q163" s="214"/>
      <c r="R163" s="214"/>
      <c r="S163" s="238" t="str">
        <f>IF(CommitmentsTable[[#This Row],[Commitment / deliverable]]="","",IF(CommitmentsTable[[#This Row],[Revised due]]&lt;&gt;"",CommitmentsTable[[#This Row],[Revised due]],CommitmentsTable[[#This Row],[Original due]]))</f>
        <v/>
      </c>
      <c r="T163" s="237" t="str">
        <f>IF(OR(CommitmentsTable[[#This Row],[Commitment / deliverable]]="",CommitmentsTable[[#This Row],[Owner]]=""),"",IF(CommitmentsTable[[#This Row],[Status2]]="","Open",CommitmentsTable[[#This Row],[Status2]]))</f>
        <v/>
      </c>
      <c r="U163" s="237" t="str">
        <f t="shared" ca="1" si="2"/>
        <v/>
      </c>
      <c r="V163" s="233"/>
      <c r="W163" s="63" t="s">
        <v>1130</v>
      </c>
    </row>
    <row r="164" spans="1:23" ht="26.15" customHeight="1">
      <c r="A164" s="213" t="str">
        <f>IF(OR(CommitmentsTable[[#This Row],[Commitment / deliverable]]="",CommitmentsTable[[#This Row],[Immutable Key]]=""),"",SUBSTITUTE(CommitmentsTable[[#This Row],[Immutable Key]],"-K-","-"))</f>
        <v/>
      </c>
      <c r="B164" s="233"/>
      <c r="C164" s="233"/>
      <c r="D164" s="213"/>
      <c r="E164" s="230"/>
      <c r="F164" s="213"/>
      <c r="G164" s="245" t="str">
        <f ca="1">IF(CommitmentsTable[[#This Row],[Commitment / deliverable]]="","",IF(CommitmentsTable[[#This Row],[Date record entered]]="",TODAY(),CommitmentsTable[[#This Row],[Date record entered]]))</f>
        <v/>
      </c>
      <c r="H164" s="245"/>
      <c r="I164" s="245" t="str">
        <f ca="1">IF(CommitmentsTable[[#This Row],[Date Assigned if different from entry date]]&lt;&gt;"",CommitmentsTable[[#This Row],[Date Assigned if different from entry date]]+90,IF(CommitmentsTable[[#This Row],[Date record entered]]&lt;&gt;"",CommitmentsTable[[#This Row],[Date record entered]]+90,""))</f>
        <v/>
      </c>
      <c r="J164" s="245" t="str">
        <f ca="1">IF(CommitmentsTable[[#This Row],[Date Assigned if different from entry date]]&lt;&gt;"",CommitmentsTable[[#This Row],[Date Assigned if different from entry date]]+30,IF(CommitmentsTable[[#This Row],[Date record entered]]&lt;&gt;"",CommitmentsTable[[#This Row],[Date record entered]]+30,""))</f>
        <v/>
      </c>
      <c r="K164" s="245"/>
      <c r="L164" s="245" t="str">
        <f ca="1">IF(CommitmentsTable[[#This Row],[Date Assigned if different from entry date]]&lt;&gt;"",CommitmentsTable[[#This Row],[Date Assigned if different from entry date]]+60,IF(CommitmentsTable[[#This Row],[Date record entered]]&lt;&gt;"",CommitmentsTable[[#This Row],[Date record entered]]+60,""))</f>
        <v/>
      </c>
      <c r="M164" s="214"/>
      <c r="N164" s="214"/>
      <c r="O164" s="236"/>
      <c r="P164" s="214"/>
      <c r="Q164" s="214"/>
      <c r="R164" s="214"/>
      <c r="S164" s="238" t="str">
        <f>IF(CommitmentsTable[[#This Row],[Commitment / deliverable]]="","",IF(CommitmentsTable[[#This Row],[Revised due]]&lt;&gt;"",CommitmentsTable[[#This Row],[Revised due]],CommitmentsTable[[#This Row],[Original due]]))</f>
        <v/>
      </c>
      <c r="T164" s="237" t="str">
        <f>IF(OR(CommitmentsTable[[#This Row],[Commitment / deliverable]]="",CommitmentsTable[[#This Row],[Owner]]=""),"",IF(CommitmentsTable[[#This Row],[Status2]]="","Open",CommitmentsTable[[#This Row],[Status2]]))</f>
        <v/>
      </c>
      <c r="U164" s="237" t="str">
        <f t="shared" ca="1" si="2"/>
        <v/>
      </c>
      <c r="V164" s="233"/>
      <c r="W164" s="63" t="s">
        <v>1131</v>
      </c>
    </row>
    <row r="165" spans="1:23" ht="26.15" customHeight="1">
      <c r="A165" s="213" t="str">
        <f>IF(OR(CommitmentsTable[[#This Row],[Commitment / deliverable]]="",CommitmentsTable[[#This Row],[Immutable Key]]=""),"",SUBSTITUTE(CommitmentsTable[[#This Row],[Immutable Key]],"-K-","-"))</f>
        <v/>
      </c>
      <c r="B165" s="233"/>
      <c r="C165" s="233"/>
      <c r="D165" s="213"/>
      <c r="E165" s="230"/>
      <c r="F165" s="213"/>
      <c r="G165" s="245" t="str">
        <f ca="1">IF(CommitmentsTable[[#This Row],[Commitment / deliverable]]="","",IF(CommitmentsTable[[#This Row],[Date record entered]]="",TODAY(),CommitmentsTable[[#This Row],[Date record entered]]))</f>
        <v/>
      </c>
      <c r="H165" s="245"/>
      <c r="I165" s="245" t="str">
        <f ca="1">IF(CommitmentsTable[[#This Row],[Date Assigned if different from entry date]]&lt;&gt;"",CommitmentsTable[[#This Row],[Date Assigned if different from entry date]]+90,IF(CommitmentsTable[[#This Row],[Date record entered]]&lt;&gt;"",CommitmentsTable[[#This Row],[Date record entered]]+90,""))</f>
        <v/>
      </c>
      <c r="J165" s="245" t="str">
        <f ca="1">IF(CommitmentsTable[[#This Row],[Date Assigned if different from entry date]]&lt;&gt;"",CommitmentsTable[[#This Row],[Date Assigned if different from entry date]]+30,IF(CommitmentsTable[[#This Row],[Date record entered]]&lt;&gt;"",CommitmentsTable[[#This Row],[Date record entered]]+30,""))</f>
        <v/>
      </c>
      <c r="K165" s="245"/>
      <c r="L165" s="245" t="str">
        <f ca="1">IF(CommitmentsTable[[#This Row],[Date Assigned if different from entry date]]&lt;&gt;"",CommitmentsTable[[#This Row],[Date Assigned if different from entry date]]+60,IF(CommitmentsTable[[#This Row],[Date record entered]]&lt;&gt;"",CommitmentsTable[[#This Row],[Date record entered]]+60,""))</f>
        <v/>
      </c>
      <c r="M165" s="214"/>
      <c r="N165" s="214"/>
      <c r="O165" s="236"/>
      <c r="P165" s="214"/>
      <c r="Q165" s="214"/>
      <c r="R165" s="214"/>
      <c r="S165" s="238" t="str">
        <f>IF(CommitmentsTable[[#This Row],[Commitment / deliverable]]="","",IF(CommitmentsTable[[#This Row],[Revised due]]&lt;&gt;"",CommitmentsTable[[#This Row],[Revised due]],CommitmentsTable[[#This Row],[Original due]]))</f>
        <v/>
      </c>
      <c r="T165" s="237" t="str">
        <f>IF(OR(CommitmentsTable[[#This Row],[Commitment / deliverable]]="",CommitmentsTable[[#This Row],[Owner]]=""),"",IF(CommitmentsTable[[#This Row],[Status2]]="","Open",CommitmentsTable[[#This Row],[Status2]]))</f>
        <v/>
      </c>
      <c r="U165" s="237" t="str">
        <f t="shared" ca="1" si="2"/>
        <v/>
      </c>
      <c r="V165" s="233"/>
      <c r="W165" s="63" t="s">
        <v>1132</v>
      </c>
    </row>
    <row r="166" spans="1:23" ht="26.15" customHeight="1">
      <c r="A166" s="213" t="str">
        <f>IF(OR(CommitmentsTable[[#This Row],[Commitment / deliverable]]="",CommitmentsTable[[#This Row],[Immutable Key]]=""),"",SUBSTITUTE(CommitmentsTable[[#This Row],[Immutable Key]],"-K-","-"))</f>
        <v/>
      </c>
      <c r="B166" s="233"/>
      <c r="C166" s="233"/>
      <c r="D166" s="213"/>
      <c r="E166" s="230"/>
      <c r="F166" s="213"/>
      <c r="G166" s="245" t="str">
        <f ca="1">IF(CommitmentsTable[[#This Row],[Commitment / deliverable]]="","",IF(CommitmentsTable[[#This Row],[Date record entered]]="",TODAY(),CommitmentsTable[[#This Row],[Date record entered]]))</f>
        <v/>
      </c>
      <c r="H166" s="245"/>
      <c r="I166" s="245" t="str">
        <f ca="1">IF(CommitmentsTable[[#This Row],[Date Assigned if different from entry date]]&lt;&gt;"",CommitmentsTable[[#This Row],[Date Assigned if different from entry date]]+90,IF(CommitmentsTable[[#This Row],[Date record entered]]&lt;&gt;"",CommitmentsTable[[#This Row],[Date record entered]]+90,""))</f>
        <v/>
      </c>
      <c r="J166" s="245" t="str">
        <f ca="1">IF(CommitmentsTable[[#This Row],[Date Assigned if different from entry date]]&lt;&gt;"",CommitmentsTable[[#This Row],[Date Assigned if different from entry date]]+30,IF(CommitmentsTable[[#This Row],[Date record entered]]&lt;&gt;"",CommitmentsTable[[#This Row],[Date record entered]]+30,""))</f>
        <v/>
      </c>
      <c r="K166" s="245"/>
      <c r="L166" s="245" t="str">
        <f ca="1">IF(CommitmentsTable[[#This Row],[Date Assigned if different from entry date]]&lt;&gt;"",CommitmentsTable[[#This Row],[Date Assigned if different from entry date]]+60,IF(CommitmentsTable[[#This Row],[Date record entered]]&lt;&gt;"",CommitmentsTable[[#This Row],[Date record entered]]+60,""))</f>
        <v/>
      </c>
      <c r="M166" s="214"/>
      <c r="N166" s="214"/>
      <c r="O166" s="236"/>
      <c r="P166" s="214"/>
      <c r="Q166" s="214"/>
      <c r="R166" s="214"/>
      <c r="S166" s="238" t="str">
        <f>IF(CommitmentsTable[[#This Row],[Commitment / deliverable]]="","",IF(CommitmentsTable[[#This Row],[Revised due]]&lt;&gt;"",CommitmentsTable[[#This Row],[Revised due]],CommitmentsTable[[#This Row],[Original due]]))</f>
        <v/>
      </c>
      <c r="T166" s="237" t="str">
        <f>IF(OR(CommitmentsTable[[#This Row],[Commitment / deliverable]]="",CommitmentsTable[[#This Row],[Owner]]=""),"",IF(CommitmentsTable[[#This Row],[Status2]]="","Open",CommitmentsTable[[#This Row],[Status2]]))</f>
        <v/>
      </c>
      <c r="U166" s="237" t="str">
        <f t="shared" ca="1" si="2"/>
        <v/>
      </c>
      <c r="V166" s="233"/>
      <c r="W166" s="63" t="s">
        <v>1133</v>
      </c>
    </row>
    <row r="167" spans="1:23" ht="26.15" customHeight="1">
      <c r="A167" s="213" t="str">
        <f>IF(OR(CommitmentsTable[[#This Row],[Commitment / deliverable]]="",CommitmentsTable[[#This Row],[Immutable Key]]=""),"",SUBSTITUTE(CommitmentsTable[[#This Row],[Immutable Key]],"-K-","-"))</f>
        <v/>
      </c>
      <c r="B167" s="233"/>
      <c r="C167" s="233"/>
      <c r="D167" s="213"/>
      <c r="E167" s="230"/>
      <c r="F167" s="213"/>
      <c r="G167" s="245" t="str">
        <f ca="1">IF(CommitmentsTable[[#This Row],[Commitment / deliverable]]="","",IF(CommitmentsTable[[#This Row],[Date record entered]]="",TODAY(),CommitmentsTable[[#This Row],[Date record entered]]))</f>
        <v/>
      </c>
      <c r="H167" s="245"/>
      <c r="I167" s="245" t="str">
        <f ca="1">IF(CommitmentsTable[[#This Row],[Date Assigned if different from entry date]]&lt;&gt;"",CommitmentsTable[[#This Row],[Date Assigned if different from entry date]]+90,IF(CommitmentsTable[[#This Row],[Date record entered]]&lt;&gt;"",CommitmentsTable[[#This Row],[Date record entered]]+90,""))</f>
        <v/>
      </c>
      <c r="J167" s="245" t="str">
        <f ca="1">IF(CommitmentsTable[[#This Row],[Date Assigned if different from entry date]]&lt;&gt;"",CommitmentsTable[[#This Row],[Date Assigned if different from entry date]]+30,IF(CommitmentsTable[[#This Row],[Date record entered]]&lt;&gt;"",CommitmentsTable[[#This Row],[Date record entered]]+30,""))</f>
        <v/>
      </c>
      <c r="K167" s="245"/>
      <c r="L167" s="245" t="str">
        <f ca="1">IF(CommitmentsTable[[#This Row],[Date Assigned if different from entry date]]&lt;&gt;"",CommitmentsTable[[#This Row],[Date Assigned if different from entry date]]+60,IF(CommitmentsTable[[#This Row],[Date record entered]]&lt;&gt;"",CommitmentsTable[[#This Row],[Date record entered]]+60,""))</f>
        <v/>
      </c>
      <c r="M167" s="214"/>
      <c r="N167" s="214"/>
      <c r="O167" s="236"/>
      <c r="P167" s="214"/>
      <c r="Q167" s="214"/>
      <c r="R167" s="214"/>
      <c r="S167" s="238" t="str">
        <f>IF(CommitmentsTable[[#This Row],[Commitment / deliverable]]="","",IF(CommitmentsTable[[#This Row],[Revised due]]&lt;&gt;"",CommitmentsTable[[#This Row],[Revised due]],CommitmentsTable[[#This Row],[Original due]]))</f>
        <v/>
      </c>
      <c r="T167" s="237" t="str">
        <f>IF(OR(CommitmentsTable[[#This Row],[Commitment / deliverable]]="",CommitmentsTable[[#This Row],[Owner]]=""),"",IF(CommitmentsTable[[#This Row],[Status2]]="","Open",CommitmentsTable[[#This Row],[Status2]]))</f>
        <v/>
      </c>
      <c r="U167" s="237" t="str">
        <f t="shared" ca="1" si="2"/>
        <v/>
      </c>
      <c r="V167" s="233"/>
      <c r="W167" s="63" t="s">
        <v>1134</v>
      </c>
    </row>
    <row r="168" spans="1:23" ht="26.15" customHeight="1">
      <c r="A168" s="213" t="str">
        <f>IF(OR(CommitmentsTable[[#This Row],[Commitment / deliverable]]="",CommitmentsTable[[#This Row],[Immutable Key]]=""),"",SUBSTITUTE(CommitmentsTable[[#This Row],[Immutable Key]],"-K-","-"))</f>
        <v/>
      </c>
      <c r="B168" s="233"/>
      <c r="C168" s="233"/>
      <c r="D168" s="213"/>
      <c r="E168" s="230"/>
      <c r="F168" s="213"/>
      <c r="G168" s="245" t="str">
        <f ca="1">IF(CommitmentsTable[[#This Row],[Commitment / deliverable]]="","",IF(CommitmentsTable[[#This Row],[Date record entered]]="",TODAY(),CommitmentsTable[[#This Row],[Date record entered]]))</f>
        <v/>
      </c>
      <c r="H168" s="245"/>
      <c r="I168" s="245" t="str">
        <f ca="1">IF(CommitmentsTable[[#This Row],[Date Assigned if different from entry date]]&lt;&gt;"",CommitmentsTable[[#This Row],[Date Assigned if different from entry date]]+90,IF(CommitmentsTable[[#This Row],[Date record entered]]&lt;&gt;"",CommitmentsTable[[#This Row],[Date record entered]]+90,""))</f>
        <v/>
      </c>
      <c r="J168" s="245" t="str">
        <f ca="1">IF(CommitmentsTable[[#This Row],[Date Assigned if different from entry date]]&lt;&gt;"",CommitmentsTable[[#This Row],[Date Assigned if different from entry date]]+30,IF(CommitmentsTable[[#This Row],[Date record entered]]&lt;&gt;"",CommitmentsTable[[#This Row],[Date record entered]]+30,""))</f>
        <v/>
      </c>
      <c r="K168" s="245"/>
      <c r="L168" s="245" t="str">
        <f ca="1">IF(CommitmentsTable[[#This Row],[Date Assigned if different from entry date]]&lt;&gt;"",CommitmentsTable[[#This Row],[Date Assigned if different from entry date]]+60,IF(CommitmentsTable[[#This Row],[Date record entered]]&lt;&gt;"",CommitmentsTable[[#This Row],[Date record entered]]+60,""))</f>
        <v/>
      </c>
      <c r="M168" s="214"/>
      <c r="N168" s="214"/>
      <c r="O168" s="236"/>
      <c r="P168" s="214"/>
      <c r="Q168" s="214"/>
      <c r="R168" s="214"/>
      <c r="S168" s="238" t="str">
        <f>IF(CommitmentsTable[[#This Row],[Commitment / deliverable]]="","",IF(CommitmentsTable[[#This Row],[Revised due]]&lt;&gt;"",CommitmentsTable[[#This Row],[Revised due]],CommitmentsTable[[#This Row],[Original due]]))</f>
        <v/>
      </c>
      <c r="T168" s="237" t="str">
        <f>IF(OR(CommitmentsTable[[#This Row],[Commitment / deliverable]]="",CommitmentsTable[[#This Row],[Owner]]=""),"",IF(CommitmentsTable[[#This Row],[Status2]]="","Open",CommitmentsTable[[#This Row],[Status2]]))</f>
        <v/>
      </c>
      <c r="U168" s="237" t="str">
        <f t="shared" ca="1" si="2"/>
        <v/>
      </c>
      <c r="V168" s="233"/>
      <c r="W168" s="63" t="s">
        <v>1135</v>
      </c>
    </row>
    <row r="169" spans="1:23" ht="26.15" customHeight="1">
      <c r="A169" s="213" t="str">
        <f>IF(OR(CommitmentsTable[[#This Row],[Commitment / deliverable]]="",CommitmentsTable[[#This Row],[Immutable Key]]=""),"",SUBSTITUTE(CommitmentsTable[[#This Row],[Immutable Key]],"-K-","-"))</f>
        <v/>
      </c>
      <c r="B169" s="233"/>
      <c r="C169" s="233"/>
      <c r="D169" s="213"/>
      <c r="E169" s="230"/>
      <c r="F169" s="213"/>
      <c r="G169" s="245" t="str">
        <f ca="1">IF(CommitmentsTable[[#This Row],[Commitment / deliverable]]="","",IF(CommitmentsTable[[#This Row],[Date record entered]]="",TODAY(),CommitmentsTable[[#This Row],[Date record entered]]))</f>
        <v/>
      </c>
      <c r="H169" s="245"/>
      <c r="I169" s="245" t="str">
        <f ca="1">IF(CommitmentsTable[[#This Row],[Date Assigned if different from entry date]]&lt;&gt;"",CommitmentsTable[[#This Row],[Date Assigned if different from entry date]]+90,IF(CommitmentsTable[[#This Row],[Date record entered]]&lt;&gt;"",CommitmentsTable[[#This Row],[Date record entered]]+90,""))</f>
        <v/>
      </c>
      <c r="J169" s="245" t="str">
        <f ca="1">IF(CommitmentsTable[[#This Row],[Date Assigned if different from entry date]]&lt;&gt;"",CommitmentsTable[[#This Row],[Date Assigned if different from entry date]]+30,IF(CommitmentsTable[[#This Row],[Date record entered]]&lt;&gt;"",CommitmentsTable[[#This Row],[Date record entered]]+30,""))</f>
        <v/>
      </c>
      <c r="K169" s="245"/>
      <c r="L169" s="245" t="str">
        <f ca="1">IF(CommitmentsTable[[#This Row],[Date Assigned if different from entry date]]&lt;&gt;"",CommitmentsTable[[#This Row],[Date Assigned if different from entry date]]+60,IF(CommitmentsTable[[#This Row],[Date record entered]]&lt;&gt;"",CommitmentsTable[[#This Row],[Date record entered]]+60,""))</f>
        <v/>
      </c>
      <c r="M169" s="214"/>
      <c r="N169" s="214"/>
      <c r="O169" s="236"/>
      <c r="P169" s="214"/>
      <c r="Q169" s="214"/>
      <c r="R169" s="214"/>
      <c r="S169" s="238" t="str">
        <f>IF(CommitmentsTable[[#This Row],[Commitment / deliverable]]="","",IF(CommitmentsTable[[#This Row],[Revised due]]&lt;&gt;"",CommitmentsTable[[#This Row],[Revised due]],CommitmentsTable[[#This Row],[Original due]]))</f>
        <v/>
      </c>
      <c r="T169" s="237" t="str">
        <f>IF(OR(CommitmentsTable[[#This Row],[Commitment / deliverable]]="",CommitmentsTable[[#This Row],[Owner]]=""),"",IF(CommitmentsTable[[#This Row],[Status2]]="","Open",CommitmentsTable[[#This Row],[Status2]]))</f>
        <v/>
      </c>
      <c r="U169" s="237" t="str">
        <f t="shared" ca="1" si="2"/>
        <v/>
      </c>
      <c r="V169" s="233"/>
      <c r="W169" s="63" t="s">
        <v>1136</v>
      </c>
    </row>
    <row r="170" spans="1:23" ht="26.15" customHeight="1">
      <c r="A170" s="213" t="str">
        <f>IF(OR(CommitmentsTable[[#This Row],[Commitment / deliverable]]="",CommitmentsTable[[#This Row],[Immutable Key]]=""),"",SUBSTITUTE(CommitmentsTable[[#This Row],[Immutable Key]],"-K-","-"))</f>
        <v/>
      </c>
      <c r="B170" s="233"/>
      <c r="C170" s="233"/>
      <c r="D170" s="213"/>
      <c r="E170" s="230"/>
      <c r="F170" s="213"/>
      <c r="G170" s="245" t="str">
        <f ca="1">IF(CommitmentsTable[[#This Row],[Commitment / deliverable]]="","",IF(CommitmentsTable[[#This Row],[Date record entered]]="",TODAY(),CommitmentsTable[[#This Row],[Date record entered]]))</f>
        <v/>
      </c>
      <c r="H170" s="245"/>
      <c r="I170" s="245" t="str">
        <f ca="1">IF(CommitmentsTable[[#This Row],[Date Assigned if different from entry date]]&lt;&gt;"",CommitmentsTable[[#This Row],[Date Assigned if different from entry date]]+90,IF(CommitmentsTable[[#This Row],[Date record entered]]&lt;&gt;"",CommitmentsTable[[#This Row],[Date record entered]]+90,""))</f>
        <v/>
      </c>
      <c r="J170" s="245" t="str">
        <f ca="1">IF(CommitmentsTable[[#This Row],[Date Assigned if different from entry date]]&lt;&gt;"",CommitmentsTable[[#This Row],[Date Assigned if different from entry date]]+30,IF(CommitmentsTable[[#This Row],[Date record entered]]&lt;&gt;"",CommitmentsTable[[#This Row],[Date record entered]]+30,""))</f>
        <v/>
      </c>
      <c r="K170" s="245"/>
      <c r="L170" s="245" t="str">
        <f ca="1">IF(CommitmentsTable[[#This Row],[Date Assigned if different from entry date]]&lt;&gt;"",CommitmentsTable[[#This Row],[Date Assigned if different from entry date]]+60,IF(CommitmentsTable[[#This Row],[Date record entered]]&lt;&gt;"",CommitmentsTable[[#This Row],[Date record entered]]+60,""))</f>
        <v/>
      </c>
      <c r="M170" s="214"/>
      <c r="N170" s="214"/>
      <c r="O170" s="236"/>
      <c r="P170" s="214"/>
      <c r="Q170" s="214"/>
      <c r="R170" s="214"/>
      <c r="S170" s="238" t="str">
        <f>IF(CommitmentsTable[[#This Row],[Commitment / deliverable]]="","",IF(CommitmentsTable[[#This Row],[Revised due]]&lt;&gt;"",CommitmentsTable[[#This Row],[Revised due]],CommitmentsTable[[#This Row],[Original due]]))</f>
        <v/>
      </c>
      <c r="T170" s="237" t="str">
        <f>IF(OR(CommitmentsTable[[#This Row],[Commitment / deliverable]]="",CommitmentsTable[[#This Row],[Owner]]=""),"",IF(CommitmentsTable[[#This Row],[Status2]]="","Open",CommitmentsTable[[#This Row],[Status2]]))</f>
        <v/>
      </c>
      <c r="U170" s="237" t="str">
        <f t="shared" ca="1" si="2"/>
        <v/>
      </c>
      <c r="V170" s="233"/>
      <c r="W170" s="63" t="s">
        <v>1137</v>
      </c>
    </row>
    <row r="171" spans="1:23" ht="26.15" customHeight="1">
      <c r="A171" s="213" t="str">
        <f>IF(OR(CommitmentsTable[[#This Row],[Commitment / deliverable]]="",CommitmentsTable[[#This Row],[Immutable Key]]=""),"",SUBSTITUTE(CommitmentsTable[[#This Row],[Immutable Key]],"-K-","-"))</f>
        <v/>
      </c>
      <c r="B171" s="233"/>
      <c r="C171" s="233"/>
      <c r="D171" s="213"/>
      <c r="E171" s="230"/>
      <c r="F171" s="213"/>
      <c r="G171" s="245" t="str">
        <f ca="1">IF(CommitmentsTable[[#This Row],[Commitment / deliverable]]="","",IF(CommitmentsTable[[#This Row],[Date record entered]]="",TODAY(),CommitmentsTable[[#This Row],[Date record entered]]))</f>
        <v/>
      </c>
      <c r="H171" s="245"/>
      <c r="I171" s="245" t="str">
        <f ca="1">IF(CommitmentsTable[[#This Row],[Date Assigned if different from entry date]]&lt;&gt;"",CommitmentsTable[[#This Row],[Date Assigned if different from entry date]]+90,IF(CommitmentsTable[[#This Row],[Date record entered]]&lt;&gt;"",CommitmentsTable[[#This Row],[Date record entered]]+90,""))</f>
        <v/>
      </c>
      <c r="J171" s="245" t="str">
        <f ca="1">IF(CommitmentsTable[[#This Row],[Date Assigned if different from entry date]]&lt;&gt;"",CommitmentsTable[[#This Row],[Date Assigned if different from entry date]]+30,IF(CommitmentsTable[[#This Row],[Date record entered]]&lt;&gt;"",CommitmentsTable[[#This Row],[Date record entered]]+30,""))</f>
        <v/>
      </c>
      <c r="K171" s="245"/>
      <c r="L171" s="245" t="str">
        <f ca="1">IF(CommitmentsTable[[#This Row],[Date Assigned if different from entry date]]&lt;&gt;"",CommitmentsTable[[#This Row],[Date Assigned if different from entry date]]+60,IF(CommitmentsTable[[#This Row],[Date record entered]]&lt;&gt;"",CommitmentsTable[[#This Row],[Date record entered]]+60,""))</f>
        <v/>
      </c>
      <c r="M171" s="214"/>
      <c r="N171" s="214"/>
      <c r="O171" s="236"/>
      <c r="P171" s="214"/>
      <c r="Q171" s="214"/>
      <c r="R171" s="214"/>
      <c r="S171" s="238" t="str">
        <f>IF(CommitmentsTable[[#This Row],[Commitment / deliverable]]="","",IF(CommitmentsTable[[#This Row],[Revised due]]&lt;&gt;"",CommitmentsTable[[#This Row],[Revised due]],CommitmentsTable[[#This Row],[Original due]]))</f>
        <v/>
      </c>
      <c r="T171" s="237" t="str">
        <f>IF(OR(CommitmentsTable[[#This Row],[Commitment / deliverable]]="",CommitmentsTable[[#This Row],[Owner]]=""),"",IF(CommitmentsTable[[#This Row],[Status2]]="","Open",CommitmentsTable[[#This Row],[Status2]]))</f>
        <v/>
      </c>
      <c r="U171" s="237" t="str">
        <f t="shared" ca="1" si="2"/>
        <v/>
      </c>
      <c r="V171" s="233"/>
      <c r="W171" s="63" t="s">
        <v>1138</v>
      </c>
    </row>
    <row r="172" spans="1:23" ht="26.15" customHeight="1">
      <c r="A172" s="213" t="str">
        <f>IF(OR(CommitmentsTable[[#This Row],[Commitment / deliverable]]="",CommitmentsTable[[#This Row],[Immutable Key]]=""),"",SUBSTITUTE(CommitmentsTable[[#This Row],[Immutable Key]],"-K-","-"))</f>
        <v/>
      </c>
      <c r="B172" s="233"/>
      <c r="C172" s="233"/>
      <c r="D172" s="213"/>
      <c r="E172" s="230"/>
      <c r="F172" s="213"/>
      <c r="G172" s="245" t="str">
        <f ca="1">IF(CommitmentsTable[[#This Row],[Commitment / deliverable]]="","",IF(CommitmentsTable[[#This Row],[Date record entered]]="",TODAY(),CommitmentsTable[[#This Row],[Date record entered]]))</f>
        <v/>
      </c>
      <c r="H172" s="245"/>
      <c r="I172" s="245" t="str">
        <f ca="1">IF(CommitmentsTable[[#This Row],[Date Assigned if different from entry date]]&lt;&gt;"",CommitmentsTable[[#This Row],[Date Assigned if different from entry date]]+90,IF(CommitmentsTable[[#This Row],[Date record entered]]&lt;&gt;"",CommitmentsTable[[#This Row],[Date record entered]]+90,""))</f>
        <v/>
      </c>
      <c r="J172" s="245" t="str">
        <f ca="1">IF(CommitmentsTable[[#This Row],[Date Assigned if different from entry date]]&lt;&gt;"",CommitmentsTable[[#This Row],[Date Assigned if different from entry date]]+30,IF(CommitmentsTable[[#This Row],[Date record entered]]&lt;&gt;"",CommitmentsTable[[#This Row],[Date record entered]]+30,""))</f>
        <v/>
      </c>
      <c r="K172" s="245"/>
      <c r="L172" s="245" t="str">
        <f ca="1">IF(CommitmentsTable[[#This Row],[Date Assigned if different from entry date]]&lt;&gt;"",CommitmentsTable[[#This Row],[Date Assigned if different from entry date]]+60,IF(CommitmentsTable[[#This Row],[Date record entered]]&lt;&gt;"",CommitmentsTable[[#This Row],[Date record entered]]+60,""))</f>
        <v/>
      </c>
      <c r="M172" s="214"/>
      <c r="N172" s="214"/>
      <c r="O172" s="236"/>
      <c r="P172" s="214"/>
      <c r="Q172" s="214"/>
      <c r="R172" s="214"/>
      <c r="S172" s="238" t="str">
        <f>IF(CommitmentsTable[[#This Row],[Commitment / deliverable]]="","",IF(CommitmentsTable[[#This Row],[Revised due]]&lt;&gt;"",CommitmentsTable[[#This Row],[Revised due]],CommitmentsTable[[#This Row],[Original due]]))</f>
        <v/>
      </c>
      <c r="T172" s="237" t="str">
        <f>IF(OR(CommitmentsTable[[#This Row],[Commitment / deliverable]]="",CommitmentsTable[[#This Row],[Owner]]=""),"",IF(CommitmentsTable[[#This Row],[Status2]]="","Open",CommitmentsTable[[#This Row],[Status2]]))</f>
        <v/>
      </c>
      <c r="U172" s="237" t="str">
        <f t="shared" ca="1" si="2"/>
        <v/>
      </c>
      <c r="V172" s="233"/>
      <c r="W172" s="63" t="s">
        <v>1139</v>
      </c>
    </row>
    <row r="173" spans="1:23" ht="26.15" customHeight="1">
      <c r="A173" s="213" t="str">
        <f>IF(OR(CommitmentsTable[[#This Row],[Commitment / deliverable]]="",CommitmentsTable[[#This Row],[Immutable Key]]=""),"",SUBSTITUTE(CommitmentsTable[[#This Row],[Immutable Key]],"-K-","-"))</f>
        <v/>
      </c>
      <c r="B173" s="233"/>
      <c r="C173" s="233"/>
      <c r="D173" s="213"/>
      <c r="E173" s="230"/>
      <c r="F173" s="213"/>
      <c r="G173" s="245" t="str">
        <f ca="1">IF(CommitmentsTable[[#This Row],[Commitment / deliverable]]="","",IF(CommitmentsTable[[#This Row],[Date record entered]]="",TODAY(),CommitmentsTable[[#This Row],[Date record entered]]))</f>
        <v/>
      </c>
      <c r="H173" s="245"/>
      <c r="I173" s="245" t="str">
        <f ca="1">IF(CommitmentsTable[[#This Row],[Date Assigned if different from entry date]]&lt;&gt;"",CommitmentsTable[[#This Row],[Date Assigned if different from entry date]]+90,IF(CommitmentsTable[[#This Row],[Date record entered]]&lt;&gt;"",CommitmentsTable[[#This Row],[Date record entered]]+90,""))</f>
        <v/>
      </c>
      <c r="J173" s="245" t="str">
        <f ca="1">IF(CommitmentsTable[[#This Row],[Date Assigned if different from entry date]]&lt;&gt;"",CommitmentsTable[[#This Row],[Date Assigned if different from entry date]]+30,IF(CommitmentsTable[[#This Row],[Date record entered]]&lt;&gt;"",CommitmentsTable[[#This Row],[Date record entered]]+30,""))</f>
        <v/>
      </c>
      <c r="K173" s="245"/>
      <c r="L173" s="245" t="str">
        <f ca="1">IF(CommitmentsTable[[#This Row],[Date Assigned if different from entry date]]&lt;&gt;"",CommitmentsTable[[#This Row],[Date Assigned if different from entry date]]+60,IF(CommitmentsTable[[#This Row],[Date record entered]]&lt;&gt;"",CommitmentsTable[[#This Row],[Date record entered]]+60,""))</f>
        <v/>
      </c>
      <c r="M173" s="214"/>
      <c r="N173" s="214"/>
      <c r="O173" s="236"/>
      <c r="P173" s="214"/>
      <c r="Q173" s="214"/>
      <c r="R173" s="214"/>
      <c r="S173" s="238" t="str">
        <f>IF(CommitmentsTable[[#This Row],[Commitment / deliverable]]="","",IF(CommitmentsTable[[#This Row],[Revised due]]&lt;&gt;"",CommitmentsTable[[#This Row],[Revised due]],CommitmentsTable[[#This Row],[Original due]]))</f>
        <v/>
      </c>
      <c r="T173" s="237" t="str">
        <f>IF(OR(CommitmentsTable[[#This Row],[Commitment / deliverable]]="",CommitmentsTable[[#This Row],[Owner]]=""),"",IF(CommitmentsTable[[#This Row],[Status2]]="","Open",CommitmentsTable[[#This Row],[Status2]]))</f>
        <v/>
      </c>
      <c r="U173" s="237" t="str">
        <f t="shared" ca="1" si="2"/>
        <v/>
      </c>
      <c r="V173" s="233"/>
      <c r="W173" s="63" t="s">
        <v>1140</v>
      </c>
    </row>
    <row r="174" spans="1:23" ht="26.15" customHeight="1">
      <c r="A174" s="213" t="str">
        <f>IF(OR(CommitmentsTable[[#This Row],[Commitment / deliverable]]="",CommitmentsTable[[#This Row],[Immutable Key]]=""),"",SUBSTITUTE(CommitmentsTable[[#This Row],[Immutable Key]],"-K-","-"))</f>
        <v/>
      </c>
      <c r="B174" s="233"/>
      <c r="C174" s="233"/>
      <c r="D174" s="213"/>
      <c r="E174" s="230"/>
      <c r="F174" s="213"/>
      <c r="G174" s="245" t="str">
        <f ca="1">IF(CommitmentsTable[[#This Row],[Commitment / deliverable]]="","",IF(CommitmentsTable[[#This Row],[Date record entered]]="",TODAY(),CommitmentsTable[[#This Row],[Date record entered]]))</f>
        <v/>
      </c>
      <c r="H174" s="245"/>
      <c r="I174" s="245" t="str">
        <f ca="1">IF(CommitmentsTable[[#This Row],[Date Assigned if different from entry date]]&lt;&gt;"",CommitmentsTable[[#This Row],[Date Assigned if different from entry date]]+90,IF(CommitmentsTable[[#This Row],[Date record entered]]&lt;&gt;"",CommitmentsTable[[#This Row],[Date record entered]]+90,""))</f>
        <v/>
      </c>
      <c r="J174" s="245" t="str">
        <f ca="1">IF(CommitmentsTable[[#This Row],[Date Assigned if different from entry date]]&lt;&gt;"",CommitmentsTable[[#This Row],[Date Assigned if different from entry date]]+30,IF(CommitmentsTable[[#This Row],[Date record entered]]&lt;&gt;"",CommitmentsTable[[#This Row],[Date record entered]]+30,""))</f>
        <v/>
      </c>
      <c r="K174" s="245"/>
      <c r="L174" s="245" t="str">
        <f ca="1">IF(CommitmentsTable[[#This Row],[Date Assigned if different from entry date]]&lt;&gt;"",CommitmentsTable[[#This Row],[Date Assigned if different from entry date]]+60,IF(CommitmentsTable[[#This Row],[Date record entered]]&lt;&gt;"",CommitmentsTable[[#This Row],[Date record entered]]+60,""))</f>
        <v/>
      </c>
      <c r="M174" s="214"/>
      <c r="N174" s="214"/>
      <c r="O174" s="236"/>
      <c r="P174" s="214"/>
      <c r="Q174" s="214"/>
      <c r="R174" s="214"/>
      <c r="S174" s="238" t="str">
        <f>IF(CommitmentsTable[[#This Row],[Commitment / deliverable]]="","",IF(CommitmentsTable[[#This Row],[Revised due]]&lt;&gt;"",CommitmentsTable[[#This Row],[Revised due]],CommitmentsTable[[#This Row],[Original due]]))</f>
        <v/>
      </c>
      <c r="T174" s="237" t="str">
        <f>IF(OR(CommitmentsTable[[#This Row],[Commitment / deliverable]]="",CommitmentsTable[[#This Row],[Owner]]=""),"",IF(CommitmentsTable[[#This Row],[Status2]]="","Open",CommitmentsTable[[#This Row],[Status2]]))</f>
        <v/>
      </c>
      <c r="U174" s="237" t="str">
        <f t="shared" ca="1" si="2"/>
        <v/>
      </c>
      <c r="V174" s="233"/>
      <c r="W174" s="63" t="s">
        <v>1141</v>
      </c>
    </row>
    <row r="175" spans="1:23" ht="26.15" customHeight="1">
      <c r="A175" s="213" t="str">
        <f>IF(OR(CommitmentsTable[[#This Row],[Commitment / deliverable]]="",CommitmentsTable[[#This Row],[Immutable Key]]=""),"",SUBSTITUTE(CommitmentsTable[[#This Row],[Immutable Key]],"-K-","-"))</f>
        <v/>
      </c>
      <c r="B175" s="233"/>
      <c r="C175" s="233"/>
      <c r="D175" s="213"/>
      <c r="E175" s="230"/>
      <c r="F175" s="213"/>
      <c r="G175" s="245" t="str">
        <f ca="1">IF(CommitmentsTable[[#This Row],[Commitment / deliverable]]="","",IF(CommitmentsTable[[#This Row],[Date record entered]]="",TODAY(),CommitmentsTable[[#This Row],[Date record entered]]))</f>
        <v/>
      </c>
      <c r="H175" s="245"/>
      <c r="I175" s="245" t="str">
        <f ca="1">IF(CommitmentsTable[[#This Row],[Date Assigned if different from entry date]]&lt;&gt;"",CommitmentsTable[[#This Row],[Date Assigned if different from entry date]]+90,IF(CommitmentsTable[[#This Row],[Date record entered]]&lt;&gt;"",CommitmentsTable[[#This Row],[Date record entered]]+90,""))</f>
        <v/>
      </c>
      <c r="J175" s="245" t="str">
        <f ca="1">IF(CommitmentsTable[[#This Row],[Date Assigned if different from entry date]]&lt;&gt;"",CommitmentsTable[[#This Row],[Date Assigned if different from entry date]]+30,IF(CommitmentsTable[[#This Row],[Date record entered]]&lt;&gt;"",CommitmentsTable[[#This Row],[Date record entered]]+30,""))</f>
        <v/>
      </c>
      <c r="K175" s="245"/>
      <c r="L175" s="245" t="str">
        <f ca="1">IF(CommitmentsTable[[#This Row],[Date Assigned if different from entry date]]&lt;&gt;"",CommitmentsTable[[#This Row],[Date Assigned if different from entry date]]+60,IF(CommitmentsTable[[#This Row],[Date record entered]]&lt;&gt;"",CommitmentsTable[[#This Row],[Date record entered]]+60,""))</f>
        <v/>
      </c>
      <c r="M175" s="214"/>
      <c r="N175" s="214"/>
      <c r="O175" s="236"/>
      <c r="P175" s="214"/>
      <c r="Q175" s="214"/>
      <c r="R175" s="214"/>
      <c r="S175" s="238" t="str">
        <f>IF(CommitmentsTable[[#This Row],[Commitment / deliverable]]="","",IF(CommitmentsTable[[#This Row],[Revised due]]&lt;&gt;"",CommitmentsTable[[#This Row],[Revised due]],CommitmentsTable[[#This Row],[Original due]]))</f>
        <v/>
      </c>
      <c r="T175" s="237" t="str">
        <f>IF(OR(CommitmentsTable[[#This Row],[Commitment / deliverable]]="",CommitmentsTable[[#This Row],[Owner]]=""),"",IF(CommitmentsTable[[#This Row],[Status2]]="","Open",CommitmentsTable[[#This Row],[Status2]]))</f>
        <v/>
      </c>
      <c r="U175" s="237" t="str">
        <f t="shared" ca="1" si="2"/>
        <v/>
      </c>
      <c r="V175" s="233"/>
      <c r="W175" s="63" t="s">
        <v>1142</v>
      </c>
    </row>
    <row r="176" spans="1:23" ht="26.15" customHeight="1">
      <c r="A176" s="213" t="str">
        <f>IF(OR(CommitmentsTable[[#This Row],[Commitment / deliverable]]="",CommitmentsTable[[#This Row],[Immutable Key]]=""),"",SUBSTITUTE(CommitmentsTable[[#This Row],[Immutable Key]],"-K-","-"))</f>
        <v/>
      </c>
      <c r="B176" s="233"/>
      <c r="C176" s="233"/>
      <c r="D176" s="213"/>
      <c r="E176" s="230"/>
      <c r="F176" s="213"/>
      <c r="G176" s="245" t="str">
        <f ca="1">IF(CommitmentsTable[[#This Row],[Commitment / deliverable]]="","",IF(CommitmentsTable[[#This Row],[Date record entered]]="",TODAY(),CommitmentsTable[[#This Row],[Date record entered]]))</f>
        <v/>
      </c>
      <c r="H176" s="245"/>
      <c r="I176" s="245" t="str">
        <f ca="1">IF(CommitmentsTable[[#This Row],[Date Assigned if different from entry date]]&lt;&gt;"",CommitmentsTable[[#This Row],[Date Assigned if different from entry date]]+90,IF(CommitmentsTable[[#This Row],[Date record entered]]&lt;&gt;"",CommitmentsTable[[#This Row],[Date record entered]]+90,""))</f>
        <v/>
      </c>
      <c r="J176" s="245" t="str">
        <f ca="1">IF(CommitmentsTable[[#This Row],[Date Assigned if different from entry date]]&lt;&gt;"",CommitmentsTable[[#This Row],[Date Assigned if different from entry date]]+30,IF(CommitmentsTable[[#This Row],[Date record entered]]&lt;&gt;"",CommitmentsTable[[#This Row],[Date record entered]]+30,""))</f>
        <v/>
      </c>
      <c r="K176" s="245"/>
      <c r="L176" s="245" t="str">
        <f ca="1">IF(CommitmentsTable[[#This Row],[Date Assigned if different from entry date]]&lt;&gt;"",CommitmentsTable[[#This Row],[Date Assigned if different from entry date]]+60,IF(CommitmentsTable[[#This Row],[Date record entered]]&lt;&gt;"",CommitmentsTable[[#This Row],[Date record entered]]+60,""))</f>
        <v/>
      </c>
      <c r="M176" s="214"/>
      <c r="N176" s="214"/>
      <c r="O176" s="236"/>
      <c r="P176" s="214"/>
      <c r="Q176" s="214"/>
      <c r="R176" s="214"/>
      <c r="S176" s="238" t="str">
        <f>IF(CommitmentsTable[[#This Row],[Commitment / deliverable]]="","",IF(CommitmentsTable[[#This Row],[Revised due]]&lt;&gt;"",CommitmentsTable[[#This Row],[Revised due]],CommitmentsTable[[#This Row],[Original due]]))</f>
        <v/>
      </c>
      <c r="T176" s="237" t="str">
        <f>IF(OR(CommitmentsTable[[#This Row],[Commitment / deliverable]]="",CommitmentsTable[[#This Row],[Owner]]=""),"",IF(CommitmentsTable[[#This Row],[Status2]]="","Open",CommitmentsTable[[#This Row],[Status2]]))</f>
        <v/>
      </c>
      <c r="U176" s="237" t="str">
        <f t="shared" ca="1" si="2"/>
        <v/>
      </c>
      <c r="V176" s="233"/>
      <c r="W176" s="63" t="s">
        <v>1143</v>
      </c>
    </row>
    <row r="177" spans="1:23" ht="26.15" customHeight="1">
      <c r="A177" s="213" t="str">
        <f>IF(OR(CommitmentsTable[[#This Row],[Commitment / deliverable]]="",CommitmentsTable[[#This Row],[Immutable Key]]=""),"",SUBSTITUTE(CommitmentsTable[[#This Row],[Immutable Key]],"-K-","-"))</f>
        <v/>
      </c>
      <c r="B177" s="233"/>
      <c r="C177" s="233"/>
      <c r="D177" s="213"/>
      <c r="E177" s="230"/>
      <c r="F177" s="213"/>
      <c r="G177" s="245" t="str">
        <f ca="1">IF(CommitmentsTable[[#This Row],[Commitment / deliverable]]="","",IF(CommitmentsTable[[#This Row],[Date record entered]]="",TODAY(),CommitmentsTable[[#This Row],[Date record entered]]))</f>
        <v/>
      </c>
      <c r="H177" s="245"/>
      <c r="I177" s="245" t="str">
        <f ca="1">IF(CommitmentsTable[[#This Row],[Date Assigned if different from entry date]]&lt;&gt;"",CommitmentsTable[[#This Row],[Date Assigned if different from entry date]]+90,IF(CommitmentsTable[[#This Row],[Date record entered]]&lt;&gt;"",CommitmentsTable[[#This Row],[Date record entered]]+90,""))</f>
        <v/>
      </c>
      <c r="J177" s="245" t="str">
        <f ca="1">IF(CommitmentsTable[[#This Row],[Date Assigned if different from entry date]]&lt;&gt;"",CommitmentsTable[[#This Row],[Date Assigned if different from entry date]]+30,IF(CommitmentsTable[[#This Row],[Date record entered]]&lt;&gt;"",CommitmentsTable[[#This Row],[Date record entered]]+30,""))</f>
        <v/>
      </c>
      <c r="K177" s="245"/>
      <c r="L177" s="245" t="str">
        <f ca="1">IF(CommitmentsTable[[#This Row],[Date Assigned if different from entry date]]&lt;&gt;"",CommitmentsTable[[#This Row],[Date Assigned if different from entry date]]+60,IF(CommitmentsTable[[#This Row],[Date record entered]]&lt;&gt;"",CommitmentsTable[[#This Row],[Date record entered]]+60,""))</f>
        <v/>
      </c>
      <c r="M177" s="214"/>
      <c r="N177" s="214"/>
      <c r="O177" s="236"/>
      <c r="P177" s="214"/>
      <c r="Q177" s="214"/>
      <c r="R177" s="214"/>
      <c r="S177" s="238" t="str">
        <f>IF(CommitmentsTable[[#This Row],[Commitment / deliverable]]="","",IF(CommitmentsTable[[#This Row],[Revised due]]&lt;&gt;"",CommitmentsTable[[#This Row],[Revised due]],CommitmentsTable[[#This Row],[Original due]]))</f>
        <v/>
      </c>
      <c r="T177" s="237" t="str">
        <f>IF(OR(CommitmentsTable[[#This Row],[Commitment / deliverable]]="",CommitmentsTable[[#This Row],[Owner]]=""),"",IF(CommitmentsTable[[#This Row],[Status2]]="","Open",CommitmentsTable[[#This Row],[Status2]]))</f>
        <v/>
      </c>
      <c r="U177" s="237" t="str">
        <f t="shared" ca="1" si="2"/>
        <v/>
      </c>
      <c r="V177" s="233"/>
      <c r="W177" s="63" t="s">
        <v>1144</v>
      </c>
    </row>
    <row r="178" spans="1:23" ht="26.15" customHeight="1">
      <c r="A178" s="213" t="str">
        <f>IF(OR(CommitmentsTable[[#This Row],[Commitment / deliverable]]="",CommitmentsTable[[#This Row],[Immutable Key]]=""),"",SUBSTITUTE(CommitmentsTable[[#This Row],[Immutable Key]],"-K-","-"))</f>
        <v/>
      </c>
      <c r="B178" s="233"/>
      <c r="C178" s="233"/>
      <c r="D178" s="213"/>
      <c r="E178" s="230"/>
      <c r="F178" s="213"/>
      <c r="G178" s="245" t="str">
        <f ca="1">IF(CommitmentsTable[[#This Row],[Commitment / deliverable]]="","",IF(CommitmentsTable[[#This Row],[Date record entered]]="",TODAY(),CommitmentsTable[[#This Row],[Date record entered]]))</f>
        <v/>
      </c>
      <c r="H178" s="245"/>
      <c r="I178" s="245" t="str">
        <f ca="1">IF(CommitmentsTable[[#This Row],[Date Assigned if different from entry date]]&lt;&gt;"",CommitmentsTable[[#This Row],[Date Assigned if different from entry date]]+90,IF(CommitmentsTable[[#This Row],[Date record entered]]&lt;&gt;"",CommitmentsTable[[#This Row],[Date record entered]]+90,""))</f>
        <v/>
      </c>
      <c r="J178" s="245" t="str">
        <f ca="1">IF(CommitmentsTable[[#This Row],[Date Assigned if different from entry date]]&lt;&gt;"",CommitmentsTable[[#This Row],[Date Assigned if different from entry date]]+30,IF(CommitmentsTable[[#This Row],[Date record entered]]&lt;&gt;"",CommitmentsTable[[#This Row],[Date record entered]]+30,""))</f>
        <v/>
      </c>
      <c r="K178" s="245"/>
      <c r="L178" s="245" t="str">
        <f ca="1">IF(CommitmentsTable[[#This Row],[Date Assigned if different from entry date]]&lt;&gt;"",CommitmentsTable[[#This Row],[Date Assigned if different from entry date]]+60,IF(CommitmentsTable[[#This Row],[Date record entered]]&lt;&gt;"",CommitmentsTable[[#This Row],[Date record entered]]+60,""))</f>
        <v/>
      </c>
      <c r="M178" s="214"/>
      <c r="N178" s="214"/>
      <c r="O178" s="236"/>
      <c r="P178" s="214"/>
      <c r="Q178" s="214"/>
      <c r="R178" s="214"/>
      <c r="S178" s="238" t="str">
        <f>IF(CommitmentsTable[[#This Row],[Commitment / deliverable]]="","",IF(CommitmentsTable[[#This Row],[Revised due]]&lt;&gt;"",CommitmentsTable[[#This Row],[Revised due]],CommitmentsTable[[#This Row],[Original due]]))</f>
        <v/>
      </c>
      <c r="T178" s="237" t="str">
        <f>IF(OR(CommitmentsTable[[#This Row],[Commitment / deliverable]]="",CommitmentsTable[[#This Row],[Owner]]=""),"",IF(CommitmentsTable[[#This Row],[Status2]]="","Open",CommitmentsTable[[#This Row],[Status2]]))</f>
        <v/>
      </c>
      <c r="U178" s="237" t="str">
        <f t="shared" ca="1" si="2"/>
        <v/>
      </c>
      <c r="V178" s="233"/>
      <c r="W178" s="63" t="s">
        <v>1145</v>
      </c>
    </row>
    <row r="179" spans="1:23" ht="26.15" customHeight="1">
      <c r="A179" s="213" t="str">
        <f>IF(OR(CommitmentsTable[[#This Row],[Commitment / deliverable]]="",CommitmentsTable[[#This Row],[Immutable Key]]=""),"",SUBSTITUTE(CommitmentsTable[[#This Row],[Immutable Key]],"-K-","-"))</f>
        <v/>
      </c>
      <c r="B179" s="233"/>
      <c r="C179" s="233"/>
      <c r="D179" s="213"/>
      <c r="E179" s="230"/>
      <c r="F179" s="213"/>
      <c r="G179" s="245" t="str">
        <f ca="1">IF(CommitmentsTable[[#This Row],[Commitment / deliverable]]="","",IF(CommitmentsTable[[#This Row],[Date record entered]]="",TODAY(),CommitmentsTable[[#This Row],[Date record entered]]))</f>
        <v/>
      </c>
      <c r="H179" s="245"/>
      <c r="I179" s="245" t="str">
        <f ca="1">IF(CommitmentsTable[[#This Row],[Date Assigned if different from entry date]]&lt;&gt;"",CommitmentsTable[[#This Row],[Date Assigned if different from entry date]]+90,IF(CommitmentsTable[[#This Row],[Date record entered]]&lt;&gt;"",CommitmentsTable[[#This Row],[Date record entered]]+90,""))</f>
        <v/>
      </c>
      <c r="J179" s="245" t="str">
        <f ca="1">IF(CommitmentsTable[[#This Row],[Date Assigned if different from entry date]]&lt;&gt;"",CommitmentsTable[[#This Row],[Date Assigned if different from entry date]]+30,IF(CommitmentsTable[[#This Row],[Date record entered]]&lt;&gt;"",CommitmentsTable[[#This Row],[Date record entered]]+30,""))</f>
        <v/>
      </c>
      <c r="K179" s="245"/>
      <c r="L179" s="245" t="str">
        <f ca="1">IF(CommitmentsTable[[#This Row],[Date Assigned if different from entry date]]&lt;&gt;"",CommitmentsTable[[#This Row],[Date Assigned if different from entry date]]+60,IF(CommitmentsTable[[#This Row],[Date record entered]]&lt;&gt;"",CommitmentsTable[[#This Row],[Date record entered]]+60,""))</f>
        <v/>
      </c>
      <c r="M179" s="214"/>
      <c r="N179" s="214"/>
      <c r="O179" s="236"/>
      <c r="P179" s="214"/>
      <c r="Q179" s="214"/>
      <c r="R179" s="214"/>
      <c r="S179" s="238" t="str">
        <f>IF(CommitmentsTable[[#This Row],[Commitment / deliverable]]="","",IF(CommitmentsTable[[#This Row],[Revised due]]&lt;&gt;"",CommitmentsTable[[#This Row],[Revised due]],CommitmentsTable[[#This Row],[Original due]]))</f>
        <v/>
      </c>
      <c r="T179" s="237" t="str">
        <f>IF(OR(CommitmentsTable[[#This Row],[Commitment / deliverable]]="",CommitmentsTable[[#This Row],[Owner]]=""),"",IF(CommitmentsTable[[#This Row],[Status2]]="","Open",CommitmentsTable[[#This Row],[Status2]]))</f>
        <v/>
      </c>
      <c r="U179" s="237" t="str">
        <f t="shared" ca="1" si="2"/>
        <v/>
      </c>
      <c r="V179" s="233"/>
      <c r="W179" s="63" t="s">
        <v>1146</v>
      </c>
    </row>
    <row r="180" spans="1:23" ht="26.15" customHeight="1">
      <c r="A180" s="213" t="str">
        <f>IF(OR(CommitmentsTable[[#This Row],[Commitment / deliverable]]="",CommitmentsTable[[#This Row],[Immutable Key]]=""),"",SUBSTITUTE(CommitmentsTable[[#This Row],[Immutable Key]],"-K-","-"))</f>
        <v/>
      </c>
      <c r="B180" s="233"/>
      <c r="C180" s="233"/>
      <c r="D180" s="213"/>
      <c r="E180" s="230"/>
      <c r="F180" s="213"/>
      <c r="G180" s="245" t="str">
        <f ca="1">IF(CommitmentsTable[[#This Row],[Commitment / deliverable]]="","",IF(CommitmentsTable[[#This Row],[Date record entered]]="",TODAY(),CommitmentsTable[[#This Row],[Date record entered]]))</f>
        <v/>
      </c>
      <c r="H180" s="245"/>
      <c r="I180" s="245" t="str">
        <f ca="1">IF(CommitmentsTable[[#This Row],[Date Assigned if different from entry date]]&lt;&gt;"",CommitmentsTable[[#This Row],[Date Assigned if different from entry date]]+90,IF(CommitmentsTable[[#This Row],[Date record entered]]&lt;&gt;"",CommitmentsTable[[#This Row],[Date record entered]]+90,""))</f>
        <v/>
      </c>
      <c r="J180" s="245" t="str">
        <f ca="1">IF(CommitmentsTable[[#This Row],[Date Assigned if different from entry date]]&lt;&gt;"",CommitmentsTable[[#This Row],[Date Assigned if different from entry date]]+30,IF(CommitmentsTable[[#This Row],[Date record entered]]&lt;&gt;"",CommitmentsTable[[#This Row],[Date record entered]]+30,""))</f>
        <v/>
      </c>
      <c r="K180" s="245"/>
      <c r="L180" s="245" t="str">
        <f ca="1">IF(CommitmentsTable[[#This Row],[Date Assigned if different from entry date]]&lt;&gt;"",CommitmentsTable[[#This Row],[Date Assigned if different from entry date]]+60,IF(CommitmentsTable[[#This Row],[Date record entered]]&lt;&gt;"",CommitmentsTable[[#This Row],[Date record entered]]+60,""))</f>
        <v/>
      </c>
      <c r="M180" s="214"/>
      <c r="N180" s="214"/>
      <c r="O180" s="236"/>
      <c r="P180" s="214"/>
      <c r="Q180" s="214"/>
      <c r="R180" s="214"/>
      <c r="S180" s="238" t="str">
        <f>IF(CommitmentsTable[[#This Row],[Commitment / deliverable]]="","",IF(CommitmentsTable[[#This Row],[Revised due]]&lt;&gt;"",CommitmentsTable[[#This Row],[Revised due]],CommitmentsTable[[#This Row],[Original due]]))</f>
        <v/>
      </c>
      <c r="T180" s="237" t="str">
        <f>IF(OR(CommitmentsTable[[#This Row],[Commitment / deliverable]]="",CommitmentsTable[[#This Row],[Owner]]=""),"",IF(CommitmentsTable[[#This Row],[Status2]]="","Open",CommitmentsTable[[#This Row],[Status2]]))</f>
        <v/>
      </c>
      <c r="U180" s="237" t="str">
        <f t="shared" ca="1" si="2"/>
        <v/>
      </c>
      <c r="V180" s="233"/>
      <c r="W180" s="63" t="s">
        <v>1147</v>
      </c>
    </row>
    <row r="181" spans="1:23" ht="26.15" customHeight="1">
      <c r="A181" s="213" t="str">
        <f>IF(OR(CommitmentsTable[[#This Row],[Commitment / deliverable]]="",CommitmentsTable[[#This Row],[Immutable Key]]=""),"",SUBSTITUTE(CommitmentsTable[[#This Row],[Immutable Key]],"-K-","-"))</f>
        <v/>
      </c>
      <c r="B181" s="233"/>
      <c r="C181" s="233"/>
      <c r="D181" s="213"/>
      <c r="E181" s="230"/>
      <c r="F181" s="213"/>
      <c r="G181" s="245" t="str">
        <f ca="1">IF(CommitmentsTable[[#This Row],[Commitment / deliverable]]="","",IF(CommitmentsTable[[#This Row],[Date record entered]]="",TODAY(),CommitmentsTable[[#This Row],[Date record entered]]))</f>
        <v/>
      </c>
      <c r="H181" s="245"/>
      <c r="I181" s="245" t="str">
        <f ca="1">IF(CommitmentsTable[[#This Row],[Date Assigned if different from entry date]]&lt;&gt;"",CommitmentsTable[[#This Row],[Date Assigned if different from entry date]]+90,IF(CommitmentsTable[[#This Row],[Date record entered]]&lt;&gt;"",CommitmentsTable[[#This Row],[Date record entered]]+90,""))</f>
        <v/>
      </c>
      <c r="J181" s="245" t="str">
        <f ca="1">IF(CommitmentsTable[[#This Row],[Date Assigned if different from entry date]]&lt;&gt;"",CommitmentsTable[[#This Row],[Date Assigned if different from entry date]]+30,IF(CommitmentsTable[[#This Row],[Date record entered]]&lt;&gt;"",CommitmentsTable[[#This Row],[Date record entered]]+30,""))</f>
        <v/>
      </c>
      <c r="K181" s="245"/>
      <c r="L181" s="245" t="str">
        <f ca="1">IF(CommitmentsTable[[#This Row],[Date Assigned if different from entry date]]&lt;&gt;"",CommitmentsTable[[#This Row],[Date Assigned if different from entry date]]+60,IF(CommitmentsTable[[#This Row],[Date record entered]]&lt;&gt;"",CommitmentsTable[[#This Row],[Date record entered]]+60,""))</f>
        <v/>
      </c>
      <c r="M181" s="214"/>
      <c r="N181" s="214"/>
      <c r="O181" s="236"/>
      <c r="P181" s="214"/>
      <c r="Q181" s="214"/>
      <c r="R181" s="214"/>
      <c r="S181" s="238" t="str">
        <f>IF(CommitmentsTable[[#This Row],[Commitment / deliverable]]="","",IF(CommitmentsTable[[#This Row],[Revised due]]&lt;&gt;"",CommitmentsTable[[#This Row],[Revised due]],CommitmentsTable[[#This Row],[Original due]]))</f>
        <v/>
      </c>
      <c r="T181" s="237" t="str">
        <f>IF(OR(CommitmentsTable[[#This Row],[Commitment / deliverable]]="",CommitmentsTable[[#This Row],[Owner]]=""),"",IF(CommitmentsTable[[#This Row],[Status2]]="","Open",CommitmentsTable[[#This Row],[Status2]]))</f>
        <v/>
      </c>
      <c r="U181" s="237" t="str">
        <f t="shared" ca="1" si="2"/>
        <v/>
      </c>
      <c r="V181" s="233"/>
      <c r="W181" s="63" t="s">
        <v>1148</v>
      </c>
    </row>
    <row r="182" spans="1:23" ht="26.15" customHeight="1">
      <c r="A182" s="213" t="str">
        <f>IF(OR(CommitmentsTable[[#This Row],[Commitment / deliverable]]="",CommitmentsTable[[#This Row],[Immutable Key]]=""),"",SUBSTITUTE(CommitmentsTable[[#This Row],[Immutable Key]],"-K-","-"))</f>
        <v/>
      </c>
      <c r="B182" s="233"/>
      <c r="C182" s="233"/>
      <c r="D182" s="213"/>
      <c r="E182" s="230"/>
      <c r="F182" s="213"/>
      <c r="G182" s="245" t="str">
        <f ca="1">IF(CommitmentsTable[[#This Row],[Commitment / deliverable]]="","",IF(CommitmentsTable[[#This Row],[Date record entered]]="",TODAY(),CommitmentsTable[[#This Row],[Date record entered]]))</f>
        <v/>
      </c>
      <c r="H182" s="245"/>
      <c r="I182" s="245" t="str">
        <f ca="1">IF(CommitmentsTable[[#This Row],[Date Assigned if different from entry date]]&lt;&gt;"",CommitmentsTable[[#This Row],[Date Assigned if different from entry date]]+90,IF(CommitmentsTable[[#This Row],[Date record entered]]&lt;&gt;"",CommitmentsTable[[#This Row],[Date record entered]]+90,""))</f>
        <v/>
      </c>
      <c r="J182" s="245" t="str">
        <f ca="1">IF(CommitmentsTable[[#This Row],[Date Assigned if different from entry date]]&lt;&gt;"",CommitmentsTable[[#This Row],[Date Assigned if different from entry date]]+30,IF(CommitmentsTable[[#This Row],[Date record entered]]&lt;&gt;"",CommitmentsTable[[#This Row],[Date record entered]]+30,""))</f>
        <v/>
      </c>
      <c r="K182" s="245"/>
      <c r="L182" s="245" t="str">
        <f ca="1">IF(CommitmentsTable[[#This Row],[Date Assigned if different from entry date]]&lt;&gt;"",CommitmentsTable[[#This Row],[Date Assigned if different from entry date]]+60,IF(CommitmentsTable[[#This Row],[Date record entered]]&lt;&gt;"",CommitmentsTable[[#This Row],[Date record entered]]+60,""))</f>
        <v/>
      </c>
      <c r="M182" s="214"/>
      <c r="N182" s="214"/>
      <c r="O182" s="236"/>
      <c r="P182" s="214"/>
      <c r="Q182" s="214"/>
      <c r="R182" s="214"/>
      <c r="S182" s="238" t="str">
        <f>IF(CommitmentsTable[[#This Row],[Commitment / deliverable]]="","",IF(CommitmentsTable[[#This Row],[Revised due]]&lt;&gt;"",CommitmentsTable[[#This Row],[Revised due]],CommitmentsTable[[#This Row],[Original due]]))</f>
        <v/>
      </c>
      <c r="T182" s="237" t="str">
        <f>IF(OR(CommitmentsTable[[#This Row],[Commitment / deliverable]]="",CommitmentsTable[[#This Row],[Owner]]=""),"",IF(CommitmentsTable[[#This Row],[Status2]]="","Open",CommitmentsTable[[#This Row],[Status2]]))</f>
        <v/>
      </c>
      <c r="U182" s="237" t="str">
        <f t="shared" ca="1" si="2"/>
        <v/>
      </c>
      <c r="V182" s="233"/>
      <c r="W182" s="63" t="s">
        <v>1149</v>
      </c>
    </row>
    <row r="183" spans="1:23" ht="26.15" customHeight="1">
      <c r="A183" s="213" t="str">
        <f>IF(OR(CommitmentsTable[[#This Row],[Commitment / deliverable]]="",CommitmentsTable[[#This Row],[Immutable Key]]=""),"",SUBSTITUTE(CommitmentsTable[[#This Row],[Immutable Key]],"-K-","-"))</f>
        <v/>
      </c>
      <c r="B183" s="233"/>
      <c r="C183" s="233"/>
      <c r="D183" s="213"/>
      <c r="E183" s="230"/>
      <c r="F183" s="213"/>
      <c r="G183" s="245" t="str">
        <f ca="1">IF(CommitmentsTable[[#This Row],[Commitment / deliverable]]="","",IF(CommitmentsTable[[#This Row],[Date record entered]]="",TODAY(),CommitmentsTable[[#This Row],[Date record entered]]))</f>
        <v/>
      </c>
      <c r="H183" s="245"/>
      <c r="I183" s="245" t="str">
        <f ca="1">IF(CommitmentsTable[[#This Row],[Date Assigned if different from entry date]]&lt;&gt;"",CommitmentsTable[[#This Row],[Date Assigned if different from entry date]]+90,IF(CommitmentsTable[[#This Row],[Date record entered]]&lt;&gt;"",CommitmentsTable[[#This Row],[Date record entered]]+90,""))</f>
        <v/>
      </c>
      <c r="J183" s="245" t="str">
        <f ca="1">IF(CommitmentsTable[[#This Row],[Date Assigned if different from entry date]]&lt;&gt;"",CommitmentsTable[[#This Row],[Date Assigned if different from entry date]]+30,IF(CommitmentsTable[[#This Row],[Date record entered]]&lt;&gt;"",CommitmentsTable[[#This Row],[Date record entered]]+30,""))</f>
        <v/>
      </c>
      <c r="K183" s="245"/>
      <c r="L183" s="245" t="str">
        <f ca="1">IF(CommitmentsTable[[#This Row],[Date Assigned if different from entry date]]&lt;&gt;"",CommitmentsTable[[#This Row],[Date Assigned if different from entry date]]+60,IF(CommitmentsTable[[#This Row],[Date record entered]]&lt;&gt;"",CommitmentsTable[[#This Row],[Date record entered]]+60,""))</f>
        <v/>
      </c>
      <c r="M183" s="214"/>
      <c r="N183" s="214"/>
      <c r="O183" s="236"/>
      <c r="P183" s="214"/>
      <c r="Q183" s="214"/>
      <c r="R183" s="214"/>
      <c r="S183" s="238" t="str">
        <f>IF(CommitmentsTable[[#This Row],[Commitment / deliverable]]="","",IF(CommitmentsTable[[#This Row],[Revised due]]&lt;&gt;"",CommitmentsTable[[#This Row],[Revised due]],CommitmentsTable[[#This Row],[Original due]]))</f>
        <v/>
      </c>
      <c r="T183" s="237" t="str">
        <f>IF(OR(CommitmentsTable[[#This Row],[Commitment / deliverable]]="",CommitmentsTable[[#This Row],[Owner]]=""),"",IF(CommitmentsTable[[#This Row],[Status2]]="","Open",CommitmentsTable[[#This Row],[Status2]]))</f>
        <v/>
      </c>
      <c r="U183" s="237" t="str">
        <f t="shared" ca="1" si="2"/>
        <v/>
      </c>
      <c r="V183" s="233"/>
      <c r="W183" s="63" t="s">
        <v>1150</v>
      </c>
    </row>
    <row r="184" spans="1:23" ht="26.15" customHeight="1">
      <c r="A184" s="213" t="str">
        <f>IF(OR(CommitmentsTable[[#This Row],[Commitment / deliverable]]="",CommitmentsTable[[#This Row],[Immutable Key]]=""),"",SUBSTITUTE(CommitmentsTable[[#This Row],[Immutable Key]],"-K-","-"))</f>
        <v/>
      </c>
      <c r="B184" s="233"/>
      <c r="C184" s="233"/>
      <c r="D184" s="213"/>
      <c r="E184" s="230"/>
      <c r="F184" s="213"/>
      <c r="G184" s="245" t="str">
        <f ca="1">IF(CommitmentsTable[[#This Row],[Commitment / deliverable]]="","",IF(CommitmentsTable[[#This Row],[Date record entered]]="",TODAY(),CommitmentsTable[[#This Row],[Date record entered]]))</f>
        <v/>
      </c>
      <c r="H184" s="245"/>
      <c r="I184" s="245" t="str">
        <f ca="1">IF(CommitmentsTable[[#This Row],[Date Assigned if different from entry date]]&lt;&gt;"",CommitmentsTable[[#This Row],[Date Assigned if different from entry date]]+90,IF(CommitmentsTable[[#This Row],[Date record entered]]&lt;&gt;"",CommitmentsTable[[#This Row],[Date record entered]]+90,""))</f>
        <v/>
      </c>
      <c r="J184" s="245" t="str">
        <f ca="1">IF(CommitmentsTable[[#This Row],[Date Assigned if different from entry date]]&lt;&gt;"",CommitmentsTable[[#This Row],[Date Assigned if different from entry date]]+30,IF(CommitmentsTable[[#This Row],[Date record entered]]&lt;&gt;"",CommitmentsTable[[#This Row],[Date record entered]]+30,""))</f>
        <v/>
      </c>
      <c r="K184" s="245"/>
      <c r="L184" s="245" t="str">
        <f ca="1">IF(CommitmentsTable[[#This Row],[Date Assigned if different from entry date]]&lt;&gt;"",CommitmentsTable[[#This Row],[Date Assigned if different from entry date]]+60,IF(CommitmentsTable[[#This Row],[Date record entered]]&lt;&gt;"",CommitmentsTable[[#This Row],[Date record entered]]+60,""))</f>
        <v/>
      </c>
      <c r="M184" s="214"/>
      <c r="N184" s="214"/>
      <c r="O184" s="236"/>
      <c r="P184" s="214"/>
      <c r="Q184" s="214"/>
      <c r="R184" s="214"/>
      <c r="S184" s="238" t="str">
        <f>IF(CommitmentsTable[[#This Row],[Commitment / deliverable]]="","",IF(CommitmentsTable[[#This Row],[Revised due]]&lt;&gt;"",CommitmentsTable[[#This Row],[Revised due]],CommitmentsTable[[#This Row],[Original due]]))</f>
        <v/>
      </c>
      <c r="T184" s="237" t="str">
        <f>IF(OR(CommitmentsTable[[#This Row],[Commitment / deliverable]]="",CommitmentsTable[[#This Row],[Owner]]=""),"",IF(CommitmentsTable[[#This Row],[Status2]]="","Open",CommitmentsTable[[#This Row],[Status2]]))</f>
        <v/>
      </c>
      <c r="U184" s="237" t="str">
        <f t="shared" ca="1" si="2"/>
        <v/>
      </c>
      <c r="V184" s="233"/>
      <c r="W184" s="63" t="s">
        <v>1151</v>
      </c>
    </row>
    <row r="185" spans="1:23" ht="26.15" customHeight="1">
      <c r="A185" s="213" t="str">
        <f>IF(OR(CommitmentsTable[[#This Row],[Commitment / deliverable]]="",CommitmentsTable[[#This Row],[Immutable Key]]=""),"",SUBSTITUTE(CommitmentsTable[[#This Row],[Immutable Key]],"-K-","-"))</f>
        <v/>
      </c>
      <c r="B185" s="233"/>
      <c r="C185" s="233"/>
      <c r="D185" s="213"/>
      <c r="E185" s="230"/>
      <c r="F185" s="213"/>
      <c r="G185" s="245" t="str">
        <f ca="1">IF(CommitmentsTable[[#This Row],[Commitment / deliverable]]="","",IF(CommitmentsTable[[#This Row],[Date record entered]]="",TODAY(),CommitmentsTable[[#This Row],[Date record entered]]))</f>
        <v/>
      </c>
      <c r="H185" s="245"/>
      <c r="I185" s="245" t="str">
        <f ca="1">IF(CommitmentsTable[[#This Row],[Date Assigned if different from entry date]]&lt;&gt;"",CommitmentsTable[[#This Row],[Date Assigned if different from entry date]]+90,IF(CommitmentsTable[[#This Row],[Date record entered]]&lt;&gt;"",CommitmentsTable[[#This Row],[Date record entered]]+90,""))</f>
        <v/>
      </c>
      <c r="J185" s="245" t="str">
        <f ca="1">IF(CommitmentsTable[[#This Row],[Date Assigned if different from entry date]]&lt;&gt;"",CommitmentsTable[[#This Row],[Date Assigned if different from entry date]]+30,IF(CommitmentsTable[[#This Row],[Date record entered]]&lt;&gt;"",CommitmentsTable[[#This Row],[Date record entered]]+30,""))</f>
        <v/>
      </c>
      <c r="K185" s="245"/>
      <c r="L185" s="245" t="str">
        <f ca="1">IF(CommitmentsTable[[#This Row],[Date Assigned if different from entry date]]&lt;&gt;"",CommitmentsTable[[#This Row],[Date Assigned if different from entry date]]+60,IF(CommitmentsTable[[#This Row],[Date record entered]]&lt;&gt;"",CommitmentsTable[[#This Row],[Date record entered]]+60,""))</f>
        <v/>
      </c>
      <c r="M185" s="214"/>
      <c r="N185" s="214"/>
      <c r="O185" s="236"/>
      <c r="P185" s="214"/>
      <c r="Q185" s="214"/>
      <c r="R185" s="214"/>
      <c r="S185" s="238" t="str">
        <f>IF(CommitmentsTable[[#This Row],[Commitment / deliverable]]="","",IF(CommitmentsTable[[#This Row],[Revised due]]&lt;&gt;"",CommitmentsTable[[#This Row],[Revised due]],CommitmentsTable[[#This Row],[Original due]]))</f>
        <v/>
      </c>
      <c r="T185" s="237" t="str">
        <f>IF(OR(CommitmentsTable[[#This Row],[Commitment / deliverable]]="",CommitmentsTable[[#This Row],[Owner]]=""),"",IF(CommitmentsTable[[#This Row],[Status2]]="","Open",CommitmentsTable[[#This Row],[Status2]]))</f>
        <v/>
      </c>
      <c r="U185" s="237" t="str">
        <f t="shared" ca="1" si="2"/>
        <v/>
      </c>
      <c r="V185" s="233"/>
      <c r="W185" s="63" t="s">
        <v>1152</v>
      </c>
    </row>
    <row r="186" spans="1:23" ht="26.15" customHeight="1">
      <c r="A186" s="213" t="str">
        <f>IF(OR(CommitmentsTable[[#This Row],[Commitment / deliverable]]="",CommitmentsTable[[#This Row],[Immutable Key]]=""),"",SUBSTITUTE(CommitmentsTable[[#This Row],[Immutable Key]],"-K-","-"))</f>
        <v/>
      </c>
      <c r="B186" s="233"/>
      <c r="C186" s="233"/>
      <c r="D186" s="213"/>
      <c r="E186" s="230"/>
      <c r="F186" s="213"/>
      <c r="G186" s="245" t="str">
        <f ca="1">IF(CommitmentsTable[[#This Row],[Commitment / deliverable]]="","",IF(CommitmentsTable[[#This Row],[Date record entered]]="",TODAY(),CommitmentsTable[[#This Row],[Date record entered]]))</f>
        <v/>
      </c>
      <c r="H186" s="245"/>
      <c r="I186" s="245" t="str">
        <f ca="1">IF(CommitmentsTable[[#This Row],[Date Assigned if different from entry date]]&lt;&gt;"",CommitmentsTable[[#This Row],[Date Assigned if different from entry date]]+90,IF(CommitmentsTable[[#This Row],[Date record entered]]&lt;&gt;"",CommitmentsTable[[#This Row],[Date record entered]]+90,""))</f>
        <v/>
      </c>
      <c r="J186" s="245" t="str">
        <f ca="1">IF(CommitmentsTable[[#This Row],[Date Assigned if different from entry date]]&lt;&gt;"",CommitmentsTable[[#This Row],[Date Assigned if different from entry date]]+30,IF(CommitmentsTable[[#This Row],[Date record entered]]&lt;&gt;"",CommitmentsTable[[#This Row],[Date record entered]]+30,""))</f>
        <v/>
      </c>
      <c r="K186" s="245"/>
      <c r="L186" s="245" t="str">
        <f ca="1">IF(CommitmentsTable[[#This Row],[Date Assigned if different from entry date]]&lt;&gt;"",CommitmentsTable[[#This Row],[Date Assigned if different from entry date]]+60,IF(CommitmentsTable[[#This Row],[Date record entered]]&lt;&gt;"",CommitmentsTable[[#This Row],[Date record entered]]+60,""))</f>
        <v/>
      </c>
      <c r="M186" s="214"/>
      <c r="N186" s="214"/>
      <c r="O186" s="236"/>
      <c r="P186" s="214"/>
      <c r="Q186" s="214"/>
      <c r="R186" s="214"/>
      <c r="S186" s="238" t="str">
        <f>IF(CommitmentsTable[[#This Row],[Commitment / deliverable]]="","",IF(CommitmentsTable[[#This Row],[Revised due]]&lt;&gt;"",CommitmentsTable[[#This Row],[Revised due]],CommitmentsTable[[#This Row],[Original due]]))</f>
        <v/>
      </c>
      <c r="T186" s="237" t="str">
        <f>IF(OR(CommitmentsTable[[#This Row],[Commitment / deliverable]]="",CommitmentsTable[[#This Row],[Owner]]=""),"",IF(CommitmentsTable[[#This Row],[Status2]]="","Open",CommitmentsTable[[#This Row],[Status2]]))</f>
        <v/>
      </c>
      <c r="U186" s="237" t="str">
        <f t="shared" ca="1" si="2"/>
        <v/>
      </c>
      <c r="V186" s="233"/>
      <c r="W186" s="63" t="s">
        <v>1153</v>
      </c>
    </row>
    <row r="187" spans="1:23" ht="26.15" customHeight="1">
      <c r="A187" s="213" t="str">
        <f>IF(OR(CommitmentsTable[[#This Row],[Commitment / deliverable]]="",CommitmentsTable[[#This Row],[Immutable Key]]=""),"",SUBSTITUTE(CommitmentsTable[[#This Row],[Immutable Key]],"-K-","-"))</f>
        <v/>
      </c>
      <c r="B187" s="233"/>
      <c r="C187" s="233"/>
      <c r="D187" s="213"/>
      <c r="E187" s="230"/>
      <c r="F187" s="213"/>
      <c r="G187" s="245" t="str">
        <f ca="1">IF(CommitmentsTable[[#This Row],[Commitment / deliverable]]="","",IF(CommitmentsTable[[#This Row],[Date record entered]]="",TODAY(),CommitmentsTable[[#This Row],[Date record entered]]))</f>
        <v/>
      </c>
      <c r="H187" s="245"/>
      <c r="I187" s="245" t="str">
        <f ca="1">IF(CommitmentsTable[[#This Row],[Date Assigned if different from entry date]]&lt;&gt;"",CommitmentsTable[[#This Row],[Date Assigned if different from entry date]]+90,IF(CommitmentsTable[[#This Row],[Date record entered]]&lt;&gt;"",CommitmentsTable[[#This Row],[Date record entered]]+90,""))</f>
        <v/>
      </c>
      <c r="J187" s="245" t="str">
        <f ca="1">IF(CommitmentsTable[[#This Row],[Date Assigned if different from entry date]]&lt;&gt;"",CommitmentsTable[[#This Row],[Date Assigned if different from entry date]]+30,IF(CommitmentsTable[[#This Row],[Date record entered]]&lt;&gt;"",CommitmentsTable[[#This Row],[Date record entered]]+30,""))</f>
        <v/>
      </c>
      <c r="K187" s="245"/>
      <c r="L187" s="245" t="str">
        <f ca="1">IF(CommitmentsTable[[#This Row],[Date Assigned if different from entry date]]&lt;&gt;"",CommitmentsTable[[#This Row],[Date Assigned if different from entry date]]+60,IF(CommitmentsTable[[#This Row],[Date record entered]]&lt;&gt;"",CommitmentsTable[[#This Row],[Date record entered]]+60,""))</f>
        <v/>
      </c>
      <c r="M187" s="214"/>
      <c r="N187" s="214"/>
      <c r="O187" s="236"/>
      <c r="P187" s="214"/>
      <c r="Q187" s="214"/>
      <c r="R187" s="214"/>
      <c r="S187" s="238" t="str">
        <f>IF(CommitmentsTable[[#This Row],[Commitment / deliverable]]="","",IF(CommitmentsTable[[#This Row],[Revised due]]&lt;&gt;"",CommitmentsTable[[#This Row],[Revised due]],CommitmentsTable[[#This Row],[Original due]]))</f>
        <v/>
      </c>
      <c r="T187" s="237" t="str">
        <f>IF(OR(CommitmentsTable[[#This Row],[Commitment / deliverable]]="",CommitmentsTable[[#This Row],[Owner]]=""),"",IF(CommitmentsTable[[#This Row],[Status2]]="","Open",CommitmentsTable[[#This Row],[Status2]]))</f>
        <v/>
      </c>
      <c r="U187" s="237" t="str">
        <f t="shared" ca="1" si="2"/>
        <v/>
      </c>
      <c r="V187" s="233"/>
      <c r="W187" s="63" t="s">
        <v>1154</v>
      </c>
    </row>
    <row r="188" spans="1:23" ht="26.15" customHeight="1">
      <c r="A188" s="213" t="str">
        <f>IF(OR(CommitmentsTable[[#This Row],[Commitment / deliverable]]="",CommitmentsTable[[#This Row],[Immutable Key]]=""),"",SUBSTITUTE(CommitmentsTable[[#This Row],[Immutable Key]],"-K-","-"))</f>
        <v/>
      </c>
      <c r="B188" s="233"/>
      <c r="C188" s="233"/>
      <c r="D188" s="213"/>
      <c r="E188" s="230"/>
      <c r="F188" s="213"/>
      <c r="G188" s="245" t="str">
        <f ca="1">IF(CommitmentsTable[[#This Row],[Commitment / deliverable]]="","",IF(CommitmentsTable[[#This Row],[Date record entered]]="",TODAY(),CommitmentsTable[[#This Row],[Date record entered]]))</f>
        <v/>
      </c>
      <c r="H188" s="245"/>
      <c r="I188" s="245" t="str">
        <f ca="1">IF(CommitmentsTable[[#This Row],[Date Assigned if different from entry date]]&lt;&gt;"",CommitmentsTable[[#This Row],[Date Assigned if different from entry date]]+90,IF(CommitmentsTable[[#This Row],[Date record entered]]&lt;&gt;"",CommitmentsTable[[#This Row],[Date record entered]]+90,""))</f>
        <v/>
      </c>
      <c r="J188" s="245" t="str">
        <f ca="1">IF(CommitmentsTable[[#This Row],[Date Assigned if different from entry date]]&lt;&gt;"",CommitmentsTable[[#This Row],[Date Assigned if different from entry date]]+30,IF(CommitmentsTable[[#This Row],[Date record entered]]&lt;&gt;"",CommitmentsTable[[#This Row],[Date record entered]]+30,""))</f>
        <v/>
      </c>
      <c r="K188" s="245"/>
      <c r="L188" s="245" t="str">
        <f ca="1">IF(CommitmentsTable[[#This Row],[Date Assigned if different from entry date]]&lt;&gt;"",CommitmentsTable[[#This Row],[Date Assigned if different from entry date]]+60,IF(CommitmentsTable[[#This Row],[Date record entered]]&lt;&gt;"",CommitmentsTable[[#This Row],[Date record entered]]+60,""))</f>
        <v/>
      </c>
      <c r="M188" s="214"/>
      <c r="N188" s="214"/>
      <c r="O188" s="236"/>
      <c r="P188" s="214"/>
      <c r="Q188" s="214"/>
      <c r="R188" s="214"/>
      <c r="S188" s="238" t="str">
        <f>IF(CommitmentsTable[[#This Row],[Commitment / deliverable]]="","",IF(CommitmentsTable[[#This Row],[Revised due]]&lt;&gt;"",CommitmentsTable[[#This Row],[Revised due]],CommitmentsTable[[#This Row],[Original due]]))</f>
        <v/>
      </c>
      <c r="T188" s="237" t="str">
        <f>IF(OR(CommitmentsTable[[#This Row],[Commitment / deliverable]]="",CommitmentsTable[[#This Row],[Owner]]=""),"",IF(CommitmentsTable[[#This Row],[Status2]]="","Open",CommitmentsTable[[#This Row],[Status2]]))</f>
        <v/>
      </c>
      <c r="U188" s="237" t="str">
        <f t="shared" ca="1" si="2"/>
        <v/>
      </c>
      <c r="V188" s="233"/>
      <c r="W188" s="63" t="s">
        <v>1155</v>
      </c>
    </row>
    <row r="189" spans="1:23" ht="26.15" customHeight="1">
      <c r="A189" s="213" t="str">
        <f>IF(OR(CommitmentsTable[[#This Row],[Commitment / deliverable]]="",CommitmentsTable[[#This Row],[Immutable Key]]=""),"",SUBSTITUTE(CommitmentsTable[[#This Row],[Immutable Key]],"-K-","-"))</f>
        <v/>
      </c>
      <c r="B189" s="233"/>
      <c r="C189" s="233"/>
      <c r="D189" s="213"/>
      <c r="E189" s="230"/>
      <c r="F189" s="213"/>
      <c r="G189" s="245" t="str">
        <f ca="1">IF(CommitmentsTable[[#This Row],[Commitment / deliverable]]="","",IF(CommitmentsTable[[#This Row],[Date record entered]]="",TODAY(),CommitmentsTable[[#This Row],[Date record entered]]))</f>
        <v/>
      </c>
      <c r="H189" s="245"/>
      <c r="I189" s="245" t="str">
        <f ca="1">IF(CommitmentsTable[[#This Row],[Date Assigned if different from entry date]]&lt;&gt;"",CommitmentsTable[[#This Row],[Date Assigned if different from entry date]]+90,IF(CommitmentsTable[[#This Row],[Date record entered]]&lt;&gt;"",CommitmentsTable[[#This Row],[Date record entered]]+90,""))</f>
        <v/>
      </c>
      <c r="J189" s="245" t="str">
        <f ca="1">IF(CommitmentsTable[[#This Row],[Date Assigned if different from entry date]]&lt;&gt;"",CommitmentsTable[[#This Row],[Date Assigned if different from entry date]]+30,IF(CommitmentsTable[[#This Row],[Date record entered]]&lt;&gt;"",CommitmentsTable[[#This Row],[Date record entered]]+30,""))</f>
        <v/>
      </c>
      <c r="K189" s="245"/>
      <c r="L189" s="245" t="str">
        <f ca="1">IF(CommitmentsTable[[#This Row],[Date Assigned if different from entry date]]&lt;&gt;"",CommitmentsTable[[#This Row],[Date Assigned if different from entry date]]+60,IF(CommitmentsTable[[#This Row],[Date record entered]]&lt;&gt;"",CommitmentsTable[[#This Row],[Date record entered]]+60,""))</f>
        <v/>
      </c>
      <c r="M189" s="214"/>
      <c r="N189" s="214"/>
      <c r="O189" s="236"/>
      <c r="P189" s="214"/>
      <c r="Q189" s="214"/>
      <c r="R189" s="214"/>
      <c r="S189" s="238" t="str">
        <f>IF(CommitmentsTable[[#This Row],[Commitment / deliverable]]="","",IF(CommitmentsTable[[#This Row],[Revised due]]&lt;&gt;"",CommitmentsTable[[#This Row],[Revised due]],CommitmentsTable[[#This Row],[Original due]]))</f>
        <v/>
      </c>
      <c r="T189" s="237" t="str">
        <f>IF(OR(CommitmentsTable[[#This Row],[Commitment / deliverable]]="",CommitmentsTable[[#This Row],[Owner]]=""),"",IF(CommitmentsTable[[#This Row],[Status2]]="","Open",CommitmentsTable[[#This Row],[Status2]]))</f>
        <v/>
      </c>
      <c r="U189" s="237" t="str">
        <f t="shared" ca="1" si="2"/>
        <v/>
      </c>
      <c r="V189" s="233"/>
      <c r="W189" s="63" t="s">
        <v>1156</v>
      </c>
    </row>
    <row r="190" spans="1:23" ht="26.15" customHeight="1">
      <c r="A190" s="213" t="str">
        <f>IF(OR(CommitmentsTable[[#This Row],[Commitment / deliverable]]="",CommitmentsTable[[#This Row],[Immutable Key]]=""),"",SUBSTITUTE(CommitmentsTable[[#This Row],[Immutable Key]],"-K-","-"))</f>
        <v/>
      </c>
      <c r="B190" s="233"/>
      <c r="C190" s="233"/>
      <c r="D190" s="213"/>
      <c r="E190" s="230"/>
      <c r="F190" s="213"/>
      <c r="G190" s="245" t="str">
        <f ca="1">IF(CommitmentsTable[[#This Row],[Commitment / deliverable]]="","",IF(CommitmentsTable[[#This Row],[Date record entered]]="",TODAY(),CommitmentsTable[[#This Row],[Date record entered]]))</f>
        <v/>
      </c>
      <c r="H190" s="245"/>
      <c r="I190" s="245" t="str">
        <f ca="1">IF(CommitmentsTable[[#This Row],[Date Assigned if different from entry date]]&lt;&gt;"",CommitmentsTable[[#This Row],[Date Assigned if different from entry date]]+90,IF(CommitmentsTable[[#This Row],[Date record entered]]&lt;&gt;"",CommitmentsTable[[#This Row],[Date record entered]]+90,""))</f>
        <v/>
      </c>
      <c r="J190" s="245" t="str">
        <f ca="1">IF(CommitmentsTable[[#This Row],[Date Assigned if different from entry date]]&lt;&gt;"",CommitmentsTable[[#This Row],[Date Assigned if different from entry date]]+30,IF(CommitmentsTable[[#This Row],[Date record entered]]&lt;&gt;"",CommitmentsTable[[#This Row],[Date record entered]]+30,""))</f>
        <v/>
      </c>
      <c r="K190" s="245"/>
      <c r="L190" s="245" t="str">
        <f ca="1">IF(CommitmentsTable[[#This Row],[Date Assigned if different from entry date]]&lt;&gt;"",CommitmentsTable[[#This Row],[Date Assigned if different from entry date]]+60,IF(CommitmentsTable[[#This Row],[Date record entered]]&lt;&gt;"",CommitmentsTable[[#This Row],[Date record entered]]+60,""))</f>
        <v/>
      </c>
      <c r="M190" s="214"/>
      <c r="N190" s="214"/>
      <c r="O190" s="236"/>
      <c r="P190" s="214"/>
      <c r="Q190" s="214"/>
      <c r="R190" s="214"/>
      <c r="S190" s="238" t="str">
        <f>IF(CommitmentsTable[[#This Row],[Commitment / deliverable]]="","",IF(CommitmentsTable[[#This Row],[Revised due]]&lt;&gt;"",CommitmentsTable[[#This Row],[Revised due]],CommitmentsTable[[#This Row],[Original due]]))</f>
        <v/>
      </c>
      <c r="T190" s="237" t="str">
        <f>IF(OR(CommitmentsTable[[#This Row],[Commitment / deliverable]]="",CommitmentsTable[[#This Row],[Owner]]=""),"",IF(CommitmentsTable[[#This Row],[Status2]]="","Open",CommitmentsTable[[#This Row],[Status2]]))</f>
        <v/>
      </c>
      <c r="U190" s="237" t="str">
        <f t="shared" ca="1" si="2"/>
        <v/>
      </c>
      <c r="V190" s="233"/>
      <c r="W190" s="63" t="s">
        <v>1157</v>
      </c>
    </row>
    <row r="191" spans="1:23" ht="26.15" customHeight="1">
      <c r="A191" s="213" t="str">
        <f>IF(OR(CommitmentsTable[[#This Row],[Commitment / deliverable]]="",CommitmentsTable[[#This Row],[Immutable Key]]=""),"",SUBSTITUTE(CommitmentsTable[[#This Row],[Immutable Key]],"-K-","-"))</f>
        <v/>
      </c>
      <c r="B191" s="233"/>
      <c r="C191" s="233"/>
      <c r="D191" s="213"/>
      <c r="E191" s="230"/>
      <c r="F191" s="213"/>
      <c r="G191" s="245" t="str">
        <f ca="1">IF(CommitmentsTable[[#This Row],[Commitment / deliverable]]="","",IF(CommitmentsTable[[#This Row],[Date record entered]]="",TODAY(),CommitmentsTable[[#This Row],[Date record entered]]))</f>
        <v/>
      </c>
      <c r="H191" s="245"/>
      <c r="I191" s="245" t="str">
        <f ca="1">IF(CommitmentsTable[[#This Row],[Date Assigned if different from entry date]]&lt;&gt;"",CommitmentsTable[[#This Row],[Date Assigned if different from entry date]]+90,IF(CommitmentsTable[[#This Row],[Date record entered]]&lt;&gt;"",CommitmentsTable[[#This Row],[Date record entered]]+90,""))</f>
        <v/>
      </c>
      <c r="J191" s="245" t="str">
        <f ca="1">IF(CommitmentsTable[[#This Row],[Date Assigned if different from entry date]]&lt;&gt;"",CommitmentsTable[[#This Row],[Date Assigned if different from entry date]]+30,IF(CommitmentsTable[[#This Row],[Date record entered]]&lt;&gt;"",CommitmentsTable[[#This Row],[Date record entered]]+30,""))</f>
        <v/>
      </c>
      <c r="K191" s="245"/>
      <c r="L191" s="245" t="str">
        <f ca="1">IF(CommitmentsTable[[#This Row],[Date Assigned if different from entry date]]&lt;&gt;"",CommitmentsTable[[#This Row],[Date Assigned if different from entry date]]+60,IF(CommitmentsTable[[#This Row],[Date record entered]]&lt;&gt;"",CommitmentsTable[[#This Row],[Date record entered]]+60,""))</f>
        <v/>
      </c>
      <c r="M191" s="214"/>
      <c r="N191" s="214"/>
      <c r="O191" s="236"/>
      <c r="P191" s="214"/>
      <c r="Q191" s="214"/>
      <c r="R191" s="214"/>
      <c r="S191" s="238" t="str">
        <f>IF(CommitmentsTable[[#This Row],[Commitment / deliverable]]="","",IF(CommitmentsTable[[#This Row],[Revised due]]&lt;&gt;"",CommitmentsTable[[#This Row],[Revised due]],CommitmentsTable[[#This Row],[Original due]]))</f>
        <v/>
      </c>
      <c r="T191" s="237" t="str">
        <f>IF(OR(CommitmentsTable[[#This Row],[Commitment / deliverable]]="",CommitmentsTable[[#This Row],[Owner]]=""),"",IF(CommitmentsTable[[#This Row],[Status2]]="","Open",CommitmentsTable[[#This Row],[Status2]]))</f>
        <v/>
      </c>
      <c r="U191" s="237" t="str">
        <f t="shared" ca="1" si="2"/>
        <v/>
      </c>
      <c r="V191" s="233"/>
      <c r="W191" s="63" t="s">
        <v>1158</v>
      </c>
    </row>
    <row r="192" spans="1:23" ht="26.15" customHeight="1">
      <c r="A192" s="213" t="str">
        <f>IF(OR(CommitmentsTable[[#This Row],[Commitment / deliverable]]="",CommitmentsTable[[#This Row],[Immutable Key]]=""),"",SUBSTITUTE(CommitmentsTable[[#This Row],[Immutable Key]],"-K-","-"))</f>
        <v/>
      </c>
      <c r="B192" s="233"/>
      <c r="C192" s="233"/>
      <c r="D192" s="213"/>
      <c r="E192" s="230"/>
      <c r="F192" s="213"/>
      <c r="G192" s="245" t="str">
        <f ca="1">IF(CommitmentsTable[[#This Row],[Commitment / deliverable]]="","",IF(CommitmentsTable[[#This Row],[Date record entered]]="",TODAY(),CommitmentsTable[[#This Row],[Date record entered]]))</f>
        <v/>
      </c>
      <c r="H192" s="245"/>
      <c r="I192" s="245" t="str">
        <f ca="1">IF(CommitmentsTable[[#This Row],[Date Assigned if different from entry date]]&lt;&gt;"",CommitmentsTable[[#This Row],[Date Assigned if different from entry date]]+90,IF(CommitmentsTable[[#This Row],[Date record entered]]&lt;&gt;"",CommitmentsTable[[#This Row],[Date record entered]]+90,""))</f>
        <v/>
      </c>
      <c r="J192" s="245" t="str">
        <f ca="1">IF(CommitmentsTable[[#This Row],[Date Assigned if different from entry date]]&lt;&gt;"",CommitmentsTable[[#This Row],[Date Assigned if different from entry date]]+30,IF(CommitmentsTable[[#This Row],[Date record entered]]&lt;&gt;"",CommitmentsTable[[#This Row],[Date record entered]]+30,""))</f>
        <v/>
      </c>
      <c r="K192" s="245"/>
      <c r="L192" s="245" t="str">
        <f ca="1">IF(CommitmentsTable[[#This Row],[Date Assigned if different from entry date]]&lt;&gt;"",CommitmentsTable[[#This Row],[Date Assigned if different from entry date]]+60,IF(CommitmentsTable[[#This Row],[Date record entered]]&lt;&gt;"",CommitmentsTable[[#This Row],[Date record entered]]+60,""))</f>
        <v/>
      </c>
      <c r="M192" s="214"/>
      <c r="N192" s="214"/>
      <c r="O192" s="236"/>
      <c r="P192" s="214"/>
      <c r="Q192" s="214"/>
      <c r="R192" s="214"/>
      <c r="S192" s="238" t="str">
        <f>IF(CommitmentsTable[[#This Row],[Commitment / deliverable]]="","",IF(CommitmentsTable[[#This Row],[Revised due]]&lt;&gt;"",CommitmentsTable[[#This Row],[Revised due]],CommitmentsTable[[#This Row],[Original due]]))</f>
        <v/>
      </c>
      <c r="T192" s="237" t="str">
        <f>IF(OR(CommitmentsTable[[#This Row],[Commitment / deliverable]]="",CommitmentsTable[[#This Row],[Owner]]=""),"",IF(CommitmentsTable[[#This Row],[Status2]]="","Open",CommitmentsTable[[#This Row],[Status2]]))</f>
        <v/>
      </c>
      <c r="U192" s="237" t="str">
        <f t="shared" ca="1" si="2"/>
        <v/>
      </c>
      <c r="V192" s="233"/>
      <c r="W192" s="63" t="s">
        <v>1159</v>
      </c>
    </row>
    <row r="193" spans="1:23" ht="26.15" customHeight="1">
      <c r="A193" s="213" t="str">
        <f>IF(OR(CommitmentsTable[[#This Row],[Commitment / deliverable]]="",CommitmentsTable[[#This Row],[Immutable Key]]=""),"",SUBSTITUTE(CommitmentsTable[[#This Row],[Immutable Key]],"-K-","-"))</f>
        <v/>
      </c>
      <c r="B193" s="233"/>
      <c r="C193" s="233"/>
      <c r="D193" s="213"/>
      <c r="E193" s="230"/>
      <c r="F193" s="213"/>
      <c r="G193" s="245" t="str">
        <f ca="1">IF(CommitmentsTable[[#This Row],[Commitment / deliverable]]="","",IF(CommitmentsTable[[#This Row],[Date record entered]]="",TODAY(),CommitmentsTable[[#This Row],[Date record entered]]))</f>
        <v/>
      </c>
      <c r="H193" s="245"/>
      <c r="I193" s="245" t="str">
        <f ca="1">IF(CommitmentsTable[[#This Row],[Date Assigned if different from entry date]]&lt;&gt;"",CommitmentsTable[[#This Row],[Date Assigned if different from entry date]]+90,IF(CommitmentsTable[[#This Row],[Date record entered]]&lt;&gt;"",CommitmentsTable[[#This Row],[Date record entered]]+90,""))</f>
        <v/>
      </c>
      <c r="J193" s="245" t="str">
        <f ca="1">IF(CommitmentsTable[[#This Row],[Date Assigned if different from entry date]]&lt;&gt;"",CommitmentsTable[[#This Row],[Date Assigned if different from entry date]]+30,IF(CommitmentsTable[[#This Row],[Date record entered]]&lt;&gt;"",CommitmentsTable[[#This Row],[Date record entered]]+30,""))</f>
        <v/>
      </c>
      <c r="K193" s="245"/>
      <c r="L193" s="245" t="str">
        <f ca="1">IF(CommitmentsTable[[#This Row],[Date Assigned if different from entry date]]&lt;&gt;"",CommitmentsTable[[#This Row],[Date Assigned if different from entry date]]+60,IF(CommitmentsTable[[#This Row],[Date record entered]]&lt;&gt;"",CommitmentsTable[[#This Row],[Date record entered]]+60,""))</f>
        <v/>
      </c>
      <c r="M193" s="214"/>
      <c r="N193" s="214"/>
      <c r="O193" s="236"/>
      <c r="P193" s="214"/>
      <c r="Q193" s="214"/>
      <c r="R193" s="214"/>
      <c r="S193" s="238" t="str">
        <f>IF(CommitmentsTable[[#This Row],[Commitment / deliverable]]="","",IF(CommitmentsTable[[#This Row],[Revised due]]&lt;&gt;"",CommitmentsTable[[#This Row],[Revised due]],CommitmentsTable[[#This Row],[Original due]]))</f>
        <v/>
      </c>
      <c r="T193" s="237" t="str">
        <f>IF(OR(CommitmentsTable[[#This Row],[Commitment / deliverable]]="",CommitmentsTable[[#This Row],[Owner]]=""),"",IF(CommitmentsTable[[#This Row],[Status2]]="","Open",CommitmentsTable[[#This Row],[Status2]]))</f>
        <v/>
      </c>
      <c r="U193" s="237" t="str">
        <f t="shared" ca="1" si="2"/>
        <v/>
      </c>
      <c r="V193" s="233"/>
      <c r="W193" s="63" t="s">
        <v>1160</v>
      </c>
    </row>
    <row r="194" spans="1:23" ht="26.15" customHeight="1">
      <c r="A194" s="213" t="str">
        <f>IF(OR(CommitmentsTable[[#This Row],[Commitment / deliverable]]="",CommitmentsTable[[#This Row],[Immutable Key]]=""),"",SUBSTITUTE(CommitmentsTable[[#This Row],[Immutable Key]],"-K-","-"))</f>
        <v/>
      </c>
      <c r="B194" s="233"/>
      <c r="C194" s="233"/>
      <c r="D194" s="213"/>
      <c r="E194" s="230"/>
      <c r="F194" s="213"/>
      <c r="G194" s="245" t="str">
        <f ca="1">IF(CommitmentsTable[[#This Row],[Commitment / deliverable]]="","",IF(CommitmentsTable[[#This Row],[Date record entered]]="",TODAY(),CommitmentsTable[[#This Row],[Date record entered]]))</f>
        <v/>
      </c>
      <c r="H194" s="245"/>
      <c r="I194" s="245" t="str">
        <f ca="1">IF(CommitmentsTable[[#This Row],[Date Assigned if different from entry date]]&lt;&gt;"",CommitmentsTable[[#This Row],[Date Assigned if different from entry date]]+90,IF(CommitmentsTable[[#This Row],[Date record entered]]&lt;&gt;"",CommitmentsTable[[#This Row],[Date record entered]]+90,""))</f>
        <v/>
      </c>
      <c r="J194" s="245" t="str">
        <f ca="1">IF(CommitmentsTable[[#This Row],[Date Assigned if different from entry date]]&lt;&gt;"",CommitmentsTable[[#This Row],[Date Assigned if different from entry date]]+30,IF(CommitmentsTable[[#This Row],[Date record entered]]&lt;&gt;"",CommitmentsTable[[#This Row],[Date record entered]]+30,""))</f>
        <v/>
      </c>
      <c r="K194" s="245"/>
      <c r="L194" s="245" t="str">
        <f ca="1">IF(CommitmentsTable[[#This Row],[Date Assigned if different from entry date]]&lt;&gt;"",CommitmentsTable[[#This Row],[Date Assigned if different from entry date]]+60,IF(CommitmentsTable[[#This Row],[Date record entered]]&lt;&gt;"",CommitmentsTable[[#This Row],[Date record entered]]+60,""))</f>
        <v/>
      </c>
      <c r="M194" s="214"/>
      <c r="N194" s="214"/>
      <c r="O194" s="236"/>
      <c r="P194" s="214"/>
      <c r="Q194" s="214"/>
      <c r="R194" s="214"/>
      <c r="S194" s="238" t="str">
        <f>IF(CommitmentsTable[[#This Row],[Commitment / deliverable]]="","",IF(CommitmentsTable[[#This Row],[Revised due]]&lt;&gt;"",CommitmentsTable[[#This Row],[Revised due]],CommitmentsTable[[#This Row],[Original due]]))</f>
        <v/>
      </c>
      <c r="T194" s="237" t="str">
        <f>IF(OR(CommitmentsTable[[#This Row],[Commitment / deliverable]]="",CommitmentsTable[[#This Row],[Owner]]=""),"",IF(CommitmentsTable[[#This Row],[Status2]]="","Open",CommitmentsTable[[#This Row],[Status2]]))</f>
        <v/>
      </c>
      <c r="U194" s="237" t="str">
        <f t="shared" ca="1" si="2"/>
        <v/>
      </c>
      <c r="V194" s="233"/>
      <c r="W194" s="63" t="s">
        <v>1161</v>
      </c>
    </row>
    <row r="195" spans="1:23" ht="26.15" customHeight="1">
      <c r="A195" s="213" t="str">
        <f>IF(OR(CommitmentsTable[[#This Row],[Commitment / deliverable]]="",CommitmentsTable[[#This Row],[Immutable Key]]=""),"",SUBSTITUTE(CommitmentsTable[[#This Row],[Immutable Key]],"-K-","-"))</f>
        <v/>
      </c>
      <c r="B195" s="233"/>
      <c r="C195" s="233"/>
      <c r="D195" s="213"/>
      <c r="E195" s="230"/>
      <c r="F195" s="213"/>
      <c r="G195" s="245" t="str">
        <f ca="1">IF(CommitmentsTable[[#This Row],[Commitment / deliverable]]="","",IF(CommitmentsTable[[#This Row],[Date record entered]]="",TODAY(),CommitmentsTable[[#This Row],[Date record entered]]))</f>
        <v/>
      </c>
      <c r="H195" s="245"/>
      <c r="I195" s="245" t="str">
        <f ca="1">IF(CommitmentsTable[[#This Row],[Date Assigned if different from entry date]]&lt;&gt;"",CommitmentsTable[[#This Row],[Date Assigned if different from entry date]]+90,IF(CommitmentsTable[[#This Row],[Date record entered]]&lt;&gt;"",CommitmentsTable[[#This Row],[Date record entered]]+90,""))</f>
        <v/>
      </c>
      <c r="J195" s="245" t="str">
        <f ca="1">IF(CommitmentsTable[[#This Row],[Date Assigned if different from entry date]]&lt;&gt;"",CommitmentsTable[[#This Row],[Date Assigned if different from entry date]]+30,IF(CommitmentsTable[[#This Row],[Date record entered]]&lt;&gt;"",CommitmentsTable[[#This Row],[Date record entered]]+30,""))</f>
        <v/>
      </c>
      <c r="K195" s="245"/>
      <c r="L195" s="245" t="str">
        <f ca="1">IF(CommitmentsTable[[#This Row],[Date Assigned if different from entry date]]&lt;&gt;"",CommitmentsTable[[#This Row],[Date Assigned if different from entry date]]+60,IF(CommitmentsTable[[#This Row],[Date record entered]]&lt;&gt;"",CommitmentsTable[[#This Row],[Date record entered]]+60,""))</f>
        <v/>
      </c>
      <c r="M195" s="214"/>
      <c r="N195" s="214"/>
      <c r="O195" s="236"/>
      <c r="P195" s="214"/>
      <c r="Q195" s="214"/>
      <c r="R195" s="214"/>
      <c r="S195" s="238" t="str">
        <f>IF(CommitmentsTable[[#This Row],[Commitment / deliverable]]="","",IF(CommitmentsTable[[#This Row],[Revised due]]&lt;&gt;"",CommitmentsTable[[#This Row],[Revised due]],CommitmentsTable[[#This Row],[Original due]]))</f>
        <v/>
      </c>
      <c r="T195" s="237" t="str">
        <f>IF(OR(CommitmentsTable[[#This Row],[Commitment / deliverable]]="",CommitmentsTable[[#This Row],[Owner]]=""),"",IF(CommitmentsTable[[#This Row],[Status2]]="","Open",CommitmentsTable[[#This Row],[Status2]]))</f>
        <v/>
      </c>
      <c r="U195" s="237" t="str">
        <f t="shared" ca="1" si="2"/>
        <v/>
      </c>
      <c r="V195" s="233"/>
      <c r="W195" s="63" t="s">
        <v>1162</v>
      </c>
    </row>
    <row r="196" spans="1:23" ht="26.15" customHeight="1">
      <c r="A196" s="213" t="str">
        <f>IF(OR(CommitmentsTable[[#This Row],[Commitment / deliverable]]="",CommitmentsTable[[#This Row],[Immutable Key]]=""),"",SUBSTITUTE(CommitmentsTable[[#This Row],[Immutable Key]],"-K-","-"))</f>
        <v/>
      </c>
      <c r="B196" s="233"/>
      <c r="C196" s="233"/>
      <c r="D196" s="213"/>
      <c r="E196" s="230"/>
      <c r="F196" s="213"/>
      <c r="G196" s="245" t="str">
        <f ca="1">IF(CommitmentsTable[[#This Row],[Commitment / deliverable]]="","",IF(CommitmentsTable[[#This Row],[Date record entered]]="",TODAY(),CommitmentsTable[[#This Row],[Date record entered]]))</f>
        <v/>
      </c>
      <c r="H196" s="245"/>
      <c r="I196" s="245" t="str">
        <f ca="1">IF(CommitmentsTable[[#This Row],[Date Assigned if different from entry date]]&lt;&gt;"",CommitmentsTable[[#This Row],[Date Assigned if different from entry date]]+90,IF(CommitmentsTable[[#This Row],[Date record entered]]&lt;&gt;"",CommitmentsTable[[#This Row],[Date record entered]]+90,""))</f>
        <v/>
      </c>
      <c r="J196" s="245" t="str">
        <f ca="1">IF(CommitmentsTable[[#This Row],[Date Assigned if different from entry date]]&lt;&gt;"",CommitmentsTable[[#This Row],[Date Assigned if different from entry date]]+30,IF(CommitmentsTable[[#This Row],[Date record entered]]&lt;&gt;"",CommitmentsTable[[#This Row],[Date record entered]]+30,""))</f>
        <v/>
      </c>
      <c r="K196" s="245"/>
      <c r="L196" s="245" t="str">
        <f ca="1">IF(CommitmentsTable[[#This Row],[Date Assigned if different from entry date]]&lt;&gt;"",CommitmentsTable[[#This Row],[Date Assigned if different from entry date]]+60,IF(CommitmentsTable[[#This Row],[Date record entered]]&lt;&gt;"",CommitmentsTable[[#This Row],[Date record entered]]+60,""))</f>
        <v/>
      </c>
      <c r="M196" s="214"/>
      <c r="N196" s="214"/>
      <c r="O196" s="236"/>
      <c r="P196" s="214"/>
      <c r="Q196" s="214"/>
      <c r="R196" s="214"/>
      <c r="S196" s="238" t="str">
        <f>IF(CommitmentsTable[[#This Row],[Commitment / deliverable]]="","",IF(CommitmentsTable[[#This Row],[Revised due]]&lt;&gt;"",CommitmentsTable[[#This Row],[Revised due]],CommitmentsTable[[#This Row],[Original due]]))</f>
        <v/>
      </c>
      <c r="T196" s="237" t="str">
        <f>IF(OR(CommitmentsTable[[#This Row],[Commitment / deliverable]]="",CommitmentsTable[[#This Row],[Owner]]=""),"",IF(CommitmentsTable[[#This Row],[Status2]]="","Open",CommitmentsTable[[#This Row],[Status2]]))</f>
        <v/>
      </c>
      <c r="U196" s="237" t="str">
        <f t="shared" ca="1" si="2"/>
        <v/>
      </c>
      <c r="V196" s="233"/>
      <c r="W196" s="63" t="s">
        <v>1163</v>
      </c>
    </row>
    <row r="197" spans="1:23" ht="26.15" customHeight="1">
      <c r="A197" s="213" t="str">
        <f>IF(OR(CommitmentsTable[[#This Row],[Commitment / deliverable]]="",CommitmentsTable[[#This Row],[Immutable Key]]=""),"",SUBSTITUTE(CommitmentsTable[[#This Row],[Immutable Key]],"-K-","-"))</f>
        <v/>
      </c>
      <c r="B197" s="233"/>
      <c r="C197" s="233"/>
      <c r="D197" s="213"/>
      <c r="E197" s="230"/>
      <c r="F197" s="213"/>
      <c r="G197" s="245" t="str">
        <f ca="1">IF(CommitmentsTable[[#This Row],[Commitment / deliverable]]="","",IF(CommitmentsTable[[#This Row],[Date record entered]]="",TODAY(),CommitmentsTable[[#This Row],[Date record entered]]))</f>
        <v/>
      </c>
      <c r="H197" s="245"/>
      <c r="I197" s="245" t="str">
        <f ca="1">IF(CommitmentsTable[[#This Row],[Date Assigned if different from entry date]]&lt;&gt;"",CommitmentsTable[[#This Row],[Date Assigned if different from entry date]]+90,IF(CommitmentsTable[[#This Row],[Date record entered]]&lt;&gt;"",CommitmentsTable[[#This Row],[Date record entered]]+90,""))</f>
        <v/>
      </c>
      <c r="J197" s="245" t="str">
        <f ca="1">IF(CommitmentsTable[[#This Row],[Date Assigned if different from entry date]]&lt;&gt;"",CommitmentsTable[[#This Row],[Date Assigned if different from entry date]]+30,IF(CommitmentsTable[[#This Row],[Date record entered]]&lt;&gt;"",CommitmentsTable[[#This Row],[Date record entered]]+30,""))</f>
        <v/>
      </c>
      <c r="K197" s="245"/>
      <c r="L197" s="245" t="str">
        <f ca="1">IF(CommitmentsTable[[#This Row],[Date Assigned if different from entry date]]&lt;&gt;"",CommitmentsTable[[#This Row],[Date Assigned if different from entry date]]+60,IF(CommitmentsTable[[#This Row],[Date record entered]]&lt;&gt;"",CommitmentsTable[[#This Row],[Date record entered]]+60,""))</f>
        <v/>
      </c>
      <c r="M197" s="214"/>
      <c r="N197" s="214"/>
      <c r="O197" s="236"/>
      <c r="P197" s="214"/>
      <c r="Q197" s="214"/>
      <c r="R197" s="214"/>
      <c r="S197" s="238" t="str">
        <f>IF(CommitmentsTable[[#This Row],[Commitment / deliverable]]="","",IF(CommitmentsTable[[#This Row],[Revised due]]&lt;&gt;"",CommitmentsTable[[#This Row],[Revised due]],CommitmentsTable[[#This Row],[Original due]]))</f>
        <v/>
      </c>
      <c r="T197" s="237" t="str">
        <f>IF(OR(CommitmentsTable[[#This Row],[Commitment / deliverable]]="",CommitmentsTable[[#This Row],[Owner]]=""),"",IF(CommitmentsTable[[#This Row],[Status2]]="","Open",CommitmentsTable[[#This Row],[Status2]]))</f>
        <v/>
      </c>
      <c r="U197" s="237" t="str">
        <f t="shared" ca="1" si="2"/>
        <v/>
      </c>
      <c r="V197" s="233"/>
      <c r="W197" s="63" t="s">
        <v>1164</v>
      </c>
    </row>
    <row r="198" spans="1:23" ht="26.15" customHeight="1">
      <c r="A198" s="213" t="str">
        <f>IF(OR(CommitmentsTable[[#This Row],[Commitment / deliverable]]="",CommitmentsTable[[#This Row],[Immutable Key]]=""),"",SUBSTITUTE(CommitmentsTable[[#This Row],[Immutable Key]],"-K-","-"))</f>
        <v/>
      </c>
      <c r="B198" s="233"/>
      <c r="C198" s="233"/>
      <c r="D198" s="213"/>
      <c r="E198" s="230"/>
      <c r="F198" s="213"/>
      <c r="G198" s="245" t="str">
        <f ca="1">IF(CommitmentsTable[[#This Row],[Commitment / deliverable]]="","",IF(CommitmentsTable[[#This Row],[Date record entered]]="",TODAY(),CommitmentsTable[[#This Row],[Date record entered]]))</f>
        <v/>
      </c>
      <c r="H198" s="245"/>
      <c r="I198" s="245" t="str">
        <f ca="1">IF(CommitmentsTable[[#This Row],[Date Assigned if different from entry date]]&lt;&gt;"",CommitmentsTable[[#This Row],[Date Assigned if different from entry date]]+90,IF(CommitmentsTable[[#This Row],[Date record entered]]&lt;&gt;"",CommitmentsTable[[#This Row],[Date record entered]]+90,""))</f>
        <v/>
      </c>
      <c r="J198" s="245" t="str">
        <f ca="1">IF(CommitmentsTable[[#This Row],[Date Assigned if different from entry date]]&lt;&gt;"",CommitmentsTable[[#This Row],[Date Assigned if different from entry date]]+30,IF(CommitmentsTable[[#This Row],[Date record entered]]&lt;&gt;"",CommitmentsTable[[#This Row],[Date record entered]]+30,""))</f>
        <v/>
      </c>
      <c r="K198" s="245"/>
      <c r="L198" s="245" t="str">
        <f ca="1">IF(CommitmentsTable[[#This Row],[Date Assigned if different from entry date]]&lt;&gt;"",CommitmentsTable[[#This Row],[Date Assigned if different from entry date]]+60,IF(CommitmentsTable[[#This Row],[Date record entered]]&lt;&gt;"",CommitmentsTable[[#This Row],[Date record entered]]+60,""))</f>
        <v/>
      </c>
      <c r="M198" s="214"/>
      <c r="N198" s="214"/>
      <c r="O198" s="236"/>
      <c r="P198" s="214"/>
      <c r="Q198" s="214"/>
      <c r="R198" s="214"/>
      <c r="S198" s="238" t="str">
        <f>IF(CommitmentsTable[[#This Row],[Commitment / deliverable]]="","",IF(CommitmentsTable[[#This Row],[Revised due]]&lt;&gt;"",CommitmentsTable[[#This Row],[Revised due]],CommitmentsTable[[#This Row],[Original due]]))</f>
        <v/>
      </c>
      <c r="T198" s="237" t="str">
        <f>IF(OR(CommitmentsTable[[#This Row],[Commitment / deliverable]]="",CommitmentsTable[[#This Row],[Owner]]=""),"",IF(CommitmentsTable[[#This Row],[Status2]]="","Open",CommitmentsTable[[#This Row],[Status2]]))</f>
        <v/>
      </c>
      <c r="U198" s="237" t="str">
        <f t="shared" ca="1" si="2"/>
        <v/>
      </c>
      <c r="V198" s="233"/>
      <c r="W198" s="63" t="s">
        <v>1165</v>
      </c>
    </row>
    <row r="199" spans="1:23" ht="26.15" customHeight="1">
      <c r="A199" s="213" t="str">
        <f>IF(OR(CommitmentsTable[[#This Row],[Commitment / deliverable]]="",CommitmentsTable[[#This Row],[Immutable Key]]=""),"",SUBSTITUTE(CommitmentsTable[[#This Row],[Immutable Key]],"-K-","-"))</f>
        <v/>
      </c>
      <c r="B199" s="233"/>
      <c r="C199" s="233"/>
      <c r="D199" s="213"/>
      <c r="E199" s="230"/>
      <c r="F199" s="213"/>
      <c r="G199" s="245" t="str">
        <f ca="1">IF(CommitmentsTable[[#This Row],[Commitment / deliverable]]="","",IF(CommitmentsTable[[#This Row],[Date record entered]]="",TODAY(),CommitmentsTable[[#This Row],[Date record entered]]))</f>
        <v/>
      </c>
      <c r="H199" s="245"/>
      <c r="I199" s="245" t="str">
        <f ca="1">IF(CommitmentsTable[[#This Row],[Date Assigned if different from entry date]]&lt;&gt;"",CommitmentsTable[[#This Row],[Date Assigned if different from entry date]]+90,IF(CommitmentsTable[[#This Row],[Date record entered]]&lt;&gt;"",CommitmentsTable[[#This Row],[Date record entered]]+90,""))</f>
        <v/>
      </c>
      <c r="J199" s="245" t="str">
        <f ca="1">IF(CommitmentsTable[[#This Row],[Date Assigned if different from entry date]]&lt;&gt;"",CommitmentsTable[[#This Row],[Date Assigned if different from entry date]]+30,IF(CommitmentsTable[[#This Row],[Date record entered]]&lt;&gt;"",CommitmentsTable[[#This Row],[Date record entered]]+30,""))</f>
        <v/>
      </c>
      <c r="K199" s="245"/>
      <c r="L199" s="245" t="str">
        <f ca="1">IF(CommitmentsTable[[#This Row],[Date Assigned if different from entry date]]&lt;&gt;"",CommitmentsTable[[#This Row],[Date Assigned if different from entry date]]+60,IF(CommitmentsTable[[#This Row],[Date record entered]]&lt;&gt;"",CommitmentsTable[[#This Row],[Date record entered]]+60,""))</f>
        <v/>
      </c>
      <c r="M199" s="214"/>
      <c r="N199" s="214"/>
      <c r="O199" s="236"/>
      <c r="P199" s="214"/>
      <c r="Q199" s="214"/>
      <c r="R199" s="214"/>
      <c r="S199" s="238" t="str">
        <f>IF(CommitmentsTable[[#This Row],[Commitment / deliverable]]="","",IF(CommitmentsTable[[#This Row],[Revised due]]&lt;&gt;"",CommitmentsTable[[#This Row],[Revised due]],CommitmentsTable[[#This Row],[Original due]]))</f>
        <v/>
      </c>
      <c r="T199" s="237" t="str">
        <f>IF(OR(CommitmentsTable[[#This Row],[Commitment / deliverable]]="",CommitmentsTable[[#This Row],[Owner]]=""),"",IF(CommitmentsTable[[#This Row],[Status2]]="","Open",CommitmentsTable[[#This Row],[Status2]]))</f>
        <v/>
      </c>
      <c r="U199" s="237" t="str">
        <f t="shared" ca="1" si="2"/>
        <v/>
      </c>
      <c r="V199" s="233"/>
      <c r="W199" s="63" t="s">
        <v>1166</v>
      </c>
    </row>
    <row r="200" spans="1:23" ht="26.15" customHeight="1">
      <c r="A200" s="213" t="str">
        <f>IF(OR(CommitmentsTable[[#This Row],[Commitment / deliverable]]="",CommitmentsTable[[#This Row],[Immutable Key]]=""),"",SUBSTITUTE(CommitmentsTable[[#This Row],[Immutable Key]],"-K-","-"))</f>
        <v/>
      </c>
      <c r="B200" s="233"/>
      <c r="C200" s="233"/>
      <c r="D200" s="213"/>
      <c r="E200" s="230"/>
      <c r="F200" s="213"/>
      <c r="G200" s="245" t="str">
        <f ca="1">IF(CommitmentsTable[[#This Row],[Commitment / deliverable]]="","",IF(CommitmentsTable[[#This Row],[Date record entered]]="",TODAY(),CommitmentsTable[[#This Row],[Date record entered]]))</f>
        <v/>
      </c>
      <c r="H200" s="245"/>
      <c r="I200" s="245" t="str">
        <f ca="1">IF(CommitmentsTable[[#This Row],[Date Assigned if different from entry date]]&lt;&gt;"",CommitmentsTable[[#This Row],[Date Assigned if different from entry date]]+90,IF(CommitmentsTable[[#This Row],[Date record entered]]&lt;&gt;"",CommitmentsTable[[#This Row],[Date record entered]]+90,""))</f>
        <v/>
      </c>
      <c r="J200" s="245" t="str">
        <f ca="1">IF(CommitmentsTable[[#This Row],[Date Assigned if different from entry date]]&lt;&gt;"",CommitmentsTable[[#This Row],[Date Assigned if different from entry date]]+30,IF(CommitmentsTable[[#This Row],[Date record entered]]&lt;&gt;"",CommitmentsTable[[#This Row],[Date record entered]]+30,""))</f>
        <v/>
      </c>
      <c r="K200" s="245"/>
      <c r="L200" s="245" t="str">
        <f ca="1">IF(CommitmentsTable[[#This Row],[Date Assigned if different from entry date]]&lt;&gt;"",CommitmentsTable[[#This Row],[Date Assigned if different from entry date]]+60,IF(CommitmentsTable[[#This Row],[Date record entered]]&lt;&gt;"",CommitmentsTable[[#This Row],[Date record entered]]+60,""))</f>
        <v/>
      </c>
      <c r="M200" s="214"/>
      <c r="N200" s="214"/>
      <c r="O200" s="236"/>
      <c r="P200" s="214"/>
      <c r="Q200" s="214"/>
      <c r="R200" s="214"/>
      <c r="S200" s="238" t="str">
        <f>IF(CommitmentsTable[[#This Row],[Commitment / deliverable]]="","",IF(CommitmentsTable[[#This Row],[Revised due]]&lt;&gt;"",CommitmentsTable[[#This Row],[Revised due]],CommitmentsTable[[#This Row],[Original due]]))</f>
        <v/>
      </c>
      <c r="T200" s="237" t="str">
        <f>IF(OR(CommitmentsTable[[#This Row],[Commitment / deliverable]]="",CommitmentsTable[[#This Row],[Owner]]=""),"",IF(CommitmentsTable[[#This Row],[Status2]]="","Open",CommitmentsTable[[#This Row],[Status2]]))</f>
        <v/>
      </c>
      <c r="U200" s="237" t="str">
        <f t="shared" ca="1" si="2"/>
        <v/>
      </c>
      <c r="V200" s="233"/>
      <c r="W200" s="63" t="s">
        <v>1167</v>
      </c>
    </row>
    <row r="201" spans="1:23" ht="26.15" customHeight="1">
      <c r="A201" s="213" t="str">
        <f>IF(OR(CommitmentsTable[[#This Row],[Commitment / deliverable]]="",CommitmentsTable[[#This Row],[Immutable Key]]=""),"",SUBSTITUTE(CommitmentsTable[[#This Row],[Immutable Key]],"-K-","-"))</f>
        <v/>
      </c>
      <c r="B201" s="233"/>
      <c r="C201" s="233"/>
      <c r="D201" s="213"/>
      <c r="E201" s="230"/>
      <c r="F201" s="213"/>
      <c r="G201" s="245" t="str">
        <f ca="1">IF(CommitmentsTable[[#This Row],[Commitment / deliverable]]="","",IF(CommitmentsTable[[#This Row],[Date record entered]]="",TODAY(),CommitmentsTable[[#This Row],[Date record entered]]))</f>
        <v/>
      </c>
      <c r="H201" s="245"/>
      <c r="I201" s="245" t="str">
        <f ca="1">IF(CommitmentsTable[[#This Row],[Date Assigned if different from entry date]]&lt;&gt;"",CommitmentsTable[[#This Row],[Date Assigned if different from entry date]]+90,IF(CommitmentsTable[[#This Row],[Date record entered]]&lt;&gt;"",CommitmentsTable[[#This Row],[Date record entered]]+90,""))</f>
        <v/>
      </c>
      <c r="J201" s="245" t="str">
        <f ca="1">IF(CommitmentsTable[[#This Row],[Date Assigned if different from entry date]]&lt;&gt;"",CommitmentsTable[[#This Row],[Date Assigned if different from entry date]]+30,IF(CommitmentsTable[[#This Row],[Date record entered]]&lt;&gt;"",CommitmentsTable[[#This Row],[Date record entered]]+30,""))</f>
        <v/>
      </c>
      <c r="K201" s="245"/>
      <c r="L201" s="245" t="str">
        <f ca="1">IF(CommitmentsTable[[#This Row],[Date Assigned if different from entry date]]&lt;&gt;"",CommitmentsTable[[#This Row],[Date Assigned if different from entry date]]+60,IF(CommitmentsTable[[#This Row],[Date record entered]]&lt;&gt;"",CommitmentsTable[[#This Row],[Date record entered]]+60,""))</f>
        <v/>
      </c>
      <c r="M201" s="214"/>
      <c r="N201" s="214"/>
      <c r="O201" s="236"/>
      <c r="P201" s="214"/>
      <c r="Q201" s="214"/>
      <c r="R201" s="214"/>
      <c r="S201" s="238" t="str">
        <f>IF(CommitmentsTable[[#This Row],[Commitment / deliverable]]="","",IF(CommitmentsTable[[#This Row],[Revised due]]&lt;&gt;"",CommitmentsTable[[#This Row],[Revised due]],CommitmentsTable[[#This Row],[Original due]]))</f>
        <v/>
      </c>
      <c r="T201" s="237" t="str">
        <f>IF(OR(CommitmentsTable[[#This Row],[Commitment / deliverable]]="",CommitmentsTable[[#This Row],[Owner]]=""),"",IF(CommitmentsTable[[#This Row],[Status2]]="","Open",CommitmentsTable[[#This Row],[Status2]]))</f>
        <v/>
      </c>
      <c r="U201" s="237" t="str">
        <f t="shared" ca="1" si="2"/>
        <v/>
      </c>
      <c r="V201" s="233"/>
      <c r="W201" s="63" t="s">
        <v>1168</v>
      </c>
    </row>
    <row r="202" spans="1:23" ht="26.15" customHeight="1">
      <c r="A202" s="213" t="str">
        <f>IF(OR(CommitmentsTable[[#This Row],[Commitment / deliverable]]="",CommitmentsTable[[#This Row],[Immutable Key]]=""),"",SUBSTITUTE(CommitmentsTable[[#This Row],[Immutable Key]],"-K-","-"))</f>
        <v/>
      </c>
      <c r="B202" s="233"/>
      <c r="C202" s="233"/>
      <c r="D202" s="213"/>
      <c r="E202" s="230"/>
      <c r="F202" s="213"/>
      <c r="G202" s="245" t="str">
        <f ca="1">IF(CommitmentsTable[[#This Row],[Commitment / deliverable]]="","",IF(CommitmentsTable[[#This Row],[Date record entered]]="",TODAY(),CommitmentsTable[[#This Row],[Date record entered]]))</f>
        <v/>
      </c>
      <c r="H202" s="245"/>
      <c r="I202" s="245" t="str">
        <f ca="1">IF(CommitmentsTable[[#This Row],[Date Assigned if different from entry date]]&lt;&gt;"",CommitmentsTable[[#This Row],[Date Assigned if different from entry date]]+90,IF(CommitmentsTable[[#This Row],[Date record entered]]&lt;&gt;"",CommitmentsTable[[#This Row],[Date record entered]]+90,""))</f>
        <v/>
      </c>
      <c r="J202" s="245" t="str">
        <f ca="1">IF(CommitmentsTable[[#This Row],[Date Assigned if different from entry date]]&lt;&gt;"",CommitmentsTable[[#This Row],[Date Assigned if different from entry date]]+30,IF(CommitmentsTable[[#This Row],[Date record entered]]&lt;&gt;"",CommitmentsTable[[#This Row],[Date record entered]]+30,""))</f>
        <v/>
      </c>
      <c r="K202" s="245"/>
      <c r="L202" s="245" t="str">
        <f ca="1">IF(CommitmentsTable[[#This Row],[Date Assigned if different from entry date]]&lt;&gt;"",CommitmentsTable[[#This Row],[Date Assigned if different from entry date]]+60,IF(CommitmentsTable[[#This Row],[Date record entered]]&lt;&gt;"",CommitmentsTable[[#This Row],[Date record entered]]+60,""))</f>
        <v/>
      </c>
      <c r="M202" s="214"/>
      <c r="N202" s="214"/>
      <c r="O202" s="236"/>
      <c r="P202" s="214"/>
      <c r="Q202" s="214"/>
      <c r="R202" s="214"/>
      <c r="S202" s="238" t="str">
        <f>IF(CommitmentsTable[[#This Row],[Commitment / deliverable]]="","",IF(CommitmentsTable[[#This Row],[Revised due]]&lt;&gt;"",CommitmentsTable[[#This Row],[Revised due]],CommitmentsTable[[#This Row],[Original due]]))</f>
        <v/>
      </c>
      <c r="T202" s="237" t="str">
        <f>IF(OR(CommitmentsTable[[#This Row],[Commitment / deliverable]]="",CommitmentsTable[[#This Row],[Owner]]=""),"",IF(CommitmentsTable[[#This Row],[Status2]]="","Open",CommitmentsTable[[#This Row],[Status2]]))</f>
        <v/>
      </c>
      <c r="U202" s="237" t="str">
        <f t="shared" ca="1" si="2"/>
        <v/>
      </c>
      <c r="V202" s="233"/>
      <c r="W202" s="63" t="s">
        <v>1169</v>
      </c>
    </row>
    <row r="203" spans="1:23" ht="26.15" customHeight="1">
      <c r="A203" s="213" t="str">
        <f>IF(OR(CommitmentsTable[[#This Row],[Commitment / deliverable]]="",CommitmentsTable[[#This Row],[Immutable Key]]=""),"",SUBSTITUTE(CommitmentsTable[[#This Row],[Immutable Key]],"-K-","-"))</f>
        <v/>
      </c>
      <c r="B203" s="233"/>
      <c r="C203" s="233"/>
      <c r="D203" s="213"/>
      <c r="E203" s="230"/>
      <c r="F203" s="213"/>
      <c r="G203" s="245" t="str">
        <f ca="1">IF(CommitmentsTable[[#This Row],[Commitment / deliverable]]="","",IF(CommitmentsTable[[#This Row],[Date record entered]]="",TODAY(),CommitmentsTable[[#This Row],[Date record entered]]))</f>
        <v/>
      </c>
      <c r="H203" s="245"/>
      <c r="I203" s="245" t="str">
        <f ca="1">IF(CommitmentsTable[[#This Row],[Date Assigned if different from entry date]]&lt;&gt;"",CommitmentsTable[[#This Row],[Date Assigned if different from entry date]]+90,IF(CommitmentsTable[[#This Row],[Date record entered]]&lt;&gt;"",CommitmentsTable[[#This Row],[Date record entered]]+90,""))</f>
        <v/>
      </c>
      <c r="J203" s="245" t="str">
        <f ca="1">IF(CommitmentsTable[[#This Row],[Date Assigned if different from entry date]]&lt;&gt;"",CommitmentsTable[[#This Row],[Date Assigned if different from entry date]]+30,IF(CommitmentsTable[[#This Row],[Date record entered]]&lt;&gt;"",CommitmentsTable[[#This Row],[Date record entered]]+30,""))</f>
        <v/>
      </c>
      <c r="K203" s="245"/>
      <c r="L203" s="245" t="str">
        <f ca="1">IF(CommitmentsTable[[#This Row],[Date Assigned if different from entry date]]&lt;&gt;"",CommitmentsTable[[#This Row],[Date Assigned if different from entry date]]+60,IF(CommitmentsTable[[#This Row],[Date record entered]]&lt;&gt;"",CommitmentsTable[[#This Row],[Date record entered]]+60,""))</f>
        <v/>
      </c>
      <c r="M203" s="214"/>
      <c r="N203" s="214"/>
      <c r="O203" s="236"/>
      <c r="P203" s="214"/>
      <c r="Q203" s="214"/>
      <c r="R203" s="214"/>
      <c r="S203" s="238" t="str">
        <f>IF(CommitmentsTable[[#This Row],[Commitment / deliverable]]="","",IF(CommitmentsTable[[#This Row],[Revised due]]&lt;&gt;"",CommitmentsTable[[#This Row],[Revised due]],CommitmentsTable[[#This Row],[Original due]]))</f>
        <v/>
      </c>
      <c r="T203" s="237" t="str">
        <f>IF(OR(CommitmentsTable[[#This Row],[Commitment / deliverable]]="",CommitmentsTable[[#This Row],[Owner]]=""),"",IF(CommitmentsTable[[#This Row],[Status2]]="","Open",CommitmentsTable[[#This Row],[Status2]]))</f>
        <v/>
      </c>
      <c r="U203" s="237" t="str">
        <f t="shared" ca="1" si="2"/>
        <v/>
      </c>
      <c r="V203" s="233"/>
      <c r="W203" s="63" t="s">
        <v>1170</v>
      </c>
    </row>
    <row r="204" spans="1:23" ht="26.15" customHeight="1">
      <c r="A204" s="213" t="str">
        <f>IF(OR(CommitmentsTable[[#This Row],[Commitment / deliverable]]="",CommitmentsTable[[#This Row],[Immutable Key]]=""),"",SUBSTITUTE(CommitmentsTable[[#This Row],[Immutable Key]],"-K-","-"))</f>
        <v/>
      </c>
      <c r="B204" s="233"/>
      <c r="C204" s="233"/>
      <c r="D204" s="213"/>
      <c r="E204" s="230"/>
      <c r="F204" s="213"/>
      <c r="G204" s="245" t="str">
        <f ca="1">IF(CommitmentsTable[[#This Row],[Commitment / deliverable]]="","",IF(CommitmentsTable[[#This Row],[Date record entered]]="",TODAY(),CommitmentsTable[[#This Row],[Date record entered]]))</f>
        <v/>
      </c>
      <c r="H204" s="245"/>
      <c r="I204" s="245" t="str">
        <f ca="1">IF(CommitmentsTable[[#This Row],[Date Assigned if different from entry date]]&lt;&gt;"",CommitmentsTable[[#This Row],[Date Assigned if different from entry date]]+90,IF(CommitmentsTable[[#This Row],[Date record entered]]&lt;&gt;"",CommitmentsTable[[#This Row],[Date record entered]]+90,""))</f>
        <v/>
      </c>
      <c r="J204" s="245" t="str">
        <f ca="1">IF(CommitmentsTable[[#This Row],[Date Assigned if different from entry date]]&lt;&gt;"",CommitmentsTable[[#This Row],[Date Assigned if different from entry date]]+30,IF(CommitmentsTable[[#This Row],[Date record entered]]&lt;&gt;"",CommitmentsTable[[#This Row],[Date record entered]]+30,""))</f>
        <v/>
      </c>
      <c r="K204" s="245"/>
      <c r="L204" s="245" t="str">
        <f ca="1">IF(CommitmentsTable[[#This Row],[Date Assigned if different from entry date]]&lt;&gt;"",CommitmentsTable[[#This Row],[Date Assigned if different from entry date]]+60,IF(CommitmentsTable[[#This Row],[Date record entered]]&lt;&gt;"",CommitmentsTable[[#This Row],[Date record entered]]+60,""))</f>
        <v/>
      </c>
      <c r="M204" s="214"/>
      <c r="N204" s="214"/>
      <c r="O204" s="236"/>
      <c r="P204" s="214"/>
      <c r="Q204" s="214"/>
      <c r="R204" s="214"/>
      <c r="S204" s="238" t="str">
        <f>IF(CommitmentsTable[[#This Row],[Commitment / deliverable]]="","",IF(CommitmentsTable[[#This Row],[Revised due]]&lt;&gt;"",CommitmentsTable[[#This Row],[Revised due]],CommitmentsTable[[#This Row],[Original due]]))</f>
        <v/>
      </c>
      <c r="T204" s="237" t="str">
        <f>IF(OR(CommitmentsTable[[#This Row],[Commitment / deliverable]]="",CommitmentsTable[[#This Row],[Owner]]=""),"",IF(CommitmentsTable[[#This Row],[Status2]]="","Open",CommitmentsTable[[#This Row],[Status2]]))</f>
        <v/>
      </c>
      <c r="U204" s="237" t="str">
        <f t="shared" ca="1" si="2"/>
        <v/>
      </c>
      <c r="V204" s="233"/>
      <c r="W204" s="63" t="s">
        <v>1171</v>
      </c>
    </row>
    <row r="205" spans="1:23" ht="26.15" customHeight="1">
      <c r="A205" s="213" t="str">
        <f>IF(OR(CommitmentsTable[[#This Row],[Commitment / deliverable]]="",CommitmentsTable[[#This Row],[Immutable Key]]=""),"",SUBSTITUTE(CommitmentsTable[[#This Row],[Immutable Key]],"-K-","-"))</f>
        <v/>
      </c>
      <c r="B205" s="233"/>
      <c r="C205" s="233"/>
      <c r="D205" s="213"/>
      <c r="E205" s="230"/>
      <c r="F205" s="213"/>
      <c r="G205" s="245" t="str">
        <f ca="1">IF(CommitmentsTable[[#This Row],[Commitment / deliverable]]="","",IF(CommitmentsTable[[#This Row],[Date record entered]]="",TODAY(),CommitmentsTable[[#This Row],[Date record entered]]))</f>
        <v/>
      </c>
      <c r="H205" s="245"/>
      <c r="I205" s="245" t="str">
        <f ca="1">IF(CommitmentsTable[[#This Row],[Date Assigned if different from entry date]]&lt;&gt;"",CommitmentsTable[[#This Row],[Date Assigned if different from entry date]]+90,IF(CommitmentsTable[[#This Row],[Date record entered]]&lt;&gt;"",CommitmentsTable[[#This Row],[Date record entered]]+90,""))</f>
        <v/>
      </c>
      <c r="J205" s="245" t="str">
        <f ca="1">IF(CommitmentsTable[[#This Row],[Date Assigned if different from entry date]]&lt;&gt;"",CommitmentsTable[[#This Row],[Date Assigned if different from entry date]]+30,IF(CommitmentsTable[[#This Row],[Date record entered]]&lt;&gt;"",CommitmentsTable[[#This Row],[Date record entered]]+30,""))</f>
        <v/>
      </c>
      <c r="K205" s="245"/>
      <c r="L205" s="245" t="str">
        <f ca="1">IF(CommitmentsTable[[#This Row],[Date Assigned if different from entry date]]&lt;&gt;"",CommitmentsTable[[#This Row],[Date Assigned if different from entry date]]+60,IF(CommitmentsTable[[#This Row],[Date record entered]]&lt;&gt;"",CommitmentsTable[[#This Row],[Date record entered]]+60,""))</f>
        <v/>
      </c>
      <c r="M205" s="214"/>
      <c r="N205" s="214"/>
      <c r="O205" s="236"/>
      <c r="P205" s="214"/>
      <c r="Q205" s="214"/>
      <c r="R205" s="214"/>
      <c r="S205" s="238" t="str">
        <f>IF(CommitmentsTable[[#This Row],[Commitment / deliverable]]="","",IF(CommitmentsTable[[#This Row],[Revised due]]&lt;&gt;"",CommitmentsTable[[#This Row],[Revised due]],CommitmentsTable[[#This Row],[Original due]]))</f>
        <v/>
      </c>
      <c r="T205" s="237" t="str">
        <f>IF(OR(CommitmentsTable[[#This Row],[Commitment / deliverable]]="",CommitmentsTable[[#This Row],[Owner]]=""),"",IF(CommitmentsTable[[#This Row],[Status2]]="","Open",CommitmentsTable[[#This Row],[Status2]]))</f>
        <v/>
      </c>
      <c r="U205" s="237" t="str">
        <f t="shared" ref="U205:U268" ca="1" si="3">IF(B205="","",IF(T205="Closed","",IF(OR(T205="Slipped",T205="At risk",AND(S205&lt;&gt;"",S205&lt;TODAY())),"Slipped / at risk",IF(G205=TODAY(),"New today",IF(S205=TODAY()+1,"Due tomorrow","")))))</f>
        <v/>
      </c>
      <c r="V205" s="233"/>
      <c r="W205" s="63" t="s">
        <v>1172</v>
      </c>
    </row>
    <row r="206" spans="1:23" ht="26.15" customHeight="1">
      <c r="A206" s="213" t="str">
        <f>IF(OR(CommitmentsTable[[#This Row],[Commitment / deliverable]]="",CommitmentsTable[[#This Row],[Immutable Key]]=""),"",SUBSTITUTE(CommitmentsTable[[#This Row],[Immutable Key]],"-K-","-"))</f>
        <v/>
      </c>
      <c r="B206" s="233"/>
      <c r="C206" s="233"/>
      <c r="D206" s="213"/>
      <c r="E206" s="230"/>
      <c r="F206" s="213"/>
      <c r="G206" s="245" t="str">
        <f ca="1">IF(CommitmentsTable[[#This Row],[Commitment / deliverable]]="","",IF(CommitmentsTable[[#This Row],[Date record entered]]="",TODAY(),CommitmentsTable[[#This Row],[Date record entered]]))</f>
        <v/>
      </c>
      <c r="H206" s="245"/>
      <c r="I206" s="245" t="str">
        <f ca="1">IF(CommitmentsTable[[#This Row],[Date Assigned if different from entry date]]&lt;&gt;"",CommitmentsTable[[#This Row],[Date Assigned if different from entry date]]+90,IF(CommitmentsTable[[#This Row],[Date record entered]]&lt;&gt;"",CommitmentsTable[[#This Row],[Date record entered]]+90,""))</f>
        <v/>
      </c>
      <c r="J206" s="245" t="str">
        <f ca="1">IF(CommitmentsTable[[#This Row],[Date Assigned if different from entry date]]&lt;&gt;"",CommitmentsTable[[#This Row],[Date Assigned if different from entry date]]+30,IF(CommitmentsTable[[#This Row],[Date record entered]]&lt;&gt;"",CommitmentsTable[[#This Row],[Date record entered]]+30,""))</f>
        <v/>
      </c>
      <c r="K206" s="245"/>
      <c r="L206" s="245" t="str">
        <f ca="1">IF(CommitmentsTable[[#This Row],[Date Assigned if different from entry date]]&lt;&gt;"",CommitmentsTable[[#This Row],[Date Assigned if different from entry date]]+60,IF(CommitmentsTable[[#This Row],[Date record entered]]&lt;&gt;"",CommitmentsTable[[#This Row],[Date record entered]]+60,""))</f>
        <v/>
      </c>
      <c r="M206" s="214"/>
      <c r="N206" s="214"/>
      <c r="O206" s="236"/>
      <c r="P206" s="214"/>
      <c r="Q206" s="214"/>
      <c r="R206" s="214"/>
      <c r="S206" s="238" t="str">
        <f>IF(CommitmentsTable[[#This Row],[Commitment / deliverable]]="","",IF(CommitmentsTable[[#This Row],[Revised due]]&lt;&gt;"",CommitmentsTable[[#This Row],[Revised due]],CommitmentsTable[[#This Row],[Original due]]))</f>
        <v/>
      </c>
      <c r="T206" s="237" t="str">
        <f>IF(OR(CommitmentsTable[[#This Row],[Commitment / deliverable]]="",CommitmentsTable[[#This Row],[Owner]]=""),"",IF(CommitmentsTable[[#This Row],[Status2]]="","Open",CommitmentsTable[[#This Row],[Status2]]))</f>
        <v/>
      </c>
      <c r="U206" s="237" t="str">
        <f t="shared" ca="1" si="3"/>
        <v/>
      </c>
      <c r="V206" s="233"/>
      <c r="W206" s="63" t="s">
        <v>1173</v>
      </c>
    </row>
    <row r="207" spans="1:23" ht="26.15" customHeight="1">
      <c r="A207" s="213" t="str">
        <f>IF(OR(CommitmentsTable[[#This Row],[Commitment / deliverable]]="",CommitmentsTable[[#This Row],[Immutable Key]]=""),"",SUBSTITUTE(CommitmentsTable[[#This Row],[Immutable Key]],"-K-","-"))</f>
        <v/>
      </c>
      <c r="B207" s="233"/>
      <c r="C207" s="233"/>
      <c r="D207" s="213"/>
      <c r="E207" s="230"/>
      <c r="F207" s="213"/>
      <c r="G207" s="245" t="str">
        <f ca="1">IF(CommitmentsTable[[#This Row],[Commitment / deliverable]]="","",IF(CommitmentsTable[[#This Row],[Date record entered]]="",TODAY(),CommitmentsTable[[#This Row],[Date record entered]]))</f>
        <v/>
      </c>
      <c r="H207" s="245"/>
      <c r="I207" s="245" t="str">
        <f ca="1">IF(CommitmentsTable[[#This Row],[Date Assigned if different from entry date]]&lt;&gt;"",CommitmentsTable[[#This Row],[Date Assigned if different from entry date]]+90,IF(CommitmentsTable[[#This Row],[Date record entered]]&lt;&gt;"",CommitmentsTable[[#This Row],[Date record entered]]+90,""))</f>
        <v/>
      </c>
      <c r="J207" s="245" t="str">
        <f ca="1">IF(CommitmentsTable[[#This Row],[Date Assigned if different from entry date]]&lt;&gt;"",CommitmentsTable[[#This Row],[Date Assigned if different from entry date]]+30,IF(CommitmentsTable[[#This Row],[Date record entered]]&lt;&gt;"",CommitmentsTable[[#This Row],[Date record entered]]+30,""))</f>
        <v/>
      </c>
      <c r="K207" s="245"/>
      <c r="L207" s="245" t="str">
        <f ca="1">IF(CommitmentsTable[[#This Row],[Date Assigned if different from entry date]]&lt;&gt;"",CommitmentsTable[[#This Row],[Date Assigned if different from entry date]]+60,IF(CommitmentsTable[[#This Row],[Date record entered]]&lt;&gt;"",CommitmentsTable[[#This Row],[Date record entered]]+60,""))</f>
        <v/>
      </c>
      <c r="M207" s="214"/>
      <c r="N207" s="214"/>
      <c r="O207" s="236"/>
      <c r="P207" s="214"/>
      <c r="Q207" s="214"/>
      <c r="R207" s="214"/>
      <c r="S207" s="238" t="str">
        <f>IF(CommitmentsTable[[#This Row],[Commitment / deliverable]]="","",IF(CommitmentsTable[[#This Row],[Revised due]]&lt;&gt;"",CommitmentsTable[[#This Row],[Revised due]],CommitmentsTable[[#This Row],[Original due]]))</f>
        <v/>
      </c>
      <c r="T207" s="237" t="str">
        <f>IF(OR(CommitmentsTable[[#This Row],[Commitment / deliverable]]="",CommitmentsTable[[#This Row],[Owner]]=""),"",IF(CommitmentsTable[[#This Row],[Status2]]="","Open",CommitmentsTable[[#This Row],[Status2]]))</f>
        <v/>
      </c>
      <c r="U207" s="237" t="str">
        <f t="shared" ca="1" si="3"/>
        <v/>
      </c>
      <c r="V207" s="233"/>
      <c r="W207" s="63" t="s">
        <v>1174</v>
      </c>
    </row>
    <row r="208" spans="1:23" ht="26.15" customHeight="1">
      <c r="A208" s="213" t="str">
        <f>IF(OR(CommitmentsTable[[#This Row],[Commitment / deliverable]]="",CommitmentsTable[[#This Row],[Immutable Key]]=""),"",SUBSTITUTE(CommitmentsTable[[#This Row],[Immutable Key]],"-K-","-"))</f>
        <v/>
      </c>
      <c r="B208" s="233"/>
      <c r="C208" s="233"/>
      <c r="D208" s="213"/>
      <c r="E208" s="230"/>
      <c r="F208" s="213"/>
      <c r="G208" s="245" t="str">
        <f ca="1">IF(CommitmentsTable[[#This Row],[Commitment / deliverable]]="","",IF(CommitmentsTable[[#This Row],[Date record entered]]="",TODAY(),CommitmentsTable[[#This Row],[Date record entered]]))</f>
        <v/>
      </c>
      <c r="H208" s="245"/>
      <c r="I208" s="245" t="str">
        <f ca="1">IF(CommitmentsTable[[#This Row],[Date Assigned if different from entry date]]&lt;&gt;"",CommitmentsTable[[#This Row],[Date Assigned if different from entry date]]+90,IF(CommitmentsTable[[#This Row],[Date record entered]]&lt;&gt;"",CommitmentsTable[[#This Row],[Date record entered]]+90,""))</f>
        <v/>
      </c>
      <c r="J208" s="245" t="str">
        <f ca="1">IF(CommitmentsTable[[#This Row],[Date Assigned if different from entry date]]&lt;&gt;"",CommitmentsTable[[#This Row],[Date Assigned if different from entry date]]+30,IF(CommitmentsTable[[#This Row],[Date record entered]]&lt;&gt;"",CommitmentsTable[[#This Row],[Date record entered]]+30,""))</f>
        <v/>
      </c>
      <c r="K208" s="245"/>
      <c r="L208" s="245" t="str">
        <f ca="1">IF(CommitmentsTable[[#This Row],[Date Assigned if different from entry date]]&lt;&gt;"",CommitmentsTable[[#This Row],[Date Assigned if different from entry date]]+60,IF(CommitmentsTable[[#This Row],[Date record entered]]&lt;&gt;"",CommitmentsTable[[#This Row],[Date record entered]]+60,""))</f>
        <v/>
      </c>
      <c r="M208" s="214"/>
      <c r="N208" s="214"/>
      <c r="O208" s="236"/>
      <c r="P208" s="214"/>
      <c r="Q208" s="214"/>
      <c r="R208" s="214"/>
      <c r="S208" s="238" t="str">
        <f>IF(CommitmentsTable[[#This Row],[Commitment / deliverable]]="","",IF(CommitmentsTable[[#This Row],[Revised due]]&lt;&gt;"",CommitmentsTable[[#This Row],[Revised due]],CommitmentsTable[[#This Row],[Original due]]))</f>
        <v/>
      </c>
      <c r="T208" s="237" t="str">
        <f>IF(OR(CommitmentsTable[[#This Row],[Commitment / deliverable]]="",CommitmentsTable[[#This Row],[Owner]]=""),"",IF(CommitmentsTable[[#This Row],[Status2]]="","Open",CommitmentsTable[[#This Row],[Status2]]))</f>
        <v/>
      </c>
      <c r="U208" s="237" t="str">
        <f t="shared" ca="1" si="3"/>
        <v/>
      </c>
      <c r="V208" s="233"/>
      <c r="W208" s="63" t="s">
        <v>1175</v>
      </c>
    </row>
    <row r="209" spans="1:23" ht="26.15" customHeight="1">
      <c r="A209" s="213" t="str">
        <f>IF(OR(CommitmentsTable[[#This Row],[Commitment / deliverable]]="",CommitmentsTable[[#This Row],[Immutable Key]]=""),"",SUBSTITUTE(CommitmentsTable[[#This Row],[Immutable Key]],"-K-","-"))</f>
        <v/>
      </c>
      <c r="B209" s="233"/>
      <c r="C209" s="233"/>
      <c r="D209" s="213"/>
      <c r="E209" s="230"/>
      <c r="F209" s="213"/>
      <c r="G209" s="245" t="str">
        <f ca="1">IF(CommitmentsTable[[#This Row],[Commitment / deliverable]]="","",IF(CommitmentsTable[[#This Row],[Date record entered]]="",TODAY(),CommitmentsTable[[#This Row],[Date record entered]]))</f>
        <v/>
      </c>
      <c r="H209" s="245"/>
      <c r="I209" s="245" t="str">
        <f ca="1">IF(CommitmentsTable[[#This Row],[Date Assigned if different from entry date]]&lt;&gt;"",CommitmentsTable[[#This Row],[Date Assigned if different from entry date]]+90,IF(CommitmentsTable[[#This Row],[Date record entered]]&lt;&gt;"",CommitmentsTable[[#This Row],[Date record entered]]+90,""))</f>
        <v/>
      </c>
      <c r="J209" s="245" t="str">
        <f ca="1">IF(CommitmentsTable[[#This Row],[Date Assigned if different from entry date]]&lt;&gt;"",CommitmentsTable[[#This Row],[Date Assigned if different from entry date]]+30,IF(CommitmentsTable[[#This Row],[Date record entered]]&lt;&gt;"",CommitmentsTable[[#This Row],[Date record entered]]+30,""))</f>
        <v/>
      </c>
      <c r="K209" s="245"/>
      <c r="L209" s="245" t="str">
        <f ca="1">IF(CommitmentsTable[[#This Row],[Date Assigned if different from entry date]]&lt;&gt;"",CommitmentsTable[[#This Row],[Date Assigned if different from entry date]]+60,IF(CommitmentsTable[[#This Row],[Date record entered]]&lt;&gt;"",CommitmentsTable[[#This Row],[Date record entered]]+60,""))</f>
        <v/>
      </c>
      <c r="M209" s="214"/>
      <c r="N209" s="214"/>
      <c r="O209" s="236"/>
      <c r="P209" s="214"/>
      <c r="Q209" s="214"/>
      <c r="R209" s="214"/>
      <c r="S209" s="238" t="str">
        <f>IF(CommitmentsTable[[#This Row],[Commitment / deliverable]]="","",IF(CommitmentsTable[[#This Row],[Revised due]]&lt;&gt;"",CommitmentsTable[[#This Row],[Revised due]],CommitmentsTable[[#This Row],[Original due]]))</f>
        <v/>
      </c>
      <c r="T209" s="237" t="str">
        <f>IF(OR(CommitmentsTable[[#This Row],[Commitment / deliverable]]="",CommitmentsTable[[#This Row],[Owner]]=""),"",IF(CommitmentsTable[[#This Row],[Status2]]="","Open",CommitmentsTable[[#This Row],[Status2]]))</f>
        <v/>
      </c>
      <c r="U209" s="237" t="str">
        <f t="shared" ca="1" si="3"/>
        <v/>
      </c>
      <c r="V209" s="233"/>
      <c r="W209" s="63" t="s">
        <v>1176</v>
      </c>
    </row>
    <row r="210" spans="1:23" ht="26.15" customHeight="1">
      <c r="A210" s="213" t="str">
        <f>IF(OR(CommitmentsTable[[#This Row],[Commitment / deliverable]]="",CommitmentsTable[[#This Row],[Immutable Key]]=""),"",SUBSTITUTE(CommitmentsTable[[#This Row],[Immutable Key]],"-K-","-"))</f>
        <v/>
      </c>
      <c r="B210" s="233"/>
      <c r="C210" s="233"/>
      <c r="D210" s="213"/>
      <c r="E210" s="230"/>
      <c r="F210" s="213"/>
      <c r="G210" s="245" t="str">
        <f ca="1">IF(CommitmentsTable[[#This Row],[Commitment / deliverable]]="","",IF(CommitmentsTable[[#This Row],[Date record entered]]="",TODAY(),CommitmentsTable[[#This Row],[Date record entered]]))</f>
        <v/>
      </c>
      <c r="H210" s="245"/>
      <c r="I210" s="245" t="str">
        <f ca="1">IF(CommitmentsTable[[#This Row],[Date Assigned if different from entry date]]&lt;&gt;"",CommitmentsTable[[#This Row],[Date Assigned if different from entry date]]+90,IF(CommitmentsTable[[#This Row],[Date record entered]]&lt;&gt;"",CommitmentsTable[[#This Row],[Date record entered]]+90,""))</f>
        <v/>
      </c>
      <c r="J210" s="245" t="str">
        <f ca="1">IF(CommitmentsTable[[#This Row],[Date Assigned if different from entry date]]&lt;&gt;"",CommitmentsTable[[#This Row],[Date Assigned if different from entry date]]+30,IF(CommitmentsTable[[#This Row],[Date record entered]]&lt;&gt;"",CommitmentsTable[[#This Row],[Date record entered]]+30,""))</f>
        <v/>
      </c>
      <c r="K210" s="245"/>
      <c r="L210" s="245" t="str">
        <f ca="1">IF(CommitmentsTable[[#This Row],[Date Assigned if different from entry date]]&lt;&gt;"",CommitmentsTable[[#This Row],[Date Assigned if different from entry date]]+60,IF(CommitmentsTable[[#This Row],[Date record entered]]&lt;&gt;"",CommitmentsTable[[#This Row],[Date record entered]]+60,""))</f>
        <v/>
      </c>
      <c r="M210" s="214"/>
      <c r="N210" s="214"/>
      <c r="O210" s="236"/>
      <c r="P210" s="214"/>
      <c r="Q210" s="214"/>
      <c r="R210" s="214"/>
      <c r="S210" s="238" t="str">
        <f>IF(CommitmentsTable[[#This Row],[Commitment / deliverable]]="","",IF(CommitmentsTable[[#This Row],[Revised due]]&lt;&gt;"",CommitmentsTable[[#This Row],[Revised due]],CommitmentsTable[[#This Row],[Original due]]))</f>
        <v/>
      </c>
      <c r="T210" s="237" t="str">
        <f>IF(OR(CommitmentsTable[[#This Row],[Commitment / deliverable]]="",CommitmentsTable[[#This Row],[Owner]]=""),"",IF(CommitmentsTable[[#This Row],[Status2]]="","Open",CommitmentsTable[[#This Row],[Status2]]))</f>
        <v/>
      </c>
      <c r="U210" s="237" t="str">
        <f t="shared" ca="1" si="3"/>
        <v/>
      </c>
      <c r="V210" s="233"/>
      <c r="W210" s="63" t="s">
        <v>1177</v>
      </c>
    </row>
    <row r="211" spans="1:23" ht="26.15" customHeight="1">
      <c r="A211" s="213" t="str">
        <f>IF(OR(CommitmentsTable[[#This Row],[Commitment / deliverable]]="",CommitmentsTable[[#This Row],[Immutable Key]]=""),"",SUBSTITUTE(CommitmentsTable[[#This Row],[Immutable Key]],"-K-","-"))</f>
        <v/>
      </c>
      <c r="B211" s="233"/>
      <c r="C211" s="233"/>
      <c r="D211" s="213"/>
      <c r="E211" s="230"/>
      <c r="F211" s="213"/>
      <c r="G211" s="245" t="str">
        <f ca="1">IF(CommitmentsTable[[#This Row],[Commitment / deliverable]]="","",IF(CommitmentsTable[[#This Row],[Date record entered]]="",TODAY(),CommitmentsTable[[#This Row],[Date record entered]]))</f>
        <v/>
      </c>
      <c r="H211" s="245"/>
      <c r="I211" s="245" t="str">
        <f ca="1">IF(CommitmentsTable[[#This Row],[Date Assigned if different from entry date]]&lt;&gt;"",CommitmentsTable[[#This Row],[Date Assigned if different from entry date]]+90,IF(CommitmentsTable[[#This Row],[Date record entered]]&lt;&gt;"",CommitmentsTable[[#This Row],[Date record entered]]+90,""))</f>
        <v/>
      </c>
      <c r="J211" s="245" t="str">
        <f ca="1">IF(CommitmentsTable[[#This Row],[Date Assigned if different from entry date]]&lt;&gt;"",CommitmentsTable[[#This Row],[Date Assigned if different from entry date]]+30,IF(CommitmentsTable[[#This Row],[Date record entered]]&lt;&gt;"",CommitmentsTable[[#This Row],[Date record entered]]+30,""))</f>
        <v/>
      </c>
      <c r="K211" s="245"/>
      <c r="L211" s="245" t="str">
        <f ca="1">IF(CommitmentsTable[[#This Row],[Date Assigned if different from entry date]]&lt;&gt;"",CommitmentsTable[[#This Row],[Date Assigned if different from entry date]]+60,IF(CommitmentsTable[[#This Row],[Date record entered]]&lt;&gt;"",CommitmentsTable[[#This Row],[Date record entered]]+60,""))</f>
        <v/>
      </c>
      <c r="M211" s="214"/>
      <c r="N211" s="214"/>
      <c r="O211" s="236"/>
      <c r="P211" s="214"/>
      <c r="Q211" s="214"/>
      <c r="R211" s="214"/>
      <c r="S211" s="238" t="str">
        <f>IF(CommitmentsTable[[#This Row],[Commitment / deliverable]]="","",IF(CommitmentsTable[[#This Row],[Revised due]]&lt;&gt;"",CommitmentsTable[[#This Row],[Revised due]],CommitmentsTable[[#This Row],[Original due]]))</f>
        <v/>
      </c>
      <c r="T211" s="237" t="str">
        <f>IF(OR(CommitmentsTable[[#This Row],[Commitment / deliverable]]="",CommitmentsTable[[#This Row],[Owner]]=""),"",IF(CommitmentsTable[[#This Row],[Status2]]="","Open",CommitmentsTable[[#This Row],[Status2]]))</f>
        <v/>
      </c>
      <c r="U211" s="237" t="str">
        <f t="shared" ca="1" si="3"/>
        <v/>
      </c>
      <c r="V211" s="233"/>
      <c r="W211" s="63" t="s">
        <v>1178</v>
      </c>
    </row>
    <row r="212" spans="1:23" ht="26.15" customHeight="1">
      <c r="A212" s="213" t="str">
        <f>IF(OR(CommitmentsTable[[#This Row],[Commitment / deliverable]]="",CommitmentsTable[[#This Row],[Immutable Key]]=""),"",SUBSTITUTE(CommitmentsTable[[#This Row],[Immutable Key]],"-K-","-"))</f>
        <v/>
      </c>
      <c r="B212" s="233"/>
      <c r="C212" s="233"/>
      <c r="D212" s="213"/>
      <c r="E212" s="230"/>
      <c r="F212" s="213"/>
      <c r="G212" s="245" t="str">
        <f ca="1">IF(CommitmentsTable[[#This Row],[Commitment / deliverable]]="","",IF(CommitmentsTable[[#This Row],[Date record entered]]="",TODAY(),CommitmentsTable[[#This Row],[Date record entered]]))</f>
        <v/>
      </c>
      <c r="H212" s="245"/>
      <c r="I212" s="245" t="str">
        <f ca="1">IF(CommitmentsTable[[#This Row],[Date Assigned if different from entry date]]&lt;&gt;"",CommitmentsTable[[#This Row],[Date Assigned if different from entry date]]+90,IF(CommitmentsTable[[#This Row],[Date record entered]]&lt;&gt;"",CommitmentsTable[[#This Row],[Date record entered]]+90,""))</f>
        <v/>
      </c>
      <c r="J212" s="245" t="str">
        <f ca="1">IF(CommitmentsTable[[#This Row],[Date Assigned if different from entry date]]&lt;&gt;"",CommitmentsTable[[#This Row],[Date Assigned if different from entry date]]+30,IF(CommitmentsTable[[#This Row],[Date record entered]]&lt;&gt;"",CommitmentsTable[[#This Row],[Date record entered]]+30,""))</f>
        <v/>
      </c>
      <c r="K212" s="245"/>
      <c r="L212" s="245" t="str">
        <f ca="1">IF(CommitmentsTable[[#This Row],[Date Assigned if different from entry date]]&lt;&gt;"",CommitmentsTable[[#This Row],[Date Assigned if different from entry date]]+60,IF(CommitmentsTable[[#This Row],[Date record entered]]&lt;&gt;"",CommitmentsTable[[#This Row],[Date record entered]]+60,""))</f>
        <v/>
      </c>
      <c r="M212" s="214"/>
      <c r="N212" s="214"/>
      <c r="O212" s="236"/>
      <c r="P212" s="214"/>
      <c r="Q212" s="214"/>
      <c r="R212" s="214"/>
      <c r="S212" s="238" t="str">
        <f>IF(CommitmentsTable[[#This Row],[Commitment / deliverable]]="","",IF(CommitmentsTable[[#This Row],[Revised due]]&lt;&gt;"",CommitmentsTable[[#This Row],[Revised due]],CommitmentsTable[[#This Row],[Original due]]))</f>
        <v/>
      </c>
      <c r="T212" s="237" t="str">
        <f>IF(OR(CommitmentsTable[[#This Row],[Commitment / deliverable]]="",CommitmentsTable[[#This Row],[Owner]]=""),"",IF(CommitmentsTable[[#This Row],[Status2]]="","Open",CommitmentsTable[[#This Row],[Status2]]))</f>
        <v/>
      </c>
      <c r="U212" s="237" t="str">
        <f t="shared" ca="1" si="3"/>
        <v/>
      </c>
      <c r="V212" s="233"/>
      <c r="W212" s="63" t="s">
        <v>1179</v>
      </c>
    </row>
    <row r="213" spans="1:23" ht="39">
      <c r="A213" s="213" t="str">
        <f>IF(OR(CommitmentsTable[[#This Row],[Commitment / deliverable]]="",CommitmentsTable[[#This Row],[Immutable Key]]=""),"",SUBSTITUTE(CommitmentsTable[[#This Row],[Immutable Key]],"-K-","-"))</f>
        <v/>
      </c>
      <c r="B213" s="233"/>
      <c r="C213" s="233"/>
      <c r="D213" s="213"/>
      <c r="E213" s="230"/>
      <c r="F213" s="213"/>
      <c r="G213" s="245" t="str">
        <f ca="1">IF(CommitmentsTable[[#This Row],[Commitment / deliverable]]="","",IF(CommitmentsTable[[#This Row],[Date record entered]]="",TODAY(),CommitmentsTable[[#This Row],[Date record entered]]))</f>
        <v/>
      </c>
      <c r="H213" s="245"/>
      <c r="I213" s="245" t="str">
        <f ca="1">IF(CommitmentsTable[[#This Row],[Date Assigned if different from entry date]]&lt;&gt;"",CommitmentsTable[[#This Row],[Date Assigned if different from entry date]]+90,IF(CommitmentsTable[[#This Row],[Date record entered]]&lt;&gt;"",CommitmentsTable[[#This Row],[Date record entered]]+90,""))</f>
        <v/>
      </c>
      <c r="J213" s="245" t="str">
        <f ca="1">IF(CommitmentsTable[[#This Row],[Date Assigned if different from entry date]]&lt;&gt;"",CommitmentsTable[[#This Row],[Date Assigned if different from entry date]]+30,IF(CommitmentsTable[[#This Row],[Date record entered]]&lt;&gt;"",CommitmentsTable[[#This Row],[Date record entered]]+30,""))</f>
        <v/>
      </c>
      <c r="K213" s="245"/>
      <c r="L213" s="245" t="str">
        <f ca="1">IF(CommitmentsTable[[#This Row],[Date Assigned if different from entry date]]&lt;&gt;"",CommitmentsTable[[#This Row],[Date Assigned if different from entry date]]+60,IF(CommitmentsTable[[#This Row],[Date record entered]]&lt;&gt;"",CommitmentsTable[[#This Row],[Date record entered]]+60,""))</f>
        <v/>
      </c>
      <c r="M213" s="214"/>
      <c r="N213" s="214"/>
      <c r="O213" s="236"/>
      <c r="P213" s="214"/>
      <c r="Q213" s="214"/>
      <c r="R213" s="214"/>
      <c r="S213" s="238" t="str">
        <f>IF(CommitmentsTable[[#This Row],[Commitment / deliverable]]="","",IF(CommitmentsTable[[#This Row],[Revised due]]&lt;&gt;"",CommitmentsTable[[#This Row],[Revised due]],CommitmentsTable[[#This Row],[Original due]]))</f>
        <v/>
      </c>
      <c r="T213" s="237" t="str">
        <f>IF(OR(CommitmentsTable[[#This Row],[Commitment / deliverable]]="",CommitmentsTable[[#This Row],[Owner]]=""),"",IF(CommitmentsTable[[#This Row],[Status2]]="","Open",CommitmentsTable[[#This Row],[Status2]]))</f>
        <v/>
      </c>
      <c r="U213" s="237" t="str">
        <f t="shared" ca="1" si="3"/>
        <v/>
      </c>
      <c r="V213" s="233"/>
      <c r="W213" s="63" t="s">
        <v>1180</v>
      </c>
    </row>
    <row r="214" spans="1:23" ht="32.15" customHeight="1">
      <c r="A214" s="213" t="str">
        <f>IF(OR(CommitmentsTable[[#This Row],[Commitment / deliverable]]="",CommitmentsTable[[#This Row],[Immutable Key]]=""),"",SUBSTITUTE(CommitmentsTable[[#This Row],[Immutable Key]],"-K-","-"))</f>
        <v/>
      </c>
      <c r="B214" s="233"/>
      <c r="C214" s="233"/>
      <c r="D214" s="213"/>
      <c r="E214" s="230"/>
      <c r="F214" s="213"/>
      <c r="G214" s="245" t="str">
        <f ca="1">IF(CommitmentsTable[[#This Row],[Commitment / deliverable]]="","",IF(CommitmentsTable[[#This Row],[Date record entered]]="",TODAY(),CommitmentsTable[[#This Row],[Date record entered]]))</f>
        <v/>
      </c>
      <c r="H214" s="245"/>
      <c r="I214" s="245" t="str">
        <f ca="1">IF(CommitmentsTable[[#This Row],[Date Assigned if different from entry date]]&lt;&gt;"",CommitmentsTable[[#This Row],[Date Assigned if different from entry date]]+90,IF(CommitmentsTable[[#This Row],[Date record entered]]&lt;&gt;"",CommitmentsTable[[#This Row],[Date record entered]]+90,""))</f>
        <v/>
      </c>
      <c r="J214" s="245" t="str">
        <f ca="1">IF(CommitmentsTable[[#This Row],[Date Assigned if different from entry date]]&lt;&gt;"",CommitmentsTable[[#This Row],[Date Assigned if different from entry date]]+30,IF(CommitmentsTable[[#This Row],[Date record entered]]&lt;&gt;"",CommitmentsTable[[#This Row],[Date record entered]]+30,""))</f>
        <v/>
      </c>
      <c r="K214" s="245"/>
      <c r="L214" s="245" t="str">
        <f ca="1">IF(CommitmentsTable[[#This Row],[Date Assigned if different from entry date]]&lt;&gt;"",CommitmentsTable[[#This Row],[Date Assigned if different from entry date]]+60,IF(CommitmentsTable[[#This Row],[Date record entered]]&lt;&gt;"",CommitmentsTable[[#This Row],[Date record entered]]+60,""))</f>
        <v/>
      </c>
      <c r="M214" s="214"/>
      <c r="N214" s="214"/>
      <c r="O214" s="236"/>
      <c r="P214" s="214"/>
      <c r="Q214" s="214"/>
      <c r="R214" s="214"/>
      <c r="S214" s="238" t="str">
        <f>IF(CommitmentsTable[[#This Row],[Commitment / deliverable]]="","",IF(CommitmentsTable[[#This Row],[Revised due]]&lt;&gt;"",CommitmentsTable[[#This Row],[Revised due]],CommitmentsTable[[#This Row],[Original due]]))</f>
        <v/>
      </c>
      <c r="T214" s="237" t="str">
        <f>IF(OR(CommitmentsTable[[#This Row],[Commitment / deliverable]]="",CommitmentsTable[[#This Row],[Owner]]=""),"",IF(CommitmentsTable[[#This Row],[Status2]]="","Open",CommitmentsTable[[#This Row],[Status2]]))</f>
        <v/>
      </c>
      <c r="U214" s="237" t="str">
        <f t="shared" ca="1" si="3"/>
        <v/>
      </c>
      <c r="V214" s="233"/>
      <c r="W214" s="63" t="s">
        <v>1181</v>
      </c>
    </row>
    <row r="215" spans="1:23" ht="39">
      <c r="A215" s="213" t="str">
        <f>IF(OR(CommitmentsTable[[#This Row],[Commitment / deliverable]]="",CommitmentsTable[[#This Row],[Immutable Key]]=""),"",SUBSTITUTE(CommitmentsTable[[#This Row],[Immutable Key]],"-K-","-"))</f>
        <v/>
      </c>
      <c r="B215" s="233"/>
      <c r="C215" s="233"/>
      <c r="D215" s="213"/>
      <c r="E215" s="230"/>
      <c r="F215" s="213"/>
      <c r="G215" s="245" t="str">
        <f ca="1">IF(CommitmentsTable[[#This Row],[Commitment / deliverable]]="","",IF(CommitmentsTable[[#This Row],[Date record entered]]="",TODAY(),CommitmentsTable[[#This Row],[Date record entered]]))</f>
        <v/>
      </c>
      <c r="H215" s="245"/>
      <c r="I215" s="245" t="str">
        <f ca="1">IF(CommitmentsTable[[#This Row],[Date Assigned if different from entry date]]&lt;&gt;"",CommitmentsTable[[#This Row],[Date Assigned if different from entry date]]+90,IF(CommitmentsTable[[#This Row],[Date record entered]]&lt;&gt;"",CommitmentsTable[[#This Row],[Date record entered]]+90,""))</f>
        <v/>
      </c>
      <c r="J215" s="245" t="str">
        <f ca="1">IF(CommitmentsTable[[#This Row],[Date Assigned if different from entry date]]&lt;&gt;"",CommitmentsTable[[#This Row],[Date Assigned if different from entry date]]+30,IF(CommitmentsTable[[#This Row],[Date record entered]]&lt;&gt;"",CommitmentsTable[[#This Row],[Date record entered]]+30,""))</f>
        <v/>
      </c>
      <c r="K215" s="245"/>
      <c r="L215" s="245" t="str">
        <f ca="1">IF(CommitmentsTable[[#This Row],[Date Assigned if different from entry date]]&lt;&gt;"",CommitmentsTable[[#This Row],[Date Assigned if different from entry date]]+60,IF(CommitmentsTable[[#This Row],[Date record entered]]&lt;&gt;"",CommitmentsTable[[#This Row],[Date record entered]]+60,""))</f>
        <v/>
      </c>
      <c r="M215" s="214"/>
      <c r="N215" s="214"/>
      <c r="O215" s="236"/>
      <c r="P215" s="214"/>
      <c r="Q215" s="214"/>
      <c r="R215" s="214"/>
      <c r="S215" s="238" t="str">
        <f>IF(CommitmentsTable[[#This Row],[Commitment / deliverable]]="","",IF(CommitmentsTable[[#This Row],[Revised due]]&lt;&gt;"",CommitmentsTable[[#This Row],[Revised due]],CommitmentsTable[[#This Row],[Original due]]))</f>
        <v/>
      </c>
      <c r="T215" s="237" t="str">
        <f>IF(OR(CommitmentsTable[[#This Row],[Commitment / deliverable]]="",CommitmentsTable[[#This Row],[Owner]]=""),"",IF(CommitmentsTable[[#This Row],[Status2]]="","Open",CommitmentsTable[[#This Row],[Status2]]))</f>
        <v/>
      </c>
      <c r="U215" s="237" t="str">
        <f t="shared" ca="1" si="3"/>
        <v/>
      </c>
      <c r="V215" s="233"/>
      <c r="W215" s="63" t="s">
        <v>1182</v>
      </c>
    </row>
    <row r="216" spans="1:23" ht="39">
      <c r="A216" s="213" t="str">
        <f>IF(OR(CommitmentsTable[[#This Row],[Commitment / deliverable]]="",CommitmentsTable[[#This Row],[Immutable Key]]=""),"",SUBSTITUTE(CommitmentsTable[[#This Row],[Immutable Key]],"-K-","-"))</f>
        <v/>
      </c>
      <c r="B216" s="233"/>
      <c r="C216" s="233"/>
      <c r="D216" s="213"/>
      <c r="E216" s="230"/>
      <c r="F216" s="213"/>
      <c r="G216" s="245" t="str">
        <f ca="1">IF(CommitmentsTable[[#This Row],[Commitment / deliverable]]="","",IF(CommitmentsTable[[#This Row],[Date record entered]]="",TODAY(),CommitmentsTable[[#This Row],[Date record entered]]))</f>
        <v/>
      </c>
      <c r="H216" s="245"/>
      <c r="I216" s="245" t="str">
        <f ca="1">IF(CommitmentsTable[[#This Row],[Date Assigned if different from entry date]]&lt;&gt;"",CommitmentsTable[[#This Row],[Date Assigned if different from entry date]]+90,IF(CommitmentsTable[[#This Row],[Date record entered]]&lt;&gt;"",CommitmentsTable[[#This Row],[Date record entered]]+90,""))</f>
        <v/>
      </c>
      <c r="J216" s="245" t="str">
        <f ca="1">IF(CommitmentsTable[[#This Row],[Date Assigned if different from entry date]]&lt;&gt;"",CommitmentsTable[[#This Row],[Date Assigned if different from entry date]]+30,IF(CommitmentsTable[[#This Row],[Date record entered]]&lt;&gt;"",CommitmentsTable[[#This Row],[Date record entered]]+30,""))</f>
        <v/>
      </c>
      <c r="K216" s="245"/>
      <c r="L216" s="245" t="str">
        <f ca="1">IF(CommitmentsTable[[#This Row],[Date Assigned if different from entry date]]&lt;&gt;"",CommitmentsTable[[#This Row],[Date Assigned if different from entry date]]+60,IF(CommitmentsTable[[#This Row],[Date record entered]]&lt;&gt;"",CommitmentsTable[[#This Row],[Date record entered]]+60,""))</f>
        <v/>
      </c>
      <c r="M216" s="214"/>
      <c r="N216" s="214"/>
      <c r="O216" s="236"/>
      <c r="P216" s="214"/>
      <c r="Q216" s="214"/>
      <c r="R216" s="214"/>
      <c r="S216" s="238" t="str">
        <f>IF(CommitmentsTable[[#This Row],[Commitment / deliverable]]="","",IF(CommitmentsTable[[#This Row],[Revised due]]&lt;&gt;"",CommitmentsTable[[#This Row],[Revised due]],CommitmentsTable[[#This Row],[Original due]]))</f>
        <v/>
      </c>
      <c r="T216" s="237" t="str">
        <f>IF(OR(CommitmentsTable[[#This Row],[Commitment / deliverable]]="",CommitmentsTable[[#This Row],[Owner]]=""),"",IF(CommitmentsTable[[#This Row],[Status2]]="","Open",CommitmentsTable[[#This Row],[Status2]]))</f>
        <v/>
      </c>
      <c r="U216" s="237" t="str">
        <f t="shared" ca="1" si="3"/>
        <v/>
      </c>
      <c r="V216" s="233"/>
      <c r="W216" s="63" t="s">
        <v>1183</v>
      </c>
    </row>
    <row r="217" spans="1:23" ht="39">
      <c r="A217" s="213" t="str">
        <f>IF(OR(CommitmentsTable[[#This Row],[Commitment / deliverable]]="",CommitmentsTable[[#This Row],[Immutable Key]]=""),"",SUBSTITUTE(CommitmentsTable[[#This Row],[Immutable Key]],"-K-","-"))</f>
        <v/>
      </c>
      <c r="B217" s="233"/>
      <c r="C217" s="233"/>
      <c r="D217" s="213"/>
      <c r="E217" s="230"/>
      <c r="F217" s="213"/>
      <c r="G217" s="245" t="str">
        <f ca="1">IF(CommitmentsTable[[#This Row],[Commitment / deliverable]]="","",IF(CommitmentsTable[[#This Row],[Date record entered]]="",TODAY(),CommitmentsTable[[#This Row],[Date record entered]]))</f>
        <v/>
      </c>
      <c r="H217" s="245"/>
      <c r="I217" s="245" t="str">
        <f ca="1">IF(CommitmentsTable[[#This Row],[Date Assigned if different from entry date]]&lt;&gt;"",CommitmentsTable[[#This Row],[Date Assigned if different from entry date]]+90,IF(CommitmentsTable[[#This Row],[Date record entered]]&lt;&gt;"",CommitmentsTable[[#This Row],[Date record entered]]+90,""))</f>
        <v/>
      </c>
      <c r="J217" s="245" t="str">
        <f ca="1">IF(CommitmentsTable[[#This Row],[Date Assigned if different from entry date]]&lt;&gt;"",CommitmentsTable[[#This Row],[Date Assigned if different from entry date]]+30,IF(CommitmentsTable[[#This Row],[Date record entered]]&lt;&gt;"",CommitmentsTable[[#This Row],[Date record entered]]+30,""))</f>
        <v/>
      </c>
      <c r="K217" s="245"/>
      <c r="L217" s="245" t="str">
        <f ca="1">IF(CommitmentsTable[[#This Row],[Date Assigned if different from entry date]]&lt;&gt;"",CommitmentsTable[[#This Row],[Date Assigned if different from entry date]]+60,IF(CommitmentsTable[[#This Row],[Date record entered]]&lt;&gt;"",CommitmentsTable[[#This Row],[Date record entered]]+60,""))</f>
        <v/>
      </c>
      <c r="M217" s="214"/>
      <c r="N217" s="214"/>
      <c r="O217" s="236"/>
      <c r="P217" s="214"/>
      <c r="Q217" s="214"/>
      <c r="R217" s="214"/>
      <c r="S217" s="238" t="str">
        <f>IF(CommitmentsTable[[#This Row],[Commitment / deliverable]]="","",IF(CommitmentsTable[[#This Row],[Revised due]]&lt;&gt;"",CommitmentsTable[[#This Row],[Revised due]],CommitmentsTable[[#This Row],[Original due]]))</f>
        <v/>
      </c>
      <c r="T217" s="237" t="str">
        <f>IF(OR(CommitmentsTable[[#This Row],[Commitment / deliverable]]="",CommitmentsTable[[#This Row],[Owner]]=""),"",IF(CommitmentsTable[[#This Row],[Status2]]="","Open",CommitmentsTable[[#This Row],[Status2]]))</f>
        <v/>
      </c>
      <c r="U217" s="237" t="str">
        <f t="shared" ca="1" si="3"/>
        <v/>
      </c>
      <c r="V217" s="233"/>
      <c r="W217" s="63" t="s">
        <v>1184</v>
      </c>
    </row>
    <row r="218" spans="1:23" ht="39">
      <c r="A218" s="213" t="str">
        <f>IF(OR(CommitmentsTable[[#This Row],[Commitment / deliverable]]="",CommitmentsTable[[#This Row],[Immutable Key]]=""),"",SUBSTITUTE(CommitmentsTable[[#This Row],[Immutable Key]],"-K-","-"))</f>
        <v/>
      </c>
      <c r="B218" s="233"/>
      <c r="C218" s="233"/>
      <c r="D218" s="213"/>
      <c r="E218" s="230"/>
      <c r="F218" s="213"/>
      <c r="G218" s="245" t="str">
        <f ca="1">IF(CommitmentsTable[[#This Row],[Commitment / deliverable]]="","",IF(CommitmentsTable[[#This Row],[Date record entered]]="",TODAY(),CommitmentsTable[[#This Row],[Date record entered]]))</f>
        <v/>
      </c>
      <c r="H218" s="245"/>
      <c r="I218" s="245" t="str">
        <f ca="1">IF(CommitmentsTable[[#This Row],[Date Assigned if different from entry date]]&lt;&gt;"",CommitmentsTable[[#This Row],[Date Assigned if different from entry date]]+90,IF(CommitmentsTable[[#This Row],[Date record entered]]&lt;&gt;"",CommitmentsTable[[#This Row],[Date record entered]]+90,""))</f>
        <v/>
      </c>
      <c r="J218" s="245" t="str">
        <f ca="1">IF(CommitmentsTable[[#This Row],[Date Assigned if different from entry date]]&lt;&gt;"",CommitmentsTable[[#This Row],[Date Assigned if different from entry date]]+30,IF(CommitmentsTable[[#This Row],[Date record entered]]&lt;&gt;"",CommitmentsTable[[#This Row],[Date record entered]]+30,""))</f>
        <v/>
      </c>
      <c r="K218" s="245"/>
      <c r="L218" s="245" t="str">
        <f ca="1">IF(CommitmentsTable[[#This Row],[Date Assigned if different from entry date]]&lt;&gt;"",CommitmentsTable[[#This Row],[Date Assigned if different from entry date]]+60,IF(CommitmentsTable[[#This Row],[Date record entered]]&lt;&gt;"",CommitmentsTable[[#This Row],[Date record entered]]+60,""))</f>
        <v/>
      </c>
      <c r="M218" s="214"/>
      <c r="N218" s="214"/>
      <c r="O218" s="236"/>
      <c r="P218" s="214"/>
      <c r="Q218" s="214"/>
      <c r="R218" s="214"/>
      <c r="S218" s="238" t="str">
        <f>IF(CommitmentsTable[[#This Row],[Commitment / deliverable]]="","",IF(CommitmentsTable[[#This Row],[Revised due]]&lt;&gt;"",CommitmentsTable[[#This Row],[Revised due]],CommitmentsTable[[#This Row],[Original due]]))</f>
        <v/>
      </c>
      <c r="T218" s="237" t="str">
        <f>IF(OR(CommitmentsTable[[#This Row],[Commitment / deliverable]]="",CommitmentsTable[[#This Row],[Owner]]=""),"",IF(CommitmentsTable[[#This Row],[Status2]]="","Open",CommitmentsTable[[#This Row],[Status2]]))</f>
        <v/>
      </c>
      <c r="U218" s="237" t="str">
        <f t="shared" ca="1" si="3"/>
        <v/>
      </c>
      <c r="V218" s="233"/>
      <c r="W218" s="63" t="s">
        <v>1185</v>
      </c>
    </row>
    <row r="219" spans="1:23" ht="39">
      <c r="A219" s="213" t="str">
        <f>IF(OR(CommitmentsTable[[#This Row],[Commitment / deliverable]]="",CommitmentsTable[[#This Row],[Immutable Key]]=""),"",SUBSTITUTE(CommitmentsTable[[#This Row],[Immutable Key]],"-K-","-"))</f>
        <v/>
      </c>
      <c r="B219" s="233"/>
      <c r="C219" s="233"/>
      <c r="D219" s="213"/>
      <c r="E219" s="230"/>
      <c r="F219" s="213"/>
      <c r="G219" s="245" t="str">
        <f ca="1">IF(CommitmentsTable[[#This Row],[Commitment / deliverable]]="","",IF(CommitmentsTable[[#This Row],[Date record entered]]="",TODAY(),CommitmentsTable[[#This Row],[Date record entered]]))</f>
        <v/>
      </c>
      <c r="H219" s="245"/>
      <c r="I219" s="245" t="str">
        <f ca="1">IF(CommitmentsTable[[#This Row],[Date Assigned if different from entry date]]&lt;&gt;"",CommitmentsTable[[#This Row],[Date Assigned if different from entry date]]+90,IF(CommitmentsTable[[#This Row],[Date record entered]]&lt;&gt;"",CommitmentsTable[[#This Row],[Date record entered]]+90,""))</f>
        <v/>
      </c>
      <c r="J219" s="245" t="str">
        <f ca="1">IF(CommitmentsTable[[#This Row],[Date Assigned if different from entry date]]&lt;&gt;"",CommitmentsTable[[#This Row],[Date Assigned if different from entry date]]+30,IF(CommitmentsTable[[#This Row],[Date record entered]]&lt;&gt;"",CommitmentsTable[[#This Row],[Date record entered]]+30,""))</f>
        <v/>
      </c>
      <c r="K219" s="245"/>
      <c r="L219" s="245" t="str">
        <f ca="1">IF(CommitmentsTable[[#This Row],[Date Assigned if different from entry date]]&lt;&gt;"",CommitmentsTable[[#This Row],[Date Assigned if different from entry date]]+60,IF(CommitmentsTable[[#This Row],[Date record entered]]&lt;&gt;"",CommitmentsTable[[#This Row],[Date record entered]]+60,""))</f>
        <v/>
      </c>
      <c r="M219" s="214"/>
      <c r="N219" s="214"/>
      <c r="O219" s="236"/>
      <c r="P219" s="214"/>
      <c r="Q219" s="214"/>
      <c r="R219" s="214"/>
      <c r="S219" s="238" t="str">
        <f>IF(CommitmentsTable[[#This Row],[Commitment / deliverable]]="","",IF(CommitmentsTable[[#This Row],[Revised due]]&lt;&gt;"",CommitmentsTable[[#This Row],[Revised due]],CommitmentsTable[[#This Row],[Original due]]))</f>
        <v/>
      </c>
      <c r="T219" s="237" t="str">
        <f>IF(OR(CommitmentsTable[[#This Row],[Commitment / deliverable]]="",CommitmentsTable[[#This Row],[Owner]]=""),"",IF(CommitmentsTable[[#This Row],[Status2]]="","Open",CommitmentsTable[[#This Row],[Status2]]))</f>
        <v/>
      </c>
      <c r="U219" s="237" t="str">
        <f t="shared" ca="1" si="3"/>
        <v/>
      </c>
      <c r="V219" s="233"/>
      <c r="W219" s="63" t="s">
        <v>1186</v>
      </c>
    </row>
    <row r="220" spans="1:23" ht="39">
      <c r="A220" s="213" t="str">
        <f>IF(OR(CommitmentsTable[[#This Row],[Commitment / deliverable]]="",CommitmentsTable[[#This Row],[Immutable Key]]=""),"",SUBSTITUTE(CommitmentsTable[[#This Row],[Immutable Key]],"-K-","-"))</f>
        <v/>
      </c>
      <c r="B220" s="233"/>
      <c r="C220" s="233"/>
      <c r="D220" s="213"/>
      <c r="E220" s="230"/>
      <c r="F220" s="213"/>
      <c r="G220" s="245" t="str">
        <f ca="1">IF(CommitmentsTable[[#This Row],[Commitment / deliverable]]="","",IF(CommitmentsTable[[#This Row],[Date record entered]]="",TODAY(),CommitmentsTable[[#This Row],[Date record entered]]))</f>
        <v/>
      </c>
      <c r="H220" s="245"/>
      <c r="I220" s="245" t="str">
        <f ca="1">IF(CommitmentsTable[[#This Row],[Date Assigned if different from entry date]]&lt;&gt;"",CommitmentsTable[[#This Row],[Date Assigned if different from entry date]]+90,IF(CommitmentsTable[[#This Row],[Date record entered]]&lt;&gt;"",CommitmentsTable[[#This Row],[Date record entered]]+90,""))</f>
        <v/>
      </c>
      <c r="J220" s="245" t="str">
        <f ca="1">IF(CommitmentsTable[[#This Row],[Date Assigned if different from entry date]]&lt;&gt;"",CommitmentsTable[[#This Row],[Date Assigned if different from entry date]]+30,IF(CommitmentsTable[[#This Row],[Date record entered]]&lt;&gt;"",CommitmentsTable[[#This Row],[Date record entered]]+30,""))</f>
        <v/>
      </c>
      <c r="K220" s="245"/>
      <c r="L220" s="245" t="str">
        <f ca="1">IF(CommitmentsTable[[#This Row],[Date Assigned if different from entry date]]&lt;&gt;"",CommitmentsTable[[#This Row],[Date Assigned if different from entry date]]+60,IF(CommitmentsTable[[#This Row],[Date record entered]]&lt;&gt;"",CommitmentsTable[[#This Row],[Date record entered]]+60,""))</f>
        <v/>
      </c>
      <c r="M220" s="214"/>
      <c r="N220" s="214"/>
      <c r="O220" s="236"/>
      <c r="P220" s="214"/>
      <c r="Q220" s="214"/>
      <c r="R220" s="214"/>
      <c r="S220" s="238" t="str">
        <f>IF(CommitmentsTable[[#This Row],[Commitment / deliverable]]="","",IF(CommitmentsTable[[#This Row],[Revised due]]&lt;&gt;"",CommitmentsTable[[#This Row],[Revised due]],CommitmentsTable[[#This Row],[Original due]]))</f>
        <v/>
      </c>
      <c r="T220" s="237" t="str">
        <f>IF(OR(CommitmentsTable[[#This Row],[Commitment / deliverable]]="",CommitmentsTable[[#This Row],[Owner]]=""),"",IF(CommitmentsTable[[#This Row],[Status2]]="","Open",CommitmentsTable[[#This Row],[Status2]]))</f>
        <v/>
      </c>
      <c r="U220" s="237" t="str">
        <f t="shared" ca="1" si="3"/>
        <v/>
      </c>
      <c r="V220" s="233"/>
      <c r="W220" s="63" t="s">
        <v>1187</v>
      </c>
    </row>
    <row r="221" spans="1:23" ht="39">
      <c r="A221" s="213" t="str">
        <f>IF(OR(CommitmentsTable[[#This Row],[Commitment / deliverable]]="",CommitmentsTable[[#This Row],[Immutable Key]]=""),"",SUBSTITUTE(CommitmentsTable[[#This Row],[Immutable Key]],"-K-","-"))</f>
        <v/>
      </c>
      <c r="B221" s="233"/>
      <c r="C221" s="233"/>
      <c r="D221" s="213"/>
      <c r="E221" s="230"/>
      <c r="F221" s="213"/>
      <c r="G221" s="245" t="str">
        <f ca="1">IF(CommitmentsTable[[#This Row],[Commitment / deliverable]]="","",IF(CommitmentsTable[[#This Row],[Date record entered]]="",TODAY(),CommitmentsTable[[#This Row],[Date record entered]]))</f>
        <v/>
      </c>
      <c r="H221" s="245"/>
      <c r="I221" s="245" t="str">
        <f ca="1">IF(CommitmentsTable[[#This Row],[Date Assigned if different from entry date]]&lt;&gt;"",CommitmentsTable[[#This Row],[Date Assigned if different from entry date]]+90,IF(CommitmentsTable[[#This Row],[Date record entered]]&lt;&gt;"",CommitmentsTable[[#This Row],[Date record entered]]+90,""))</f>
        <v/>
      </c>
      <c r="J221" s="245" t="str">
        <f ca="1">IF(CommitmentsTable[[#This Row],[Date Assigned if different from entry date]]&lt;&gt;"",CommitmentsTable[[#This Row],[Date Assigned if different from entry date]]+30,IF(CommitmentsTable[[#This Row],[Date record entered]]&lt;&gt;"",CommitmentsTable[[#This Row],[Date record entered]]+30,""))</f>
        <v/>
      </c>
      <c r="K221" s="245"/>
      <c r="L221" s="245" t="str">
        <f ca="1">IF(CommitmentsTable[[#This Row],[Date Assigned if different from entry date]]&lt;&gt;"",CommitmentsTable[[#This Row],[Date Assigned if different from entry date]]+60,IF(CommitmentsTable[[#This Row],[Date record entered]]&lt;&gt;"",CommitmentsTable[[#This Row],[Date record entered]]+60,""))</f>
        <v/>
      </c>
      <c r="M221" s="214"/>
      <c r="N221" s="214"/>
      <c r="O221" s="236"/>
      <c r="P221" s="214"/>
      <c r="Q221" s="214"/>
      <c r="R221" s="214"/>
      <c r="S221" s="238" t="str">
        <f>IF(CommitmentsTable[[#This Row],[Commitment / deliverable]]="","",IF(CommitmentsTable[[#This Row],[Revised due]]&lt;&gt;"",CommitmentsTable[[#This Row],[Revised due]],CommitmentsTable[[#This Row],[Original due]]))</f>
        <v/>
      </c>
      <c r="T221" s="237" t="str">
        <f>IF(OR(CommitmentsTable[[#This Row],[Commitment / deliverable]]="",CommitmentsTable[[#This Row],[Owner]]=""),"",IF(CommitmentsTable[[#This Row],[Status2]]="","Open",CommitmentsTable[[#This Row],[Status2]]))</f>
        <v/>
      </c>
      <c r="U221" s="237" t="str">
        <f t="shared" ca="1" si="3"/>
        <v/>
      </c>
      <c r="V221" s="233"/>
      <c r="W221" s="63" t="s">
        <v>1188</v>
      </c>
    </row>
    <row r="222" spans="1:23" ht="39">
      <c r="A222" s="213" t="str">
        <f>IF(OR(CommitmentsTable[[#This Row],[Commitment / deliverable]]="",CommitmentsTable[[#This Row],[Immutable Key]]=""),"",SUBSTITUTE(CommitmentsTable[[#This Row],[Immutable Key]],"-K-","-"))</f>
        <v/>
      </c>
      <c r="B222" s="233"/>
      <c r="C222" s="233"/>
      <c r="D222" s="213"/>
      <c r="E222" s="230"/>
      <c r="F222" s="213"/>
      <c r="G222" s="245" t="str">
        <f ca="1">IF(CommitmentsTable[[#This Row],[Commitment / deliverable]]="","",IF(CommitmentsTable[[#This Row],[Date record entered]]="",TODAY(),CommitmentsTable[[#This Row],[Date record entered]]))</f>
        <v/>
      </c>
      <c r="H222" s="245"/>
      <c r="I222" s="245" t="str">
        <f ca="1">IF(CommitmentsTable[[#This Row],[Date Assigned if different from entry date]]&lt;&gt;"",CommitmentsTable[[#This Row],[Date Assigned if different from entry date]]+90,IF(CommitmentsTable[[#This Row],[Date record entered]]&lt;&gt;"",CommitmentsTable[[#This Row],[Date record entered]]+90,""))</f>
        <v/>
      </c>
      <c r="J222" s="245" t="str">
        <f ca="1">IF(CommitmentsTable[[#This Row],[Date Assigned if different from entry date]]&lt;&gt;"",CommitmentsTable[[#This Row],[Date Assigned if different from entry date]]+30,IF(CommitmentsTable[[#This Row],[Date record entered]]&lt;&gt;"",CommitmentsTable[[#This Row],[Date record entered]]+30,""))</f>
        <v/>
      </c>
      <c r="K222" s="245"/>
      <c r="L222" s="245" t="str">
        <f ca="1">IF(CommitmentsTable[[#This Row],[Date Assigned if different from entry date]]&lt;&gt;"",CommitmentsTable[[#This Row],[Date Assigned if different from entry date]]+60,IF(CommitmentsTable[[#This Row],[Date record entered]]&lt;&gt;"",CommitmentsTable[[#This Row],[Date record entered]]+60,""))</f>
        <v/>
      </c>
      <c r="M222" s="214"/>
      <c r="N222" s="214"/>
      <c r="O222" s="236"/>
      <c r="P222" s="214"/>
      <c r="Q222" s="214"/>
      <c r="R222" s="214"/>
      <c r="S222" s="238" t="str">
        <f>IF(CommitmentsTable[[#This Row],[Commitment / deliverable]]="","",IF(CommitmentsTable[[#This Row],[Revised due]]&lt;&gt;"",CommitmentsTable[[#This Row],[Revised due]],CommitmentsTable[[#This Row],[Original due]]))</f>
        <v/>
      </c>
      <c r="T222" s="237" t="str">
        <f>IF(OR(CommitmentsTable[[#This Row],[Commitment / deliverable]]="",CommitmentsTable[[#This Row],[Owner]]=""),"",IF(CommitmentsTable[[#This Row],[Status2]]="","Open",CommitmentsTable[[#This Row],[Status2]]))</f>
        <v/>
      </c>
      <c r="U222" s="237" t="str">
        <f t="shared" ca="1" si="3"/>
        <v/>
      </c>
      <c r="V222" s="233"/>
      <c r="W222" s="63" t="s">
        <v>1189</v>
      </c>
    </row>
    <row r="223" spans="1:23" ht="39">
      <c r="A223" s="213" t="str">
        <f>IF(OR(CommitmentsTable[[#This Row],[Commitment / deliverable]]="",CommitmentsTable[[#This Row],[Immutable Key]]=""),"",SUBSTITUTE(CommitmentsTable[[#This Row],[Immutable Key]],"-K-","-"))</f>
        <v/>
      </c>
      <c r="B223" s="233"/>
      <c r="C223" s="233"/>
      <c r="D223" s="213"/>
      <c r="E223" s="230"/>
      <c r="F223" s="213"/>
      <c r="G223" s="245" t="str">
        <f ca="1">IF(CommitmentsTable[[#This Row],[Commitment / deliverable]]="","",IF(CommitmentsTable[[#This Row],[Date record entered]]="",TODAY(),CommitmentsTable[[#This Row],[Date record entered]]))</f>
        <v/>
      </c>
      <c r="H223" s="245"/>
      <c r="I223" s="245" t="str">
        <f ca="1">IF(CommitmentsTable[[#This Row],[Date Assigned if different from entry date]]&lt;&gt;"",CommitmentsTable[[#This Row],[Date Assigned if different from entry date]]+90,IF(CommitmentsTable[[#This Row],[Date record entered]]&lt;&gt;"",CommitmentsTable[[#This Row],[Date record entered]]+90,""))</f>
        <v/>
      </c>
      <c r="J223" s="245" t="str">
        <f ca="1">IF(CommitmentsTable[[#This Row],[Date Assigned if different from entry date]]&lt;&gt;"",CommitmentsTable[[#This Row],[Date Assigned if different from entry date]]+30,IF(CommitmentsTable[[#This Row],[Date record entered]]&lt;&gt;"",CommitmentsTable[[#This Row],[Date record entered]]+30,""))</f>
        <v/>
      </c>
      <c r="K223" s="245"/>
      <c r="L223" s="245" t="str">
        <f ca="1">IF(CommitmentsTable[[#This Row],[Date Assigned if different from entry date]]&lt;&gt;"",CommitmentsTable[[#This Row],[Date Assigned if different from entry date]]+60,IF(CommitmentsTable[[#This Row],[Date record entered]]&lt;&gt;"",CommitmentsTable[[#This Row],[Date record entered]]+60,""))</f>
        <v/>
      </c>
      <c r="M223" s="214"/>
      <c r="N223" s="214"/>
      <c r="O223" s="236"/>
      <c r="P223" s="214"/>
      <c r="Q223" s="214"/>
      <c r="R223" s="214"/>
      <c r="S223" s="238" t="str">
        <f>IF(CommitmentsTable[[#This Row],[Commitment / deliverable]]="","",IF(CommitmentsTable[[#This Row],[Revised due]]&lt;&gt;"",CommitmentsTable[[#This Row],[Revised due]],CommitmentsTable[[#This Row],[Original due]]))</f>
        <v/>
      </c>
      <c r="T223" s="237" t="str">
        <f>IF(OR(CommitmentsTable[[#This Row],[Commitment / deliverable]]="",CommitmentsTable[[#This Row],[Owner]]=""),"",IF(CommitmentsTable[[#This Row],[Status2]]="","Open",CommitmentsTable[[#This Row],[Status2]]))</f>
        <v/>
      </c>
      <c r="U223" s="237" t="str">
        <f t="shared" ca="1" si="3"/>
        <v/>
      </c>
      <c r="V223" s="233"/>
      <c r="W223" s="63" t="s">
        <v>1190</v>
      </c>
    </row>
    <row r="224" spans="1:23" ht="39">
      <c r="A224" s="213" t="str">
        <f>IF(OR(CommitmentsTable[[#This Row],[Commitment / deliverable]]="",CommitmentsTable[[#This Row],[Immutable Key]]=""),"",SUBSTITUTE(CommitmentsTable[[#This Row],[Immutable Key]],"-K-","-"))</f>
        <v/>
      </c>
      <c r="B224" s="233"/>
      <c r="C224" s="233"/>
      <c r="D224" s="213"/>
      <c r="E224" s="230"/>
      <c r="F224" s="213"/>
      <c r="G224" s="245" t="str">
        <f ca="1">IF(CommitmentsTable[[#This Row],[Commitment / deliverable]]="","",IF(CommitmentsTable[[#This Row],[Date record entered]]="",TODAY(),CommitmentsTable[[#This Row],[Date record entered]]))</f>
        <v/>
      </c>
      <c r="H224" s="245"/>
      <c r="I224" s="245" t="str">
        <f ca="1">IF(CommitmentsTable[[#This Row],[Date Assigned if different from entry date]]&lt;&gt;"",CommitmentsTable[[#This Row],[Date Assigned if different from entry date]]+90,IF(CommitmentsTable[[#This Row],[Date record entered]]&lt;&gt;"",CommitmentsTable[[#This Row],[Date record entered]]+90,""))</f>
        <v/>
      </c>
      <c r="J224" s="245" t="str">
        <f ca="1">IF(CommitmentsTable[[#This Row],[Date Assigned if different from entry date]]&lt;&gt;"",CommitmentsTable[[#This Row],[Date Assigned if different from entry date]]+30,IF(CommitmentsTable[[#This Row],[Date record entered]]&lt;&gt;"",CommitmentsTable[[#This Row],[Date record entered]]+30,""))</f>
        <v/>
      </c>
      <c r="K224" s="245"/>
      <c r="L224" s="245" t="str">
        <f ca="1">IF(CommitmentsTable[[#This Row],[Date Assigned if different from entry date]]&lt;&gt;"",CommitmentsTable[[#This Row],[Date Assigned if different from entry date]]+60,IF(CommitmentsTable[[#This Row],[Date record entered]]&lt;&gt;"",CommitmentsTable[[#This Row],[Date record entered]]+60,""))</f>
        <v/>
      </c>
      <c r="M224" s="214"/>
      <c r="N224" s="214"/>
      <c r="O224" s="236"/>
      <c r="P224" s="214"/>
      <c r="Q224" s="214"/>
      <c r="R224" s="214"/>
      <c r="S224" s="238" t="str">
        <f>IF(CommitmentsTable[[#This Row],[Commitment / deliverable]]="","",IF(CommitmentsTable[[#This Row],[Revised due]]&lt;&gt;"",CommitmentsTable[[#This Row],[Revised due]],CommitmentsTable[[#This Row],[Original due]]))</f>
        <v/>
      </c>
      <c r="T224" s="237" t="str">
        <f>IF(OR(CommitmentsTable[[#This Row],[Commitment / deliverable]]="",CommitmentsTable[[#This Row],[Owner]]=""),"",IF(CommitmentsTable[[#This Row],[Status2]]="","Open",CommitmentsTable[[#This Row],[Status2]]))</f>
        <v/>
      </c>
      <c r="U224" s="237" t="str">
        <f t="shared" ca="1" si="3"/>
        <v/>
      </c>
      <c r="V224" s="233"/>
      <c r="W224" s="63" t="s">
        <v>1191</v>
      </c>
    </row>
    <row r="225" spans="1:23" ht="39">
      <c r="A225" s="213" t="str">
        <f>IF(OR(CommitmentsTable[[#This Row],[Commitment / deliverable]]="",CommitmentsTable[[#This Row],[Immutable Key]]=""),"",SUBSTITUTE(CommitmentsTable[[#This Row],[Immutable Key]],"-K-","-"))</f>
        <v/>
      </c>
      <c r="B225" s="233"/>
      <c r="C225" s="233"/>
      <c r="D225" s="213"/>
      <c r="E225" s="230"/>
      <c r="F225" s="213"/>
      <c r="G225" s="245" t="str">
        <f ca="1">IF(CommitmentsTable[[#This Row],[Commitment / deliverable]]="","",IF(CommitmentsTable[[#This Row],[Date record entered]]="",TODAY(),CommitmentsTable[[#This Row],[Date record entered]]))</f>
        <v/>
      </c>
      <c r="H225" s="245"/>
      <c r="I225" s="245" t="str">
        <f ca="1">IF(CommitmentsTable[[#This Row],[Date Assigned if different from entry date]]&lt;&gt;"",CommitmentsTable[[#This Row],[Date Assigned if different from entry date]]+90,IF(CommitmentsTable[[#This Row],[Date record entered]]&lt;&gt;"",CommitmentsTable[[#This Row],[Date record entered]]+90,""))</f>
        <v/>
      </c>
      <c r="J225" s="245" t="str">
        <f ca="1">IF(CommitmentsTable[[#This Row],[Date Assigned if different from entry date]]&lt;&gt;"",CommitmentsTable[[#This Row],[Date Assigned if different from entry date]]+30,IF(CommitmentsTable[[#This Row],[Date record entered]]&lt;&gt;"",CommitmentsTable[[#This Row],[Date record entered]]+30,""))</f>
        <v/>
      </c>
      <c r="K225" s="245"/>
      <c r="L225" s="245" t="str">
        <f ca="1">IF(CommitmentsTable[[#This Row],[Date Assigned if different from entry date]]&lt;&gt;"",CommitmentsTable[[#This Row],[Date Assigned if different from entry date]]+60,IF(CommitmentsTable[[#This Row],[Date record entered]]&lt;&gt;"",CommitmentsTable[[#This Row],[Date record entered]]+60,""))</f>
        <v/>
      </c>
      <c r="M225" s="214"/>
      <c r="N225" s="214"/>
      <c r="O225" s="236"/>
      <c r="P225" s="214"/>
      <c r="Q225" s="214"/>
      <c r="R225" s="214"/>
      <c r="S225" s="238" t="str">
        <f>IF(CommitmentsTable[[#This Row],[Commitment / deliverable]]="","",IF(CommitmentsTable[[#This Row],[Revised due]]&lt;&gt;"",CommitmentsTable[[#This Row],[Revised due]],CommitmentsTable[[#This Row],[Original due]]))</f>
        <v/>
      </c>
      <c r="T225" s="237" t="str">
        <f>IF(OR(CommitmentsTable[[#This Row],[Commitment / deliverable]]="",CommitmentsTable[[#This Row],[Owner]]=""),"",IF(CommitmentsTable[[#This Row],[Status2]]="","Open",CommitmentsTable[[#This Row],[Status2]]))</f>
        <v/>
      </c>
      <c r="U225" s="237" t="str">
        <f t="shared" ca="1" si="3"/>
        <v/>
      </c>
      <c r="V225" s="233"/>
      <c r="W225" s="63" t="s">
        <v>1192</v>
      </c>
    </row>
    <row r="226" spans="1:23" ht="39">
      <c r="A226" s="213" t="str">
        <f>IF(OR(CommitmentsTable[[#This Row],[Commitment / deliverable]]="",CommitmentsTable[[#This Row],[Immutable Key]]=""),"",SUBSTITUTE(CommitmentsTable[[#This Row],[Immutable Key]],"-K-","-"))</f>
        <v/>
      </c>
      <c r="B226" s="233"/>
      <c r="C226" s="233"/>
      <c r="D226" s="213"/>
      <c r="E226" s="230"/>
      <c r="F226" s="213"/>
      <c r="G226" s="245" t="str">
        <f ca="1">IF(CommitmentsTable[[#This Row],[Commitment / deliverable]]="","",IF(CommitmentsTable[[#This Row],[Date record entered]]="",TODAY(),CommitmentsTable[[#This Row],[Date record entered]]))</f>
        <v/>
      </c>
      <c r="H226" s="245"/>
      <c r="I226" s="245" t="str">
        <f ca="1">IF(CommitmentsTable[[#This Row],[Date Assigned if different from entry date]]&lt;&gt;"",CommitmentsTable[[#This Row],[Date Assigned if different from entry date]]+90,IF(CommitmentsTable[[#This Row],[Date record entered]]&lt;&gt;"",CommitmentsTable[[#This Row],[Date record entered]]+90,""))</f>
        <v/>
      </c>
      <c r="J226" s="245" t="str">
        <f ca="1">IF(CommitmentsTable[[#This Row],[Date Assigned if different from entry date]]&lt;&gt;"",CommitmentsTable[[#This Row],[Date Assigned if different from entry date]]+30,IF(CommitmentsTable[[#This Row],[Date record entered]]&lt;&gt;"",CommitmentsTable[[#This Row],[Date record entered]]+30,""))</f>
        <v/>
      </c>
      <c r="K226" s="245"/>
      <c r="L226" s="245" t="str">
        <f ca="1">IF(CommitmentsTable[[#This Row],[Date Assigned if different from entry date]]&lt;&gt;"",CommitmentsTable[[#This Row],[Date Assigned if different from entry date]]+60,IF(CommitmentsTable[[#This Row],[Date record entered]]&lt;&gt;"",CommitmentsTable[[#This Row],[Date record entered]]+60,""))</f>
        <v/>
      </c>
      <c r="M226" s="214"/>
      <c r="N226" s="214"/>
      <c r="O226" s="236"/>
      <c r="P226" s="214"/>
      <c r="Q226" s="214"/>
      <c r="R226" s="214"/>
      <c r="S226" s="238" t="str">
        <f>IF(CommitmentsTable[[#This Row],[Commitment / deliverable]]="","",IF(CommitmentsTable[[#This Row],[Revised due]]&lt;&gt;"",CommitmentsTable[[#This Row],[Revised due]],CommitmentsTable[[#This Row],[Original due]]))</f>
        <v/>
      </c>
      <c r="T226" s="237" t="str">
        <f>IF(OR(CommitmentsTable[[#This Row],[Commitment / deliverable]]="",CommitmentsTable[[#This Row],[Owner]]=""),"",IF(CommitmentsTable[[#This Row],[Status2]]="","Open",CommitmentsTable[[#This Row],[Status2]]))</f>
        <v/>
      </c>
      <c r="U226" s="237" t="str">
        <f t="shared" ca="1" si="3"/>
        <v/>
      </c>
      <c r="V226" s="233"/>
      <c r="W226" s="63" t="s">
        <v>1193</v>
      </c>
    </row>
    <row r="227" spans="1:23" ht="39">
      <c r="A227" s="213" t="str">
        <f>IF(OR(CommitmentsTable[[#This Row],[Commitment / deliverable]]="",CommitmentsTable[[#This Row],[Immutable Key]]=""),"",SUBSTITUTE(CommitmentsTable[[#This Row],[Immutable Key]],"-K-","-"))</f>
        <v/>
      </c>
      <c r="B227" s="233"/>
      <c r="C227" s="233"/>
      <c r="D227" s="213"/>
      <c r="E227" s="230"/>
      <c r="F227" s="213"/>
      <c r="G227" s="245" t="str">
        <f ca="1">IF(CommitmentsTable[[#This Row],[Commitment / deliverable]]="","",IF(CommitmentsTable[[#This Row],[Date record entered]]="",TODAY(),CommitmentsTable[[#This Row],[Date record entered]]))</f>
        <v/>
      </c>
      <c r="H227" s="245"/>
      <c r="I227" s="245" t="str">
        <f ca="1">IF(CommitmentsTable[[#This Row],[Date Assigned if different from entry date]]&lt;&gt;"",CommitmentsTable[[#This Row],[Date Assigned if different from entry date]]+90,IF(CommitmentsTable[[#This Row],[Date record entered]]&lt;&gt;"",CommitmentsTable[[#This Row],[Date record entered]]+90,""))</f>
        <v/>
      </c>
      <c r="J227" s="245" t="str">
        <f ca="1">IF(CommitmentsTable[[#This Row],[Date Assigned if different from entry date]]&lt;&gt;"",CommitmentsTable[[#This Row],[Date Assigned if different from entry date]]+30,IF(CommitmentsTable[[#This Row],[Date record entered]]&lt;&gt;"",CommitmentsTable[[#This Row],[Date record entered]]+30,""))</f>
        <v/>
      </c>
      <c r="K227" s="245"/>
      <c r="L227" s="245" t="str">
        <f ca="1">IF(CommitmentsTable[[#This Row],[Date Assigned if different from entry date]]&lt;&gt;"",CommitmentsTable[[#This Row],[Date Assigned if different from entry date]]+60,IF(CommitmentsTable[[#This Row],[Date record entered]]&lt;&gt;"",CommitmentsTable[[#This Row],[Date record entered]]+60,""))</f>
        <v/>
      </c>
      <c r="M227" s="214"/>
      <c r="N227" s="214"/>
      <c r="O227" s="236"/>
      <c r="P227" s="214"/>
      <c r="Q227" s="214"/>
      <c r="R227" s="214"/>
      <c r="S227" s="238" t="str">
        <f>IF(CommitmentsTable[[#This Row],[Commitment / deliverable]]="","",IF(CommitmentsTable[[#This Row],[Revised due]]&lt;&gt;"",CommitmentsTable[[#This Row],[Revised due]],CommitmentsTable[[#This Row],[Original due]]))</f>
        <v/>
      </c>
      <c r="T227" s="237" t="str">
        <f>IF(OR(CommitmentsTable[[#This Row],[Commitment / deliverable]]="",CommitmentsTable[[#This Row],[Owner]]=""),"",IF(CommitmentsTable[[#This Row],[Status2]]="","Open",CommitmentsTable[[#This Row],[Status2]]))</f>
        <v/>
      </c>
      <c r="U227" s="237" t="str">
        <f t="shared" ca="1" si="3"/>
        <v/>
      </c>
      <c r="V227" s="233"/>
      <c r="W227" s="63" t="s">
        <v>1194</v>
      </c>
    </row>
    <row r="228" spans="1:23" ht="39">
      <c r="A228" s="213" t="str">
        <f>IF(OR(CommitmentsTable[[#This Row],[Commitment / deliverable]]="",CommitmentsTable[[#This Row],[Immutable Key]]=""),"",SUBSTITUTE(CommitmentsTable[[#This Row],[Immutable Key]],"-K-","-"))</f>
        <v/>
      </c>
      <c r="B228" s="233"/>
      <c r="C228" s="233"/>
      <c r="D228" s="213"/>
      <c r="E228" s="230"/>
      <c r="F228" s="213"/>
      <c r="G228" s="245" t="str">
        <f ca="1">IF(CommitmentsTable[[#This Row],[Commitment / deliverable]]="","",IF(CommitmentsTable[[#This Row],[Date record entered]]="",TODAY(),CommitmentsTable[[#This Row],[Date record entered]]))</f>
        <v/>
      </c>
      <c r="H228" s="245"/>
      <c r="I228" s="245" t="str">
        <f ca="1">IF(CommitmentsTable[[#This Row],[Date Assigned if different from entry date]]&lt;&gt;"",CommitmentsTable[[#This Row],[Date Assigned if different from entry date]]+90,IF(CommitmentsTable[[#This Row],[Date record entered]]&lt;&gt;"",CommitmentsTable[[#This Row],[Date record entered]]+90,""))</f>
        <v/>
      </c>
      <c r="J228" s="245" t="str">
        <f ca="1">IF(CommitmentsTable[[#This Row],[Date Assigned if different from entry date]]&lt;&gt;"",CommitmentsTable[[#This Row],[Date Assigned if different from entry date]]+30,IF(CommitmentsTable[[#This Row],[Date record entered]]&lt;&gt;"",CommitmentsTable[[#This Row],[Date record entered]]+30,""))</f>
        <v/>
      </c>
      <c r="K228" s="245"/>
      <c r="L228" s="245" t="str">
        <f ca="1">IF(CommitmentsTable[[#This Row],[Date Assigned if different from entry date]]&lt;&gt;"",CommitmentsTable[[#This Row],[Date Assigned if different from entry date]]+60,IF(CommitmentsTable[[#This Row],[Date record entered]]&lt;&gt;"",CommitmentsTable[[#This Row],[Date record entered]]+60,""))</f>
        <v/>
      </c>
      <c r="M228" s="214"/>
      <c r="N228" s="214"/>
      <c r="O228" s="236"/>
      <c r="P228" s="214"/>
      <c r="Q228" s="214"/>
      <c r="R228" s="214"/>
      <c r="S228" s="238" t="str">
        <f>IF(CommitmentsTable[[#This Row],[Commitment / deliverable]]="","",IF(CommitmentsTable[[#This Row],[Revised due]]&lt;&gt;"",CommitmentsTable[[#This Row],[Revised due]],CommitmentsTable[[#This Row],[Original due]]))</f>
        <v/>
      </c>
      <c r="T228" s="237" t="str">
        <f>IF(OR(CommitmentsTable[[#This Row],[Commitment / deliverable]]="",CommitmentsTable[[#This Row],[Owner]]=""),"",IF(CommitmentsTable[[#This Row],[Status2]]="","Open",CommitmentsTable[[#This Row],[Status2]]))</f>
        <v/>
      </c>
      <c r="U228" s="237" t="str">
        <f t="shared" ca="1" si="3"/>
        <v/>
      </c>
      <c r="V228" s="233"/>
      <c r="W228" s="63" t="s">
        <v>1195</v>
      </c>
    </row>
    <row r="229" spans="1:23" ht="39">
      <c r="A229" s="213" t="str">
        <f>IF(OR(CommitmentsTable[[#This Row],[Commitment / deliverable]]="",CommitmentsTable[[#This Row],[Immutable Key]]=""),"",SUBSTITUTE(CommitmentsTable[[#This Row],[Immutable Key]],"-K-","-"))</f>
        <v/>
      </c>
      <c r="B229" s="233"/>
      <c r="C229" s="233"/>
      <c r="D229" s="213"/>
      <c r="E229" s="230"/>
      <c r="F229" s="213"/>
      <c r="G229" s="245" t="str">
        <f ca="1">IF(CommitmentsTable[[#This Row],[Commitment / deliverable]]="","",IF(CommitmentsTable[[#This Row],[Date record entered]]="",TODAY(),CommitmentsTable[[#This Row],[Date record entered]]))</f>
        <v/>
      </c>
      <c r="H229" s="245"/>
      <c r="I229" s="245" t="str">
        <f ca="1">IF(CommitmentsTable[[#This Row],[Date Assigned if different from entry date]]&lt;&gt;"",CommitmentsTable[[#This Row],[Date Assigned if different from entry date]]+90,IF(CommitmentsTable[[#This Row],[Date record entered]]&lt;&gt;"",CommitmentsTable[[#This Row],[Date record entered]]+90,""))</f>
        <v/>
      </c>
      <c r="J229" s="245" t="str">
        <f ca="1">IF(CommitmentsTable[[#This Row],[Date Assigned if different from entry date]]&lt;&gt;"",CommitmentsTable[[#This Row],[Date Assigned if different from entry date]]+30,IF(CommitmentsTable[[#This Row],[Date record entered]]&lt;&gt;"",CommitmentsTable[[#This Row],[Date record entered]]+30,""))</f>
        <v/>
      </c>
      <c r="K229" s="245"/>
      <c r="L229" s="245" t="str">
        <f ca="1">IF(CommitmentsTable[[#This Row],[Date Assigned if different from entry date]]&lt;&gt;"",CommitmentsTable[[#This Row],[Date Assigned if different from entry date]]+60,IF(CommitmentsTable[[#This Row],[Date record entered]]&lt;&gt;"",CommitmentsTable[[#This Row],[Date record entered]]+60,""))</f>
        <v/>
      </c>
      <c r="M229" s="214"/>
      <c r="N229" s="214"/>
      <c r="O229" s="236"/>
      <c r="P229" s="214"/>
      <c r="Q229" s="214"/>
      <c r="R229" s="214"/>
      <c r="S229" s="238" t="str">
        <f>IF(CommitmentsTable[[#This Row],[Commitment / deliverable]]="","",IF(CommitmentsTable[[#This Row],[Revised due]]&lt;&gt;"",CommitmentsTable[[#This Row],[Revised due]],CommitmentsTable[[#This Row],[Original due]]))</f>
        <v/>
      </c>
      <c r="T229" s="237" t="str">
        <f>IF(OR(CommitmentsTable[[#This Row],[Commitment / deliverable]]="",CommitmentsTable[[#This Row],[Owner]]=""),"",IF(CommitmentsTable[[#This Row],[Status2]]="","Open",CommitmentsTable[[#This Row],[Status2]]))</f>
        <v/>
      </c>
      <c r="U229" s="237" t="str">
        <f t="shared" ca="1" si="3"/>
        <v/>
      </c>
      <c r="V229" s="233"/>
      <c r="W229" s="63" t="s">
        <v>1196</v>
      </c>
    </row>
    <row r="230" spans="1:23" ht="39">
      <c r="A230" s="213" t="str">
        <f>IF(OR(CommitmentsTable[[#This Row],[Commitment / deliverable]]="",CommitmentsTable[[#This Row],[Immutable Key]]=""),"",SUBSTITUTE(CommitmentsTable[[#This Row],[Immutable Key]],"-K-","-"))</f>
        <v/>
      </c>
      <c r="B230" s="233"/>
      <c r="C230" s="233"/>
      <c r="D230" s="213"/>
      <c r="E230" s="230"/>
      <c r="F230" s="213"/>
      <c r="G230" s="245" t="str">
        <f ca="1">IF(CommitmentsTable[[#This Row],[Commitment / deliverable]]="","",IF(CommitmentsTable[[#This Row],[Date record entered]]="",TODAY(),CommitmentsTable[[#This Row],[Date record entered]]))</f>
        <v/>
      </c>
      <c r="H230" s="245"/>
      <c r="I230" s="245" t="str">
        <f ca="1">IF(CommitmentsTable[[#This Row],[Date Assigned if different from entry date]]&lt;&gt;"",CommitmentsTable[[#This Row],[Date Assigned if different from entry date]]+90,IF(CommitmentsTable[[#This Row],[Date record entered]]&lt;&gt;"",CommitmentsTable[[#This Row],[Date record entered]]+90,""))</f>
        <v/>
      </c>
      <c r="J230" s="245" t="str">
        <f ca="1">IF(CommitmentsTable[[#This Row],[Date Assigned if different from entry date]]&lt;&gt;"",CommitmentsTable[[#This Row],[Date Assigned if different from entry date]]+30,IF(CommitmentsTable[[#This Row],[Date record entered]]&lt;&gt;"",CommitmentsTable[[#This Row],[Date record entered]]+30,""))</f>
        <v/>
      </c>
      <c r="K230" s="245"/>
      <c r="L230" s="245" t="str">
        <f ca="1">IF(CommitmentsTable[[#This Row],[Date Assigned if different from entry date]]&lt;&gt;"",CommitmentsTable[[#This Row],[Date Assigned if different from entry date]]+60,IF(CommitmentsTable[[#This Row],[Date record entered]]&lt;&gt;"",CommitmentsTable[[#This Row],[Date record entered]]+60,""))</f>
        <v/>
      </c>
      <c r="M230" s="214"/>
      <c r="N230" s="214"/>
      <c r="O230" s="236"/>
      <c r="P230" s="214"/>
      <c r="Q230" s="214"/>
      <c r="R230" s="214"/>
      <c r="S230" s="238" t="str">
        <f>IF(CommitmentsTable[[#This Row],[Commitment / deliverable]]="","",IF(CommitmentsTable[[#This Row],[Revised due]]&lt;&gt;"",CommitmentsTable[[#This Row],[Revised due]],CommitmentsTable[[#This Row],[Original due]]))</f>
        <v/>
      </c>
      <c r="T230" s="237" t="str">
        <f>IF(OR(CommitmentsTable[[#This Row],[Commitment / deliverable]]="",CommitmentsTable[[#This Row],[Owner]]=""),"",IF(CommitmentsTable[[#This Row],[Status2]]="","Open",CommitmentsTable[[#This Row],[Status2]]))</f>
        <v/>
      </c>
      <c r="U230" s="237" t="str">
        <f t="shared" ca="1" si="3"/>
        <v/>
      </c>
      <c r="V230" s="233"/>
      <c r="W230" s="63" t="s">
        <v>1197</v>
      </c>
    </row>
    <row r="231" spans="1:23" ht="39">
      <c r="A231" s="213" t="str">
        <f>IF(OR(CommitmentsTable[[#This Row],[Commitment / deliverable]]="",CommitmentsTable[[#This Row],[Immutable Key]]=""),"",SUBSTITUTE(CommitmentsTable[[#This Row],[Immutable Key]],"-K-","-"))</f>
        <v/>
      </c>
      <c r="B231" s="233"/>
      <c r="C231" s="233"/>
      <c r="D231" s="213"/>
      <c r="E231" s="230"/>
      <c r="F231" s="213"/>
      <c r="G231" s="245" t="str">
        <f ca="1">IF(CommitmentsTable[[#This Row],[Commitment / deliverable]]="","",IF(CommitmentsTable[[#This Row],[Date record entered]]="",TODAY(),CommitmentsTable[[#This Row],[Date record entered]]))</f>
        <v/>
      </c>
      <c r="H231" s="245"/>
      <c r="I231" s="245" t="str">
        <f ca="1">IF(CommitmentsTable[[#This Row],[Date Assigned if different from entry date]]&lt;&gt;"",CommitmentsTable[[#This Row],[Date Assigned if different from entry date]]+90,IF(CommitmentsTable[[#This Row],[Date record entered]]&lt;&gt;"",CommitmentsTable[[#This Row],[Date record entered]]+90,""))</f>
        <v/>
      </c>
      <c r="J231" s="245" t="str">
        <f ca="1">IF(CommitmentsTable[[#This Row],[Date Assigned if different from entry date]]&lt;&gt;"",CommitmentsTable[[#This Row],[Date Assigned if different from entry date]]+30,IF(CommitmentsTable[[#This Row],[Date record entered]]&lt;&gt;"",CommitmentsTable[[#This Row],[Date record entered]]+30,""))</f>
        <v/>
      </c>
      <c r="K231" s="245"/>
      <c r="L231" s="245" t="str">
        <f ca="1">IF(CommitmentsTable[[#This Row],[Date Assigned if different from entry date]]&lt;&gt;"",CommitmentsTable[[#This Row],[Date Assigned if different from entry date]]+60,IF(CommitmentsTable[[#This Row],[Date record entered]]&lt;&gt;"",CommitmentsTable[[#This Row],[Date record entered]]+60,""))</f>
        <v/>
      </c>
      <c r="M231" s="214"/>
      <c r="N231" s="214"/>
      <c r="O231" s="236"/>
      <c r="P231" s="214"/>
      <c r="Q231" s="214"/>
      <c r="R231" s="214"/>
      <c r="S231" s="238" t="str">
        <f>IF(CommitmentsTable[[#This Row],[Commitment / deliverable]]="","",IF(CommitmentsTable[[#This Row],[Revised due]]&lt;&gt;"",CommitmentsTable[[#This Row],[Revised due]],CommitmentsTable[[#This Row],[Original due]]))</f>
        <v/>
      </c>
      <c r="T231" s="237" t="str">
        <f>IF(OR(CommitmentsTable[[#This Row],[Commitment / deliverable]]="",CommitmentsTable[[#This Row],[Owner]]=""),"",IF(CommitmentsTable[[#This Row],[Status2]]="","Open",CommitmentsTable[[#This Row],[Status2]]))</f>
        <v/>
      </c>
      <c r="U231" s="237" t="str">
        <f t="shared" ca="1" si="3"/>
        <v/>
      </c>
      <c r="V231" s="233"/>
      <c r="W231" s="63" t="s">
        <v>1198</v>
      </c>
    </row>
    <row r="232" spans="1:23" ht="39">
      <c r="A232" s="213" t="str">
        <f>IF(OR(CommitmentsTable[[#This Row],[Commitment / deliverable]]="",CommitmentsTable[[#This Row],[Immutable Key]]=""),"",SUBSTITUTE(CommitmentsTable[[#This Row],[Immutable Key]],"-K-","-"))</f>
        <v/>
      </c>
      <c r="B232" s="233"/>
      <c r="C232" s="233"/>
      <c r="D232" s="213"/>
      <c r="E232" s="230"/>
      <c r="F232" s="213"/>
      <c r="G232" s="245" t="str">
        <f ca="1">IF(CommitmentsTable[[#This Row],[Commitment / deliverable]]="","",IF(CommitmentsTable[[#This Row],[Date record entered]]="",TODAY(),CommitmentsTable[[#This Row],[Date record entered]]))</f>
        <v/>
      </c>
      <c r="H232" s="245"/>
      <c r="I232" s="245" t="str">
        <f ca="1">IF(CommitmentsTable[[#This Row],[Date Assigned if different from entry date]]&lt;&gt;"",CommitmentsTable[[#This Row],[Date Assigned if different from entry date]]+90,IF(CommitmentsTable[[#This Row],[Date record entered]]&lt;&gt;"",CommitmentsTable[[#This Row],[Date record entered]]+90,""))</f>
        <v/>
      </c>
      <c r="J232" s="245" t="str">
        <f ca="1">IF(CommitmentsTable[[#This Row],[Date Assigned if different from entry date]]&lt;&gt;"",CommitmentsTable[[#This Row],[Date Assigned if different from entry date]]+30,IF(CommitmentsTable[[#This Row],[Date record entered]]&lt;&gt;"",CommitmentsTable[[#This Row],[Date record entered]]+30,""))</f>
        <v/>
      </c>
      <c r="K232" s="245"/>
      <c r="L232" s="245" t="str">
        <f ca="1">IF(CommitmentsTable[[#This Row],[Date Assigned if different from entry date]]&lt;&gt;"",CommitmentsTable[[#This Row],[Date Assigned if different from entry date]]+60,IF(CommitmentsTable[[#This Row],[Date record entered]]&lt;&gt;"",CommitmentsTable[[#This Row],[Date record entered]]+60,""))</f>
        <v/>
      </c>
      <c r="M232" s="214"/>
      <c r="N232" s="214"/>
      <c r="O232" s="236"/>
      <c r="P232" s="214"/>
      <c r="Q232" s="214"/>
      <c r="R232" s="214"/>
      <c r="S232" s="238" t="str">
        <f>IF(CommitmentsTable[[#This Row],[Commitment / deliverable]]="","",IF(CommitmentsTable[[#This Row],[Revised due]]&lt;&gt;"",CommitmentsTable[[#This Row],[Revised due]],CommitmentsTable[[#This Row],[Original due]]))</f>
        <v/>
      </c>
      <c r="T232" s="237" t="str">
        <f>IF(OR(CommitmentsTable[[#This Row],[Commitment / deliverable]]="",CommitmentsTable[[#This Row],[Owner]]=""),"",IF(CommitmentsTable[[#This Row],[Status2]]="","Open",CommitmentsTable[[#This Row],[Status2]]))</f>
        <v/>
      </c>
      <c r="U232" s="237" t="str">
        <f t="shared" ca="1" si="3"/>
        <v/>
      </c>
      <c r="V232" s="233"/>
      <c r="W232" s="63" t="s">
        <v>1199</v>
      </c>
    </row>
    <row r="233" spans="1:23" ht="39">
      <c r="A233" s="213" t="str">
        <f>IF(OR(CommitmentsTable[[#This Row],[Commitment / deliverable]]="",CommitmentsTable[[#This Row],[Immutable Key]]=""),"",SUBSTITUTE(CommitmentsTable[[#This Row],[Immutable Key]],"-K-","-"))</f>
        <v/>
      </c>
      <c r="B233" s="233"/>
      <c r="C233" s="233"/>
      <c r="D233" s="213"/>
      <c r="E233" s="230"/>
      <c r="F233" s="213"/>
      <c r="G233" s="245" t="str">
        <f ca="1">IF(CommitmentsTable[[#This Row],[Commitment / deliverable]]="","",IF(CommitmentsTable[[#This Row],[Date record entered]]="",TODAY(),CommitmentsTable[[#This Row],[Date record entered]]))</f>
        <v/>
      </c>
      <c r="H233" s="245"/>
      <c r="I233" s="245" t="str">
        <f ca="1">IF(CommitmentsTable[[#This Row],[Date Assigned if different from entry date]]&lt;&gt;"",CommitmentsTable[[#This Row],[Date Assigned if different from entry date]]+90,IF(CommitmentsTable[[#This Row],[Date record entered]]&lt;&gt;"",CommitmentsTable[[#This Row],[Date record entered]]+90,""))</f>
        <v/>
      </c>
      <c r="J233" s="245" t="str">
        <f ca="1">IF(CommitmentsTable[[#This Row],[Date Assigned if different from entry date]]&lt;&gt;"",CommitmentsTable[[#This Row],[Date Assigned if different from entry date]]+30,IF(CommitmentsTable[[#This Row],[Date record entered]]&lt;&gt;"",CommitmentsTable[[#This Row],[Date record entered]]+30,""))</f>
        <v/>
      </c>
      <c r="K233" s="245"/>
      <c r="L233" s="245" t="str">
        <f ca="1">IF(CommitmentsTable[[#This Row],[Date Assigned if different from entry date]]&lt;&gt;"",CommitmentsTable[[#This Row],[Date Assigned if different from entry date]]+60,IF(CommitmentsTable[[#This Row],[Date record entered]]&lt;&gt;"",CommitmentsTable[[#This Row],[Date record entered]]+60,""))</f>
        <v/>
      </c>
      <c r="M233" s="214"/>
      <c r="N233" s="214"/>
      <c r="O233" s="236"/>
      <c r="P233" s="214"/>
      <c r="Q233" s="214"/>
      <c r="R233" s="214"/>
      <c r="S233" s="238" t="str">
        <f>IF(CommitmentsTable[[#This Row],[Commitment / deliverable]]="","",IF(CommitmentsTable[[#This Row],[Revised due]]&lt;&gt;"",CommitmentsTable[[#This Row],[Revised due]],CommitmentsTable[[#This Row],[Original due]]))</f>
        <v/>
      </c>
      <c r="T233" s="237" t="str">
        <f>IF(OR(CommitmentsTable[[#This Row],[Commitment / deliverable]]="",CommitmentsTable[[#This Row],[Owner]]=""),"",IF(CommitmentsTable[[#This Row],[Status2]]="","Open",CommitmentsTable[[#This Row],[Status2]]))</f>
        <v/>
      </c>
      <c r="U233" s="237" t="str">
        <f t="shared" ca="1" si="3"/>
        <v/>
      </c>
      <c r="V233" s="233"/>
      <c r="W233" s="63" t="s">
        <v>1200</v>
      </c>
    </row>
    <row r="234" spans="1:23" ht="39">
      <c r="A234" s="213" t="str">
        <f>IF(OR(CommitmentsTable[[#This Row],[Commitment / deliverable]]="",CommitmentsTable[[#This Row],[Immutable Key]]=""),"",SUBSTITUTE(CommitmentsTable[[#This Row],[Immutable Key]],"-K-","-"))</f>
        <v/>
      </c>
      <c r="B234" s="233"/>
      <c r="C234" s="233"/>
      <c r="D234" s="213"/>
      <c r="E234" s="230"/>
      <c r="F234" s="213"/>
      <c r="G234" s="245" t="str">
        <f ca="1">IF(CommitmentsTable[[#This Row],[Commitment / deliverable]]="","",IF(CommitmentsTable[[#This Row],[Date record entered]]="",TODAY(),CommitmentsTable[[#This Row],[Date record entered]]))</f>
        <v/>
      </c>
      <c r="H234" s="245"/>
      <c r="I234" s="245" t="str">
        <f ca="1">IF(CommitmentsTable[[#This Row],[Date Assigned if different from entry date]]&lt;&gt;"",CommitmentsTable[[#This Row],[Date Assigned if different from entry date]]+90,IF(CommitmentsTable[[#This Row],[Date record entered]]&lt;&gt;"",CommitmentsTable[[#This Row],[Date record entered]]+90,""))</f>
        <v/>
      </c>
      <c r="J234" s="245" t="str">
        <f ca="1">IF(CommitmentsTable[[#This Row],[Date Assigned if different from entry date]]&lt;&gt;"",CommitmentsTable[[#This Row],[Date Assigned if different from entry date]]+30,IF(CommitmentsTable[[#This Row],[Date record entered]]&lt;&gt;"",CommitmentsTable[[#This Row],[Date record entered]]+30,""))</f>
        <v/>
      </c>
      <c r="K234" s="245"/>
      <c r="L234" s="245" t="str">
        <f ca="1">IF(CommitmentsTable[[#This Row],[Date Assigned if different from entry date]]&lt;&gt;"",CommitmentsTable[[#This Row],[Date Assigned if different from entry date]]+60,IF(CommitmentsTable[[#This Row],[Date record entered]]&lt;&gt;"",CommitmentsTable[[#This Row],[Date record entered]]+60,""))</f>
        <v/>
      </c>
      <c r="M234" s="214"/>
      <c r="N234" s="214"/>
      <c r="O234" s="236"/>
      <c r="P234" s="214"/>
      <c r="Q234" s="214"/>
      <c r="R234" s="214"/>
      <c r="S234" s="238" t="str">
        <f>IF(CommitmentsTable[[#This Row],[Commitment / deliverable]]="","",IF(CommitmentsTable[[#This Row],[Revised due]]&lt;&gt;"",CommitmentsTable[[#This Row],[Revised due]],CommitmentsTable[[#This Row],[Original due]]))</f>
        <v/>
      </c>
      <c r="T234" s="237" t="str">
        <f>IF(OR(CommitmentsTable[[#This Row],[Commitment / deliverable]]="",CommitmentsTable[[#This Row],[Owner]]=""),"",IF(CommitmentsTable[[#This Row],[Status2]]="","Open",CommitmentsTable[[#This Row],[Status2]]))</f>
        <v/>
      </c>
      <c r="U234" s="237" t="str">
        <f t="shared" ca="1" si="3"/>
        <v/>
      </c>
      <c r="V234" s="233"/>
      <c r="W234" s="63" t="s">
        <v>1201</v>
      </c>
    </row>
    <row r="235" spans="1:23" ht="39">
      <c r="A235" s="213" t="str">
        <f>IF(OR(CommitmentsTable[[#This Row],[Commitment / deliverable]]="",CommitmentsTable[[#This Row],[Immutable Key]]=""),"",SUBSTITUTE(CommitmentsTable[[#This Row],[Immutable Key]],"-K-","-"))</f>
        <v/>
      </c>
      <c r="B235" s="233"/>
      <c r="C235" s="233"/>
      <c r="D235" s="213"/>
      <c r="E235" s="230"/>
      <c r="F235" s="213"/>
      <c r="G235" s="245" t="str">
        <f ca="1">IF(CommitmentsTable[[#This Row],[Commitment / deliverable]]="","",IF(CommitmentsTable[[#This Row],[Date record entered]]="",TODAY(),CommitmentsTable[[#This Row],[Date record entered]]))</f>
        <v/>
      </c>
      <c r="H235" s="245"/>
      <c r="I235" s="245" t="str">
        <f ca="1">IF(CommitmentsTable[[#This Row],[Date Assigned if different from entry date]]&lt;&gt;"",CommitmentsTable[[#This Row],[Date Assigned if different from entry date]]+90,IF(CommitmentsTable[[#This Row],[Date record entered]]&lt;&gt;"",CommitmentsTable[[#This Row],[Date record entered]]+90,""))</f>
        <v/>
      </c>
      <c r="J235" s="245" t="str">
        <f ca="1">IF(CommitmentsTable[[#This Row],[Date Assigned if different from entry date]]&lt;&gt;"",CommitmentsTable[[#This Row],[Date Assigned if different from entry date]]+30,IF(CommitmentsTable[[#This Row],[Date record entered]]&lt;&gt;"",CommitmentsTable[[#This Row],[Date record entered]]+30,""))</f>
        <v/>
      </c>
      <c r="K235" s="245"/>
      <c r="L235" s="245" t="str">
        <f ca="1">IF(CommitmentsTable[[#This Row],[Date Assigned if different from entry date]]&lt;&gt;"",CommitmentsTable[[#This Row],[Date Assigned if different from entry date]]+60,IF(CommitmentsTable[[#This Row],[Date record entered]]&lt;&gt;"",CommitmentsTable[[#This Row],[Date record entered]]+60,""))</f>
        <v/>
      </c>
      <c r="M235" s="214"/>
      <c r="N235" s="214"/>
      <c r="O235" s="236"/>
      <c r="P235" s="214"/>
      <c r="Q235" s="214"/>
      <c r="R235" s="214"/>
      <c r="S235" s="238" t="str">
        <f>IF(CommitmentsTable[[#This Row],[Commitment / deliverable]]="","",IF(CommitmentsTable[[#This Row],[Revised due]]&lt;&gt;"",CommitmentsTable[[#This Row],[Revised due]],CommitmentsTable[[#This Row],[Original due]]))</f>
        <v/>
      </c>
      <c r="T235" s="237" t="str">
        <f>IF(OR(CommitmentsTable[[#This Row],[Commitment / deliverable]]="",CommitmentsTable[[#This Row],[Owner]]=""),"",IF(CommitmentsTable[[#This Row],[Status2]]="","Open",CommitmentsTable[[#This Row],[Status2]]))</f>
        <v/>
      </c>
      <c r="U235" s="237" t="str">
        <f t="shared" ca="1" si="3"/>
        <v/>
      </c>
      <c r="V235" s="233"/>
      <c r="W235" s="63" t="s">
        <v>1202</v>
      </c>
    </row>
    <row r="236" spans="1:23" ht="39">
      <c r="A236" s="213" t="str">
        <f>IF(OR(CommitmentsTable[[#This Row],[Commitment / deliverable]]="",CommitmentsTable[[#This Row],[Immutable Key]]=""),"",SUBSTITUTE(CommitmentsTable[[#This Row],[Immutable Key]],"-K-","-"))</f>
        <v/>
      </c>
      <c r="B236" s="233"/>
      <c r="C236" s="233"/>
      <c r="D236" s="213"/>
      <c r="E236" s="230"/>
      <c r="F236" s="213"/>
      <c r="G236" s="245" t="str">
        <f ca="1">IF(CommitmentsTable[[#This Row],[Commitment / deliverable]]="","",IF(CommitmentsTable[[#This Row],[Date record entered]]="",TODAY(),CommitmentsTable[[#This Row],[Date record entered]]))</f>
        <v/>
      </c>
      <c r="H236" s="245"/>
      <c r="I236" s="245" t="str">
        <f ca="1">IF(CommitmentsTable[[#This Row],[Date Assigned if different from entry date]]&lt;&gt;"",CommitmentsTable[[#This Row],[Date Assigned if different from entry date]]+90,IF(CommitmentsTable[[#This Row],[Date record entered]]&lt;&gt;"",CommitmentsTable[[#This Row],[Date record entered]]+90,""))</f>
        <v/>
      </c>
      <c r="J236" s="245" t="str">
        <f ca="1">IF(CommitmentsTable[[#This Row],[Date Assigned if different from entry date]]&lt;&gt;"",CommitmentsTable[[#This Row],[Date Assigned if different from entry date]]+30,IF(CommitmentsTable[[#This Row],[Date record entered]]&lt;&gt;"",CommitmentsTable[[#This Row],[Date record entered]]+30,""))</f>
        <v/>
      </c>
      <c r="K236" s="245"/>
      <c r="L236" s="245" t="str">
        <f ca="1">IF(CommitmentsTable[[#This Row],[Date Assigned if different from entry date]]&lt;&gt;"",CommitmentsTable[[#This Row],[Date Assigned if different from entry date]]+60,IF(CommitmentsTable[[#This Row],[Date record entered]]&lt;&gt;"",CommitmentsTable[[#This Row],[Date record entered]]+60,""))</f>
        <v/>
      </c>
      <c r="M236" s="214"/>
      <c r="N236" s="214"/>
      <c r="O236" s="236"/>
      <c r="P236" s="214"/>
      <c r="Q236" s="214"/>
      <c r="R236" s="214"/>
      <c r="S236" s="238" t="str">
        <f>IF(CommitmentsTable[[#This Row],[Commitment / deliverable]]="","",IF(CommitmentsTable[[#This Row],[Revised due]]&lt;&gt;"",CommitmentsTable[[#This Row],[Revised due]],CommitmentsTable[[#This Row],[Original due]]))</f>
        <v/>
      </c>
      <c r="T236" s="237" t="str">
        <f>IF(OR(CommitmentsTable[[#This Row],[Commitment / deliverable]]="",CommitmentsTable[[#This Row],[Owner]]=""),"",IF(CommitmentsTable[[#This Row],[Status2]]="","Open",CommitmentsTable[[#This Row],[Status2]]))</f>
        <v/>
      </c>
      <c r="U236" s="237" t="str">
        <f t="shared" ca="1" si="3"/>
        <v/>
      </c>
      <c r="V236" s="233"/>
      <c r="W236" s="63" t="s">
        <v>1203</v>
      </c>
    </row>
    <row r="237" spans="1:23" ht="39">
      <c r="A237" s="213" t="str">
        <f>IF(OR(CommitmentsTable[[#This Row],[Commitment / deliverable]]="",CommitmentsTable[[#This Row],[Immutable Key]]=""),"",SUBSTITUTE(CommitmentsTable[[#This Row],[Immutable Key]],"-K-","-"))</f>
        <v/>
      </c>
      <c r="B237" s="233"/>
      <c r="C237" s="233"/>
      <c r="D237" s="213"/>
      <c r="E237" s="230"/>
      <c r="F237" s="213"/>
      <c r="G237" s="245" t="str">
        <f ca="1">IF(CommitmentsTable[[#This Row],[Commitment / deliverable]]="","",IF(CommitmentsTable[[#This Row],[Date record entered]]="",TODAY(),CommitmentsTable[[#This Row],[Date record entered]]))</f>
        <v/>
      </c>
      <c r="H237" s="245"/>
      <c r="I237" s="245" t="str">
        <f ca="1">IF(CommitmentsTable[[#This Row],[Date Assigned if different from entry date]]&lt;&gt;"",CommitmentsTable[[#This Row],[Date Assigned if different from entry date]]+90,IF(CommitmentsTable[[#This Row],[Date record entered]]&lt;&gt;"",CommitmentsTable[[#This Row],[Date record entered]]+90,""))</f>
        <v/>
      </c>
      <c r="J237" s="245" t="str">
        <f ca="1">IF(CommitmentsTable[[#This Row],[Date Assigned if different from entry date]]&lt;&gt;"",CommitmentsTable[[#This Row],[Date Assigned if different from entry date]]+30,IF(CommitmentsTable[[#This Row],[Date record entered]]&lt;&gt;"",CommitmentsTable[[#This Row],[Date record entered]]+30,""))</f>
        <v/>
      </c>
      <c r="K237" s="245"/>
      <c r="L237" s="245" t="str">
        <f ca="1">IF(CommitmentsTable[[#This Row],[Date Assigned if different from entry date]]&lt;&gt;"",CommitmentsTable[[#This Row],[Date Assigned if different from entry date]]+60,IF(CommitmentsTable[[#This Row],[Date record entered]]&lt;&gt;"",CommitmentsTable[[#This Row],[Date record entered]]+60,""))</f>
        <v/>
      </c>
      <c r="M237" s="214"/>
      <c r="N237" s="214"/>
      <c r="O237" s="236"/>
      <c r="P237" s="214"/>
      <c r="Q237" s="214"/>
      <c r="R237" s="214"/>
      <c r="S237" s="238" t="str">
        <f>IF(CommitmentsTable[[#This Row],[Commitment / deliverable]]="","",IF(CommitmentsTable[[#This Row],[Revised due]]&lt;&gt;"",CommitmentsTable[[#This Row],[Revised due]],CommitmentsTable[[#This Row],[Original due]]))</f>
        <v/>
      </c>
      <c r="T237" s="237" t="str">
        <f>IF(OR(CommitmentsTable[[#This Row],[Commitment / deliverable]]="",CommitmentsTable[[#This Row],[Owner]]=""),"",IF(CommitmentsTable[[#This Row],[Status2]]="","Open",CommitmentsTable[[#This Row],[Status2]]))</f>
        <v/>
      </c>
      <c r="U237" s="237" t="str">
        <f t="shared" ca="1" si="3"/>
        <v/>
      </c>
      <c r="V237" s="233"/>
      <c r="W237" s="63" t="s">
        <v>1204</v>
      </c>
    </row>
    <row r="238" spans="1:23" ht="39">
      <c r="A238" s="213" t="str">
        <f>IF(OR(CommitmentsTable[[#This Row],[Commitment / deliverable]]="",CommitmentsTable[[#This Row],[Immutable Key]]=""),"",SUBSTITUTE(CommitmentsTable[[#This Row],[Immutable Key]],"-K-","-"))</f>
        <v/>
      </c>
      <c r="B238" s="233"/>
      <c r="C238" s="233"/>
      <c r="D238" s="213"/>
      <c r="E238" s="230"/>
      <c r="F238" s="213"/>
      <c r="G238" s="245" t="str">
        <f ca="1">IF(CommitmentsTable[[#This Row],[Commitment / deliverable]]="","",IF(CommitmentsTable[[#This Row],[Date record entered]]="",TODAY(),CommitmentsTable[[#This Row],[Date record entered]]))</f>
        <v/>
      </c>
      <c r="H238" s="245"/>
      <c r="I238" s="245" t="str">
        <f ca="1">IF(CommitmentsTable[[#This Row],[Date Assigned if different from entry date]]&lt;&gt;"",CommitmentsTable[[#This Row],[Date Assigned if different from entry date]]+90,IF(CommitmentsTable[[#This Row],[Date record entered]]&lt;&gt;"",CommitmentsTable[[#This Row],[Date record entered]]+90,""))</f>
        <v/>
      </c>
      <c r="J238" s="245" t="str">
        <f ca="1">IF(CommitmentsTable[[#This Row],[Date Assigned if different from entry date]]&lt;&gt;"",CommitmentsTable[[#This Row],[Date Assigned if different from entry date]]+30,IF(CommitmentsTable[[#This Row],[Date record entered]]&lt;&gt;"",CommitmentsTable[[#This Row],[Date record entered]]+30,""))</f>
        <v/>
      </c>
      <c r="K238" s="245"/>
      <c r="L238" s="245" t="str">
        <f ca="1">IF(CommitmentsTable[[#This Row],[Date Assigned if different from entry date]]&lt;&gt;"",CommitmentsTable[[#This Row],[Date Assigned if different from entry date]]+60,IF(CommitmentsTable[[#This Row],[Date record entered]]&lt;&gt;"",CommitmentsTable[[#This Row],[Date record entered]]+60,""))</f>
        <v/>
      </c>
      <c r="M238" s="214"/>
      <c r="N238" s="214"/>
      <c r="O238" s="236"/>
      <c r="P238" s="214"/>
      <c r="Q238" s="214"/>
      <c r="R238" s="214"/>
      <c r="S238" s="238" t="str">
        <f>IF(CommitmentsTable[[#This Row],[Commitment / deliverable]]="","",IF(CommitmentsTable[[#This Row],[Revised due]]&lt;&gt;"",CommitmentsTable[[#This Row],[Revised due]],CommitmentsTable[[#This Row],[Original due]]))</f>
        <v/>
      </c>
      <c r="T238" s="237" t="str">
        <f>IF(OR(CommitmentsTable[[#This Row],[Commitment / deliverable]]="",CommitmentsTable[[#This Row],[Owner]]=""),"",IF(CommitmentsTable[[#This Row],[Status2]]="","Open",CommitmentsTable[[#This Row],[Status2]]))</f>
        <v/>
      </c>
      <c r="U238" s="237" t="str">
        <f t="shared" ca="1" si="3"/>
        <v/>
      </c>
      <c r="V238" s="233"/>
      <c r="W238" s="63" t="s">
        <v>1205</v>
      </c>
    </row>
    <row r="239" spans="1:23" ht="39">
      <c r="A239" s="213" t="str">
        <f>IF(OR(CommitmentsTable[[#This Row],[Commitment / deliverable]]="",CommitmentsTable[[#This Row],[Immutable Key]]=""),"",SUBSTITUTE(CommitmentsTable[[#This Row],[Immutable Key]],"-K-","-"))</f>
        <v/>
      </c>
      <c r="B239" s="233"/>
      <c r="C239" s="233"/>
      <c r="D239" s="213"/>
      <c r="E239" s="230"/>
      <c r="F239" s="213"/>
      <c r="G239" s="245" t="str">
        <f ca="1">IF(CommitmentsTable[[#This Row],[Commitment / deliverable]]="","",IF(CommitmentsTable[[#This Row],[Date record entered]]="",TODAY(),CommitmentsTable[[#This Row],[Date record entered]]))</f>
        <v/>
      </c>
      <c r="H239" s="245"/>
      <c r="I239" s="245" t="str">
        <f ca="1">IF(CommitmentsTable[[#This Row],[Date Assigned if different from entry date]]&lt;&gt;"",CommitmentsTable[[#This Row],[Date Assigned if different from entry date]]+90,IF(CommitmentsTable[[#This Row],[Date record entered]]&lt;&gt;"",CommitmentsTable[[#This Row],[Date record entered]]+90,""))</f>
        <v/>
      </c>
      <c r="J239" s="245" t="str">
        <f ca="1">IF(CommitmentsTable[[#This Row],[Date Assigned if different from entry date]]&lt;&gt;"",CommitmentsTable[[#This Row],[Date Assigned if different from entry date]]+30,IF(CommitmentsTable[[#This Row],[Date record entered]]&lt;&gt;"",CommitmentsTable[[#This Row],[Date record entered]]+30,""))</f>
        <v/>
      </c>
      <c r="K239" s="245"/>
      <c r="L239" s="245" t="str">
        <f ca="1">IF(CommitmentsTable[[#This Row],[Date Assigned if different from entry date]]&lt;&gt;"",CommitmentsTable[[#This Row],[Date Assigned if different from entry date]]+60,IF(CommitmentsTable[[#This Row],[Date record entered]]&lt;&gt;"",CommitmentsTable[[#This Row],[Date record entered]]+60,""))</f>
        <v/>
      </c>
      <c r="M239" s="214"/>
      <c r="N239" s="214"/>
      <c r="O239" s="236"/>
      <c r="P239" s="214"/>
      <c r="Q239" s="214"/>
      <c r="R239" s="214"/>
      <c r="S239" s="238" t="str">
        <f>IF(CommitmentsTable[[#This Row],[Commitment / deliverable]]="","",IF(CommitmentsTable[[#This Row],[Revised due]]&lt;&gt;"",CommitmentsTable[[#This Row],[Revised due]],CommitmentsTable[[#This Row],[Original due]]))</f>
        <v/>
      </c>
      <c r="T239" s="237" t="str">
        <f>IF(OR(CommitmentsTable[[#This Row],[Commitment / deliverable]]="",CommitmentsTable[[#This Row],[Owner]]=""),"",IF(CommitmentsTable[[#This Row],[Status2]]="","Open",CommitmentsTable[[#This Row],[Status2]]))</f>
        <v/>
      </c>
      <c r="U239" s="237" t="str">
        <f t="shared" ca="1" si="3"/>
        <v/>
      </c>
      <c r="V239" s="233"/>
      <c r="W239" s="63" t="s">
        <v>1206</v>
      </c>
    </row>
    <row r="240" spans="1:23" ht="39">
      <c r="A240" s="213" t="str">
        <f>IF(OR(CommitmentsTable[[#This Row],[Commitment / deliverable]]="",CommitmentsTable[[#This Row],[Immutable Key]]=""),"",SUBSTITUTE(CommitmentsTable[[#This Row],[Immutable Key]],"-K-","-"))</f>
        <v/>
      </c>
      <c r="B240" s="233"/>
      <c r="C240" s="233"/>
      <c r="D240" s="213"/>
      <c r="E240" s="230"/>
      <c r="F240" s="213"/>
      <c r="G240" s="245" t="str">
        <f ca="1">IF(CommitmentsTable[[#This Row],[Commitment / deliverable]]="","",IF(CommitmentsTable[[#This Row],[Date record entered]]="",TODAY(),CommitmentsTable[[#This Row],[Date record entered]]))</f>
        <v/>
      </c>
      <c r="H240" s="245"/>
      <c r="I240" s="245" t="str">
        <f ca="1">IF(CommitmentsTable[[#This Row],[Date Assigned if different from entry date]]&lt;&gt;"",CommitmentsTable[[#This Row],[Date Assigned if different from entry date]]+90,IF(CommitmentsTable[[#This Row],[Date record entered]]&lt;&gt;"",CommitmentsTable[[#This Row],[Date record entered]]+90,""))</f>
        <v/>
      </c>
      <c r="J240" s="245" t="str">
        <f ca="1">IF(CommitmentsTable[[#This Row],[Date Assigned if different from entry date]]&lt;&gt;"",CommitmentsTable[[#This Row],[Date Assigned if different from entry date]]+30,IF(CommitmentsTable[[#This Row],[Date record entered]]&lt;&gt;"",CommitmentsTable[[#This Row],[Date record entered]]+30,""))</f>
        <v/>
      </c>
      <c r="K240" s="245"/>
      <c r="L240" s="245" t="str">
        <f ca="1">IF(CommitmentsTable[[#This Row],[Date Assigned if different from entry date]]&lt;&gt;"",CommitmentsTable[[#This Row],[Date Assigned if different from entry date]]+60,IF(CommitmentsTable[[#This Row],[Date record entered]]&lt;&gt;"",CommitmentsTable[[#This Row],[Date record entered]]+60,""))</f>
        <v/>
      </c>
      <c r="M240" s="214"/>
      <c r="N240" s="214"/>
      <c r="O240" s="236"/>
      <c r="P240" s="214"/>
      <c r="Q240" s="214"/>
      <c r="R240" s="214"/>
      <c r="S240" s="238" t="str">
        <f>IF(CommitmentsTable[[#This Row],[Commitment / deliverable]]="","",IF(CommitmentsTable[[#This Row],[Revised due]]&lt;&gt;"",CommitmentsTable[[#This Row],[Revised due]],CommitmentsTable[[#This Row],[Original due]]))</f>
        <v/>
      </c>
      <c r="T240" s="237" t="str">
        <f>IF(OR(CommitmentsTable[[#This Row],[Commitment / deliverable]]="",CommitmentsTable[[#This Row],[Owner]]=""),"",IF(CommitmentsTable[[#This Row],[Status2]]="","Open",CommitmentsTable[[#This Row],[Status2]]))</f>
        <v/>
      </c>
      <c r="U240" s="237" t="str">
        <f t="shared" ca="1" si="3"/>
        <v/>
      </c>
      <c r="V240" s="233"/>
      <c r="W240" s="63" t="s">
        <v>1207</v>
      </c>
    </row>
    <row r="241" spans="1:23" ht="39">
      <c r="A241" s="213" t="str">
        <f>IF(OR(CommitmentsTable[[#This Row],[Commitment / deliverable]]="",CommitmentsTable[[#This Row],[Immutable Key]]=""),"",SUBSTITUTE(CommitmentsTable[[#This Row],[Immutable Key]],"-K-","-"))</f>
        <v/>
      </c>
      <c r="B241" s="233"/>
      <c r="C241" s="233"/>
      <c r="D241" s="213"/>
      <c r="E241" s="230"/>
      <c r="F241" s="213"/>
      <c r="G241" s="245" t="str">
        <f ca="1">IF(CommitmentsTable[[#This Row],[Commitment / deliverable]]="","",IF(CommitmentsTable[[#This Row],[Date record entered]]="",TODAY(),CommitmentsTable[[#This Row],[Date record entered]]))</f>
        <v/>
      </c>
      <c r="H241" s="245"/>
      <c r="I241" s="245" t="str">
        <f ca="1">IF(CommitmentsTable[[#This Row],[Date Assigned if different from entry date]]&lt;&gt;"",CommitmentsTable[[#This Row],[Date Assigned if different from entry date]]+90,IF(CommitmentsTable[[#This Row],[Date record entered]]&lt;&gt;"",CommitmentsTable[[#This Row],[Date record entered]]+90,""))</f>
        <v/>
      </c>
      <c r="J241" s="245" t="str">
        <f ca="1">IF(CommitmentsTable[[#This Row],[Date Assigned if different from entry date]]&lt;&gt;"",CommitmentsTable[[#This Row],[Date Assigned if different from entry date]]+30,IF(CommitmentsTable[[#This Row],[Date record entered]]&lt;&gt;"",CommitmentsTable[[#This Row],[Date record entered]]+30,""))</f>
        <v/>
      </c>
      <c r="K241" s="245"/>
      <c r="L241" s="245" t="str">
        <f ca="1">IF(CommitmentsTable[[#This Row],[Date Assigned if different from entry date]]&lt;&gt;"",CommitmentsTable[[#This Row],[Date Assigned if different from entry date]]+60,IF(CommitmentsTable[[#This Row],[Date record entered]]&lt;&gt;"",CommitmentsTable[[#This Row],[Date record entered]]+60,""))</f>
        <v/>
      </c>
      <c r="M241" s="214"/>
      <c r="N241" s="214"/>
      <c r="O241" s="236"/>
      <c r="P241" s="214"/>
      <c r="Q241" s="214"/>
      <c r="R241" s="214"/>
      <c r="S241" s="238" t="str">
        <f>IF(CommitmentsTable[[#This Row],[Commitment / deliverable]]="","",IF(CommitmentsTable[[#This Row],[Revised due]]&lt;&gt;"",CommitmentsTable[[#This Row],[Revised due]],CommitmentsTable[[#This Row],[Original due]]))</f>
        <v/>
      </c>
      <c r="T241" s="237" t="str">
        <f>IF(OR(CommitmentsTable[[#This Row],[Commitment / deliverable]]="",CommitmentsTable[[#This Row],[Owner]]=""),"",IF(CommitmentsTable[[#This Row],[Status2]]="","Open",CommitmentsTable[[#This Row],[Status2]]))</f>
        <v/>
      </c>
      <c r="U241" s="237" t="str">
        <f t="shared" ca="1" si="3"/>
        <v/>
      </c>
      <c r="V241" s="233"/>
      <c r="W241" s="63" t="s">
        <v>1208</v>
      </c>
    </row>
    <row r="242" spans="1:23" ht="39">
      <c r="A242" s="213" t="str">
        <f>IF(OR(CommitmentsTable[[#This Row],[Commitment / deliverable]]="",CommitmentsTable[[#This Row],[Immutable Key]]=""),"",SUBSTITUTE(CommitmentsTable[[#This Row],[Immutable Key]],"-K-","-"))</f>
        <v/>
      </c>
      <c r="B242" s="233"/>
      <c r="C242" s="233"/>
      <c r="D242" s="213"/>
      <c r="E242" s="230"/>
      <c r="F242" s="213"/>
      <c r="G242" s="245" t="str">
        <f ca="1">IF(CommitmentsTable[[#This Row],[Commitment / deliverable]]="","",IF(CommitmentsTable[[#This Row],[Date record entered]]="",TODAY(),CommitmentsTable[[#This Row],[Date record entered]]))</f>
        <v/>
      </c>
      <c r="H242" s="245"/>
      <c r="I242" s="245" t="str">
        <f ca="1">IF(CommitmentsTable[[#This Row],[Date Assigned if different from entry date]]&lt;&gt;"",CommitmentsTable[[#This Row],[Date Assigned if different from entry date]]+90,IF(CommitmentsTable[[#This Row],[Date record entered]]&lt;&gt;"",CommitmentsTable[[#This Row],[Date record entered]]+90,""))</f>
        <v/>
      </c>
      <c r="J242" s="245" t="str">
        <f ca="1">IF(CommitmentsTable[[#This Row],[Date Assigned if different from entry date]]&lt;&gt;"",CommitmentsTable[[#This Row],[Date Assigned if different from entry date]]+30,IF(CommitmentsTable[[#This Row],[Date record entered]]&lt;&gt;"",CommitmentsTable[[#This Row],[Date record entered]]+30,""))</f>
        <v/>
      </c>
      <c r="K242" s="245"/>
      <c r="L242" s="245" t="str">
        <f ca="1">IF(CommitmentsTable[[#This Row],[Date Assigned if different from entry date]]&lt;&gt;"",CommitmentsTable[[#This Row],[Date Assigned if different from entry date]]+60,IF(CommitmentsTable[[#This Row],[Date record entered]]&lt;&gt;"",CommitmentsTable[[#This Row],[Date record entered]]+60,""))</f>
        <v/>
      </c>
      <c r="M242" s="214"/>
      <c r="N242" s="214"/>
      <c r="O242" s="236"/>
      <c r="P242" s="214"/>
      <c r="Q242" s="214"/>
      <c r="R242" s="214"/>
      <c r="S242" s="238" t="str">
        <f>IF(CommitmentsTable[[#This Row],[Commitment / deliverable]]="","",IF(CommitmentsTable[[#This Row],[Revised due]]&lt;&gt;"",CommitmentsTable[[#This Row],[Revised due]],CommitmentsTable[[#This Row],[Original due]]))</f>
        <v/>
      </c>
      <c r="T242" s="237" t="str">
        <f>IF(OR(CommitmentsTable[[#This Row],[Commitment / deliverable]]="",CommitmentsTable[[#This Row],[Owner]]=""),"",IF(CommitmentsTable[[#This Row],[Status2]]="","Open",CommitmentsTable[[#This Row],[Status2]]))</f>
        <v/>
      </c>
      <c r="U242" s="237" t="str">
        <f t="shared" ca="1" si="3"/>
        <v/>
      </c>
      <c r="V242" s="233"/>
      <c r="W242" s="63" t="s">
        <v>1209</v>
      </c>
    </row>
    <row r="243" spans="1:23" ht="39">
      <c r="A243" s="213" t="str">
        <f>IF(OR(CommitmentsTable[[#This Row],[Commitment / deliverable]]="",CommitmentsTable[[#This Row],[Immutable Key]]=""),"",SUBSTITUTE(CommitmentsTable[[#This Row],[Immutable Key]],"-K-","-"))</f>
        <v/>
      </c>
      <c r="B243" s="233"/>
      <c r="C243" s="233"/>
      <c r="D243" s="213"/>
      <c r="E243" s="230"/>
      <c r="F243" s="213"/>
      <c r="G243" s="245" t="str">
        <f ca="1">IF(CommitmentsTable[[#This Row],[Commitment / deliverable]]="","",IF(CommitmentsTable[[#This Row],[Date record entered]]="",TODAY(),CommitmentsTable[[#This Row],[Date record entered]]))</f>
        <v/>
      </c>
      <c r="H243" s="245"/>
      <c r="I243" s="245" t="str">
        <f ca="1">IF(CommitmentsTable[[#This Row],[Date Assigned if different from entry date]]&lt;&gt;"",CommitmentsTable[[#This Row],[Date Assigned if different from entry date]]+90,IF(CommitmentsTable[[#This Row],[Date record entered]]&lt;&gt;"",CommitmentsTable[[#This Row],[Date record entered]]+90,""))</f>
        <v/>
      </c>
      <c r="J243" s="245" t="str">
        <f ca="1">IF(CommitmentsTable[[#This Row],[Date Assigned if different from entry date]]&lt;&gt;"",CommitmentsTable[[#This Row],[Date Assigned if different from entry date]]+30,IF(CommitmentsTable[[#This Row],[Date record entered]]&lt;&gt;"",CommitmentsTable[[#This Row],[Date record entered]]+30,""))</f>
        <v/>
      </c>
      <c r="K243" s="245"/>
      <c r="L243" s="245" t="str">
        <f ca="1">IF(CommitmentsTable[[#This Row],[Date Assigned if different from entry date]]&lt;&gt;"",CommitmentsTable[[#This Row],[Date Assigned if different from entry date]]+60,IF(CommitmentsTable[[#This Row],[Date record entered]]&lt;&gt;"",CommitmentsTable[[#This Row],[Date record entered]]+60,""))</f>
        <v/>
      </c>
      <c r="M243" s="214"/>
      <c r="N243" s="214"/>
      <c r="O243" s="236"/>
      <c r="P243" s="214"/>
      <c r="Q243" s="214"/>
      <c r="R243" s="214"/>
      <c r="S243" s="238" t="str">
        <f>IF(CommitmentsTable[[#This Row],[Commitment / deliverable]]="","",IF(CommitmentsTable[[#This Row],[Revised due]]&lt;&gt;"",CommitmentsTable[[#This Row],[Revised due]],CommitmentsTable[[#This Row],[Original due]]))</f>
        <v/>
      </c>
      <c r="T243" s="237" t="str">
        <f>IF(OR(CommitmentsTable[[#This Row],[Commitment / deliverable]]="",CommitmentsTable[[#This Row],[Owner]]=""),"",IF(CommitmentsTable[[#This Row],[Status2]]="","Open",CommitmentsTable[[#This Row],[Status2]]))</f>
        <v/>
      </c>
      <c r="U243" s="237" t="str">
        <f t="shared" ca="1" si="3"/>
        <v/>
      </c>
      <c r="V243" s="233"/>
      <c r="W243" s="63" t="s">
        <v>1210</v>
      </c>
    </row>
    <row r="244" spans="1:23" ht="39">
      <c r="A244" s="213" t="str">
        <f>IF(OR(CommitmentsTable[[#This Row],[Commitment / deliverable]]="",CommitmentsTable[[#This Row],[Immutable Key]]=""),"",SUBSTITUTE(CommitmentsTable[[#This Row],[Immutable Key]],"-K-","-"))</f>
        <v/>
      </c>
      <c r="B244" s="233"/>
      <c r="C244" s="233"/>
      <c r="D244" s="213"/>
      <c r="E244" s="230"/>
      <c r="F244" s="213"/>
      <c r="G244" s="245" t="str">
        <f ca="1">IF(CommitmentsTable[[#This Row],[Commitment / deliverable]]="","",IF(CommitmentsTable[[#This Row],[Date record entered]]="",TODAY(),CommitmentsTable[[#This Row],[Date record entered]]))</f>
        <v/>
      </c>
      <c r="H244" s="245"/>
      <c r="I244" s="245" t="str">
        <f ca="1">IF(CommitmentsTable[[#This Row],[Date Assigned if different from entry date]]&lt;&gt;"",CommitmentsTable[[#This Row],[Date Assigned if different from entry date]]+90,IF(CommitmentsTable[[#This Row],[Date record entered]]&lt;&gt;"",CommitmentsTable[[#This Row],[Date record entered]]+90,""))</f>
        <v/>
      </c>
      <c r="J244" s="245" t="str">
        <f ca="1">IF(CommitmentsTable[[#This Row],[Date Assigned if different from entry date]]&lt;&gt;"",CommitmentsTable[[#This Row],[Date Assigned if different from entry date]]+30,IF(CommitmentsTable[[#This Row],[Date record entered]]&lt;&gt;"",CommitmentsTable[[#This Row],[Date record entered]]+30,""))</f>
        <v/>
      </c>
      <c r="K244" s="245"/>
      <c r="L244" s="245" t="str">
        <f ca="1">IF(CommitmentsTable[[#This Row],[Date Assigned if different from entry date]]&lt;&gt;"",CommitmentsTable[[#This Row],[Date Assigned if different from entry date]]+60,IF(CommitmentsTable[[#This Row],[Date record entered]]&lt;&gt;"",CommitmentsTable[[#This Row],[Date record entered]]+60,""))</f>
        <v/>
      </c>
      <c r="M244" s="214"/>
      <c r="N244" s="214"/>
      <c r="O244" s="236"/>
      <c r="P244" s="214"/>
      <c r="Q244" s="214"/>
      <c r="R244" s="214"/>
      <c r="S244" s="238" t="str">
        <f>IF(CommitmentsTable[[#This Row],[Commitment / deliverable]]="","",IF(CommitmentsTable[[#This Row],[Revised due]]&lt;&gt;"",CommitmentsTable[[#This Row],[Revised due]],CommitmentsTable[[#This Row],[Original due]]))</f>
        <v/>
      </c>
      <c r="T244" s="237" t="str">
        <f>IF(OR(CommitmentsTable[[#This Row],[Commitment / deliverable]]="",CommitmentsTable[[#This Row],[Owner]]=""),"",IF(CommitmentsTable[[#This Row],[Status2]]="","Open",CommitmentsTable[[#This Row],[Status2]]))</f>
        <v/>
      </c>
      <c r="U244" s="237" t="str">
        <f t="shared" ca="1" si="3"/>
        <v/>
      </c>
      <c r="V244" s="233"/>
      <c r="W244" s="63" t="s">
        <v>1211</v>
      </c>
    </row>
    <row r="245" spans="1:23" ht="39">
      <c r="A245" s="213" t="str">
        <f>IF(OR(CommitmentsTable[[#This Row],[Commitment / deliverable]]="",CommitmentsTable[[#This Row],[Immutable Key]]=""),"",SUBSTITUTE(CommitmentsTable[[#This Row],[Immutable Key]],"-K-","-"))</f>
        <v/>
      </c>
      <c r="B245" s="233"/>
      <c r="C245" s="233"/>
      <c r="D245" s="213"/>
      <c r="E245" s="230"/>
      <c r="F245" s="213"/>
      <c r="G245" s="245" t="str">
        <f ca="1">IF(CommitmentsTable[[#This Row],[Commitment / deliverable]]="","",IF(CommitmentsTable[[#This Row],[Date record entered]]="",TODAY(),CommitmentsTable[[#This Row],[Date record entered]]))</f>
        <v/>
      </c>
      <c r="H245" s="245"/>
      <c r="I245" s="245" t="str">
        <f ca="1">IF(CommitmentsTable[[#This Row],[Date Assigned if different from entry date]]&lt;&gt;"",CommitmentsTable[[#This Row],[Date Assigned if different from entry date]]+90,IF(CommitmentsTable[[#This Row],[Date record entered]]&lt;&gt;"",CommitmentsTable[[#This Row],[Date record entered]]+90,""))</f>
        <v/>
      </c>
      <c r="J245" s="245" t="str">
        <f ca="1">IF(CommitmentsTable[[#This Row],[Date Assigned if different from entry date]]&lt;&gt;"",CommitmentsTable[[#This Row],[Date Assigned if different from entry date]]+30,IF(CommitmentsTable[[#This Row],[Date record entered]]&lt;&gt;"",CommitmentsTable[[#This Row],[Date record entered]]+30,""))</f>
        <v/>
      </c>
      <c r="K245" s="245"/>
      <c r="L245" s="245" t="str">
        <f ca="1">IF(CommitmentsTable[[#This Row],[Date Assigned if different from entry date]]&lt;&gt;"",CommitmentsTable[[#This Row],[Date Assigned if different from entry date]]+60,IF(CommitmentsTable[[#This Row],[Date record entered]]&lt;&gt;"",CommitmentsTable[[#This Row],[Date record entered]]+60,""))</f>
        <v/>
      </c>
      <c r="M245" s="214"/>
      <c r="N245" s="214"/>
      <c r="O245" s="236"/>
      <c r="P245" s="214"/>
      <c r="Q245" s="214"/>
      <c r="R245" s="214"/>
      <c r="S245" s="238" t="str">
        <f>IF(CommitmentsTable[[#This Row],[Commitment / deliverable]]="","",IF(CommitmentsTable[[#This Row],[Revised due]]&lt;&gt;"",CommitmentsTable[[#This Row],[Revised due]],CommitmentsTable[[#This Row],[Original due]]))</f>
        <v/>
      </c>
      <c r="T245" s="237" t="str">
        <f>IF(OR(CommitmentsTable[[#This Row],[Commitment / deliverable]]="",CommitmentsTable[[#This Row],[Owner]]=""),"",IF(CommitmentsTable[[#This Row],[Status2]]="","Open",CommitmentsTable[[#This Row],[Status2]]))</f>
        <v/>
      </c>
      <c r="U245" s="237" t="str">
        <f t="shared" ca="1" si="3"/>
        <v/>
      </c>
      <c r="V245" s="233"/>
      <c r="W245" s="63" t="s">
        <v>1212</v>
      </c>
    </row>
    <row r="246" spans="1:23" ht="39">
      <c r="A246" s="213" t="str">
        <f>IF(OR(CommitmentsTable[[#This Row],[Commitment / deliverable]]="",CommitmentsTable[[#This Row],[Immutable Key]]=""),"",SUBSTITUTE(CommitmentsTable[[#This Row],[Immutable Key]],"-K-","-"))</f>
        <v/>
      </c>
      <c r="B246" s="233"/>
      <c r="C246" s="233"/>
      <c r="D246" s="213"/>
      <c r="E246" s="230"/>
      <c r="F246" s="213"/>
      <c r="G246" s="245" t="str">
        <f ca="1">IF(CommitmentsTable[[#This Row],[Commitment / deliverable]]="","",IF(CommitmentsTable[[#This Row],[Date record entered]]="",TODAY(),CommitmentsTable[[#This Row],[Date record entered]]))</f>
        <v/>
      </c>
      <c r="H246" s="245"/>
      <c r="I246" s="245" t="str">
        <f ca="1">IF(CommitmentsTable[[#This Row],[Date Assigned if different from entry date]]&lt;&gt;"",CommitmentsTable[[#This Row],[Date Assigned if different from entry date]]+90,IF(CommitmentsTable[[#This Row],[Date record entered]]&lt;&gt;"",CommitmentsTable[[#This Row],[Date record entered]]+90,""))</f>
        <v/>
      </c>
      <c r="J246" s="245" t="str">
        <f ca="1">IF(CommitmentsTable[[#This Row],[Date Assigned if different from entry date]]&lt;&gt;"",CommitmentsTable[[#This Row],[Date Assigned if different from entry date]]+30,IF(CommitmentsTable[[#This Row],[Date record entered]]&lt;&gt;"",CommitmentsTable[[#This Row],[Date record entered]]+30,""))</f>
        <v/>
      </c>
      <c r="K246" s="245"/>
      <c r="L246" s="245" t="str">
        <f ca="1">IF(CommitmentsTable[[#This Row],[Date Assigned if different from entry date]]&lt;&gt;"",CommitmentsTable[[#This Row],[Date Assigned if different from entry date]]+60,IF(CommitmentsTable[[#This Row],[Date record entered]]&lt;&gt;"",CommitmentsTable[[#This Row],[Date record entered]]+60,""))</f>
        <v/>
      </c>
      <c r="M246" s="214"/>
      <c r="N246" s="214"/>
      <c r="O246" s="236"/>
      <c r="P246" s="214"/>
      <c r="Q246" s="214"/>
      <c r="R246" s="214"/>
      <c r="S246" s="238" t="str">
        <f>IF(CommitmentsTable[[#This Row],[Commitment / deliverable]]="","",IF(CommitmentsTable[[#This Row],[Revised due]]&lt;&gt;"",CommitmentsTable[[#This Row],[Revised due]],CommitmentsTable[[#This Row],[Original due]]))</f>
        <v/>
      </c>
      <c r="T246" s="237" t="str">
        <f>IF(OR(CommitmentsTable[[#This Row],[Commitment / deliverable]]="",CommitmentsTable[[#This Row],[Owner]]=""),"",IF(CommitmentsTable[[#This Row],[Status2]]="","Open",CommitmentsTable[[#This Row],[Status2]]))</f>
        <v/>
      </c>
      <c r="U246" s="237" t="str">
        <f t="shared" ca="1" si="3"/>
        <v/>
      </c>
      <c r="V246" s="233"/>
      <c r="W246" s="63" t="s">
        <v>1213</v>
      </c>
    </row>
    <row r="247" spans="1:23" ht="39">
      <c r="A247" s="213" t="str">
        <f>IF(OR(CommitmentsTable[[#This Row],[Commitment / deliverable]]="",CommitmentsTable[[#This Row],[Immutable Key]]=""),"",SUBSTITUTE(CommitmentsTable[[#This Row],[Immutable Key]],"-K-","-"))</f>
        <v/>
      </c>
      <c r="B247" s="233"/>
      <c r="C247" s="233"/>
      <c r="D247" s="213"/>
      <c r="E247" s="230"/>
      <c r="F247" s="213"/>
      <c r="G247" s="245" t="str">
        <f ca="1">IF(CommitmentsTable[[#This Row],[Commitment / deliverable]]="","",IF(CommitmentsTable[[#This Row],[Date record entered]]="",TODAY(),CommitmentsTable[[#This Row],[Date record entered]]))</f>
        <v/>
      </c>
      <c r="H247" s="245"/>
      <c r="I247" s="245" t="str">
        <f ca="1">IF(CommitmentsTable[[#This Row],[Date Assigned if different from entry date]]&lt;&gt;"",CommitmentsTable[[#This Row],[Date Assigned if different from entry date]]+90,IF(CommitmentsTable[[#This Row],[Date record entered]]&lt;&gt;"",CommitmentsTable[[#This Row],[Date record entered]]+90,""))</f>
        <v/>
      </c>
      <c r="J247" s="245" t="str">
        <f ca="1">IF(CommitmentsTable[[#This Row],[Date Assigned if different from entry date]]&lt;&gt;"",CommitmentsTable[[#This Row],[Date Assigned if different from entry date]]+30,IF(CommitmentsTable[[#This Row],[Date record entered]]&lt;&gt;"",CommitmentsTable[[#This Row],[Date record entered]]+30,""))</f>
        <v/>
      </c>
      <c r="K247" s="245"/>
      <c r="L247" s="245" t="str">
        <f ca="1">IF(CommitmentsTable[[#This Row],[Date Assigned if different from entry date]]&lt;&gt;"",CommitmentsTable[[#This Row],[Date Assigned if different from entry date]]+60,IF(CommitmentsTable[[#This Row],[Date record entered]]&lt;&gt;"",CommitmentsTable[[#This Row],[Date record entered]]+60,""))</f>
        <v/>
      </c>
      <c r="M247" s="214"/>
      <c r="N247" s="214"/>
      <c r="O247" s="236"/>
      <c r="P247" s="214"/>
      <c r="Q247" s="214"/>
      <c r="R247" s="214"/>
      <c r="S247" s="238" t="str">
        <f>IF(CommitmentsTable[[#This Row],[Commitment / deliverable]]="","",IF(CommitmentsTable[[#This Row],[Revised due]]&lt;&gt;"",CommitmentsTable[[#This Row],[Revised due]],CommitmentsTable[[#This Row],[Original due]]))</f>
        <v/>
      </c>
      <c r="T247" s="237" t="str">
        <f>IF(OR(CommitmentsTable[[#This Row],[Commitment / deliverable]]="",CommitmentsTable[[#This Row],[Owner]]=""),"",IF(CommitmentsTable[[#This Row],[Status2]]="","Open",CommitmentsTable[[#This Row],[Status2]]))</f>
        <v/>
      </c>
      <c r="U247" s="237" t="str">
        <f t="shared" ca="1" si="3"/>
        <v/>
      </c>
      <c r="V247" s="233"/>
      <c r="W247" s="63" t="s">
        <v>1214</v>
      </c>
    </row>
    <row r="248" spans="1:23" ht="39">
      <c r="A248" s="213" t="str">
        <f>IF(OR(CommitmentsTable[[#This Row],[Commitment / deliverable]]="",CommitmentsTable[[#This Row],[Immutable Key]]=""),"",SUBSTITUTE(CommitmentsTable[[#This Row],[Immutable Key]],"-K-","-"))</f>
        <v/>
      </c>
      <c r="B248" s="233"/>
      <c r="C248" s="233"/>
      <c r="D248" s="213"/>
      <c r="E248" s="230"/>
      <c r="F248" s="213"/>
      <c r="G248" s="245" t="str">
        <f ca="1">IF(CommitmentsTable[[#This Row],[Commitment / deliverable]]="","",IF(CommitmentsTable[[#This Row],[Date record entered]]="",TODAY(),CommitmentsTable[[#This Row],[Date record entered]]))</f>
        <v/>
      </c>
      <c r="H248" s="245"/>
      <c r="I248" s="245" t="str">
        <f ca="1">IF(CommitmentsTable[[#This Row],[Date Assigned if different from entry date]]&lt;&gt;"",CommitmentsTable[[#This Row],[Date Assigned if different from entry date]]+90,IF(CommitmentsTable[[#This Row],[Date record entered]]&lt;&gt;"",CommitmentsTable[[#This Row],[Date record entered]]+90,""))</f>
        <v/>
      </c>
      <c r="J248" s="245" t="str">
        <f ca="1">IF(CommitmentsTable[[#This Row],[Date Assigned if different from entry date]]&lt;&gt;"",CommitmentsTable[[#This Row],[Date Assigned if different from entry date]]+30,IF(CommitmentsTable[[#This Row],[Date record entered]]&lt;&gt;"",CommitmentsTable[[#This Row],[Date record entered]]+30,""))</f>
        <v/>
      </c>
      <c r="K248" s="245"/>
      <c r="L248" s="245" t="str">
        <f ca="1">IF(CommitmentsTable[[#This Row],[Date Assigned if different from entry date]]&lt;&gt;"",CommitmentsTable[[#This Row],[Date Assigned if different from entry date]]+60,IF(CommitmentsTable[[#This Row],[Date record entered]]&lt;&gt;"",CommitmentsTable[[#This Row],[Date record entered]]+60,""))</f>
        <v/>
      </c>
      <c r="M248" s="214"/>
      <c r="N248" s="214"/>
      <c r="O248" s="236"/>
      <c r="P248" s="214"/>
      <c r="Q248" s="214"/>
      <c r="R248" s="214"/>
      <c r="S248" s="238" t="str">
        <f>IF(CommitmentsTable[[#This Row],[Commitment / deliverable]]="","",IF(CommitmentsTable[[#This Row],[Revised due]]&lt;&gt;"",CommitmentsTable[[#This Row],[Revised due]],CommitmentsTable[[#This Row],[Original due]]))</f>
        <v/>
      </c>
      <c r="T248" s="237" t="str">
        <f>IF(OR(CommitmentsTable[[#This Row],[Commitment / deliverable]]="",CommitmentsTable[[#This Row],[Owner]]=""),"",IF(CommitmentsTable[[#This Row],[Status2]]="","Open",CommitmentsTable[[#This Row],[Status2]]))</f>
        <v/>
      </c>
      <c r="U248" s="237" t="str">
        <f t="shared" ca="1" si="3"/>
        <v/>
      </c>
      <c r="V248" s="233"/>
      <c r="W248" s="63" t="s">
        <v>1215</v>
      </c>
    </row>
    <row r="249" spans="1:23" ht="39">
      <c r="A249" s="213" t="str">
        <f>IF(OR(CommitmentsTable[[#This Row],[Commitment / deliverable]]="",CommitmentsTable[[#This Row],[Immutable Key]]=""),"",SUBSTITUTE(CommitmentsTable[[#This Row],[Immutable Key]],"-K-","-"))</f>
        <v/>
      </c>
      <c r="B249" s="233"/>
      <c r="C249" s="233"/>
      <c r="D249" s="213"/>
      <c r="E249" s="230"/>
      <c r="F249" s="213"/>
      <c r="G249" s="245" t="str">
        <f ca="1">IF(CommitmentsTable[[#This Row],[Commitment / deliverable]]="","",IF(CommitmentsTable[[#This Row],[Date record entered]]="",TODAY(),CommitmentsTable[[#This Row],[Date record entered]]))</f>
        <v/>
      </c>
      <c r="H249" s="245"/>
      <c r="I249" s="245" t="str">
        <f ca="1">IF(CommitmentsTable[[#This Row],[Date Assigned if different from entry date]]&lt;&gt;"",CommitmentsTable[[#This Row],[Date Assigned if different from entry date]]+90,IF(CommitmentsTable[[#This Row],[Date record entered]]&lt;&gt;"",CommitmentsTable[[#This Row],[Date record entered]]+90,""))</f>
        <v/>
      </c>
      <c r="J249" s="245" t="str">
        <f ca="1">IF(CommitmentsTable[[#This Row],[Date Assigned if different from entry date]]&lt;&gt;"",CommitmentsTable[[#This Row],[Date Assigned if different from entry date]]+30,IF(CommitmentsTable[[#This Row],[Date record entered]]&lt;&gt;"",CommitmentsTable[[#This Row],[Date record entered]]+30,""))</f>
        <v/>
      </c>
      <c r="K249" s="245"/>
      <c r="L249" s="245" t="str">
        <f ca="1">IF(CommitmentsTable[[#This Row],[Date Assigned if different from entry date]]&lt;&gt;"",CommitmentsTable[[#This Row],[Date Assigned if different from entry date]]+60,IF(CommitmentsTable[[#This Row],[Date record entered]]&lt;&gt;"",CommitmentsTable[[#This Row],[Date record entered]]+60,""))</f>
        <v/>
      </c>
      <c r="M249" s="214"/>
      <c r="N249" s="214"/>
      <c r="O249" s="236"/>
      <c r="P249" s="214"/>
      <c r="Q249" s="214"/>
      <c r="R249" s="214"/>
      <c r="S249" s="238" t="str">
        <f>IF(CommitmentsTable[[#This Row],[Commitment / deliverable]]="","",IF(CommitmentsTable[[#This Row],[Revised due]]&lt;&gt;"",CommitmentsTable[[#This Row],[Revised due]],CommitmentsTable[[#This Row],[Original due]]))</f>
        <v/>
      </c>
      <c r="T249" s="237" t="str">
        <f>IF(OR(CommitmentsTable[[#This Row],[Commitment / deliverable]]="",CommitmentsTable[[#This Row],[Owner]]=""),"",IF(CommitmentsTable[[#This Row],[Status2]]="","Open",CommitmentsTable[[#This Row],[Status2]]))</f>
        <v/>
      </c>
      <c r="U249" s="237" t="str">
        <f t="shared" ca="1" si="3"/>
        <v/>
      </c>
      <c r="V249" s="233"/>
      <c r="W249" s="63" t="s">
        <v>1216</v>
      </c>
    </row>
    <row r="250" spans="1:23" ht="39">
      <c r="A250" s="213" t="str">
        <f>IF(OR(CommitmentsTable[[#This Row],[Commitment / deliverable]]="",CommitmentsTable[[#This Row],[Immutable Key]]=""),"",SUBSTITUTE(CommitmentsTable[[#This Row],[Immutable Key]],"-K-","-"))</f>
        <v/>
      </c>
      <c r="B250" s="233"/>
      <c r="C250" s="233"/>
      <c r="D250" s="213"/>
      <c r="E250" s="230"/>
      <c r="F250" s="213"/>
      <c r="G250" s="245" t="str">
        <f ca="1">IF(CommitmentsTable[[#This Row],[Commitment / deliverable]]="","",IF(CommitmentsTable[[#This Row],[Date record entered]]="",TODAY(),CommitmentsTable[[#This Row],[Date record entered]]))</f>
        <v/>
      </c>
      <c r="H250" s="245"/>
      <c r="I250" s="245" t="str">
        <f ca="1">IF(CommitmentsTable[[#This Row],[Date Assigned if different from entry date]]&lt;&gt;"",CommitmentsTable[[#This Row],[Date Assigned if different from entry date]]+90,IF(CommitmentsTable[[#This Row],[Date record entered]]&lt;&gt;"",CommitmentsTable[[#This Row],[Date record entered]]+90,""))</f>
        <v/>
      </c>
      <c r="J250" s="245" t="str">
        <f ca="1">IF(CommitmentsTable[[#This Row],[Date Assigned if different from entry date]]&lt;&gt;"",CommitmentsTable[[#This Row],[Date Assigned if different from entry date]]+30,IF(CommitmentsTable[[#This Row],[Date record entered]]&lt;&gt;"",CommitmentsTable[[#This Row],[Date record entered]]+30,""))</f>
        <v/>
      </c>
      <c r="K250" s="245"/>
      <c r="L250" s="245" t="str">
        <f ca="1">IF(CommitmentsTable[[#This Row],[Date Assigned if different from entry date]]&lt;&gt;"",CommitmentsTable[[#This Row],[Date Assigned if different from entry date]]+60,IF(CommitmentsTable[[#This Row],[Date record entered]]&lt;&gt;"",CommitmentsTable[[#This Row],[Date record entered]]+60,""))</f>
        <v/>
      </c>
      <c r="M250" s="214"/>
      <c r="N250" s="214"/>
      <c r="O250" s="236"/>
      <c r="P250" s="214"/>
      <c r="Q250" s="214"/>
      <c r="R250" s="214"/>
      <c r="S250" s="238" t="str">
        <f>IF(CommitmentsTable[[#This Row],[Commitment / deliverable]]="","",IF(CommitmentsTable[[#This Row],[Revised due]]&lt;&gt;"",CommitmentsTable[[#This Row],[Revised due]],CommitmentsTable[[#This Row],[Original due]]))</f>
        <v/>
      </c>
      <c r="T250" s="237" t="str">
        <f>IF(OR(CommitmentsTable[[#This Row],[Commitment / deliverable]]="",CommitmentsTable[[#This Row],[Owner]]=""),"",IF(CommitmentsTable[[#This Row],[Status2]]="","Open",CommitmentsTable[[#This Row],[Status2]]))</f>
        <v/>
      </c>
      <c r="U250" s="237" t="str">
        <f t="shared" ca="1" si="3"/>
        <v/>
      </c>
      <c r="V250" s="233"/>
      <c r="W250" s="63" t="s">
        <v>1217</v>
      </c>
    </row>
    <row r="251" spans="1:23" ht="39">
      <c r="A251" s="213" t="str">
        <f>IF(OR(CommitmentsTable[[#This Row],[Commitment / deliverable]]="",CommitmentsTable[[#This Row],[Immutable Key]]=""),"",SUBSTITUTE(CommitmentsTable[[#This Row],[Immutable Key]],"-K-","-"))</f>
        <v/>
      </c>
      <c r="B251" s="233"/>
      <c r="C251" s="233"/>
      <c r="D251" s="213"/>
      <c r="E251" s="230"/>
      <c r="F251" s="213"/>
      <c r="G251" s="245" t="str">
        <f ca="1">IF(CommitmentsTable[[#This Row],[Commitment / deliverable]]="","",IF(CommitmentsTable[[#This Row],[Date record entered]]="",TODAY(),CommitmentsTable[[#This Row],[Date record entered]]))</f>
        <v/>
      </c>
      <c r="H251" s="245"/>
      <c r="I251" s="245" t="str">
        <f ca="1">IF(CommitmentsTable[[#This Row],[Date Assigned if different from entry date]]&lt;&gt;"",CommitmentsTable[[#This Row],[Date Assigned if different from entry date]]+90,IF(CommitmentsTable[[#This Row],[Date record entered]]&lt;&gt;"",CommitmentsTable[[#This Row],[Date record entered]]+90,""))</f>
        <v/>
      </c>
      <c r="J251" s="245" t="str">
        <f ca="1">IF(CommitmentsTable[[#This Row],[Date Assigned if different from entry date]]&lt;&gt;"",CommitmentsTable[[#This Row],[Date Assigned if different from entry date]]+30,IF(CommitmentsTable[[#This Row],[Date record entered]]&lt;&gt;"",CommitmentsTable[[#This Row],[Date record entered]]+30,""))</f>
        <v/>
      </c>
      <c r="K251" s="245"/>
      <c r="L251" s="245" t="str">
        <f ca="1">IF(CommitmentsTable[[#This Row],[Date Assigned if different from entry date]]&lt;&gt;"",CommitmentsTable[[#This Row],[Date Assigned if different from entry date]]+60,IF(CommitmentsTable[[#This Row],[Date record entered]]&lt;&gt;"",CommitmentsTable[[#This Row],[Date record entered]]+60,""))</f>
        <v/>
      </c>
      <c r="M251" s="214"/>
      <c r="N251" s="214"/>
      <c r="O251" s="236"/>
      <c r="P251" s="214"/>
      <c r="Q251" s="214"/>
      <c r="R251" s="214"/>
      <c r="S251" s="238" t="str">
        <f>IF(CommitmentsTable[[#This Row],[Commitment / deliverable]]="","",IF(CommitmentsTable[[#This Row],[Revised due]]&lt;&gt;"",CommitmentsTable[[#This Row],[Revised due]],CommitmentsTable[[#This Row],[Original due]]))</f>
        <v/>
      </c>
      <c r="T251" s="237" t="str">
        <f>IF(OR(CommitmentsTable[[#This Row],[Commitment / deliverable]]="",CommitmentsTable[[#This Row],[Owner]]=""),"",IF(CommitmentsTable[[#This Row],[Status2]]="","Open",CommitmentsTable[[#This Row],[Status2]]))</f>
        <v/>
      </c>
      <c r="U251" s="237" t="str">
        <f t="shared" ca="1" si="3"/>
        <v/>
      </c>
      <c r="V251" s="233"/>
      <c r="W251" s="63" t="s">
        <v>1218</v>
      </c>
    </row>
    <row r="252" spans="1:23" ht="39">
      <c r="A252" s="213" t="str">
        <f>IF(OR(CommitmentsTable[[#This Row],[Commitment / deliverable]]="",CommitmentsTable[[#This Row],[Immutable Key]]=""),"",SUBSTITUTE(CommitmentsTable[[#This Row],[Immutable Key]],"-K-","-"))</f>
        <v/>
      </c>
      <c r="B252" s="233"/>
      <c r="C252" s="233"/>
      <c r="D252" s="213"/>
      <c r="E252" s="230"/>
      <c r="F252" s="213"/>
      <c r="G252" s="245" t="str">
        <f ca="1">IF(CommitmentsTable[[#This Row],[Commitment / deliverable]]="","",IF(CommitmentsTable[[#This Row],[Date record entered]]="",TODAY(),CommitmentsTable[[#This Row],[Date record entered]]))</f>
        <v/>
      </c>
      <c r="H252" s="245"/>
      <c r="I252" s="245" t="str">
        <f ca="1">IF(CommitmentsTable[[#This Row],[Date Assigned if different from entry date]]&lt;&gt;"",CommitmentsTable[[#This Row],[Date Assigned if different from entry date]]+90,IF(CommitmentsTable[[#This Row],[Date record entered]]&lt;&gt;"",CommitmentsTable[[#This Row],[Date record entered]]+90,""))</f>
        <v/>
      </c>
      <c r="J252" s="245" t="str">
        <f ca="1">IF(CommitmentsTable[[#This Row],[Date Assigned if different from entry date]]&lt;&gt;"",CommitmentsTable[[#This Row],[Date Assigned if different from entry date]]+30,IF(CommitmentsTable[[#This Row],[Date record entered]]&lt;&gt;"",CommitmentsTable[[#This Row],[Date record entered]]+30,""))</f>
        <v/>
      </c>
      <c r="K252" s="245"/>
      <c r="L252" s="245" t="str">
        <f ca="1">IF(CommitmentsTable[[#This Row],[Date Assigned if different from entry date]]&lt;&gt;"",CommitmentsTable[[#This Row],[Date Assigned if different from entry date]]+60,IF(CommitmentsTable[[#This Row],[Date record entered]]&lt;&gt;"",CommitmentsTable[[#This Row],[Date record entered]]+60,""))</f>
        <v/>
      </c>
      <c r="M252" s="214"/>
      <c r="N252" s="214"/>
      <c r="O252" s="236"/>
      <c r="P252" s="214"/>
      <c r="Q252" s="214"/>
      <c r="R252" s="214"/>
      <c r="S252" s="238" t="str">
        <f>IF(CommitmentsTable[[#This Row],[Commitment / deliverable]]="","",IF(CommitmentsTable[[#This Row],[Revised due]]&lt;&gt;"",CommitmentsTable[[#This Row],[Revised due]],CommitmentsTable[[#This Row],[Original due]]))</f>
        <v/>
      </c>
      <c r="T252" s="237" t="str">
        <f>IF(OR(CommitmentsTable[[#This Row],[Commitment / deliverable]]="",CommitmentsTable[[#This Row],[Owner]]=""),"",IF(CommitmentsTable[[#This Row],[Status2]]="","Open",CommitmentsTable[[#This Row],[Status2]]))</f>
        <v/>
      </c>
      <c r="U252" s="237" t="str">
        <f t="shared" ca="1" si="3"/>
        <v/>
      </c>
      <c r="V252" s="233"/>
      <c r="W252" s="63" t="s">
        <v>1219</v>
      </c>
    </row>
    <row r="253" spans="1:23" ht="39">
      <c r="A253" s="213" t="str">
        <f>IF(OR(CommitmentsTable[[#This Row],[Commitment / deliverable]]="",CommitmentsTable[[#This Row],[Immutable Key]]=""),"",SUBSTITUTE(CommitmentsTable[[#This Row],[Immutable Key]],"-K-","-"))</f>
        <v/>
      </c>
      <c r="B253" s="233"/>
      <c r="C253" s="233"/>
      <c r="D253" s="213"/>
      <c r="E253" s="230"/>
      <c r="F253" s="213"/>
      <c r="G253" s="245" t="str">
        <f ca="1">IF(CommitmentsTable[[#This Row],[Commitment / deliverable]]="","",IF(CommitmentsTable[[#This Row],[Date record entered]]="",TODAY(),CommitmentsTable[[#This Row],[Date record entered]]))</f>
        <v/>
      </c>
      <c r="H253" s="245"/>
      <c r="I253" s="245" t="str">
        <f ca="1">IF(CommitmentsTable[[#This Row],[Date Assigned if different from entry date]]&lt;&gt;"",CommitmentsTable[[#This Row],[Date Assigned if different from entry date]]+90,IF(CommitmentsTable[[#This Row],[Date record entered]]&lt;&gt;"",CommitmentsTable[[#This Row],[Date record entered]]+90,""))</f>
        <v/>
      </c>
      <c r="J253" s="245" t="str">
        <f ca="1">IF(CommitmentsTable[[#This Row],[Date Assigned if different from entry date]]&lt;&gt;"",CommitmentsTable[[#This Row],[Date Assigned if different from entry date]]+30,IF(CommitmentsTable[[#This Row],[Date record entered]]&lt;&gt;"",CommitmentsTable[[#This Row],[Date record entered]]+30,""))</f>
        <v/>
      </c>
      <c r="K253" s="245"/>
      <c r="L253" s="245" t="str">
        <f ca="1">IF(CommitmentsTable[[#This Row],[Date Assigned if different from entry date]]&lt;&gt;"",CommitmentsTable[[#This Row],[Date Assigned if different from entry date]]+60,IF(CommitmentsTable[[#This Row],[Date record entered]]&lt;&gt;"",CommitmentsTable[[#This Row],[Date record entered]]+60,""))</f>
        <v/>
      </c>
      <c r="M253" s="214"/>
      <c r="N253" s="214"/>
      <c r="O253" s="236"/>
      <c r="P253" s="214"/>
      <c r="Q253" s="214"/>
      <c r="R253" s="214"/>
      <c r="S253" s="238" t="str">
        <f>IF(CommitmentsTable[[#This Row],[Commitment / deliverable]]="","",IF(CommitmentsTable[[#This Row],[Revised due]]&lt;&gt;"",CommitmentsTable[[#This Row],[Revised due]],CommitmentsTable[[#This Row],[Original due]]))</f>
        <v/>
      </c>
      <c r="T253" s="237" t="str">
        <f>IF(OR(CommitmentsTable[[#This Row],[Commitment / deliverable]]="",CommitmentsTable[[#This Row],[Owner]]=""),"",IF(CommitmentsTable[[#This Row],[Status2]]="","Open",CommitmentsTable[[#This Row],[Status2]]))</f>
        <v/>
      </c>
      <c r="U253" s="237" t="str">
        <f t="shared" ca="1" si="3"/>
        <v/>
      </c>
      <c r="V253" s="233"/>
      <c r="W253" s="63" t="s">
        <v>1220</v>
      </c>
    </row>
    <row r="254" spans="1:23" ht="39">
      <c r="A254" s="213" t="str">
        <f>IF(OR(CommitmentsTable[[#This Row],[Commitment / deliverable]]="",CommitmentsTable[[#This Row],[Immutable Key]]=""),"",SUBSTITUTE(CommitmentsTable[[#This Row],[Immutable Key]],"-K-","-"))</f>
        <v/>
      </c>
      <c r="B254" s="233"/>
      <c r="C254" s="233"/>
      <c r="D254" s="213"/>
      <c r="E254" s="230"/>
      <c r="F254" s="213"/>
      <c r="G254" s="245" t="str">
        <f ca="1">IF(CommitmentsTable[[#This Row],[Commitment / deliverable]]="","",IF(CommitmentsTable[[#This Row],[Date record entered]]="",TODAY(),CommitmentsTable[[#This Row],[Date record entered]]))</f>
        <v/>
      </c>
      <c r="H254" s="245"/>
      <c r="I254" s="245" t="str">
        <f ca="1">IF(CommitmentsTable[[#This Row],[Date Assigned if different from entry date]]&lt;&gt;"",CommitmentsTable[[#This Row],[Date Assigned if different from entry date]]+90,IF(CommitmentsTable[[#This Row],[Date record entered]]&lt;&gt;"",CommitmentsTable[[#This Row],[Date record entered]]+90,""))</f>
        <v/>
      </c>
      <c r="J254" s="245" t="str">
        <f ca="1">IF(CommitmentsTable[[#This Row],[Date Assigned if different from entry date]]&lt;&gt;"",CommitmentsTable[[#This Row],[Date Assigned if different from entry date]]+30,IF(CommitmentsTable[[#This Row],[Date record entered]]&lt;&gt;"",CommitmentsTable[[#This Row],[Date record entered]]+30,""))</f>
        <v/>
      </c>
      <c r="K254" s="245"/>
      <c r="L254" s="245" t="str">
        <f ca="1">IF(CommitmentsTable[[#This Row],[Date Assigned if different from entry date]]&lt;&gt;"",CommitmentsTable[[#This Row],[Date Assigned if different from entry date]]+60,IF(CommitmentsTable[[#This Row],[Date record entered]]&lt;&gt;"",CommitmentsTable[[#This Row],[Date record entered]]+60,""))</f>
        <v/>
      </c>
      <c r="M254" s="214"/>
      <c r="N254" s="214"/>
      <c r="O254" s="236"/>
      <c r="P254" s="214"/>
      <c r="Q254" s="214"/>
      <c r="R254" s="214"/>
      <c r="S254" s="238" t="str">
        <f>IF(CommitmentsTable[[#This Row],[Commitment / deliverable]]="","",IF(CommitmentsTable[[#This Row],[Revised due]]&lt;&gt;"",CommitmentsTable[[#This Row],[Revised due]],CommitmentsTable[[#This Row],[Original due]]))</f>
        <v/>
      </c>
      <c r="T254" s="237" t="str">
        <f>IF(OR(CommitmentsTable[[#This Row],[Commitment / deliverable]]="",CommitmentsTable[[#This Row],[Owner]]=""),"",IF(CommitmentsTable[[#This Row],[Status2]]="","Open",CommitmentsTable[[#This Row],[Status2]]))</f>
        <v/>
      </c>
      <c r="U254" s="237" t="str">
        <f t="shared" ca="1" si="3"/>
        <v/>
      </c>
      <c r="V254" s="233"/>
      <c r="W254" s="63" t="s">
        <v>1221</v>
      </c>
    </row>
    <row r="255" spans="1:23" ht="39">
      <c r="A255" s="213" t="str">
        <f>IF(OR(CommitmentsTable[[#This Row],[Commitment / deliverable]]="",CommitmentsTable[[#This Row],[Immutable Key]]=""),"",SUBSTITUTE(CommitmentsTable[[#This Row],[Immutable Key]],"-K-","-"))</f>
        <v/>
      </c>
      <c r="B255" s="233"/>
      <c r="C255" s="233"/>
      <c r="D255" s="213"/>
      <c r="E255" s="230"/>
      <c r="F255" s="213"/>
      <c r="G255" s="245" t="str">
        <f ca="1">IF(CommitmentsTable[[#This Row],[Commitment / deliverable]]="","",IF(CommitmentsTable[[#This Row],[Date record entered]]="",TODAY(),CommitmentsTable[[#This Row],[Date record entered]]))</f>
        <v/>
      </c>
      <c r="H255" s="245"/>
      <c r="I255" s="245" t="str">
        <f ca="1">IF(CommitmentsTable[[#This Row],[Date Assigned if different from entry date]]&lt;&gt;"",CommitmentsTable[[#This Row],[Date Assigned if different from entry date]]+90,IF(CommitmentsTable[[#This Row],[Date record entered]]&lt;&gt;"",CommitmentsTable[[#This Row],[Date record entered]]+90,""))</f>
        <v/>
      </c>
      <c r="J255" s="245" t="str">
        <f ca="1">IF(CommitmentsTable[[#This Row],[Date Assigned if different from entry date]]&lt;&gt;"",CommitmentsTable[[#This Row],[Date Assigned if different from entry date]]+30,IF(CommitmentsTable[[#This Row],[Date record entered]]&lt;&gt;"",CommitmentsTable[[#This Row],[Date record entered]]+30,""))</f>
        <v/>
      </c>
      <c r="K255" s="245"/>
      <c r="L255" s="245" t="str">
        <f ca="1">IF(CommitmentsTable[[#This Row],[Date Assigned if different from entry date]]&lt;&gt;"",CommitmentsTable[[#This Row],[Date Assigned if different from entry date]]+60,IF(CommitmentsTable[[#This Row],[Date record entered]]&lt;&gt;"",CommitmentsTable[[#This Row],[Date record entered]]+60,""))</f>
        <v/>
      </c>
      <c r="M255" s="214"/>
      <c r="N255" s="214"/>
      <c r="O255" s="236"/>
      <c r="P255" s="214"/>
      <c r="Q255" s="214"/>
      <c r="R255" s="214"/>
      <c r="S255" s="238" t="str">
        <f>IF(CommitmentsTable[[#This Row],[Commitment / deliverable]]="","",IF(CommitmentsTable[[#This Row],[Revised due]]&lt;&gt;"",CommitmentsTable[[#This Row],[Revised due]],CommitmentsTable[[#This Row],[Original due]]))</f>
        <v/>
      </c>
      <c r="T255" s="237" t="str">
        <f>IF(OR(CommitmentsTable[[#This Row],[Commitment / deliverable]]="",CommitmentsTable[[#This Row],[Owner]]=""),"",IF(CommitmentsTable[[#This Row],[Status2]]="","Open",CommitmentsTable[[#This Row],[Status2]]))</f>
        <v/>
      </c>
      <c r="U255" s="237" t="str">
        <f t="shared" ca="1" si="3"/>
        <v/>
      </c>
      <c r="V255" s="233"/>
      <c r="W255" s="63" t="s">
        <v>1222</v>
      </c>
    </row>
    <row r="256" spans="1:23" ht="39">
      <c r="A256" s="213" t="str">
        <f>IF(OR(CommitmentsTable[[#This Row],[Commitment / deliverable]]="",CommitmentsTable[[#This Row],[Immutable Key]]=""),"",SUBSTITUTE(CommitmentsTable[[#This Row],[Immutable Key]],"-K-","-"))</f>
        <v/>
      </c>
      <c r="B256" s="233"/>
      <c r="C256" s="233"/>
      <c r="D256" s="213"/>
      <c r="E256" s="230"/>
      <c r="F256" s="213"/>
      <c r="G256" s="245" t="str">
        <f ca="1">IF(CommitmentsTable[[#This Row],[Commitment / deliverable]]="","",IF(CommitmentsTable[[#This Row],[Date record entered]]="",TODAY(),CommitmentsTable[[#This Row],[Date record entered]]))</f>
        <v/>
      </c>
      <c r="H256" s="245"/>
      <c r="I256" s="245" t="str">
        <f ca="1">IF(CommitmentsTable[[#This Row],[Date Assigned if different from entry date]]&lt;&gt;"",CommitmentsTable[[#This Row],[Date Assigned if different from entry date]]+90,IF(CommitmentsTable[[#This Row],[Date record entered]]&lt;&gt;"",CommitmentsTable[[#This Row],[Date record entered]]+90,""))</f>
        <v/>
      </c>
      <c r="J256" s="245" t="str">
        <f ca="1">IF(CommitmentsTable[[#This Row],[Date Assigned if different from entry date]]&lt;&gt;"",CommitmentsTable[[#This Row],[Date Assigned if different from entry date]]+30,IF(CommitmentsTable[[#This Row],[Date record entered]]&lt;&gt;"",CommitmentsTable[[#This Row],[Date record entered]]+30,""))</f>
        <v/>
      </c>
      <c r="K256" s="245"/>
      <c r="L256" s="245" t="str">
        <f ca="1">IF(CommitmentsTable[[#This Row],[Date Assigned if different from entry date]]&lt;&gt;"",CommitmentsTable[[#This Row],[Date Assigned if different from entry date]]+60,IF(CommitmentsTable[[#This Row],[Date record entered]]&lt;&gt;"",CommitmentsTable[[#This Row],[Date record entered]]+60,""))</f>
        <v/>
      </c>
      <c r="M256" s="214"/>
      <c r="N256" s="214"/>
      <c r="O256" s="236"/>
      <c r="P256" s="214"/>
      <c r="Q256" s="214"/>
      <c r="R256" s="214"/>
      <c r="S256" s="238" t="str">
        <f>IF(CommitmentsTable[[#This Row],[Commitment / deliverable]]="","",IF(CommitmentsTable[[#This Row],[Revised due]]&lt;&gt;"",CommitmentsTable[[#This Row],[Revised due]],CommitmentsTable[[#This Row],[Original due]]))</f>
        <v/>
      </c>
      <c r="T256" s="237" t="str">
        <f>IF(OR(CommitmentsTable[[#This Row],[Commitment / deliverable]]="",CommitmentsTable[[#This Row],[Owner]]=""),"",IF(CommitmentsTable[[#This Row],[Status2]]="","Open",CommitmentsTable[[#This Row],[Status2]]))</f>
        <v/>
      </c>
      <c r="U256" s="237" t="str">
        <f t="shared" ca="1" si="3"/>
        <v/>
      </c>
      <c r="V256" s="233"/>
      <c r="W256" s="63" t="s">
        <v>1223</v>
      </c>
    </row>
    <row r="257" spans="1:23" ht="39">
      <c r="A257" s="213" t="str">
        <f>IF(OR(CommitmentsTable[[#This Row],[Commitment / deliverable]]="",CommitmentsTable[[#This Row],[Immutable Key]]=""),"",SUBSTITUTE(CommitmentsTable[[#This Row],[Immutable Key]],"-K-","-"))</f>
        <v/>
      </c>
      <c r="B257" s="233"/>
      <c r="C257" s="233"/>
      <c r="D257" s="213"/>
      <c r="E257" s="230"/>
      <c r="F257" s="213"/>
      <c r="G257" s="245" t="str">
        <f ca="1">IF(CommitmentsTable[[#This Row],[Commitment / deliverable]]="","",IF(CommitmentsTable[[#This Row],[Date record entered]]="",TODAY(),CommitmentsTable[[#This Row],[Date record entered]]))</f>
        <v/>
      </c>
      <c r="H257" s="245"/>
      <c r="I257" s="245" t="str">
        <f ca="1">IF(CommitmentsTable[[#This Row],[Date Assigned if different from entry date]]&lt;&gt;"",CommitmentsTable[[#This Row],[Date Assigned if different from entry date]]+90,IF(CommitmentsTable[[#This Row],[Date record entered]]&lt;&gt;"",CommitmentsTable[[#This Row],[Date record entered]]+90,""))</f>
        <v/>
      </c>
      <c r="J257" s="245" t="str">
        <f ca="1">IF(CommitmentsTable[[#This Row],[Date Assigned if different from entry date]]&lt;&gt;"",CommitmentsTable[[#This Row],[Date Assigned if different from entry date]]+30,IF(CommitmentsTable[[#This Row],[Date record entered]]&lt;&gt;"",CommitmentsTable[[#This Row],[Date record entered]]+30,""))</f>
        <v/>
      </c>
      <c r="K257" s="245"/>
      <c r="L257" s="245" t="str">
        <f ca="1">IF(CommitmentsTable[[#This Row],[Date Assigned if different from entry date]]&lt;&gt;"",CommitmentsTable[[#This Row],[Date Assigned if different from entry date]]+60,IF(CommitmentsTable[[#This Row],[Date record entered]]&lt;&gt;"",CommitmentsTable[[#This Row],[Date record entered]]+60,""))</f>
        <v/>
      </c>
      <c r="M257" s="214"/>
      <c r="N257" s="214"/>
      <c r="O257" s="236"/>
      <c r="P257" s="214"/>
      <c r="Q257" s="214"/>
      <c r="R257" s="214"/>
      <c r="S257" s="238" t="str">
        <f>IF(CommitmentsTable[[#This Row],[Commitment / deliverable]]="","",IF(CommitmentsTable[[#This Row],[Revised due]]&lt;&gt;"",CommitmentsTable[[#This Row],[Revised due]],CommitmentsTable[[#This Row],[Original due]]))</f>
        <v/>
      </c>
      <c r="T257" s="237" t="str">
        <f>IF(OR(CommitmentsTable[[#This Row],[Commitment / deliverable]]="",CommitmentsTable[[#This Row],[Owner]]=""),"",IF(CommitmentsTable[[#This Row],[Status2]]="","Open",CommitmentsTable[[#This Row],[Status2]]))</f>
        <v/>
      </c>
      <c r="U257" s="237" t="str">
        <f t="shared" ca="1" si="3"/>
        <v/>
      </c>
      <c r="V257" s="233"/>
      <c r="W257" s="63" t="s">
        <v>1224</v>
      </c>
    </row>
    <row r="258" spans="1:23" ht="39">
      <c r="A258" s="213" t="str">
        <f>IF(OR(CommitmentsTable[[#This Row],[Commitment / deliverable]]="",CommitmentsTable[[#This Row],[Immutable Key]]=""),"",SUBSTITUTE(CommitmentsTable[[#This Row],[Immutable Key]],"-K-","-"))</f>
        <v/>
      </c>
      <c r="B258" s="233"/>
      <c r="C258" s="233"/>
      <c r="D258" s="213"/>
      <c r="E258" s="230"/>
      <c r="F258" s="213"/>
      <c r="G258" s="245" t="str">
        <f ca="1">IF(CommitmentsTable[[#This Row],[Commitment / deliverable]]="","",IF(CommitmentsTable[[#This Row],[Date record entered]]="",TODAY(),CommitmentsTable[[#This Row],[Date record entered]]))</f>
        <v/>
      </c>
      <c r="H258" s="245"/>
      <c r="I258" s="245" t="str">
        <f ca="1">IF(CommitmentsTable[[#This Row],[Date Assigned if different from entry date]]&lt;&gt;"",CommitmentsTable[[#This Row],[Date Assigned if different from entry date]]+90,IF(CommitmentsTable[[#This Row],[Date record entered]]&lt;&gt;"",CommitmentsTable[[#This Row],[Date record entered]]+90,""))</f>
        <v/>
      </c>
      <c r="J258" s="245" t="str">
        <f ca="1">IF(CommitmentsTable[[#This Row],[Date Assigned if different from entry date]]&lt;&gt;"",CommitmentsTable[[#This Row],[Date Assigned if different from entry date]]+30,IF(CommitmentsTable[[#This Row],[Date record entered]]&lt;&gt;"",CommitmentsTable[[#This Row],[Date record entered]]+30,""))</f>
        <v/>
      </c>
      <c r="K258" s="245"/>
      <c r="L258" s="245" t="str">
        <f ca="1">IF(CommitmentsTable[[#This Row],[Date Assigned if different from entry date]]&lt;&gt;"",CommitmentsTable[[#This Row],[Date Assigned if different from entry date]]+60,IF(CommitmentsTable[[#This Row],[Date record entered]]&lt;&gt;"",CommitmentsTable[[#This Row],[Date record entered]]+60,""))</f>
        <v/>
      </c>
      <c r="M258" s="214"/>
      <c r="N258" s="214"/>
      <c r="O258" s="236"/>
      <c r="P258" s="214"/>
      <c r="Q258" s="214"/>
      <c r="R258" s="214"/>
      <c r="S258" s="238" t="str">
        <f>IF(CommitmentsTable[[#This Row],[Commitment / deliverable]]="","",IF(CommitmentsTable[[#This Row],[Revised due]]&lt;&gt;"",CommitmentsTable[[#This Row],[Revised due]],CommitmentsTable[[#This Row],[Original due]]))</f>
        <v/>
      </c>
      <c r="T258" s="237" t="str">
        <f>IF(OR(CommitmentsTable[[#This Row],[Commitment / deliverable]]="",CommitmentsTable[[#This Row],[Owner]]=""),"",IF(CommitmentsTable[[#This Row],[Status2]]="","Open",CommitmentsTable[[#This Row],[Status2]]))</f>
        <v/>
      </c>
      <c r="U258" s="237" t="str">
        <f t="shared" ca="1" si="3"/>
        <v/>
      </c>
      <c r="V258" s="233"/>
      <c r="W258" s="63" t="s">
        <v>1225</v>
      </c>
    </row>
    <row r="259" spans="1:23" ht="39">
      <c r="A259" s="213" t="str">
        <f>IF(OR(CommitmentsTable[[#This Row],[Commitment / deliverable]]="",CommitmentsTable[[#This Row],[Immutable Key]]=""),"",SUBSTITUTE(CommitmentsTable[[#This Row],[Immutable Key]],"-K-","-"))</f>
        <v/>
      </c>
      <c r="B259" s="233"/>
      <c r="C259" s="233"/>
      <c r="D259" s="213"/>
      <c r="E259" s="230"/>
      <c r="F259" s="213"/>
      <c r="G259" s="245" t="str">
        <f ca="1">IF(CommitmentsTable[[#This Row],[Commitment / deliverable]]="","",IF(CommitmentsTable[[#This Row],[Date record entered]]="",TODAY(),CommitmentsTable[[#This Row],[Date record entered]]))</f>
        <v/>
      </c>
      <c r="H259" s="245"/>
      <c r="I259" s="245" t="str">
        <f ca="1">IF(CommitmentsTable[[#This Row],[Date Assigned if different from entry date]]&lt;&gt;"",CommitmentsTable[[#This Row],[Date Assigned if different from entry date]]+90,IF(CommitmentsTable[[#This Row],[Date record entered]]&lt;&gt;"",CommitmentsTable[[#This Row],[Date record entered]]+90,""))</f>
        <v/>
      </c>
      <c r="J259" s="245" t="str">
        <f ca="1">IF(CommitmentsTable[[#This Row],[Date Assigned if different from entry date]]&lt;&gt;"",CommitmentsTable[[#This Row],[Date Assigned if different from entry date]]+30,IF(CommitmentsTable[[#This Row],[Date record entered]]&lt;&gt;"",CommitmentsTable[[#This Row],[Date record entered]]+30,""))</f>
        <v/>
      </c>
      <c r="K259" s="245"/>
      <c r="L259" s="245" t="str">
        <f ca="1">IF(CommitmentsTable[[#This Row],[Date Assigned if different from entry date]]&lt;&gt;"",CommitmentsTable[[#This Row],[Date Assigned if different from entry date]]+60,IF(CommitmentsTable[[#This Row],[Date record entered]]&lt;&gt;"",CommitmentsTable[[#This Row],[Date record entered]]+60,""))</f>
        <v/>
      </c>
      <c r="M259" s="214"/>
      <c r="N259" s="214"/>
      <c r="O259" s="236"/>
      <c r="P259" s="214"/>
      <c r="Q259" s="214"/>
      <c r="R259" s="214"/>
      <c r="S259" s="238" t="str">
        <f>IF(CommitmentsTable[[#This Row],[Commitment / deliverable]]="","",IF(CommitmentsTable[[#This Row],[Revised due]]&lt;&gt;"",CommitmentsTable[[#This Row],[Revised due]],CommitmentsTable[[#This Row],[Original due]]))</f>
        <v/>
      </c>
      <c r="T259" s="237" t="str">
        <f>IF(OR(CommitmentsTable[[#This Row],[Commitment / deliverable]]="",CommitmentsTable[[#This Row],[Owner]]=""),"",IF(CommitmentsTable[[#This Row],[Status2]]="","Open",CommitmentsTable[[#This Row],[Status2]]))</f>
        <v/>
      </c>
      <c r="U259" s="237" t="str">
        <f t="shared" ca="1" si="3"/>
        <v/>
      </c>
      <c r="V259" s="233"/>
      <c r="W259" s="63" t="s">
        <v>1226</v>
      </c>
    </row>
    <row r="260" spans="1:23" ht="39">
      <c r="A260" s="213" t="str">
        <f>IF(OR(CommitmentsTable[[#This Row],[Commitment / deliverable]]="",CommitmentsTable[[#This Row],[Immutable Key]]=""),"",SUBSTITUTE(CommitmentsTable[[#This Row],[Immutable Key]],"-K-","-"))</f>
        <v/>
      </c>
      <c r="B260" s="233"/>
      <c r="C260" s="233"/>
      <c r="D260" s="213"/>
      <c r="E260" s="230"/>
      <c r="F260" s="213"/>
      <c r="G260" s="245" t="str">
        <f ca="1">IF(CommitmentsTable[[#This Row],[Commitment / deliverable]]="","",IF(CommitmentsTable[[#This Row],[Date record entered]]="",TODAY(),CommitmentsTable[[#This Row],[Date record entered]]))</f>
        <v/>
      </c>
      <c r="H260" s="245"/>
      <c r="I260" s="245" t="str">
        <f ca="1">IF(CommitmentsTable[[#This Row],[Date Assigned if different from entry date]]&lt;&gt;"",CommitmentsTable[[#This Row],[Date Assigned if different from entry date]]+90,IF(CommitmentsTable[[#This Row],[Date record entered]]&lt;&gt;"",CommitmentsTable[[#This Row],[Date record entered]]+90,""))</f>
        <v/>
      </c>
      <c r="J260" s="245" t="str">
        <f ca="1">IF(CommitmentsTable[[#This Row],[Date Assigned if different from entry date]]&lt;&gt;"",CommitmentsTable[[#This Row],[Date Assigned if different from entry date]]+30,IF(CommitmentsTable[[#This Row],[Date record entered]]&lt;&gt;"",CommitmentsTable[[#This Row],[Date record entered]]+30,""))</f>
        <v/>
      </c>
      <c r="K260" s="245"/>
      <c r="L260" s="245" t="str">
        <f ca="1">IF(CommitmentsTable[[#This Row],[Date Assigned if different from entry date]]&lt;&gt;"",CommitmentsTable[[#This Row],[Date Assigned if different from entry date]]+60,IF(CommitmentsTable[[#This Row],[Date record entered]]&lt;&gt;"",CommitmentsTable[[#This Row],[Date record entered]]+60,""))</f>
        <v/>
      </c>
      <c r="M260" s="214"/>
      <c r="N260" s="214"/>
      <c r="O260" s="236"/>
      <c r="P260" s="214"/>
      <c r="Q260" s="214"/>
      <c r="R260" s="214"/>
      <c r="S260" s="238" t="str">
        <f>IF(CommitmentsTable[[#This Row],[Commitment / deliverable]]="","",IF(CommitmentsTable[[#This Row],[Revised due]]&lt;&gt;"",CommitmentsTable[[#This Row],[Revised due]],CommitmentsTable[[#This Row],[Original due]]))</f>
        <v/>
      </c>
      <c r="T260" s="237" t="str">
        <f>IF(OR(CommitmentsTable[[#This Row],[Commitment / deliverable]]="",CommitmentsTable[[#This Row],[Owner]]=""),"",IF(CommitmentsTable[[#This Row],[Status2]]="","Open",CommitmentsTable[[#This Row],[Status2]]))</f>
        <v/>
      </c>
      <c r="U260" s="237" t="str">
        <f t="shared" ca="1" si="3"/>
        <v/>
      </c>
      <c r="V260" s="233"/>
      <c r="W260" s="63" t="s">
        <v>1227</v>
      </c>
    </row>
    <row r="261" spans="1:23" ht="39">
      <c r="A261" s="213" t="str">
        <f>IF(OR(CommitmentsTable[[#This Row],[Commitment / deliverable]]="",CommitmentsTable[[#This Row],[Immutable Key]]=""),"",SUBSTITUTE(CommitmentsTable[[#This Row],[Immutable Key]],"-K-","-"))</f>
        <v/>
      </c>
      <c r="B261" s="233"/>
      <c r="C261" s="233"/>
      <c r="D261" s="213"/>
      <c r="E261" s="230"/>
      <c r="F261" s="213"/>
      <c r="G261" s="245" t="str">
        <f ca="1">IF(CommitmentsTable[[#This Row],[Commitment / deliverable]]="","",IF(CommitmentsTable[[#This Row],[Date record entered]]="",TODAY(),CommitmentsTable[[#This Row],[Date record entered]]))</f>
        <v/>
      </c>
      <c r="H261" s="245"/>
      <c r="I261" s="245" t="str">
        <f ca="1">IF(CommitmentsTable[[#This Row],[Date Assigned if different from entry date]]&lt;&gt;"",CommitmentsTable[[#This Row],[Date Assigned if different from entry date]]+90,IF(CommitmentsTable[[#This Row],[Date record entered]]&lt;&gt;"",CommitmentsTable[[#This Row],[Date record entered]]+90,""))</f>
        <v/>
      </c>
      <c r="J261" s="245" t="str">
        <f ca="1">IF(CommitmentsTable[[#This Row],[Date Assigned if different from entry date]]&lt;&gt;"",CommitmentsTable[[#This Row],[Date Assigned if different from entry date]]+30,IF(CommitmentsTable[[#This Row],[Date record entered]]&lt;&gt;"",CommitmentsTable[[#This Row],[Date record entered]]+30,""))</f>
        <v/>
      </c>
      <c r="K261" s="245"/>
      <c r="L261" s="245" t="str">
        <f ca="1">IF(CommitmentsTable[[#This Row],[Date Assigned if different from entry date]]&lt;&gt;"",CommitmentsTable[[#This Row],[Date Assigned if different from entry date]]+60,IF(CommitmentsTable[[#This Row],[Date record entered]]&lt;&gt;"",CommitmentsTable[[#This Row],[Date record entered]]+60,""))</f>
        <v/>
      </c>
      <c r="M261" s="214"/>
      <c r="N261" s="214"/>
      <c r="O261" s="236"/>
      <c r="P261" s="214"/>
      <c r="Q261" s="214"/>
      <c r="R261" s="214"/>
      <c r="S261" s="238" t="str">
        <f>IF(CommitmentsTable[[#This Row],[Commitment / deliverable]]="","",IF(CommitmentsTable[[#This Row],[Revised due]]&lt;&gt;"",CommitmentsTable[[#This Row],[Revised due]],CommitmentsTable[[#This Row],[Original due]]))</f>
        <v/>
      </c>
      <c r="T261" s="237" t="str">
        <f>IF(OR(CommitmentsTable[[#This Row],[Commitment / deliverable]]="",CommitmentsTable[[#This Row],[Owner]]=""),"",IF(CommitmentsTable[[#This Row],[Status2]]="","Open",CommitmentsTable[[#This Row],[Status2]]))</f>
        <v/>
      </c>
      <c r="U261" s="237" t="str">
        <f t="shared" ca="1" si="3"/>
        <v/>
      </c>
      <c r="V261" s="233"/>
      <c r="W261" s="63" t="s">
        <v>1228</v>
      </c>
    </row>
    <row r="262" spans="1:23" ht="39">
      <c r="A262" s="213" t="str">
        <f>IF(OR(CommitmentsTable[[#This Row],[Commitment / deliverable]]="",CommitmentsTable[[#This Row],[Immutable Key]]=""),"",SUBSTITUTE(CommitmentsTable[[#This Row],[Immutable Key]],"-K-","-"))</f>
        <v/>
      </c>
      <c r="B262" s="233"/>
      <c r="C262" s="233"/>
      <c r="D262" s="213"/>
      <c r="E262" s="230"/>
      <c r="F262" s="213"/>
      <c r="G262" s="245" t="str">
        <f ca="1">IF(CommitmentsTable[[#This Row],[Commitment / deliverable]]="","",IF(CommitmentsTable[[#This Row],[Date record entered]]="",TODAY(),CommitmentsTable[[#This Row],[Date record entered]]))</f>
        <v/>
      </c>
      <c r="H262" s="245"/>
      <c r="I262" s="245" t="str">
        <f ca="1">IF(CommitmentsTable[[#This Row],[Date Assigned if different from entry date]]&lt;&gt;"",CommitmentsTable[[#This Row],[Date Assigned if different from entry date]]+90,IF(CommitmentsTable[[#This Row],[Date record entered]]&lt;&gt;"",CommitmentsTable[[#This Row],[Date record entered]]+90,""))</f>
        <v/>
      </c>
      <c r="J262" s="245" t="str">
        <f ca="1">IF(CommitmentsTable[[#This Row],[Date Assigned if different from entry date]]&lt;&gt;"",CommitmentsTable[[#This Row],[Date Assigned if different from entry date]]+30,IF(CommitmentsTable[[#This Row],[Date record entered]]&lt;&gt;"",CommitmentsTable[[#This Row],[Date record entered]]+30,""))</f>
        <v/>
      </c>
      <c r="K262" s="245"/>
      <c r="L262" s="245" t="str">
        <f ca="1">IF(CommitmentsTable[[#This Row],[Date Assigned if different from entry date]]&lt;&gt;"",CommitmentsTable[[#This Row],[Date Assigned if different from entry date]]+60,IF(CommitmentsTable[[#This Row],[Date record entered]]&lt;&gt;"",CommitmentsTable[[#This Row],[Date record entered]]+60,""))</f>
        <v/>
      </c>
      <c r="M262" s="214"/>
      <c r="N262" s="214"/>
      <c r="O262" s="236"/>
      <c r="P262" s="214"/>
      <c r="Q262" s="214"/>
      <c r="R262" s="214"/>
      <c r="S262" s="238" t="str">
        <f>IF(CommitmentsTable[[#This Row],[Commitment / deliverable]]="","",IF(CommitmentsTable[[#This Row],[Revised due]]&lt;&gt;"",CommitmentsTable[[#This Row],[Revised due]],CommitmentsTable[[#This Row],[Original due]]))</f>
        <v/>
      </c>
      <c r="T262" s="237" t="str">
        <f>IF(OR(CommitmentsTable[[#This Row],[Commitment / deliverable]]="",CommitmentsTable[[#This Row],[Owner]]=""),"",IF(CommitmentsTable[[#This Row],[Status2]]="","Open",CommitmentsTable[[#This Row],[Status2]]))</f>
        <v/>
      </c>
      <c r="U262" s="237" t="str">
        <f t="shared" ca="1" si="3"/>
        <v/>
      </c>
      <c r="V262" s="233"/>
      <c r="W262" s="63" t="s">
        <v>1229</v>
      </c>
    </row>
    <row r="263" spans="1:23" ht="39">
      <c r="A263" s="213" t="str">
        <f>IF(OR(CommitmentsTable[[#This Row],[Commitment / deliverable]]="",CommitmentsTable[[#This Row],[Immutable Key]]=""),"",SUBSTITUTE(CommitmentsTable[[#This Row],[Immutable Key]],"-K-","-"))</f>
        <v/>
      </c>
      <c r="B263" s="233"/>
      <c r="C263" s="233"/>
      <c r="D263" s="213"/>
      <c r="E263" s="230"/>
      <c r="F263" s="213"/>
      <c r="G263" s="245" t="str">
        <f ca="1">IF(CommitmentsTable[[#This Row],[Commitment / deliverable]]="","",IF(CommitmentsTable[[#This Row],[Date record entered]]="",TODAY(),CommitmentsTable[[#This Row],[Date record entered]]))</f>
        <v/>
      </c>
      <c r="H263" s="245"/>
      <c r="I263" s="245" t="str">
        <f ca="1">IF(CommitmentsTable[[#This Row],[Date Assigned if different from entry date]]&lt;&gt;"",CommitmentsTable[[#This Row],[Date Assigned if different from entry date]]+90,IF(CommitmentsTable[[#This Row],[Date record entered]]&lt;&gt;"",CommitmentsTable[[#This Row],[Date record entered]]+90,""))</f>
        <v/>
      </c>
      <c r="J263" s="245" t="str">
        <f ca="1">IF(CommitmentsTable[[#This Row],[Date Assigned if different from entry date]]&lt;&gt;"",CommitmentsTable[[#This Row],[Date Assigned if different from entry date]]+30,IF(CommitmentsTable[[#This Row],[Date record entered]]&lt;&gt;"",CommitmentsTable[[#This Row],[Date record entered]]+30,""))</f>
        <v/>
      </c>
      <c r="K263" s="245"/>
      <c r="L263" s="245" t="str">
        <f ca="1">IF(CommitmentsTable[[#This Row],[Date Assigned if different from entry date]]&lt;&gt;"",CommitmentsTable[[#This Row],[Date Assigned if different from entry date]]+60,IF(CommitmentsTable[[#This Row],[Date record entered]]&lt;&gt;"",CommitmentsTable[[#This Row],[Date record entered]]+60,""))</f>
        <v/>
      </c>
      <c r="M263" s="214"/>
      <c r="N263" s="214"/>
      <c r="O263" s="236"/>
      <c r="P263" s="214"/>
      <c r="Q263" s="214"/>
      <c r="R263" s="214"/>
      <c r="S263" s="238" t="str">
        <f>IF(CommitmentsTable[[#This Row],[Commitment / deliverable]]="","",IF(CommitmentsTable[[#This Row],[Revised due]]&lt;&gt;"",CommitmentsTable[[#This Row],[Revised due]],CommitmentsTable[[#This Row],[Original due]]))</f>
        <v/>
      </c>
      <c r="T263" s="237" t="str">
        <f>IF(OR(CommitmentsTable[[#This Row],[Commitment / deliverable]]="",CommitmentsTable[[#This Row],[Owner]]=""),"",IF(CommitmentsTable[[#This Row],[Status2]]="","Open",CommitmentsTable[[#This Row],[Status2]]))</f>
        <v/>
      </c>
      <c r="U263" s="237" t="str">
        <f t="shared" ca="1" si="3"/>
        <v/>
      </c>
      <c r="V263" s="233"/>
      <c r="W263" s="63" t="s">
        <v>1230</v>
      </c>
    </row>
    <row r="264" spans="1:23" ht="39">
      <c r="A264" s="213" t="str">
        <f>IF(OR(CommitmentsTable[[#This Row],[Commitment / deliverable]]="",CommitmentsTable[[#This Row],[Immutable Key]]=""),"",SUBSTITUTE(CommitmentsTable[[#This Row],[Immutable Key]],"-K-","-"))</f>
        <v/>
      </c>
      <c r="B264" s="233"/>
      <c r="C264" s="233"/>
      <c r="D264" s="213"/>
      <c r="E264" s="230"/>
      <c r="F264" s="213"/>
      <c r="G264" s="245" t="str">
        <f ca="1">IF(CommitmentsTable[[#This Row],[Commitment / deliverable]]="","",IF(CommitmentsTable[[#This Row],[Date record entered]]="",TODAY(),CommitmentsTable[[#This Row],[Date record entered]]))</f>
        <v/>
      </c>
      <c r="H264" s="245"/>
      <c r="I264" s="245" t="str">
        <f ca="1">IF(CommitmentsTable[[#This Row],[Date Assigned if different from entry date]]&lt;&gt;"",CommitmentsTable[[#This Row],[Date Assigned if different from entry date]]+90,IF(CommitmentsTable[[#This Row],[Date record entered]]&lt;&gt;"",CommitmentsTable[[#This Row],[Date record entered]]+90,""))</f>
        <v/>
      </c>
      <c r="J264" s="245" t="str">
        <f ca="1">IF(CommitmentsTable[[#This Row],[Date Assigned if different from entry date]]&lt;&gt;"",CommitmentsTable[[#This Row],[Date Assigned if different from entry date]]+30,IF(CommitmentsTable[[#This Row],[Date record entered]]&lt;&gt;"",CommitmentsTable[[#This Row],[Date record entered]]+30,""))</f>
        <v/>
      </c>
      <c r="K264" s="245"/>
      <c r="L264" s="245" t="str">
        <f ca="1">IF(CommitmentsTable[[#This Row],[Date Assigned if different from entry date]]&lt;&gt;"",CommitmentsTable[[#This Row],[Date Assigned if different from entry date]]+60,IF(CommitmentsTable[[#This Row],[Date record entered]]&lt;&gt;"",CommitmentsTable[[#This Row],[Date record entered]]+60,""))</f>
        <v/>
      </c>
      <c r="M264" s="214"/>
      <c r="N264" s="214"/>
      <c r="O264" s="236"/>
      <c r="P264" s="214"/>
      <c r="Q264" s="214"/>
      <c r="R264" s="214"/>
      <c r="S264" s="238" t="str">
        <f>IF(CommitmentsTable[[#This Row],[Commitment / deliverable]]="","",IF(CommitmentsTable[[#This Row],[Revised due]]&lt;&gt;"",CommitmentsTable[[#This Row],[Revised due]],CommitmentsTable[[#This Row],[Original due]]))</f>
        <v/>
      </c>
      <c r="T264" s="237" t="str">
        <f>IF(OR(CommitmentsTable[[#This Row],[Commitment / deliverable]]="",CommitmentsTable[[#This Row],[Owner]]=""),"",IF(CommitmentsTable[[#This Row],[Status2]]="","Open",CommitmentsTable[[#This Row],[Status2]]))</f>
        <v/>
      </c>
      <c r="U264" s="237" t="str">
        <f t="shared" ca="1" si="3"/>
        <v/>
      </c>
      <c r="V264" s="233"/>
      <c r="W264" s="63" t="s">
        <v>1231</v>
      </c>
    </row>
    <row r="265" spans="1:23" ht="39">
      <c r="A265" s="213" t="str">
        <f>IF(OR(CommitmentsTable[[#This Row],[Commitment / deliverable]]="",CommitmentsTable[[#This Row],[Immutable Key]]=""),"",SUBSTITUTE(CommitmentsTable[[#This Row],[Immutable Key]],"-K-","-"))</f>
        <v/>
      </c>
      <c r="B265" s="233"/>
      <c r="C265" s="233"/>
      <c r="D265" s="213"/>
      <c r="E265" s="230"/>
      <c r="F265" s="213"/>
      <c r="G265" s="245" t="str">
        <f ca="1">IF(CommitmentsTable[[#This Row],[Commitment / deliverable]]="","",IF(CommitmentsTable[[#This Row],[Date record entered]]="",TODAY(),CommitmentsTable[[#This Row],[Date record entered]]))</f>
        <v/>
      </c>
      <c r="H265" s="245"/>
      <c r="I265" s="245" t="str">
        <f ca="1">IF(CommitmentsTable[[#This Row],[Date Assigned if different from entry date]]&lt;&gt;"",CommitmentsTable[[#This Row],[Date Assigned if different from entry date]]+90,IF(CommitmentsTable[[#This Row],[Date record entered]]&lt;&gt;"",CommitmentsTable[[#This Row],[Date record entered]]+90,""))</f>
        <v/>
      </c>
      <c r="J265" s="245" t="str">
        <f ca="1">IF(CommitmentsTable[[#This Row],[Date Assigned if different from entry date]]&lt;&gt;"",CommitmentsTable[[#This Row],[Date Assigned if different from entry date]]+30,IF(CommitmentsTable[[#This Row],[Date record entered]]&lt;&gt;"",CommitmentsTable[[#This Row],[Date record entered]]+30,""))</f>
        <v/>
      </c>
      <c r="K265" s="245"/>
      <c r="L265" s="245" t="str">
        <f ca="1">IF(CommitmentsTable[[#This Row],[Date Assigned if different from entry date]]&lt;&gt;"",CommitmentsTable[[#This Row],[Date Assigned if different from entry date]]+60,IF(CommitmentsTable[[#This Row],[Date record entered]]&lt;&gt;"",CommitmentsTable[[#This Row],[Date record entered]]+60,""))</f>
        <v/>
      </c>
      <c r="M265" s="214"/>
      <c r="N265" s="214"/>
      <c r="O265" s="236"/>
      <c r="P265" s="214"/>
      <c r="Q265" s="214"/>
      <c r="R265" s="214"/>
      <c r="S265" s="238" t="str">
        <f>IF(CommitmentsTable[[#This Row],[Commitment / deliverable]]="","",IF(CommitmentsTable[[#This Row],[Revised due]]&lt;&gt;"",CommitmentsTable[[#This Row],[Revised due]],CommitmentsTable[[#This Row],[Original due]]))</f>
        <v/>
      </c>
      <c r="T265" s="237" t="str">
        <f>IF(OR(CommitmentsTable[[#This Row],[Commitment / deliverable]]="",CommitmentsTable[[#This Row],[Owner]]=""),"",IF(CommitmentsTable[[#This Row],[Status2]]="","Open",CommitmentsTable[[#This Row],[Status2]]))</f>
        <v/>
      </c>
      <c r="U265" s="237" t="str">
        <f t="shared" ca="1" si="3"/>
        <v/>
      </c>
      <c r="V265" s="233"/>
      <c r="W265" s="63" t="s">
        <v>1232</v>
      </c>
    </row>
    <row r="266" spans="1:23" ht="39">
      <c r="A266" s="213" t="str">
        <f>IF(OR(CommitmentsTable[[#This Row],[Commitment / deliverable]]="",CommitmentsTable[[#This Row],[Immutable Key]]=""),"",SUBSTITUTE(CommitmentsTable[[#This Row],[Immutable Key]],"-K-","-"))</f>
        <v/>
      </c>
      <c r="B266" s="233"/>
      <c r="C266" s="233"/>
      <c r="D266" s="213"/>
      <c r="E266" s="230"/>
      <c r="F266" s="213"/>
      <c r="G266" s="245" t="str">
        <f ca="1">IF(CommitmentsTable[[#This Row],[Commitment / deliverable]]="","",IF(CommitmentsTable[[#This Row],[Date record entered]]="",TODAY(),CommitmentsTable[[#This Row],[Date record entered]]))</f>
        <v/>
      </c>
      <c r="H266" s="245"/>
      <c r="I266" s="245" t="str">
        <f ca="1">IF(CommitmentsTable[[#This Row],[Date Assigned if different from entry date]]&lt;&gt;"",CommitmentsTable[[#This Row],[Date Assigned if different from entry date]]+90,IF(CommitmentsTable[[#This Row],[Date record entered]]&lt;&gt;"",CommitmentsTable[[#This Row],[Date record entered]]+90,""))</f>
        <v/>
      </c>
      <c r="J266" s="245" t="str">
        <f ca="1">IF(CommitmentsTable[[#This Row],[Date Assigned if different from entry date]]&lt;&gt;"",CommitmentsTable[[#This Row],[Date Assigned if different from entry date]]+30,IF(CommitmentsTable[[#This Row],[Date record entered]]&lt;&gt;"",CommitmentsTable[[#This Row],[Date record entered]]+30,""))</f>
        <v/>
      </c>
      <c r="K266" s="245"/>
      <c r="L266" s="245" t="str">
        <f ca="1">IF(CommitmentsTable[[#This Row],[Date Assigned if different from entry date]]&lt;&gt;"",CommitmentsTable[[#This Row],[Date Assigned if different from entry date]]+60,IF(CommitmentsTable[[#This Row],[Date record entered]]&lt;&gt;"",CommitmentsTable[[#This Row],[Date record entered]]+60,""))</f>
        <v/>
      </c>
      <c r="M266" s="214"/>
      <c r="N266" s="214"/>
      <c r="O266" s="236"/>
      <c r="P266" s="214"/>
      <c r="Q266" s="214"/>
      <c r="R266" s="214"/>
      <c r="S266" s="238" t="str">
        <f>IF(CommitmentsTable[[#This Row],[Commitment / deliverable]]="","",IF(CommitmentsTable[[#This Row],[Revised due]]&lt;&gt;"",CommitmentsTable[[#This Row],[Revised due]],CommitmentsTable[[#This Row],[Original due]]))</f>
        <v/>
      </c>
      <c r="T266" s="237" t="str">
        <f>IF(OR(CommitmentsTable[[#This Row],[Commitment / deliverable]]="",CommitmentsTable[[#This Row],[Owner]]=""),"",IF(CommitmentsTable[[#This Row],[Status2]]="","Open",CommitmentsTable[[#This Row],[Status2]]))</f>
        <v/>
      </c>
      <c r="U266" s="237" t="str">
        <f t="shared" ca="1" si="3"/>
        <v/>
      </c>
      <c r="V266" s="233"/>
      <c r="W266" s="63" t="s">
        <v>1233</v>
      </c>
    </row>
    <row r="267" spans="1:23" ht="39">
      <c r="A267" s="213" t="str">
        <f>IF(OR(CommitmentsTable[[#This Row],[Commitment / deliverable]]="",CommitmentsTable[[#This Row],[Immutable Key]]=""),"",SUBSTITUTE(CommitmentsTable[[#This Row],[Immutable Key]],"-K-","-"))</f>
        <v/>
      </c>
      <c r="B267" s="233"/>
      <c r="C267" s="233"/>
      <c r="D267" s="213"/>
      <c r="E267" s="230"/>
      <c r="F267" s="213"/>
      <c r="G267" s="245" t="str">
        <f ca="1">IF(CommitmentsTable[[#This Row],[Commitment / deliverable]]="","",IF(CommitmentsTable[[#This Row],[Date record entered]]="",TODAY(),CommitmentsTable[[#This Row],[Date record entered]]))</f>
        <v/>
      </c>
      <c r="H267" s="245"/>
      <c r="I267" s="245" t="str">
        <f ca="1">IF(CommitmentsTable[[#This Row],[Date Assigned if different from entry date]]&lt;&gt;"",CommitmentsTable[[#This Row],[Date Assigned if different from entry date]]+90,IF(CommitmentsTable[[#This Row],[Date record entered]]&lt;&gt;"",CommitmentsTable[[#This Row],[Date record entered]]+90,""))</f>
        <v/>
      </c>
      <c r="J267" s="245" t="str">
        <f ca="1">IF(CommitmentsTable[[#This Row],[Date Assigned if different from entry date]]&lt;&gt;"",CommitmentsTable[[#This Row],[Date Assigned if different from entry date]]+30,IF(CommitmentsTable[[#This Row],[Date record entered]]&lt;&gt;"",CommitmentsTable[[#This Row],[Date record entered]]+30,""))</f>
        <v/>
      </c>
      <c r="K267" s="245"/>
      <c r="L267" s="245" t="str">
        <f ca="1">IF(CommitmentsTable[[#This Row],[Date Assigned if different from entry date]]&lt;&gt;"",CommitmentsTable[[#This Row],[Date Assigned if different from entry date]]+60,IF(CommitmentsTable[[#This Row],[Date record entered]]&lt;&gt;"",CommitmentsTable[[#This Row],[Date record entered]]+60,""))</f>
        <v/>
      </c>
      <c r="M267" s="214"/>
      <c r="N267" s="214"/>
      <c r="O267" s="236"/>
      <c r="P267" s="214"/>
      <c r="Q267" s="214"/>
      <c r="R267" s="214"/>
      <c r="S267" s="238" t="str">
        <f>IF(CommitmentsTable[[#This Row],[Commitment / deliverable]]="","",IF(CommitmentsTable[[#This Row],[Revised due]]&lt;&gt;"",CommitmentsTable[[#This Row],[Revised due]],CommitmentsTable[[#This Row],[Original due]]))</f>
        <v/>
      </c>
      <c r="T267" s="237" t="str">
        <f>IF(OR(CommitmentsTable[[#This Row],[Commitment / deliverable]]="",CommitmentsTable[[#This Row],[Owner]]=""),"",IF(CommitmentsTable[[#This Row],[Status2]]="","Open",CommitmentsTable[[#This Row],[Status2]]))</f>
        <v/>
      </c>
      <c r="U267" s="237" t="str">
        <f t="shared" ca="1" si="3"/>
        <v/>
      </c>
      <c r="V267" s="233"/>
      <c r="W267" s="63" t="s">
        <v>1234</v>
      </c>
    </row>
    <row r="268" spans="1:23" ht="39">
      <c r="A268" s="213" t="str">
        <f>IF(OR(CommitmentsTable[[#This Row],[Commitment / deliverable]]="",CommitmentsTable[[#This Row],[Immutable Key]]=""),"",SUBSTITUTE(CommitmentsTable[[#This Row],[Immutable Key]],"-K-","-"))</f>
        <v/>
      </c>
      <c r="B268" s="233"/>
      <c r="C268" s="233"/>
      <c r="D268" s="213"/>
      <c r="E268" s="230"/>
      <c r="F268" s="213"/>
      <c r="G268" s="245" t="str">
        <f ca="1">IF(CommitmentsTable[[#This Row],[Commitment / deliverable]]="","",IF(CommitmentsTable[[#This Row],[Date record entered]]="",TODAY(),CommitmentsTable[[#This Row],[Date record entered]]))</f>
        <v/>
      </c>
      <c r="H268" s="245"/>
      <c r="I268" s="245" t="str">
        <f ca="1">IF(CommitmentsTable[[#This Row],[Date Assigned if different from entry date]]&lt;&gt;"",CommitmentsTable[[#This Row],[Date Assigned if different from entry date]]+90,IF(CommitmentsTable[[#This Row],[Date record entered]]&lt;&gt;"",CommitmentsTable[[#This Row],[Date record entered]]+90,""))</f>
        <v/>
      </c>
      <c r="J268" s="245" t="str">
        <f ca="1">IF(CommitmentsTable[[#This Row],[Date Assigned if different from entry date]]&lt;&gt;"",CommitmentsTable[[#This Row],[Date Assigned if different from entry date]]+30,IF(CommitmentsTable[[#This Row],[Date record entered]]&lt;&gt;"",CommitmentsTable[[#This Row],[Date record entered]]+30,""))</f>
        <v/>
      </c>
      <c r="K268" s="245"/>
      <c r="L268" s="245" t="str">
        <f ca="1">IF(CommitmentsTable[[#This Row],[Date Assigned if different from entry date]]&lt;&gt;"",CommitmentsTable[[#This Row],[Date Assigned if different from entry date]]+60,IF(CommitmentsTable[[#This Row],[Date record entered]]&lt;&gt;"",CommitmentsTable[[#This Row],[Date record entered]]+60,""))</f>
        <v/>
      </c>
      <c r="M268" s="214"/>
      <c r="N268" s="214"/>
      <c r="O268" s="236"/>
      <c r="P268" s="214"/>
      <c r="Q268" s="214"/>
      <c r="R268" s="214"/>
      <c r="S268" s="238" t="str">
        <f>IF(CommitmentsTable[[#This Row],[Commitment / deliverable]]="","",IF(CommitmentsTable[[#This Row],[Revised due]]&lt;&gt;"",CommitmentsTable[[#This Row],[Revised due]],CommitmentsTable[[#This Row],[Original due]]))</f>
        <v/>
      </c>
      <c r="T268" s="237" t="str">
        <f>IF(OR(CommitmentsTable[[#This Row],[Commitment / deliverable]]="",CommitmentsTable[[#This Row],[Owner]]=""),"",IF(CommitmentsTable[[#This Row],[Status2]]="","Open",CommitmentsTable[[#This Row],[Status2]]))</f>
        <v/>
      </c>
      <c r="U268" s="237" t="str">
        <f t="shared" ca="1" si="3"/>
        <v/>
      </c>
      <c r="V268" s="233"/>
      <c r="W268" s="63" t="s">
        <v>1235</v>
      </c>
    </row>
    <row r="269" spans="1:23" ht="39">
      <c r="A269" s="213" t="str">
        <f>IF(OR(CommitmentsTable[[#This Row],[Commitment / deliverable]]="",CommitmentsTable[[#This Row],[Immutable Key]]=""),"",SUBSTITUTE(CommitmentsTable[[#This Row],[Immutable Key]],"-K-","-"))</f>
        <v/>
      </c>
      <c r="B269" s="233"/>
      <c r="C269" s="233"/>
      <c r="D269" s="213"/>
      <c r="E269" s="230"/>
      <c r="F269" s="213"/>
      <c r="G269" s="245" t="str">
        <f ca="1">IF(CommitmentsTable[[#This Row],[Commitment / deliverable]]="","",IF(CommitmentsTable[[#This Row],[Date record entered]]="",TODAY(),CommitmentsTable[[#This Row],[Date record entered]]))</f>
        <v/>
      </c>
      <c r="H269" s="245"/>
      <c r="I269" s="245" t="str">
        <f ca="1">IF(CommitmentsTable[[#This Row],[Date Assigned if different from entry date]]&lt;&gt;"",CommitmentsTable[[#This Row],[Date Assigned if different from entry date]]+90,IF(CommitmentsTable[[#This Row],[Date record entered]]&lt;&gt;"",CommitmentsTable[[#This Row],[Date record entered]]+90,""))</f>
        <v/>
      </c>
      <c r="J269" s="245" t="str">
        <f ca="1">IF(CommitmentsTable[[#This Row],[Date Assigned if different from entry date]]&lt;&gt;"",CommitmentsTable[[#This Row],[Date Assigned if different from entry date]]+30,IF(CommitmentsTable[[#This Row],[Date record entered]]&lt;&gt;"",CommitmentsTable[[#This Row],[Date record entered]]+30,""))</f>
        <v/>
      </c>
      <c r="K269" s="245"/>
      <c r="L269" s="245" t="str">
        <f ca="1">IF(CommitmentsTable[[#This Row],[Date Assigned if different from entry date]]&lt;&gt;"",CommitmentsTable[[#This Row],[Date Assigned if different from entry date]]+60,IF(CommitmentsTable[[#This Row],[Date record entered]]&lt;&gt;"",CommitmentsTable[[#This Row],[Date record entered]]+60,""))</f>
        <v/>
      </c>
      <c r="M269" s="214"/>
      <c r="N269" s="214"/>
      <c r="O269" s="236"/>
      <c r="P269" s="214"/>
      <c r="Q269" s="214"/>
      <c r="R269" s="214"/>
      <c r="S269" s="238" t="str">
        <f>IF(CommitmentsTable[[#This Row],[Commitment / deliverable]]="","",IF(CommitmentsTable[[#This Row],[Revised due]]&lt;&gt;"",CommitmentsTable[[#This Row],[Revised due]],CommitmentsTable[[#This Row],[Original due]]))</f>
        <v/>
      </c>
      <c r="T269" s="237" t="str">
        <f>IF(OR(CommitmentsTable[[#This Row],[Commitment / deliverable]]="",CommitmentsTable[[#This Row],[Owner]]=""),"",IF(CommitmentsTable[[#This Row],[Status2]]="","Open",CommitmentsTable[[#This Row],[Status2]]))</f>
        <v/>
      </c>
      <c r="U269" s="237" t="str">
        <f t="shared" ref="U269:U332" ca="1" si="4">IF(B269="","",IF(T269="Closed","",IF(OR(T269="Slipped",T269="At risk",AND(S269&lt;&gt;"",S269&lt;TODAY())),"Slipped / at risk",IF(G269=TODAY(),"New today",IF(S269=TODAY()+1,"Due tomorrow","")))))</f>
        <v/>
      </c>
      <c r="V269" s="233"/>
      <c r="W269" s="63" t="s">
        <v>1236</v>
      </c>
    </row>
    <row r="270" spans="1:23" ht="39">
      <c r="A270" s="213" t="str">
        <f>IF(OR(CommitmentsTable[[#This Row],[Commitment / deliverable]]="",CommitmentsTable[[#This Row],[Immutable Key]]=""),"",SUBSTITUTE(CommitmentsTable[[#This Row],[Immutable Key]],"-K-","-"))</f>
        <v/>
      </c>
      <c r="B270" s="233"/>
      <c r="C270" s="233"/>
      <c r="D270" s="213"/>
      <c r="E270" s="230"/>
      <c r="F270" s="213"/>
      <c r="G270" s="245" t="str">
        <f ca="1">IF(CommitmentsTable[[#This Row],[Commitment / deliverable]]="","",IF(CommitmentsTable[[#This Row],[Date record entered]]="",TODAY(),CommitmentsTable[[#This Row],[Date record entered]]))</f>
        <v/>
      </c>
      <c r="H270" s="245"/>
      <c r="I270" s="245" t="str">
        <f ca="1">IF(CommitmentsTable[[#This Row],[Date Assigned if different from entry date]]&lt;&gt;"",CommitmentsTable[[#This Row],[Date Assigned if different from entry date]]+90,IF(CommitmentsTable[[#This Row],[Date record entered]]&lt;&gt;"",CommitmentsTable[[#This Row],[Date record entered]]+90,""))</f>
        <v/>
      </c>
      <c r="J270" s="245" t="str">
        <f ca="1">IF(CommitmentsTable[[#This Row],[Date Assigned if different from entry date]]&lt;&gt;"",CommitmentsTable[[#This Row],[Date Assigned if different from entry date]]+30,IF(CommitmentsTable[[#This Row],[Date record entered]]&lt;&gt;"",CommitmentsTable[[#This Row],[Date record entered]]+30,""))</f>
        <v/>
      </c>
      <c r="K270" s="245"/>
      <c r="L270" s="245" t="str">
        <f ca="1">IF(CommitmentsTable[[#This Row],[Date Assigned if different from entry date]]&lt;&gt;"",CommitmentsTable[[#This Row],[Date Assigned if different from entry date]]+60,IF(CommitmentsTable[[#This Row],[Date record entered]]&lt;&gt;"",CommitmentsTable[[#This Row],[Date record entered]]+60,""))</f>
        <v/>
      </c>
      <c r="M270" s="214"/>
      <c r="N270" s="214"/>
      <c r="O270" s="236"/>
      <c r="P270" s="214"/>
      <c r="Q270" s="214"/>
      <c r="R270" s="214"/>
      <c r="S270" s="238" t="str">
        <f>IF(CommitmentsTable[[#This Row],[Commitment / deliverable]]="","",IF(CommitmentsTable[[#This Row],[Revised due]]&lt;&gt;"",CommitmentsTable[[#This Row],[Revised due]],CommitmentsTable[[#This Row],[Original due]]))</f>
        <v/>
      </c>
      <c r="T270" s="237" t="str">
        <f>IF(OR(CommitmentsTable[[#This Row],[Commitment / deliverable]]="",CommitmentsTable[[#This Row],[Owner]]=""),"",IF(CommitmentsTable[[#This Row],[Status2]]="","Open",CommitmentsTable[[#This Row],[Status2]]))</f>
        <v/>
      </c>
      <c r="U270" s="237" t="str">
        <f t="shared" ca="1" si="4"/>
        <v/>
      </c>
      <c r="V270" s="233"/>
      <c r="W270" s="63" t="s">
        <v>1237</v>
      </c>
    </row>
    <row r="271" spans="1:23" ht="39">
      <c r="A271" s="213" t="str">
        <f>IF(OR(CommitmentsTable[[#This Row],[Commitment / deliverable]]="",CommitmentsTable[[#This Row],[Immutable Key]]=""),"",SUBSTITUTE(CommitmentsTable[[#This Row],[Immutable Key]],"-K-","-"))</f>
        <v/>
      </c>
      <c r="B271" s="233"/>
      <c r="C271" s="233"/>
      <c r="D271" s="213"/>
      <c r="E271" s="230"/>
      <c r="F271" s="213"/>
      <c r="G271" s="245" t="str">
        <f ca="1">IF(CommitmentsTable[[#This Row],[Commitment / deliverable]]="","",IF(CommitmentsTable[[#This Row],[Date record entered]]="",TODAY(),CommitmentsTable[[#This Row],[Date record entered]]))</f>
        <v/>
      </c>
      <c r="H271" s="245"/>
      <c r="I271" s="245" t="str">
        <f ca="1">IF(CommitmentsTable[[#This Row],[Date Assigned if different from entry date]]&lt;&gt;"",CommitmentsTable[[#This Row],[Date Assigned if different from entry date]]+90,IF(CommitmentsTable[[#This Row],[Date record entered]]&lt;&gt;"",CommitmentsTable[[#This Row],[Date record entered]]+90,""))</f>
        <v/>
      </c>
      <c r="J271" s="245" t="str">
        <f ca="1">IF(CommitmentsTable[[#This Row],[Date Assigned if different from entry date]]&lt;&gt;"",CommitmentsTable[[#This Row],[Date Assigned if different from entry date]]+30,IF(CommitmentsTable[[#This Row],[Date record entered]]&lt;&gt;"",CommitmentsTable[[#This Row],[Date record entered]]+30,""))</f>
        <v/>
      </c>
      <c r="K271" s="245"/>
      <c r="L271" s="245" t="str">
        <f ca="1">IF(CommitmentsTable[[#This Row],[Date Assigned if different from entry date]]&lt;&gt;"",CommitmentsTable[[#This Row],[Date Assigned if different from entry date]]+60,IF(CommitmentsTable[[#This Row],[Date record entered]]&lt;&gt;"",CommitmentsTable[[#This Row],[Date record entered]]+60,""))</f>
        <v/>
      </c>
      <c r="M271" s="214"/>
      <c r="N271" s="214"/>
      <c r="O271" s="236"/>
      <c r="P271" s="214"/>
      <c r="Q271" s="214"/>
      <c r="R271" s="214"/>
      <c r="S271" s="238" t="str">
        <f>IF(CommitmentsTable[[#This Row],[Commitment / deliverable]]="","",IF(CommitmentsTable[[#This Row],[Revised due]]&lt;&gt;"",CommitmentsTable[[#This Row],[Revised due]],CommitmentsTable[[#This Row],[Original due]]))</f>
        <v/>
      </c>
      <c r="T271" s="237" t="str">
        <f>IF(OR(CommitmentsTable[[#This Row],[Commitment / deliverable]]="",CommitmentsTable[[#This Row],[Owner]]=""),"",IF(CommitmentsTable[[#This Row],[Status2]]="","Open",CommitmentsTable[[#This Row],[Status2]]))</f>
        <v/>
      </c>
      <c r="U271" s="237" t="str">
        <f t="shared" ca="1" si="4"/>
        <v/>
      </c>
      <c r="V271" s="233"/>
      <c r="W271" s="63" t="s">
        <v>1238</v>
      </c>
    </row>
    <row r="272" spans="1:23" ht="39">
      <c r="A272" s="213" t="str">
        <f>IF(OR(CommitmentsTable[[#This Row],[Commitment / deliverable]]="",CommitmentsTable[[#This Row],[Immutable Key]]=""),"",SUBSTITUTE(CommitmentsTable[[#This Row],[Immutable Key]],"-K-","-"))</f>
        <v/>
      </c>
      <c r="B272" s="233"/>
      <c r="C272" s="233"/>
      <c r="D272" s="213"/>
      <c r="E272" s="230"/>
      <c r="F272" s="213"/>
      <c r="G272" s="245" t="str">
        <f ca="1">IF(CommitmentsTable[[#This Row],[Commitment / deliverable]]="","",IF(CommitmentsTable[[#This Row],[Date record entered]]="",TODAY(),CommitmentsTable[[#This Row],[Date record entered]]))</f>
        <v/>
      </c>
      <c r="H272" s="245"/>
      <c r="I272" s="245" t="str">
        <f ca="1">IF(CommitmentsTable[[#This Row],[Date Assigned if different from entry date]]&lt;&gt;"",CommitmentsTable[[#This Row],[Date Assigned if different from entry date]]+90,IF(CommitmentsTable[[#This Row],[Date record entered]]&lt;&gt;"",CommitmentsTable[[#This Row],[Date record entered]]+90,""))</f>
        <v/>
      </c>
      <c r="J272" s="245" t="str">
        <f ca="1">IF(CommitmentsTable[[#This Row],[Date Assigned if different from entry date]]&lt;&gt;"",CommitmentsTable[[#This Row],[Date Assigned if different from entry date]]+30,IF(CommitmentsTable[[#This Row],[Date record entered]]&lt;&gt;"",CommitmentsTable[[#This Row],[Date record entered]]+30,""))</f>
        <v/>
      </c>
      <c r="K272" s="245"/>
      <c r="L272" s="245" t="str">
        <f ca="1">IF(CommitmentsTable[[#This Row],[Date Assigned if different from entry date]]&lt;&gt;"",CommitmentsTable[[#This Row],[Date Assigned if different from entry date]]+60,IF(CommitmentsTable[[#This Row],[Date record entered]]&lt;&gt;"",CommitmentsTable[[#This Row],[Date record entered]]+60,""))</f>
        <v/>
      </c>
      <c r="M272" s="214"/>
      <c r="N272" s="214"/>
      <c r="O272" s="236"/>
      <c r="P272" s="214"/>
      <c r="Q272" s="214"/>
      <c r="R272" s="214"/>
      <c r="S272" s="238" t="str">
        <f>IF(CommitmentsTable[[#This Row],[Commitment / deliverable]]="","",IF(CommitmentsTable[[#This Row],[Revised due]]&lt;&gt;"",CommitmentsTable[[#This Row],[Revised due]],CommitmentsTable[[#This Row],[Original due]]))</f>
        <v/>
      </c>
      <c r="T272" s="237" t="str">
        <f>IF(OR(CommitmentsTable[[#This Row],[Commitment / deliverable]]="",CommitmentsTable[[#This Row],[Owner]]=""),"",IF(CommitmentsTable[[#This Row],[Status2]]="","Open",CommitmentsTable[[#This Row],[Status2]]))</f>
        <v/>
      </c>
      <c r="U272" s="237" t="str">
        <f t="shared" ca="1" si="4"/>
        <v/>
      </c>
      <c r="V272" s="233"/>
      <c r="W272" s="63" t="s">
        <v>1239</v>
      </c>
    </row>
    <row r="273" spans="1:23" ht="39">
      <c r="A273" s="213" t="str">
        <f>IF(OR(CommitmentsTable[[#This Row],[Commitment / deliverable]]="",CommitmentsTable[[#This Row],[Immutable Key]]=""),"",SUBSTITUTE(CommitmentsTable[[#This Row],[Immutable Key]],"-K-","-"))</f>
        <v/>
      </c>
      <c r="B273" s="233"/>
      <c r="C273" s="233"/>
      <c r="D273" s="213"/>
      <c r="E273" s="230"/>
      <c r="F273" s="213"/>
      <c r="G273" s="245" t="str">
        <f ca="1">IF(CommitmentsTable[[#This Row],[Commitment / deliverable]]="","",IF(CommitmentsTable[[#This Row],[Date record entered]]="",TODAY(),CommitmentsTable[[#This Row],[Date record entered]]))</f>
        <v/>
      </c>
      <c r="H273" s="245"/>
      <c r="I273" s="245" t="str">
        <f ca="1">IF(CommitmentsTable[[#This Row],[Date Assigned if different from entry date]]&lt;&gt;"",CommitmentsTable[[#This Row],[Date Assigned if different from entry date]]+90,IF(CommitmentsTable[[#This Row],[Date record entered]]&lt;&gt;"",CommitmentsTable[[#This Row],[Date record entered]]+90,""))</f>
        <v/>
      </c>
      <c r="J273" s="245" t="str">
        <f ca="1">IF(CommitmentsTable[[#This Row],[Date Assigned if different from entry date]]&lt;&gt;"",CommitmentsTable[[#This Row],[Date Assigned if different from entry date]]+30,IF(CommitmentsTable[[#This Row],[Date record entered]]&lt;&gt;"",CommitmentsTable[[#This Row],[Date record entered]]+30,""))</f>
        <v/>
      </c>
      <c r="K273" s="245"/>
      <c r="L273" s="245" t="str">
        <f ca="1">IF(CommitmentsTable[[#This Row],[Date Assigned if different from entry date]]&lt;&gt;"",CommitmentsTable[[#This Row],[Date Assigned if different from entry date]]+60,IF(CommitmentsTable[[#This Row],[Date record entered]]&lt;&gt;"",CommitmentsTable[[#This Row],[Date record entered]]+60,""))</f>
        <v/>
      </c>
      <c r="M273" s="214"/>
      <c r="N273" s="214"/>
      <c r="O273" s="236"/>
      <c r="P273" s="214"/>
      <c r="Q273" s="214"/>
      <c r="R273" s="214"/>
      <c r="S273" s="238" t="str">
        <f>IF(CommitmentsTable[[#This Row],[Commitment / deliverable]]="","",IF(CommitmentsTable[[#This Row],[Revised due]]&lt;&gt;"",CommitmentsTable[[#This Row],[Revised due]],CommitmentsTable[[#This Row],[Original due]]))</f>
        <v/>
      </c>
      <c r="T273" s="237" t="str">
        <f>IF(OR(CommitmentsTable[[#This Row],[Commitment / deliverable]]="",CommitmentsTable[[#This Row],[Owner]]=""),"",IF(CommitmentsTable[[#This Row],[Status2]]="","Open",CommitmentsTable[[#This Row],[Status2]]))</f>
        <v/>
      </c>
      <c r="U273" s="237" t="str">
        <f t="shared" ca="1" si="4"/>
        <v/>
      </c>
      <c r="V273" s="233"/>
      <c r="W273" s="63" t="s">
        <v>1240</v>
      </c>
    </row>
    <row r="274" spans="1:23" ht="39">
      <c r="A274" s="213" t="str">
        <f>IF(OR(CommitmentsTable[[#This Row],[Commitment / deliverable]]="",CommitmentsTable[[#This Row],[Immutable Key]]=""),"",SUBSTITUTE(CommitmentsTable[[#This Row],[Immutable Key]],"-K-","-"))</f>
        <v/>
      </c>
      <c r="B274" s="233"/>
      <c r="C274" s="233"/>
      <c r="D274" s="213"/>
      <c r="E274" s="230"/>
      <c r="F274" s="213"/>
      <c r="G274" s="245" t="str">
        <f ca="1">IF(CommitmentsTable[[#This Row],[Commitment / deliverable]]="","",IF(CommitmentsTable[[#This Row],[Date record entered]]="",TODAY(),CommitmentsTable[[#This Row],[Date record entered]]))</f>
        <v/>
      </c>
      <c r="H274" s="245"/>
      <c r="I274" s="245" t="str">
        <f ca="1">IF(CommitmentsTable[[#This Row],[Date Assigned if different from entry date]]&lt;&gt;"",CommitmentsTable[[#This Row],[Date Assigned if different from entry date]]+90,IF(CommitmentsTable[[#This Row],[Date record entered]]&lt;&gt;"",CommitmentsTable[[#This Row],[Date record entered]]+90,""))</f>
        <v/>
      </c>
      <c r="J274" s="245" t="str">
        <f ca="1">IF(CommitmentsTable[[#This Row],[Date Assigned if different from entry date]]&lt;&gt;"",CommitmentsTable[[#This Row],[Date Assigned if different from entry date]]+30,IF(CommitmentsTable[[#This Row],[Date record entered]]&lt;&gt;"",CommitmentsTable[[#This Row],[Date record entered]]+30,""))</f>
        <v/>
      </c>
      <c r="K274" s="245"/>
      <c r="L274" s="245" t="str">
        <f ca="1">IF(CommitmentsTable[[#This Row],[Date Assigned if different from entry date]]&lt;&gt;"",CommitmentsTable[[#This Row],[Date Assigned if different from entry date]]+60,IF(CommitmentsTable[[#This Row],[Date record entered]]&lt;&gt;"",CommitmentsTable[[#This Row],[Date record entered]]+60,""))</f>
        <v/>
      </c>
      <c r="M274" s="214"/>
      <c r="N274" s="214"/>
      <c r="O274" s="236"/>
      <c r="P274" s="214"/>
      <c r="Q274" s="214"/>
      <c r="R274" s="214"/>
      <c r="S274" s="238" t="str">
        <f>IF(CommitmentsTable[[#This Row],[Commitment / deliverable]]="","",IF(CommitmentsTable[[#This Row],[Revised due]]&lt;&gt;"",CommitmentsTable[[#This Row],[Revised due]],CommitmentsTable[[#This Row],[Original due]]))</f>
        <v/>
      </c>
      <c r="T274" s="237" t="str">
        <f>IF(OR(CommitmentsTable[[#This Row],[Commitment / deliverable]]="",CommitmentsTable[[#This Row],[Owner]]=""),"",IF(CommitmentsTable[[#This Row],[Status2]]="","Open",CommitmentsTable[[#This Row],[Status2]]))</f>
        <v/>
      </c>
      <c r="U274" s="237" t="str">
        <f t="shared" ca="1" si="4"/>
        <v/>
      </c>
      <c r="V274" s="233"/>
      <c r="W274" s="63" t="s">
        <v>1241</v>
      </c>
    </row>
    <row r="275" spans="1:23" ht="39">
      <c r="A275" s="213" t="str">
        <f>IF(OR(CommitmentsTable[[#This Row],[Commitment / deliverable]]="",CommitmentsTable[[#This Row],[Immutable Key]]=""),"",SUBSTITUTE(CommitmentsTable[[#This Row],[Immutable Key]],"-K-","-"))</f>
        <v/>
      </c>
      <c r="B275" s="233"/>
      <c r="C275" s="233"/>
      <c r="D275" s="213"/>
      <c r="E275" s="230"/>
      <c r="F275" s="213"/>
      <c r="G275" s="245" t="str">
        <f ca="1">IF(CommitmentsTable[[#This Row],[Commitment / deliverable]]="","",IF(CommitmentsTable[[#This Row],[Date record entered]]="",TODAY(),CommitmentsTable[[#This Row],[Date record entered]]))</f>
        <v/>
      </c>
      <c r="H275" s="245"/>
      <c r="I275" s="245" t="str">
        <f ca="1">IF(CommitmentsTable[[#This Row],[Date Assigned if different from entry date]]&lt;&gt;"",CommitmentsTable[[#This Row],[Date Assigned if different from entry date]]+90,IF(CommitmentsTable[[#This Row],[Date record entered]]&lt;&gt;"",CommitmentsTable[[#This Row],[Date record entered]]+90,""))</f>
        <v/>
      </c>
      <c r="J275" s="245" t="str">
        <f ca="1">IF(CommitmentsTable[[#This Row],[Date Assigned if different from entry date]]&lt;&gt;"",CommitmentsTable[[#This Row],[Date Assigned if different from entry date]]+30,IF(CommitmentsTable[[#This Row],[Date record entered]]&lt;&gt;"",CommitmentsTable[[#This Row],[Date record entered]]+30,""))</f>
        <v/>
      </c>
      <c r="K275" s="245"/>
      <c r="L275" s="245" t="str">
        <f ca="1">IF(CommitmentsTable[[#This Row],[Date Assigned if different from entry date]]&lt;&gt;"",CommitmentsTable[[#This Row],[Date Assigned if different from entry date]]+60,IF(CommitmentsTable[[#This Row],[Date record entered]]&lt;&gt;"",CommitmentsTable[[#This Row],[Date record entered]]+60,""))</f>
        <v/>
      </c>
      <c r="M275" s="214"/>
      <c r="N275" s="214"/>
      <c r="O275" s="236"/>
      <c r="P275" s="214"/>
      <c r="Q275" s="214"/>
      <c r="R275" s="214"/>
      <c r="S275" s="238" t="str">
        <f>IF(CommitmentsTable[[#This Row],[Commitment / deliverable]]="","",IF(CommitmentsTable[[#This Row],[Revised due]]&lt;&gt;"",CommitmentsTable[[#This Row],[Revised due]],CommitmentsTable[[#This Row],[Original due]]))</f>
        <v/>
      </c>
      <c r="T275" s="237" t="str">
        <f>IF(OR(CommitmentsTable[[#This Row],[Commitment / deliverable]]="",CommitmentsTable[[#This Row],[Owner]]=""),"",IF(CommitmentsTable[[#This Row],[Status2]]="","Open",CommitmentsTable[[#This Row],[Status2]]))</f>
        <v/>
      </c>
      <c r="U275" s="237" t="str">
        <f t="shared" ca="1" si="4"/>
        <v/>
      </c>
      <c r="V275" s="233"/>
      <c r="W275" s="63" t="s">
        <v>1242</v>
      </c>
    </row>
    <row r="276" spans="1:23" ht="39">
      <c r="A276" s="213" t="str">
        <f>IF(OR(CommitmentsTable[[#This Row],[Commitment / deliverable]]="",CommitmentsTable[[#This Row],[Immutable Key]]=""),"",SUBSTITUTE(CommitmentsTable[[#This Row],[Immutable Key]],"-K-","-"))</f>
        <v/>
      </c>
      <c r="B276" s="233"/>
      <c r="C276" s="233"/>
      <c r="D276" s="213"/>
      <c r="E276" s="230"/>
      <c r="F276" s="213"/>
      <c r="G276" s="245" t="str">
        <f ca="1">IF(CommitmentsTable[[#This Row],[Commitment / deliverable]]="","",IF(CommitmentsTable[[#This Row],[Date record entered]]="",TODAY(),CommitmentsTable[[#This Row],[Date record entered]]))</f>
        <v/>
      </c>
      <c r="H276" s="245"/>
      <c r="I276" s="245" t="str">
        <f ca="1">IF(CommitmentsTable[[#This Row],[Date Assigned if different from entry date]]&lt;&gt;"",CommitmentsTable[[#This Row],[Date Assigned if different from entry date]]+90,IF(CommitmentsTable[[#This Row],[Date record entered]]&lt;&gt;"",CommitmentsTable[[#This Row],[Date record entered]]+90,""))</f>
        <v/>
      </c>
      <c r="J276" s="245" t="str">
        <f ca="1">IF(CommitmentsTable[[#This Row],[Date Assigned if different from entry date]]&lt;&gt;"",CommitmentsTable[[#This Row],[Date Assigned if different from entry date]]+30,IF(CommitmentsTable[[#This Row],[Date record entered]]&lt;&gt;"",CommitmentsTable[[#This Row],[Date record entered]]+30,""))</f>
        <v/>
      </c>
      <c r="K276" s="245"/>
      <c r="L276" s="245" t="str">
        <f ca="1">IF(CommitmentsTable[[#This Row],[Date Assigned if different from entry date]]&lt;&gt;"",CommitmentsTable[[#This Row],[Date Assigned if different from entry date]]+60,IF(CommitmentsTable[[#This Row],[Date record entered]]&lt;&gt;"",CommitmentsTable[[#This Row],[Date record entered]]+60,""))</f>
        <v/>
      </c>
      <c r="M276" s="214"/>
      <c r="N276" s="214"/>
      <c r="O276" s="236"/>
      <c r="P276" s="214"/>
      <c r="Q276" s="214"/>
      <c r="R276" s="214"/>
      <c r="S276" s="238" t="str">
        <f>IF(CommitmentsTable[[#This Row],[Commitment / deliverable]]="","",IF(CommitmentsTable[[#This Row],[Revised due]]&lt;&gt;"",CommitmentsTable[[#This Row],[Revised due]],CommitmentsTable[[#This Row],[Original due]]))</f>
        <v/>
      </c>
      <c r="T276" s="237" t="str">
        <f>IF(OR(CommitmentsTable[[#This Row],[Commitment / deliverable]]="",CommitmentsTable[[#This Row],[Owner]]=""),"",IF(CommitmentsTable[[#This Row],[Status2]]="","Open",CommitmentsTable[[#This Row],[Status2]]))</f>
        <v/>
      </c>
      <c r="U276" s="237" t="str">
        <f t="shared" ca="1" si="4"/>
        <v/>
      </c>
      <c r="V276" s="233"/>
      <c r="W276" s="63" t="s">
        <v>1243</v>
      </c>
    </row>
    <row r="277" spans="1:23" ht="39">
      <c r="A277" s="213" t="str">
        <f>IF(OR(CommitmentsTable[[#This Row],[Commitment / deliverable]]="",CommitmentsTable[[#This Row],[Immutable Key]]=""),"",SUBSTITUTE(CommitmentsTable[[#This Row],[Immutable Key]],"-K-","-"))</f>
        <v/>
      </c>
      <c r="B277" s="233"/>
      <c r="C277" s="233"/>
      <c r="D277" s="213"/>
      <c r="E277" s="230"/>
      <c r="F277" s="213"/>
      <c r="G277" s="245" t="str">
        <f ca="1">IF(CommitmentsTable[[#This Row],[Commitment / deliverable]]="","",IF(CommitmentsTable[[#This Row],[Date record entered]]="",TODAY(),CommitmentsTable[[#This Row],[Date record entered]]))</f>
        <v/>
      </c>
      <c r="H277" s="245"/>
      <c r="I277" s="245" t="str">
        <f ca="1">IF(CommitmentsTable[[#This Row],[Date Assigned if different from entry date]]&lt;&gt;"",CommitmentsTable[[#This Row],[Date Assigned if different from entry date]]+90,IF(CommitmentsTable[[#This Row],[Date record entered]]&lt;&gt;"",CommitmentsTable[[#This Row],[Date record entered]]+90,""))</f>
        <v/>
      </c>
      <c r="J277" s="245" t="str">
        <f ca="1">IF(CommitmentsTable[[#This Row],[Date Assigned if different from entry date]]&lt;&gt;"",CommitmentsTable[[#This Row],[Date Assigned if different from entry date]]+30,IF(CommitmentsTable[[#This Row],[Date record entered]]&lt;&gt;"",CommitmentsTable[[#This Row],[Date record entered]]+30,""))</f>
        <v/>
      </c>
      <c r="K277" s="245"/>
      <c r="L277" s="245" t="str">
        <f ca="1">IF(CommitmentsTable[[#This Row],[Date Assigned if different from entry date]]&lt;&gt;"",CommitmentsTable[[#This Row],[Date Assigned if different from entry date]]+60,IF(CommitmentsTable[[#This Row],[Date record entered]]&lt;&gt;"",CommitmentsTable[[#This Row],[Date record entered]]+60,""))</f>
        <v/>
      </c>
      <c r="M277" s="214"/>
      <c r="N277" s="214"/>
      <c r="O277" s="236"/>
      <c r="P277" s="214"/>
      <c r="Q277" s="214"/>
      <c r="R277" s="214"/>
      <c r="S277" s="238" t="str">
        <f>IF(CommitmentsTable[[#This Row],[Commitment / deliverable]]="","",IF(CommitmentsTable[[#This Row],[Revised due]]&lt;&gt;"",CommitmentsTable[[#This Row],[Revised due]],CommitmentsTable[[#This Row],[Original due]]))</f>
        <v/>
      </c>
      <c r="T277" s="237" t="str">
        <f>IF(OR(CommitmentsTable[[#This Row],[Commitment / deliverable]]="",CommitmentsTable[[#This Row],[Owner]]=""),"",IF(CommitmentsTable[[#This Row],[Status2]]="","Open",CommitmentsTable[[#This Row],[Status2]]))</f>
        <v/>
      </c>
      <c r="U277" s="237" t="str">
        <f t="shared" ca="1" si="4"/>
        <v/>
      </c>
      <c r="V277" s="233"/>
      <c r="W277" s="63" t="s">
        <v>1244</v>
      </c>
    </row>
    <row r="278" spans="1:23" ht="39">
      <c r="A278" s="213" t="str">
        <f>IF(OR(CommitmentsTable[[#This Row],[Commitment / deliverable]]="",CommitmentsTable[[#This Row],[Immutable Key]]=""),"",SUBSTITUTE(CommitmentsTable[[#This Row],[Immutable Key]],"-K-","-"))</f>
        <v/>
      </c>
      <c r="B278" s="233"/>
      <c r="C278" s="233"/>
      <c r="D278" s="213"/>
      <c r="E278" s="230"/>
      <c r="F278" s="213"/>
      <c r="G278" s="245" t="str">
        <f ca="1">IF(CommitmentsTable[[#This Row],[Commitment / deliverable]]="","",IF(CommitmentsTable[[#This Row],[Date record entered]]="",TODAY(),CommitmentsTable[[#This Row],[Date record entered]]))</f>
        <v/>
      </c>
      <c r="H278" s="245"/>
      <c r="I278" s="245" t="str">
        <f ca="1">IF(CommitmentsTable[[#This Row],[Date Assigned if different from entry date]]&lt;&gt;"",CommitmentsTable[[#This Row],[Date Assigned if different from entry date]]+90,IF(CommitmentsTable[[#This Row],[Date record entered]]&lt;&gt;"",CommitmentsTable[[#This Row],[Date record entered]]+90,""))</f>
        <v/>
      </c>
      <c r="J278" s="245" t="str">
        <f ca="1">IF(CommitmentsTable[[#This Row],[Date Assigned if different from entry date]]&lt;&gt;"",CommitmentsTable[[#This Row],[Date Assigned if different from entry date]]+30,IF(CommitmentsTable[[#This Row],[Date record entered]]&lt;&gt;"",CommitmentsTable[[#This Row],[Date record entered]]+30,""))</f>
        <v/>
      </c>
      <c r="K278" s="245"/>
      <c r="L278" s="245" t="str">
        <f ca="1">IF(CommitmentsTable[[#This Row],[Date Assigned if different from entry date]]&lt;&gt;"",CommitmentsTable[[#This Row],[Date Assigned if different from entry date]]+60,IF(CommitmentsTable[[#This Row],[Date record entered]]&lt;&gt;"",CommitmentsTable[[#This Row],[Date record entered]]+60,""))</f>
        <v/>
      </c>
      <c r="M278" s="214"/>
      <c r="N278" s="214"/>
      <c r="O278" s="236"/>
      <c r="P278" s="214"/>
      <c r="Q278" s="214"/>
      <c r="R278" s="214"/>
      <c r="S278" s="238" t="str">
        <f>IF(CommitmentsTable[[#This Row],[Commitment / deliverable]]="","",IF(CommitmentsTable[[#This Row],[Revised due]]&lt;&gt;"",CommitmentsTable[[#This Row],[Revised due]],CommitmentsTable[[#This Row],[Original due]]))</f>
        <v/>
      </c>
      <c r="T278" s="237" t="str">
        <f>IF(OR(CommitmentsTable[[#This Row],[Commitment / deliverable]]="",CommitmentsTable[[#This Row],[Owner]]=""),"",IF(CommitmentsTable[[#This Row],[Status2]]="","Open",CommitmentsTable[[#This Row],[Status2]]))</f>
        <v/>
      </c>
      <c r="U278" s="237" t="str">
        <f t="shared" ca="1" si="4"/>
        <v/>
      </c>
      <c r="V278" s="233"/>
      <c r="W278" s="63" t="s">
        <v>1245</v>
      </c>
    </row>
    <row r="279" spans="1:23" ht="39">
      <c r="A279" s="213" t="str">
        <f>IF(OR(CommitmentsTable[[#This Row],[Commitment / deliverable]]="",CommitmentsTable[[#This Row],[Immutable Key]]=""),"",SUBSTITUTE(CommitmentsTable[[#This Row],[Immutable Key]],"-K-","-"))</f>
        <v/>
      </c>
      <c r="B279" s="233"/>
      <c r="C279" s="233"/>
      <c r="D279" s="213"/>
      <c r="E279" s="230"/>
      <c r="F279" s="213"/>
      <c r="G279" s="245" t="str">
        <f ca="1">IF(CommitmentsTable[[#This Row],[Commitment / deliverable]]="","",IF(CommitmentsTable[[#This Row],[Date record entered]]="",TODAY(),CommitmentsTable[[#This Row],[Date record entered]]))</f>
        <v/>
      </c>
      <c r="H279" s="245"/>
      <c r="I279" s="245" t="str">
        <f ca="1">IF(CommitmentsTable[[#This Row],[Date Assigned if different from entry date]]&lt;&gt;"",CommitmentsTable[[#This Row],[Date Assigned if different from entry date]]+90,IF(CommitmentsTable[[#This Row],[Date record entered]]&lt;&gt;"",CommitmentsTable[[#This Row],[Date record entered]]+90,""))</f>
        <v/>
      </c>
      <c r="J279" s="245" t="str">
        <f ca="1">IF(CommitmentsTable[[#This Row],[Date Assigned if different from entry date]]&lt;&gt;"",CommitmentsTable[[#This Row],[Date Assigned if different from entry date]]+30,IF(CommitmentsTable[[#This Row],[Date record entered]]&lt;&gt;"",CommitmentsTable[[#This Row],[Date record entered]]+30,""))</f>
        <v/>
      </c>
      <c r="K279" s="245"/>
      <c r="L279" s="245" t="str">
        <f ca="1">IF(CommitmentsTable[[#This Row],[Date Assigned if different from entry date]]&lt;&gt;"",CommitmentsTable[[#This Row],[Date Assigned if different from entry date]]+60,IF(CommitmentsTable[[#This Row],[Date record entered]]&lt;&gt;"",CommitmentsTable[[#This Row],[Date record entered]]+60,""))</f>
        <v/>
      </c>
      <c r="M279" s="214"/>
      <c r="N279" s="214"/>
      <c r="O279" s="236"/>
      <c r="P279" s="214"/>
      <c r="Q279" s="214"/>
      <c r="R279" s="214"/>
      <c r="S279" s="238" t="str">
        <f>IF(CommitmentsTable[[#This Row],[Commitment / deliverable]]="","",IF(CommitmentsTable[[#This Row],[Revised due]]&lt;&gt;"",CommitmentsTable[[#This Row],[Revised due]],CommitmentsTable[[#This Row],[Original due]]))</f>
        <v/>
      </c>
      <c r="T279" s="237" t="str">
        <f>IF(OR(CommitmentsTable[[#This Row],[Commitment / deliverable]]="",CommitmentsTable[[#This Row],[Owner]]=""),"",IF(CommitmentsTable[[#This Row],[Status2]]="","Open",CommitmentsTable[[#This Row],[Status2]]))</f>
        <v/>
      </c>
      <c r="U279" s="237" t="str">
        <f t="shared" ca="1" si="4"/>
        <v/>
      </c>
      <c r="V279" s="233"/>
      <c r="W279" s="63" t="s">
        <v>1246</v>
      </c>
    </row>
    <row r="280" spans="1:23" ht="39">
      <c r="A280" s="213" t="str">
        <f>IF(OR(CommitmentsTable[[#This Row],[Commitment / deliverable]]="",CommitmentsTable[[#This Row],[Immutable Key]]=""),"",SUBSTITUTE(CommitmentsTable[[#This Row],[Immutable Key]],"-K-","-"))</f>
        <v/>
      </c>
      <c r="B280" s="233"/>
      <c r="C280" s="233"/>
      <c r="D280" s="213"/>
      <c r="E280" s="230"/>
      <c r="F280" s="213"/>
      <c r="G280" s="245" t="str">
        <f ca="1">IF(CommitmentsTable[[#This Row],[Commitment / deliverable]]="","",IF(CommitmentsTable[[#This Row],[Date record entered]]="",TODAY(),CommitmentsTable[[#This Row],[Date record entered]]))</f>
        <v/>
      </c>
      <c r="H280" s="245"/>
      <c r="I280" s="245" t="str">
        <f ca="1">IF(CommitmentsTable[[#This Row],[Date Assigned if different from entry date]]&lt;&gt;"",CommitmentsTable[[#This Row],[Date Assigned if different from entry date]]+90,IF(CommitmentsTable[[#This Row],[Date record entered]]&lt;&gt;"",CommitmentsTable[[#This Row],[Date record entered]]+90,""))</f>
        <v/>
      </c>
      <c r="J280" s="245" t="str">
        <f ca="1">IF(CommitmentsTable[[#This Row],[Date Assigned if different from entry date]]&lt;&gt;"",CommitmentsTable[[#This Row],[Date Assigned if different from entry date]]+30,IF(CommitmentsTable[[#This Row],[Date record entered]]&lt;&gt;"",CommitmentsTable[[#This Row],[Date record entered]]+30,""))</f>
        <v/>
      </c>
      <c r="K280" s="245"/>
      <c r="L280" s="245" t="str">
        <f ca="1">IF(CommitmentsTable[[#This Row],[Date Assigned if different from entry date]]&lt;&gt;"",CommitmentsTable[[#This Row],[Date Assigned if different from entry date]]+60,IF(CommitmentsTable[[#This Row],[Date record entered]]&lt;&gt;"",CommitmentsTable[[#This Row],[Date record entered]]+60,""))</f>
        <v/>
      </c>
      <c r="M280" s="214"/>
      <c r="N280" s="214"/>
      <c r="O280" s="236"/>
      <c r="P280" s="214"/>
      <c r="Q280" s="214"/>
      <c r="R280" s="214"/>
      <c r="S280" s="238" t="str">
        <f>IF(CommitmentsTable[[#This Row],[Commitment / deliverable]]="","",IF(CommitmentsTable[[#This Row],[Revised due]]&lt;&gt;"",CommitmentsTable[[#This Row],[Revised due]],CommitmentsTable[[#This Row],[Original due]]))</f>
        <v/>
      </c>
      <c r="T280" s="237" t="str">
        <f>IF(OR(CommitmentsTable[[#This Row],[Commitment / deliverable]]="",CommitmentsTable[[#This Row],[Owner]]=""),"",IF(CommitmentsTable[[#This Row],[Status2]]="","Open",CommitmentsTable[[#This Row],[Status2]]))</f>
        <v/>
      </c>
      <c r="U280" s="237" t="str">
        <f t="shared" ca="1" si="4"/>
        <v/>
      </c>
      <c r="V280" s="233"/>
      <c r="W280" s="63" t="s">
        <v>1247</v>
      </c>
    </row>
    <row r="281" spans="1:23" ht="39">
      <c r="A281" s="213" t="str">
        <f>IF(OR(CommitmentsTable[[#This Row],[Commitment / deliverable]]="",CommitmentsTable[[#This Row],[Immutable Key]]=""),"",SUBSTITUTE(CommitmentsTable[[#This Row],[Immutable Key]],"-K-","-"))</f>
        <v/>
      </c>
      <c r="B281" s="233"/>
      <c r="C281" s="233"/>
      <c r="D281" s="213"/>
      <c r="E281" s="230"/>
      <c r="F281" s="213"/>
      <c r="G281" s="245" t="str">
        <f ca="1">IF(CommitmentsTable[[#This Row],[Commitment / deliverable]]="","",IF(CommitmentsTable[[#This Row],[Date record entered]]="",TODAY(),CommitmentsTable[[#This Row],[Date record entered]]))</f>
        <v/>
      </c>
      <c r="H281" s="245"/>
      <c r="I281" s="245" t="str">
        <f ca="1">IF(CommitmentsTable[[#This Row],[Date Assigned if different from entry date]]&lt;&gt;"",CommitmentsTable[[#This Row],[Date Assigned if different from entry date]]+90,IF(CommitmentsTable[[#This Row],[Date record entered]]&lt;&gt;"",CommitmentsTable[[#This Row],[Date record entered]]+90,""))</f>
        <v/>
      </c>
      <c r="J281" s="245" t="str">
        <f ca="1">IF(CommitmentsTable[[#This Row],[Date Assigned if different from entry date]]&lt;&gt;"",CommitmentsTable[[#This Row],[Date Assigned if different from entry date]]+30,IF(CommitmentsTable[[#This Row],[Date record entered]]&lt;&gt;"",CommitmentsTable[[#This Row],[Date record entered]]+30,""))</f>
        <v/>
      </c>
      <c r="K281" s="245"/>
      <c r="L281" s="245" t="str">
        <f ca="1">IF(CommitmentsTable[[#This Row],[Date Assigned if different from entry date]]&lt;&gt;"",CommitmentsTable[[#This Row],[Date Assigned if different from entry date]]+60,IF(CommitmentsTable[[#This Row],[Date record entered]]&lt;&gt;"",CommitmentsTable[[#This Row],[Date record entered]]+60,""))</f>
        <v/>
      </c>
      <c r="M281" s="214"/>
      <c r="N281" s="214"/>
      <c r="O281" s="236"/>
      <c r="P281" s="214"/>
      <c r="Q281" s="214"/>
      <c r="R281" s="214"/>
      <c r="S281" s="238" t="str">
        <f>IF(CommitmentsTable[[#This Row],[Commitment / deliverable]]="","",IF(CommitmentsTable[[#This Row],[Revised due]]&lt;&gt;"",CommitmentsTable[[#This Row],[Revised due]],CommitmentsTable[[#This Row],[Original due]]))</f>
        <v/>
      </c>
      <c r="T281" s="237" t="str">
        <f>IF(OR(CommitmentsTable[[#This Row],[Commitment / deliverable]]="",CommitmentsTable[[#This Row],[Owner]]=""),"",IF(CommitmentsTable[[#This Row],[Status2]]="","Open",CommitmentsTable[[#This Row],[Status2]]))</f>
        <v/>
      </c>
      <c r="U281" s="237" t="str">
        <f t="shared" ca="1" si="4"/>
        <v/>
      </c>
      <c r="V281" s="233"/>
      <c r="W281" s="63" t="s">
        <v>1248</v>
      </c>
    </row>
    <row r="282" spans="1:23" ht="39">
      <c r="A282" s="213" t="str">
        <f>IF(OR(CommitmentsTable[[#This Row],[Commitment / deliverable]]="",CommitmentsTable[[#This Row],[Immutable Key]]=""),"",SUBSTITUTE(CommitmentsTable[[#This Row],[Immutable Key]],"-K-","-"))</f>
        <v/>
      </c>
      <c r="B282" s="233"/>
      <c r="C282" s="233"/>
      <c r="D282" s="213"/>
      <c r="E282" s="230"/>
      <c r="F282" s="213"/>
      <c r="G282" s="245" t="str">
        <f ca="1">IF(CommitmentsTable[[#This Row],[Commitment / deliverable]]="","",IF(CommitmentsTable[[#This Row],[Date record entered]]="",TODAY(),CommitmentsTable[[#This Row],[Date record entered]]))</f>
        <v/>
      </c>
      <c r="H282" s="245"/>
      <c r="I282" s="245" t="str">
        <f ca="1">IF(CommitmentsTable[[#This Row],[Date Assigned if different from entry date]]&lt;&gt;"",CommitmentsTable[[#This Row],[Date Assigned if different from entry date]]+90,IF(CommitmentsTable[[#This Row],[Date record entered]]&lt;&gt;"",CommitmentsTable[[#This Row],[Date record entered]]+90,""))</f>
        <v/>
      </c>
      <c r="J282" s="245" t="str">
        <f ca="1">IF(CommitmentsTable[[#This Row],[Date Assigned if different from entry date]]&lt;&gt;"",CommitmentsTable[[#This Row],[Date Assigned if different from entry date]]+30,IF(CommitmentsTable[[#This Row],[Date record entered]]&lt;&gt;"",CommitmentsTable[[#This Row],[Date record entered]]+30,""))</f>
        <v/>
      </c>
      <c r="K282" s="245"/>
      <c r="L282" s="245" t="str">
        <f ca="1">IF(CommitmentsTable[[#This Row],[Date Assigned if different from entry date]]&lt;&gt;"",CommitmentsTable[[#This Row],[Date Assigned if different from entry date]]+60,IF(CommitmentsTable[[#This Row],[Date record entered]]&lt;&gt;"",CommitmentsTable[[#This Row],[Date record entered]]+60,""))</f>
        <v/>
      </c>
      <c r="M282" s="214"/>
      <c r="N282" s="214"/>
      <c r="O282" s="236"/>
      <c r="P282" s="214"/>
      <c r="Q282" s="214"/>
      <c r="R282" s="214"/>
      <c r="S282" s="238" t="str">
        <f>IF(CommitmentsTable[[#This Row],[Commitment / deliverable]]="","",IF(CommitmentsTable[[#This Row],[Revised due]]&lt;&gt;"",CommitmentsTable[[#This Row],[Revised due]],CommitmentsTable[[#This Row],[Original due]]))</f>
        <v/>
      </c>
      <c r="T282" s="237" t="str">
        <f>IF(OR(CommitmentsTable[[#This Row],[Commitment / deliverable]]="",CommitmentsTable[[#This Row],[Owner]]=""),"",IF(CommitmentsTable[[#This Row],[Status2]]="","Open",CommitmentsTable[[#This Row],[Status2]]))</f>
        <v/>
      </c>
      <c r="U282" s="237" t="str">
        <f t="shared" ca="1" si="4"/>
        <v/>
      </c>
      <c r="V282" s="233"/>
      <c r="W282" s="63" t="s">
        <v>1249</v>
      </c>
    </row>
    <row r="283" spans="1:23" ht="39">
      <c r="A283" s="213" t="str">
        <f>IF(OR(CommitmentsTable[[#This Row],[Commitment / deliverable]]="",CommitmentsTable[[#This Row],[Immutable Key]]=""),"",SUBSTITUTE(CommitmentsTable[[#This Row],[Immutable Key]],"-K-","-"))</f>
        <v/>
      </c>
      <c r="B283" s="233"/>
      <c r="C283" s="233"/>
      <c r="D283" s="213"/>
      <c r="E283" s="230"/>
      <c r="F283" s="213"/>
      <c r="G283" s="245" t="str">
        <f ca="1">IF(CommitmentsTable[[#This Row],[Commitment / deliverable]]="","",IF(CommitmentsTable[[#This Row],[Date record entered]]="",TODAY(),CommitmentsTable[[#This Row],[Date record entered]]))</f>
        <v/>
      </c>
      <c r="H283" s="245"/>
      <c r="I283" s="245" t="str">
        <f ca="1">IF(CommitmentsTable[[#This Row],[Date Assigned if different from entry date]]&lt;&gt;"",CommitmentsTable[[#This Row],[Date Assigned if different from entry date]]+90,IF(CommitmentsTable[[#This Row],[Date record entered]]&lt;&gt;"",CommitmentsTable[[#This Row],[Date record entered]]+90,""))</f>
        <v/>
      </c>
      <c r="J283" s="245" t="str">
        <f ca="1">IF(CommitmentsTable[[#This Row],[Date Assigned if different from entry date]]&lt;&gt;"",CommitmentsTable[[#This Row],[Date Assigned if different from entry date]]+30,IF(CommitmentsTable[[#This Row],[Date record entered]]&lt;&gt;"",CommitmentsTable[[#This Row],[Date record entered]]+30,""))</f>
        <v/>
      </c>
      <c r="K283" s="245"/>
      <c r="L283" s="245" t="str">
        <f ca="1">IF(CommitmentsTable[[#This Row],[Date Assigned if different from entry date]]&lt;&gt;"",CommitmentsTable[[#This Row],[Date Assigned if different from entry date]]+60,IF(CommitmentsTable[[#This Row],[Date record entered]]&lt;&gt;"",CommitmentsTable[[#This Row],[Date record entered]]+60,""))</f>
        <v/>
      </c>
      <c r="M283" s="214"/>
      <c r="N283" s="214"/>
      <c r="O283" s="236"/>
      <c r="P283" s="214"/>
      <c r="Q283" s="214"/>
      <c r="R283" s="214"/>
      <c r="S283" s="238" t="str">
        <f>IF(CommitmentsTable[[#This Row],[Commitment / deliverable]]="","",IF(CommitmentsTable[[#This Row],[Revised due]]&lt;&gt;"",CommitmentsTable[[#This Row],[Revised due]],CommitmentsTable[[#This Row],[Original due]]))</f>
        <v/>
      </c>
      <c r="T283" s="237" t="str">
        <f>IF(OR(CommitmentsTable[[#This Row],[Commitment / deliverable]]="",CommitmentsTable[[#This Row],[Owner]]=""),"",IF(CommitmentsTable[[#This Row],[Status2]]="","Open",CommitmentsTable[[#This Row],[Status2]]))</f>
        <v/>
      </c>
      <c r="U283" s="237" t="str">
        <f t="shared" ca="1" si="4"/>
        <v/>
      </c>
      <c r="V283" s="233"/>
      <c r="W283" s="63" t="s">
        <v>1250</v>
      </c>
    </row>
    <row r="284" spans="1:23" ht="39">
      <c r="A284" s="213" t="str">
        <f>IF(OR(CommitmentsTable[[#This Row],[Commitment / deliverable]]="",CommitmentsTable[[#This Row],[Immutable Key]]=""),"",SUBSTITUTE(CommitmentsTable[[#This Row],[Immutable Key]],"-K-","-"))</f>
        <v/>
      </c>
      <c r="B284" s="233"/>
      <c r="C284" s="233"/>
      <c r="D284" s="213"/>
      <c r="E284" s="230"/>
      <c r="F284" s="213"/>
      <c r="G284" s="245" t="str">
        <f ca="1">IF(CommitmentsTable[[#This Row],[Commitment / deliverable]]="","",IF(CommitmentsTable[[#This Row],[Date record entered]]="",TODAY(),CommitmentsTable[[#This Row],[Date record entered]]))</f>
        <v/>
      </c>
      <c r="H284" s="245"/>
      <c r="I284" s="245" t="str">
        <f ca="1">IF(CommitmentsTable[[#This Row],[Date Assigned if different from entry date]]&lt;&gt;"",CommitmentsTable[[#This Row],[Date Assigned if different from entry date]]+90,IF(CommitmentsTable[[#This Row],[Date record entered]]&lt;&gt;"",CommitmentsTable[[#This Row],[Date record entered]]+90,""))</f>
        <v/>
      </c>
      <c r="J284" s="245" t="str">
        <f ca="1">IF(CommitmentsTable[[#This Row],[Date Assigned if different from entry date]]&lt;&gt;"",CommitmentsTable[[#This Row],[Date Assigned if different from entry date]]+30,IF(CommitmentsTable[[#This Row],[Date record entered]]&lt;&gt;"",CommitmentsTable[[#This Row],[Date record entered]]+30,""))</f>
        <v/>
      </c>
      <c r="K284" s="245"/>
      <c r="L284" s="245" t="str">
        <f ca="1">IF(CommitmentsTable[[#This Row],[Date Assigned if different from entry date]]&lt;&gt;"",CommitmentsTable[[#This Row],[Date Assigned if different from entry date]]+60,IF(CommitmentsTable[[#This Row],[Date record entered]]&lt;&gt;"",CommitmentsTable[[#This Row],[Date record entered]]+60,""))</f>
        <v/>
      </c>
      <c r="M284" s="214"/>
      <c r="N284" s="214"/>
      <c r="O284" s="236"/>
      <c r="P284" s="214"/>
      <c r="Q284" s="214"/>
      <c r="R284" s="214"/>
      <c r="S284" s="238" t="str">
        <f>IF(CommitmentsTable[[#This Row],[Commitment / deliverable]]="","",IF(CommitmentsTable[[#This Row],[Revised due]]&lt;&gt;"",CommitmentsTable[[#This Row],[Revised due]],CommitmentsTable[[#This Row],[Original due]]))</f>
        <v/>
      </c>
      <c r="T284" s="237" t="str">
        <f>IF(OR(CommitmentsTable[[#This Row],[Commitment / deliverable]]="",CommitmentsTable[[#This Row],[Owner]]=""),"",IF(CommitmentsTable[[#This Row],[Status2]]="","Open",CommitmentsTable[[#This Row],[Status2]]))</f>
        <v/>
      </c>
      <c r="U284" s="237" t="str">
        <f t="shared" ca="1" si="4"/>
        <v/>
      </c>
      <c r="V284" s="233"/>
      <c r="W284" s="63" t="s">
        <v>1251</v>
      </c>
    </row>
    <row r="285" spans="1:23" ht="39">
      <c r="A285" s="213" t="str">
        <f>IF(OR(CommitmentsTable[[#This Row],[Commitment / deliverable]]="",CommitmentsTable[[#This Row],[Immutable Key]]=""),"",SUBSTITUTE(CommitmentsTable[[#This Row],[Immutable Key]],"-K-","-"))</f>
        <v/>
      </c>
      <c r="B285" s="233"/>
      <c r="C285" s="233"/>
      <c r="D285" s="213"/>
      <c r="E285" s="230"/>
      <c r="F285" s="213"/>
      <c r="G285" s="245" t="str">
        <f ca="1">IF(CommitmentsTable[[#This Row],[Commitment / deliverable]]="","",IF(CommitmentsTable[[#This Row],[Date record entered]]="",TODAY(),CommitmentsTable[[#This Row],[Date record entered]]))</f>
        <v/>
      </c>
      <c r="H285" s="245"/>
      <c r="I285" s="245" t="str">
        <f ca="1">IF(CommitmentsTable[[#This Row],[Date Assigned if different from entry date]]&lt;&gt;"",CommitmentsTable[[#This Row],[Date Assigned if different from entry date]]+90,IF(CommitmentsTable[[#This Row],[Date record entered]]&lt;&gt;"",CommitmentsTable[[#This Row],[Date record entered]]+90,""))</f>
        <v/>
      </c>
      <c r="J285" s="245" t="str">
        <f ca="1">IF(CommitmentsTable[[#This Row],[Date Assigned if different from entry date]]&lt;&gt;"",CommitmentsTable[[#This Row],[Date Assigned if different from entry date]]+30,IF(CommitmentsTable[[#This Row],[Date record entered]]&lt;&gt;"",CommitmentsTable[[#This Row],[Date record entered]]+30,""))</f>
        <v/>
      </c>
      <c r="K285" s="245"/>
      <c r="L285" s="245" t="str">
        <f ca="1">IF(CommitmentsTable[[#This Row],[Date Assigned if different from entry date]]&lt;&gt;"",CommitmentsTable[[#This Row],[Date Assigned if different from entry date]]+60,IF(CommitmentsTable[[#This Row],[Date record entered]]&lt;&gt;"",CommitmentsTable[[#This Row],[Date record entered]]+60,""))</f>
        <v/>
      </c>
      <c r="M285" s="214"/>
      <c r="N285" s="214"/>
      <c r="O285" s="236"/>
      <c r="P285" s="214"/>
      <c r="Q285" s="214"/>
      <c r="R285" s="214"/>
      <c r="S285" s="238" t="str">
        <f>IF(CommitmentsTable[[#This Row],[Commitment / deliverable]]="","",IF(CommitmentsTable[[#This Row],[Revised due]]&lt;&gt;"",CommitmentsTable[[#This Row],[Revised due]],CommitmentsTable[[#This Row],[Original due]]))</f>
        <v/>
      </c>
      <c r="T285" s="237" t="str">
        <f>IF(OR(CommitmentsTable[[#This Row],[Commitment / deliverable]]="",CommitmentsTable[[#This Row],[Owner]]=""),"",IF(CommitmentsTable[[#This Row],[Status2]]="","Open",CommitmentsTable[[#This Row],[Status2]]))</f>
        <v/>
      </c>
      <c r="U285" s="237" t="str">
        <f t="shared" ca="1" si="4"/>
        <v/>
      </c>
      <c r="V285" s="233"/>
      <c r="W285" s="63" t="s">
        <v>1252</v>
      </c>
    </row>
    <row r="286" spans="1:23" ht="39">
      <c r="A286" s="213" t="str">
        <f>IF(OR(CommitmentsTable[[#This Row],[Commitment / deliverable]]="",CommitmentsTable[[#This Row],[Immutable Key]]=""),"",SUBSTITUTE(CommitmentsTable[[#This Row],[Immutable Key]],"-K-","-"))</f>
        <v/>
      </c>
      <c r="B286" s="233"/>
      <c r="C286" s="233"/>
      <c r="D286" s="213"/>
      <c r="E286" s="230"/>
      <c r="F286" s="213"/>
      <c r="G286" s="245" t="str">
        <f ca="1">IF(CommitmentsTable[[#This Row],[Commitment / deliverable]]="","",IF(CommitmentsTable[[#This Row],[Date record entered]]="",TODAY(),CommitmentsTable[[#This Row],[Date record entered]]))</f>
        <v/>
      </c>
      <c r="H286" s="245"/>
      <c r="I286" s="245" t="str">
        <f ca="1">IF(CommitmentsTable[[#This Row],[Date Assigned if different from entry date]]&lt;&gt;"",CommitmentsTable[[#This Row],[Date Assigned if different from entry date]]+90,IF(CommitmentsTable[[#This Row],[Date record entered]]&lt;&gt;"",CommitmentsTable[[#This Row],[Date record entered]]+90,""))</f>
        <v/>
      </c>
      <c r="J286" s="245" t="str">
        <f ca="1">IF(CommitmentsTable[[#This Row],[Date Assigned if different from entry date]]&lt;&gt;"",CommitmentsTable[[#This Row],[Date Assigned if different from entry date]]+30,IF(CommitmentsTable[[#This Row],[Date record entered]]&lt;&gt;"",CommitmentsTable[[#This Row],[Date record entered]]+30,""))</f>
        <v/>
      </c>
      <c r="K286" s="245"/>
      <c r="L286" s="245" t="str">
        <f ca="1">IF(CommitmentsTable[[#This Row],[Date Assigned if different from entry date]]&lt;&gt;"",CommitmentsTable[[#This Row],[Date Assigned if different from entry date]]+60,IF(CommitmentsTable[[#This Row],[Date record entered]]&lt;&gt;"",CommitmentsTable[[#This Row],[Date record entered]]+60,""))</f>
        <v/>
      </c>
      <c r="M286" s="214"/>
      <c r="N286" s="214"/>
      <c r="O286" s="236"/>
      <c r="P286" s="214"/>
      <c r="Q286" s="214"/>
      <c r="R286" s="214"/>
      <c r="S286" s="238" t="str">
        <f>IF(CommitmentsTable[[#This Row],[Commitment / deliverable]]="","",IF(CommitmentsTable[[#This Row],[Revised due]]&lt;&gt;"",CommitmentsTable[[#This Row],[Revised due]],CommitmentsTable[[#This Row],[Original due]]))</f>
        <v/>
      </c>
      <c r="T286" s="237" t="str">
        <f>IF(OR(CommitmentsTable[[#This Row],[Commitment / deliverable]]="",CommitmentsTable[[#This Row],[Owner]]=""),"",IF(CommitmentsTable[[#This Row],[Status2]]="","Open",CommitmentsTable[[#This Row],[Status2]]))</f>
        <v/>
      </c>
      <c r="U286" s="237" t="str">
        <f t="shared" ca="1" si="4"/>
        <v/>
      </c>
      <c r="V286" s="233"/>
      <c r="W286" s="63" t="s">
        <v>1253</v>
      </c>
    </row>
    <row r="287" spans="1:23" ht="39">
      <c r="A287" s="213" t="str">
        <f>IF(OR(CommitmentsTable[[#This Row],[Commitment / deliverable]]="",CommitmentsTable[[#This Row],[Immutable Key]]=""),"",SUBSTITUTE(CommitmentsTable[[#This Row],[Immutable Key]],"-K-","-"))</f>
        <v/>
      </c>
      <c r="B287" s="233"/>
      <c r="C287" s="233"/>
      <c r="D287" s="213"/>
      <c r="E287" s="230"/>
      <c r="F287" s="213"/>
      <c r="G287" s="245" t="str">
        <f ca="1">IF(CommitmentsTable[[#This Row],[Commitment / deliverable]]="","",IF(CommitmentsTable[[#This Row],[Date record entered]]="",TODAY(),CommitmentsTable[[#This Row],[Date record entered]]))</f>
        <v/>
      </c>
      <c r="H287" s="245"/>
      <c r="I287" s="245" t="str">
        <f ca="1">IF(CommitmentsTable[[#This Row],[Date Assigned if different from entry date]]&lt;&gt;"",CommitmentsTable[[#This Row],[Date Assigned if different from entry date]]+90,IF(CommitmentsTable[[#This Row],[Date record entered]]&lt;&gt;"",CommitmentsTable[[#This Row],[Date record entered]]+90,""))</f>
        <v/>
      </c>
      <c r="J287" s="245" t="str">
        <f ca="1">IF(CommitmentsTable[[#This Row],[Date Assigned if different from entry date]]&lt;&gt;"",CommitmentsTable[[#This Row],[Date Assigned if different from entry date]]+30,IF(CommitmentsTable[[#This Row],[Date record entered]]&lt;&gt;"",CommitmentsTable[[#This Row],[Date record entered]]+30,""))</f>
        <v/>
      </c>
      <c r="K287" s="245"/>
      <c r="L287" s="245" t="str">
        <f ca="1">IF(CommitmentsTable[[#This Row],[Date Assigned if different from entry date]]&lt;&gt;"",CommitmentsTable[[#This Row],[Date Assigned if different from entry date]]+60,IF(CommitmentsTable[[#This Row],[Date record entered]]&lt;&gt;"",CommitmentsTable[[#This Row],[Date record entered]]+60,""))</f>
        <v/>
      </c>
      <c r="M287" s="214"/>
      <c r="N287" s="214"/>
      <c r="O287" s="236"/>
      <c r="P287" s="214"/>
      <c r="Q287" s="214"/>
      <c r="R287" s="214"/>
      <c r="S287" s="238" t="str">
        <f>IF(CommitmentsTable[[#This Row],[Commitment / deliverable]]="","",IF(CommitmentsTable[[#This Row],[Revised due]]&lt;&gt;"",CommitmentsTable[[#This Row],[Revised due]],CommitmentsTable[[#This Row],[Original due]]))</f>
        <v/>
      </c>
      <c r="T287" s="237" t="str">
        <f>IF(OR(CommitmentsTable[[#This Row],[Commitment / deliverable]]="",CommitmentsTable[[#This Row],[Owner]]=""),"",IF(CommitmentsTable[[#This Row],[Status2]]="","Open",CommitmentsTable[[#This Row],[Status2]]))</f>
        <v/>
      </c>
      <c r="U287" s="237" t="str">
        <f t="shared" ca="1" si="4"/>
        <v/>
      </c>
      <c r="V287" s="233"/>
      <c r="W287" s="63" t="s">
        <v>1254</v>
      </c>
    </row>
    <row r="288" spans="1:23" ht="39">
      <c r="A288" s="213" t="str">
        <f>IF(OR(CommitmentsTable[[#This Row],[Commitment / deliverable]]="",CommitmentsTable[[#This Row],[Immutable Key]]=""),"",SUBSTITUTE(CommitmentsTable[[#This Row],[Immutable Key]],"-K-","-"))</f>
        <v/>
      </c>
      <c r="B288" s="233"/>
      <c r="C288" s="233"/>
      <c r="D288" s="213"/>
      <c r="E288" s="230"/>
      <c r="F288" s="213"/>
      <c r="G288" s="245" t="str">
        <f ca="1">IF(CommitmentsTable[[#This Row],[Commitment / deliverable]]="","",IF(CommitmentsTable[[#This Row],[Date record entered]]="",TODAY(),CommitmentsTable[[#This Row],[Date record entered]]))</f>
        <v/>
      </c>
      <c r="H288" s="245"/>
      <c r="I288" s="245" t="str">
        <f ca="1">IF(CommitmentsTable[[#This Row],[Date Assigned if different from entry date]]&lt;&gt;"",CommitmentsTable[[#This Row],[Date Assigned if different from entry date]]+90,IF(CommitmentsTable[[#This Row],[Date record entered]]&lt;&gt;"",CommitmentsTable[[#This Row],[Date record entered]]+90,""))</f>
        <v/>
      </c>
      <c r="J288" s="245" t="str">
        <f ca="1">IF(CommitmentsTable[[#This Row],[Date Assigned if different from entry date]]&lt;&gt;"",CommitmentsTable[[#This Row],[Date Assigned if different from entry date]]+30,IF(CommitmentsTable[[#This Row],[Date record entered]]&lt;&gt;"",CommitmentsTable[[#This Row],[Date record entered]]+30,""))</f>
        <v/>
      </c>
      <c r="K288" s="245"/>
      <c r="L288" s="245" t="str">
        <f ca="1">IF(CommitmentsTable[[#This Row],[Date Assigned if different from entry date]]&lt;&gt;"",CommitmentsTable[[#This Row],[Date Assigned if different from entry date]]+60,IF(CommitmentsTable[[#This Row],[Date record entered]]&lt;&gt;"",CommitmentsTable[[#This Row],[Date record entered]]+60,""))</f>
        <v/>
      </c>
      <c r="M288" s="214"/>
      <c r="N288" s="214"/>
      <c r="O288" s="236"/>
      <c r="P288" s="214"/>
      <c r="Q288" s="214"/>
      <c r="R288" s="214"/>
      <c r="S288" s="238" t="str">
        <f>IF(CommitmentsTable[[#This Row],[Commitment / deliverable]]="","",IF(CommitmentsTable[[#This Row],[Revised due]]&lt;&gt;"",CommitmentsTable[[#This Row],[Revised due]],CommitmentsTable[[#This Row],[Original due]]))</f>
        <v/>
      </c>
      <c r="T288" s="237" t="str">
        <f>IF(OR(CommitmentsTable[[#This Row],[Commitment / deliverable]]="",CommitmentsTable[[#This Row],[Owner]]=""),"",IF(CommitmentsTable[[#This Row],[Status2]]="","Open",CommitmentsTable[[#This Row],[Status2]]))</f>
        <v/>
      </c>
      <c r="U288" s="237" t="str">
        <f t="shared" ca="1" si="4"/>
        <v/>
      </c>
      <c r="V288" s="233"/>
      <c r="W288" s="63" t="s">
        <v>1255</v>
      </c>
    </row>
    <row r="289" spans="1:23" ht="39">
      <c r="A289" s="213" t="str">
        <f>IF(OR(CommitmentsTable[[#This Row],[Commitment / deliverable]]="",CommitmentsTable[[#This Row],[Immutable Key]]=""),"",SUBSTITUTE(CommitmentsTable[[#This Row],[Immutable Key]],"-K-","-"))</f>
        <v/>
      </c>
      <c r="B289" s="233"/>
      <c r="C289" s="233"/>
      <c r="D289" s="213"/>
      <c r="E289" s="230"/>
      <c r="F289" s="213"/>
      <c r="G289" s="245" t="str">
        <f ca="1">IF(CommitmentsTable[[#This Row],[Commitment / deliverable]]="","",IF(CommitmentsTable[[#This Row],[Date record entered]]="",TODAY(),CommitmentsTable[[#This Row],[Date record entered]]))</f>
        <v/>
      </c>
      <c r="H289" s="245"/>
      <c r="I289" s="245" t="str">
        <f ca="1">IF(CommitmentsTable[[#This Row],[Date Assigned if different from entry date]]&lt;&gt;"",CommitmentsTable[[#This Row],[Date Assigned if different from entry date]]+90,IF(CommitmentsTable[[#This Row],[Date record entered]]&lt;&gt;"",CommitmentsTable[[#This Row],[Date record entered]]+90,""))</f>
        <v/>
      </c>
      <c r="J289" s="245" t="str">
        <f ca="1">IF(CommitmentsTable[[#This Row],[Date Assigned if different from entry date]]&lt;&gt;"",CommitmentsTable[[#This Row],[Date Assigned if different from entry date]]+30,IF(CommitmentsTable[[#This Row],[Date record entered]]&lt;&gt;"",CommitmentsTable[[#This Row],[Date record entered]]+30,""))</f>
        <v/>
      </c>
      <c r="K289" s="245"/>
      <c r="L289" s="245" t="str">
        <f ca="1">IF(CommitmentsTable[[#This Row],[Date Assigned if different from entry date]]&lt;&gt;"",CommitmentsTable[[#This Row],[Date Assigned if different from entry date]]+60,IF(CommitmentsTable[[#This Row],[Date record entered]]&lt;&gt;"",CommitmentsTable[[#This Row],[Date record entered]]+60,""))</f>
        <v/>
      </c>
      <c r="M289" s="214"/>
      <c r="N289" s="214"/>
      <c r="O289" s="236"/>
      <c r="P289" s="214"/>
      <c r="Q289" s="214"/>
      <c r="R289" s="214"/>
      <c r="S289" s="238" t="str">
        <f>IF(CommitmentsTable[[#This Row],[Commitment / deliverable]]="","",IF(CommitmentsTable[[#This Row],[Revised due]]&lt;&gt;"",CommitmentsTable[[#This Row],[Revised due]],CommitmentsTable[[#This Row],[Original due]]))</f>
        <v/>
      </c>
      <c r="T289" s="237" t="str">
        <f>IF(OR(CommitmentsTable[[#This Row],[Commitment / deliverable]]="",CommitmentsTable[[#This Row],[Owner]]=""),"",IF(CommitmentsTable[[#This Row],[Status2]]="","Open",CommitmentsTable[[#This Row],[Status2]]))</f>
        <v/>
      </c>
      <c r="U289" s="237" t="str">
        <f t="shared" ca="1" si="4"/>
        <v/>
      </c>
      <c r="V289" s="233"/>
      <c r="W289" s="63" t="s">
        <v>1256</v>
      </c>
    </row>
    <row r="290" spans="1:23" ht="39">
      <c r="A290" s="213" t="str">
        <f>IF(OR(CommitmentsTable[[#This Row],[Commitment / deliverable]]="",CommitmentsTable[[#This Row],[Immutable Key]]=""),"",SUBSTITUTE(CommitmentsTable[[#This Row],[Immutable Key]],"-K-","-"))</f>
        <v/>
      </c>
      <c r="B290" s="233"/>
      <c r="C290" s="233"/>
      <c r="D290" s="213"/>
      <c r="E290" s="230"/>
      <c r="F290" s="213"/>
      <c r="G290" s="245" t="str">
        <f ca="1">IF(CommitmentsTable[[#This Row],[Commitment / deliverable]]="","",IF(CommitmentsTable[[#This Row],[Date record entered]]="",TODAY(),CommitmentsTable[[#This Row],[Date record entered]]))</f>
        <v/>
      </c>
      <c r="H290" s="245"/>
      <c r="I290" s="245" t="str">
        <f ca="1">IF(CommitmentsTable[[#This Row],[Date Assigned if different from entry date]]&lt;&gt;"",CommitmentsTable[[#This Row],[Date Assigned if different from entry date]]+90,IF(CommitmentsTable[[#This Row],[Date record entered]]&lt;&gt;"",CommitmentsTable[[#This Row],[Date record entered]]+90,""))</f>
        <v/>
      </c>
      <c r="J290" s="245" t="str">
        <f ca="1">IF(CommitmentsTable[[#This Row],[Date Assigned if different from entry date]]&lt;&gt;"",CommitmentsTable[[#This Row],[Date Assigned if different from entry date]]+30,IF(CommitmentsTable[[#This Row],[Date record entered]]&lt;&gt;"",CommitmentsTable[[#This Row],[Date record entered]]+30,""))</f>
        <v/>
      </c>
      <c r="K290" s="245"/>
      <c r="L290" s="245" t="str">
        <f ca="1">IF(CommitmentsTable[[#This Row],[Date Assigned if different from entry date]]&lt;&gt;"",CommitmentsTable[[#This Row],[Date Assigned if different from entry date]]+60,IF(CommitmentsTable[[#This Row],[Date record entered]]&lt;&gt;"",CommitmentsTable[[#This Row],[Date record entered]]+60,""))</f>
        <v/>
      </c>
      <c r="M290" s="214"/>
      <c r="N290" s="214"/>
      <c r="O290" s="236"/>
      <c r="P290" s="214"/>
      <c r="Q290" s="214"/>
      <c r="R290" s="214"/>
      <c r="S290" s="238" t="str">
        <f>IF(CommitmentsTable[[#This Row],[Commitment / deliverable]]="","",IF(CommitmentsTable[[#This Row],[Revised due]]&lt;&gt;"",CommitmentsTable[[#This Row],[Revised due]],CommitmentsTable[[#This Row],[Original due]]))</f>
        <v/>
      </c>
      <c r="T290" s="237" t="str">
        <f>IF(OR(CommitmentsTable[[#This Row],[Commitment / deliverable]]="",CommitmentsTable[[#This Row],[Owner]]=""),"",IF(CommitmentsTable[[#This Row],[Status2]]="","Open",CommitmentsTable[[#This Row],[Status2]]))</f>
        <v/>
      </c>
      <c r="U290" s="237" t="str">
        <f t="shared" ca="1" si="4"/>
        <v/>
      </c>
      <c r="V290" s="233"/>
      <c r="W290" s="63" t="s">
        <v>1257</v>
      </c>
    </row>
    <row r="291" spans="1:23" ht="39">
      <c r="A291" s="213" t="str">
        <f>IF(OR(CommitmentsTable[[#This Row],[Commitment / deliverable]]="",CommitmentsTable[[#This Row],[Immutable Key]]=""),"",SUBSTITUTE(CommitmentsTable[[#This Row],[Immutable Key]],"-K-","-"))</f>
        <v/>
      </c>
      <c r="B291" s="233"/>
      <c r="C291" s="233"/>
      <c r="D291" s="213"/>
      <c r="E291" s="230"/>
      <c r="F291" s="213"/>
      <c r="G291" s="245" t="str">
        <f ca="1">IF(CommitmentsTable[[#This Row],[Commitment / deliverable]]="","",IF(CommitmentsTable[[#This Row],[Date record entered]]="",TODAY(),CommitmentsTable[[#This Row],[Date record entered]]))</f>
        <v/>
      </c>
      <c r="H291" s="245"/>
      <c r="I291" s="245" t="str">
        <f ca="1">IF(CommitmentsTable[[#This Row],[Date Assigned if different from entry date]]&lt;&gt;"",CommitmentsTable[[#This Row],[Date Assigned if different from entry date]]+90,IF(CommitmentsTable[[#This Row],[Date record entered]]&lt;&gt;"",CommitmentsTable[[#This Row],[Date record entered]]+90,""))</f>
        <v/>
      </c>
      <c r="J291" s="245" t="str">
        <f ca="1">IF(CommitmentsTable[[#This Row],[Date Assigned if different from entry date]]&lt;&gt;"",CommitmentsTable[[#This Row],[Date Assigned if different from entry date]]+30,IF(CommitmentsTable[[#This Row],[Date record entered]]&lt;&gt;"",CommitmentsTable[[#This Row],[Date record entered]]+30,""))</f>
        <v/>
      </c>
      <c r="K291" s="245"/>
      <c r="L291" s="245" t="str">
        <f ca="1">IF(CommitmentsTable[[#This Row],[Date Assigned if different from entry date]]&lt;&gt;"",CommitmentsTable[[#This Row],[Date Assigned if different from entry date]]+60,IF(CommitmentsTable[[#This Row],[Date record entered]]&lt;&gt;"",CommitmentsTable[[#This Row],[Date record entered]]+60,""))</f>
        <v/>
      </c>
      <c r="M291" s="214"/>
      <c r="N291" s="214"/>
      <c r="O291" s="236"/>
      <c r="P291" s="214"/>
      <c r="Q291" s="214"/>
      <c r="R291" s="214"/>
      <c r="S291" s="238" t="str">
        <f>IF(CommitmentsTable[[#This Row],[Commitment / deliverable]]="","",IF(CommitmentsTable[[#This Row],[Revised due]]&lt;&gt;"",CommitmentsTable[[#This Row],[Revised due]],CommitmentsTable[[#This Row],[Original due]]))</f>
        <v/>
      </c>
      <c r="T291" s="237" t="str">
        <f>IF(OR(CommitmentsTable[[#This Row],[Commitment / deliverable]]="",CommitmentsTable[[#This Row],[Owner]]=""),"",IF(CommitmentsTable[[#This Row],[Status2]]="","Open",CommitmentsTable[[#This Row],[Status2]]))</f>
        <v/>
      </c>
      <c r="U291" s="237" t="str">
        <f t="shared" ca="1" si="4"/>
        <v/>
      </c>
      <c r="V291" s="233"/>
      <c r="W291" s="63" t="s">
        <v>1258</v>
      </c>
    </row>
    <row r="292" spans="1:23" ht="39">
      <c r="A292" s="213" t="str">
        <f>IF(OR(CommitmentsTable[[#This Row],[Commitment / deliverable]]="",CommitmentsTable[[#This Row],[Immutable Key]]=""),"",SUBSTITUTE(CommitmentsTable[[#This Row],[Immutable Key]],"-K-","-"))</f>
        <v/>
      </c>
      <c r="B292" s="233"/>
      <c r="C292" s="233"/>
      <c r="D292" s="213"/>
      <c r="E292" s="230"/>
      <c r="F292" s="213"/>
      <c r="G292" s="245" t="str">
        <f ca="1">IF(CommitmentsTable[[#This Row],[Commitment / deliverable]]="","",IF(CommitmentsTable[[#This Row],[Date record entered]]="",TODAY(),CommitmentsTable[[#This Row],[Date record entered]]))</f>
        <v/>
      </c>
      <c r="H292" s="245"/>
      <c r="I292" s="245" t="str">
        <f ca="1">IF(CommitmentsTable[[#This Row],[Date Assigned if different from entry date]]&lt;&gt;"",CommitmentsTable[[#This Row],[Date Assigned if different from entry date]]+90,IF(CommitmentsTable[[#This Row],[Date record entered]]&lt;&gt;"",CommitmentsTable[[#This Row],[Date record entered]]+90,""))</f>
        <v/>
      </c>
      <c r="J292" s="245" t="str">
        <f ca="1">IF(CommitmentsTable[[#This Row],[Date Assigned if different from entry date]]&lt;&gt;"",CommitmentsTable[[#This Row],[Date Assigned if different from entry date]]+30,IF(CommitmentsTable[[#This Row],[Date record entered]]&lt;&gt;"",CommitmentsTable[[#This Row],[Date record entered]]+30,""))</f>
        <v/>
      </c>
      <c r="K292" s="245"/>
      <c r="L292" s="245" t="str">
        <f ca="1">IF(CommitmentsTable[[#This Row],[Date Assigned if different from entry date]]&lt;&gt;"",CommitmentsTable[[#This Row],[Date Assigned if different from entry date]]+60,IF(CommitmentsTable[[#This Row],[Date record entered]]&lt;&gt;"",CommitmentsTable[[#This Row],[Date record entered]]+60,""))</f>
        <v/>
      </c>
      <c r="M292" s="214"/>
      <c r="N292" s="214"/>
      <c r="O292" s="236"/>
      <c r="P292" s="214"/>
      <c r="Q292" s="214"/>
      <c r="R292" s="214"/>
      <c r="S292" s="238" t="str">
        <f>IF(CommitmentsTable[[#This Row],[Commitment / deliverable]]="","",IF(CommitmentsTable[[#This Row],[Revised due]]&lt;&gt;"",CommitmentsTable[[#This Row],[Revised due]],CommitmentsTable[[#This Row],[Original due]]))</f>
        <v/>
      </c>
      <c r="T292" s="237" t="str">
        <f>IF(OR(CommitmentsTable[[#This Row],[Commitment / deliverable]]="",CommitmentsTable[[#This Row],[Owner]]=""),"",IF(CommitmentsTable[[#This Row],[Status2]]="","Open",CommitmentsTable[[#This Row],[Status2]]))</f>
        <v/>
      </c>
      <c r="U292" s="237" t="str">
        <f t="shared" ca="1" si="4"/>
        <v/>
      </c>
      <c r="V292" s="233"/>
      <c r="W292" s="63" t="s">
        <v>1259</v>
      </c>
    </row>
    <row r="293" spans="1:23" ht="39">
      <c r="A293" s="213" t="str">
        <f>IF(OR(CommitmentsTable[[#This Row],[Commitment / deliverable]]="",CommitmentsTable[[#This Row],[Immutable Key]]=""),"",SUBSTITUTE(CommitmentsTable[[#This Row],[Immutable Key]],"-K-","-"))</f>
        <v/>
      </c>
      <c r="B293" s="233"/>
      <c r="C293" s="233"/>
      <c r="D293" s="213"/>
      <c r="E293" s="230"/>
      <c r="F293" s="213"/>
      <c r="G293" s="245" t="str">
        <f ca="1">IF(CommitmentsTable[[#This Row],[Commitment / deliverable]]="","",IF(CommitmentsTable[[#This Row],[Date record entered]]="",TODAY(),CommitmentsTable[[#This Row],[Date record entered]]))</f>
        <v/>
      </c>
      <c r="H293" s="245"/>
      <c r="I293" s="245" t="str">
        <f ca="1">IF(CommitmentsTable[[#This Row],[Date Assigned if different from entry date]]&lt;&gt;"",CommitmentsTable[[#This Row],[Date Assigned if different from entry date]]+90,IF(CommitmentsTable[[#This Row],[Date record entered]]&lt;&gt;"",CommitmentsTable[[#This Row],[Date record entered]]+90,""))</f>
        <v/>
      </c>
      <c r="J293" s="245" t="str">
        <f ca="1">IF(CommitmentsTable[[#This Row],[Date Assigned if different from entry date]]&lt;&gt;"",CommitmentsTable[[#This Row],[Date Assigned if different from entry date]]+30,IF(CommitmentsTable[[#This Row],[Date record entered]]&lt;&gt;"",CommitmentsTable[[#This Row],[Date record entered]]+30,""))</f>
        <v/>
      </c>
      <c r="K293" s="245"/>
      <c r="L293" s="245" t="str">
        <f ca="1">IF(CommitmentsTable[[#This Row],[Date Assigned if different from entry date]]&lt;&gt;"",CommitmentsTable[[#This Row],[Date Assigned if different from entry date]]+60,IF(CommitmentsTable[[#This Row],[Date record entered]]&lt;&gt;"",CommitmentsTable[[#This Row],[Date record entered]]+60,""))</f>
        <v/>
      </c>
      <c r="M293" s="214"/>
      <c r="N293" s="214"/>
      <c r="O293" s="236"/>
      <c r="P293" s="214"/>
      <c r="Q293" s="214"/>
      <c r="R293" s="214"/>
      <c r="S293" s="238" t="str">
        <f>IF(CommitmentsTable[[#This Row],[Commitment / deliverable]]="","",IF(CommitmentsTable[[#This Row],[Revised due]]&lt;&gt;"",CommitmentsTable[[#This Row],[Revised due]],CommitmentsTable[[#This Row],[Original due]]))</f>
        <v/>
      </c>
      <c r="T293" s="237" t="str">
        <f>IF(OR(CommitmentsTable[[#This Row],[Commitment / deliverable]]="",CommitmentsTable[[#This Row],[Owner]]=""),"",IF(CommitmentsTable[[#This Row],[Status2]]="","Open",CommitmentsTable[[#This Row],[Status2]]))</f>
        <v/>
      </c>
      <c r="U293" s="237" t="str">
        <f t="shared" ca="1" si="4"/>
        <v/>
      </c>
      <c r="V293" s="233"/>
      <c r="W293" s="63" t="s">
        <v>1260</v>
      </c>
    </row>
    <row r="294" spans="1:23" ht="39">
      <c r="A294" s="213" t="str">
        <f>IF(OR(CommitmentsTable[[#This Row],[Commitment / deliverable]]="",CommitmentsTable[[#This Row],[Immutable Key]]=""),"",SUBSTITUTE(CommitmentsTable[[#This Row],[Immutable Key]],"-K-","-"))</f>
        <v/>
      </c>
      <c r="B294" s="233"/>
      <c r="C294" s="233"/>
      <c r="D294" s="213"/>
      <c r="E294" s="230"/>
      <c r="F294" s="213"/>
      <c r="G294" s="245" t="str">
        <f ca="1">IF(CommitmentsTable[[#This Row],[Commitment / deliverable]]="","",IF(CommitmentsTable[[#This Row],[Date record entered]]="",TODAY(),CommitmentsTable[[#This Row],[Date record entered]]))</f>
        <v/>
      </c>
      <c r="H294" s="245"/>
      <c r="I294" s="245" t="str">
        <f ca="1">IF(CommitmentsTable[[#This Row],[Date Assigned if different from entry date]]&lt;&gt;"",CommitmentsTable[[#This Row],[Date Assigned if different from entry date]]+90,IF(CommitmentsTable[[#This Row],[Date record entered]]&lt;&gt;"",CommitmentsTable[[#This Row],[Date record entered]]+90,""))</f>
        <v/>
      </c>
      <c r="J294" s="245" t="str">
        <f ca="1">IF(CommitmentsTable[[#This Row],[Date Assigned if different from entry date]]&lt;&gt;"",CommitmentsTable[[#This Row],[Date Assigned if different from entry date]]+30,IF(CommitmentsTable[[#This Row],[Date record entered]]&lt;&gt;"",CommitmentsTable[[#This Row],[Date record entered]]+30,""))</f>
        <v/>
      </c>
      <c r="K294" s="245"/>
      <c r="L294" s="245" t="str">
        <f ca="1">IF(CommitmentsTable[[#This Row],[Date Assigned if different from entry date]]&lt;&gt;"",CommitmentsTable[[#This Row],[Date Assigned if different from entry date]]+60,IF(CommitmentsTable[[#This Row],[Date record entered]]&lt;&gt;"",CommitmentsTable[[#This Row],[Date record entered]]+60,""))</f>
        <v/>
      </c>
      <c r="M294" s="214"/>
      <c r="N294" s="214"/>
      <c r="O294" s="236"/>
      <c r="P294" s="214"/>
      <c r="Q294" s="214"/>
      <c r="R294" s="214"/>
      <c r="S294" s="238" t="str">
        <f>IF(CommitmentsTable[[#This Row],[Commitment / deliverable]]="","",IF(CommitmentsTable[[#This Row],[Revised due]]&lt;&gt;"",CommitmentsTable[[#This Row],[Revised due]],CommitmentsTable[[#This Row],[Original due]]))</f>
        <v/>
      </c>
      <c r="T294" s="237" t="str">
        <f>IF(OR(CommitmentsTable[[#This Row],[Commitment / deliverable]]="",CommitmentsTable[[#This Row],[Owner]]=""),"",IF(CommitmentsTable[[#This Row],[Status2]]="","Open",CommitmentsTable[[#This Row],[Status2]]))</f>
        <v/>
      </c>
      <c r="U294" s="237" t="str">
        <f t="shared" ca="1" si="4"/>
        <v/>
      </c>
      <c r="V294" s="233"/>
      <c r="W294" s="63" t="s">
        <v>1261</v>
      </c>
    </row>
    <row r="295" spans="1:23" ht="39">
      <c r="A295" s="213" t="str">
        <f>IF(OR(CommitmentsTable[[#This Row],[Commitment / deliverable]]="",CommitmentsTable[[#This Row],[Immutable Key]]=""),"",SUBSTITUTE(CommitmentsTable[[#This Row],[Immutable Key]],"-K-","-"))</f>
        <v/>
      </c>
      <c r="B295" s="233"/>
      <c r="C295" s="233"/>
      <c r="D295" s="213"/>
      <c r="E295" s="230"/>
      <c r="F295" s="213"/>
      <c r="G295" s="245" t="str">
        <f ca="1">IF(CommitmentsTable[[#This Row],[Commitment / deliverable]]="","",IF(CommitmentsTable[[#This Row],[Date record entered]]="",TODAY(),CommitmentsTable[[#This Row],[Date record entered]]))</f>
        <v/>
      </c>
      <c r="H295" s="245"/>
      <c r="I295" s="245" t="str">
        <f ca="1">IF(CommitmentsTable[[#This Row],[Date Assigned if different from entry date]]&lt;&gt;"",CommitmentsTable[[#This Row],[Date Assigned if different from entry date]]+90,IF(CommitmentsTable[[#This Row],[Date record entered]]&lt;&gt;"",CommitmentsTable[[#This Row],[Date record entered]]+90,""))</f>
        <v/>
      </c>
      <c r="J295" s="245" t="str">
        <f ca="1">IF(CommitmentsTable[[#This Row],[Date Assigned if different from entry date]]&lt;&gt;"",CommitmentsTable[[#This Row],[Date Assigned if different from entry date]]+30,IF(CommitmentsTable[[#This Row],[Date record entered]]&lt;&gt;"",CommitmentsTable[[#This Row],[Date record entered]]+30,""))</f>
        <v/>
      </c>
      <c r="K295" s="245"/>
      <c r="L295" s="245" t="str">
        <f ca="1">IF(CommitmentsTable[[#This Row],[Date Assigned if different from entry date]]&lt;&gt;"",CommitmentsTable[[#This Row],[Date Assigned if different from entry date]]+60,IF(CommitmentsTable[[#This Row],[Date record entered]]&lt;&gt;"",CommitmentsTable[[#This Row],[Date record entered]]+60,""))</f>
        <v/>
      </c>
      <c r="M295" s="214"/>
      <c r="N295" s="214"/>
      <c r="O295" s="236"/>
      <c r="P295" s="214"/>
      <c r="Q295" s="214"/>
      <c r="R295" s="214"/>
      <c r="S295" s="238" t="str">
        <f>IF(CommitmentsTable[[#This Row],[Commitment / deliverable]]="","",IF(CommitmentsTable[[#This Row],[Revised due]]&lt;&gt;"",CommitmentsTable[[#This Row],[Revised due]],CommitmentsTable[[#This Row],[Original due]]))</f>
        <v/>
      </c>
      <c r="T295" s="237" t="str">
        <f>IF(OR(CommitmentsTable[[#This Row],[Commitment / deliverable]]="",CommitmentsTable[[#This Row],[Owner]]=""),"",IF(CommitmentsTable[[#This Row],[Status2]]="","Open",CommitmentsTable[[#This Row],[Status2]]))</f>
        <v/>
      </c>
      <c r="U295" s="237" t="str">
        <f t="shared" ca="1" si="4"/>
        <v/>
      </c>
      <c r="V295" s="233"/>
      <c r="W295" s="63" t="s">
        <v>1262</v>
      </c>
    </row>
    <row r="296" spans="1:23" ht="39">
      <c r="A296" s="213" t="str">
        <f>IF(OR(CommitmentsTable[[#This Row],[Commitment / deliverable]]="",CommitmentsTable[[#This Row],[Immutable Key]]=""),"",SUBSTITUTE(CommitmentsTable[[#This Row],[Immutable Key]],"-K-","-"))</f>
        <v/>
      </c>
      <c r="B296" s="233"/>
      <c r="C296" s="233"/>
      <c r="D296" s="213"/>
      <c r="E296" s="230"/>
      <c r="F296" s="213"/>
      <c r="G296" s="245" t="str">
        <f ca="1">IF(CommitmentsTable[[#This Row],[Commitment / deliverable]]="","",IF(CommitmentsTable[[#This Row],[Date record entered]]="",TODAY(),CommitmentsTable[[#This Row],[Date record entered]]))</f>
        <v/>
      </c>
      <c r="H296" s="245"/>
      <c r="I296" s="245" t="str">
        <f ca="1">IF(CommitmentsTable[[#This Row],[Date Assigned if different from entry date]]&lt;&gt;"",CommitmentsTable[[#This Row],[Date Assigned if different from entry date]]+90,IF(CommitmentsTable[[#This Row],[Date record entered]]&lt;&gt;"",CommitmentsTable[[#This Row],[Date record entered]]+90,""))</f>
        <v/>
      </c>
      <c r="J296" s="245" t="str">
        <f ca="1">IF(CommitmentsTable[[#This Row],[Date Assigned if different from entry date]]&lt;&gt;"",CommitmentsTable[[#This Row],[Date Assigned if different from entry date]]+30,IF(CommitmentsTable[[#This Row],[Date record entered]]&lt;&gt;"",CommitmentsTable[[#This Row],[Date record entered]]+30,""))</f>
        <v/>
      </c>
      <c r="K296" s="245"/>
      <c r="L296" s="245" t="str">
        <f ca="1">IF(CommitmentsTable[[#This Row],[Date Assigned if different from entry date]]&lt;&gt;"",CommitmentsTable[[#This Row],[Date Assigned if different from entry date]]+60,IF(CommitmentsTable[[#This Row],[Date record entered]]&lt;&gt;"",CommitmentsTable[[#This Row],[Date record entered]]+60,""))</f>
        <v/>
      </c>
      <c r="M296" s="214"/>
      <c r="N296" s="214"/>
      <c r="O296" s="236"/>
      <c r="P296" s="214"/>
      <c r="Q296" s="214"/>
      <c r="R296" s="214"/>
      <c r="S296" s="238" t="str">
        <f>IF(CommitmentsTable[[#This Row],[Commitment / deliverable]]="","",IF(CommitmentsTable[[#This Row],[Revised due]]&lt;&gt;"",CommitmentsTable[[#This Row],[Revised due]],CommitmentsTable[[#This Row],[Original due]]))</f>
        <v/>
      </c>
      <c r="T296" s="237" t="str">
        <f>IF(OR(CommitmentsTable[[#This Row],[Commitment / deliverable]]="",CommitmentsTable[[#This Row],[Owner]]=""),"",IF(CommitmentsTable[[#This Row],[Status2]]="","Open",CommitmentsTable[[#This Row],[Status2]]))</f>
        <v/>
      </c>
      <c r="U296" s="237" t="str">
        <f t="shared" ca="1" si="4"/>
        <v/>
      </c>
      <c r="V296" s="233"/>
      <c r="W296" s="63" t="s">
        <v>1263</v>
      </c>
    </row>
    <row r="297" spans="1:23" ht="39">
      <c r="A297" s="213" t="str">
        <f>IF(OR(CommitmentsTable[[#This Row],[Commitment / deliverable]]="",CommitmentsTable[[#This Row],[Immutable Key]]=""),"",SUBSTITUTE(CommitmentsTable[[#This Row],[Immutable Key]],"-K-","-"))</f>
        <v/>
      </c>
      <c r="B297" s="233"/>
      <c r="C297" s="233"/>
      <c r="D297" s="213"/>
      <c r="E297" s="230"/>
      <c r="F297" s="213"/>
      <c r="G297" s="245" t="str">
        <f ca="1">IF(CommitmentsTable[[#This Row],[Commitment / deliverable]]="","",IF(CommitmentsTable[[#This Row],[Date record entered]]="",TODAY(),CommitmentsTable[[#This Row],[Date record entered]]))</f>
        <v/>
      </c>
      <c r="H297" s="245"/>
      <c r="I297" s="245" t="str">
        <f ca="1">IF(CommitmentsTable[[#This Row],[Date Assigned if different from entry date]]&lt;&gt;"",CommitmentsTable[[#This Row],[Date Assigned if different from entry date]]+90,IF(CommitmentsTable[[#This Row],[Date record entered]]&lt;&gt;"",CommitmentsTable[[#This Row],[Date record entered]]+90,""))</f>
        <v/>
      </c>
      <c r="J297" s="245" t="str">
        <f ca="1">IF(CommitmentsTable[[#This Row],[Date Assigned if different from entry date]]&lt;&gt;"",CommitmentsTable[[#This Row],[Date Assigned if different from entry date]]+30,IF(CommitmentsTable[[#This Row],[Date record entered]]&lt;&gt;"",CommitmentsTable[[#This Row],[Date record entered]]+30,""))</f>
        <v/>
      </c>
      <c r="K297" s="245"/>
      <c r="L297" s="245" t="str">
        <f ca="1">IF(CommitmentsTable[[#This Row],[Date Assigned if different from entry date]]&lt;&gt;"",CommitmentsTable[[#This Row],[Date Assigned if different from entry date]]+60,IF(CommitmentsTable[[#This Row],[Date record entered]]&lt;&gt;"",CommitmentsTable[[#This Row],[Date record entered]]+60,""))</f>
        <v/>
      </c>
      <c r="M297" s="214"/>
      <c r="N297" s="214"/>
      <c r="O297" s="236"/>
      <c r="P297" s="214"/>
      <c r="Q297" s="214"/>
      <c r="R297" s="214"/>
      <c r="S297" s="238" t="str">
        <f>IF(CommitmentsTable[[#This Row],[Commitment / deliverable]]="","",IF(CommitmentsTable[[#This Row],[Revised due]]&lt;&gt;"",CommitmentsTable[[#This Row],[Revised due]],CommitmentsTable[[#This Row],[Original due]]))</f>
        <v/>
      </c>
      <c r="T297" s="237" t="str">
        <f>IF(OR(CommitmentsTable[[#This Row],[Commitment / deliverable]]="",CommitmentsTable[[#This Row],[Owner]]=""),"",IF(CommitmentsTable[[#This Row],[Status2]]="","Open",CommitmentsTable[[#This Row],[Status2]]))</f>
        <v/>
      </c>
      <c r="U297" s="237" t="str">
        <f t="shared" ca="1" si="4"/>
        <v/>
      </c>
      <c r="V297" s="233"/>
      <c r="W297" s="63" t="s">
        <v>1264</v>
      </c>
    </row>
    <row r="298" spans="1:23" ht="39">
      <c r="A298" s="213" t="str">
        <f>IF(OR(CommitmentsTable[[#This Row],[Commitment / deliverable]]="",CommitmentsTable[[#This Row],[Immutable Key]]=""),"",SUBSTITUTE(CommitmentsTable[[#This Row],[Immutable Key]],"-K-","-"))</f>
        <v/>
      </c>
      <c r="B298" s="233"/>
      <c r="C298" s="233"/>
      <c r="D298" s="213"/>
      <c r="E298" s="230"/>
      <c r="F298" s="213"/>
      <c r="G298" s="245" t="str">
        <f ca="1">IF(CommitmentsTable[[#This Row],[Commitment / deliverable]]="","",IF(CommitmentsTable[[#This Row],[Date record entered]]="",TODAY(),CommitmentsTable[[#This Row],[Date record entered]]))</f>
        <v/>
      </c>
      <c r="H298" s="245"/>
      <c r="I298" s="245" t="str">
        <f ca="1">IF(CommitmentsTable[[#This Row],[Date Assigned if different from entry date]]&lt;&gt;"",CommitmentsTable[[#This Row],[Date Assigned if different from entry date]]+90,IF(CommitmentsTable[[#This Row],[Date record entered]]&lt;&gt;"",CommitmentsTable[[#This Row],[Date record entered]]+90,""))</f>
        <v/>
      </c>
      <c r="J298" s="245" t="str">
        <f ca="1">IF(CommitmentsTable[[#This Row],[Date Assigned if different from entry date]]&lt;&gt;"",CommitmentsTable[[#This Row],[Date Assigned if different from entry date]]+30,IF(CommitmentsTable[[#This Row],[Date record entered]]&lt;&gt;"",CommitmentsTable[[#This Row],[Date record entered]]+30,""))</f>
        <v/>
      </c>
      <c r="K298" s="245"/>
      <c r="L298" s="245" t="str">
        <f ca="1">IF(CommitmentsTable[[#This Row],[Date Assigned if different from entry date]]&lt;&gt;"",CommitmentsTable[[#This Row],[Date Assigned if different from entry date]]+60,IF(CommitmentsTable[[#This Row],[Date record entered]]&lt;&gt;"",CommitmentsTable[[#This Row],[Date record entered]]+60,""))</f>
        <v/>
      </c>
      <c r="M298" s="214"/>
      <c r="N298" s="214"/>
      <c r="O298" s="236"/>
      <c r="P298" s="214"/>
      <c r="Q298" s="214"/>
      <c r="R298" s="214"/>
      <c r="S298" s="238" t="str">
        <f>IF(CommitmentsTable[[#This Row],[Commitment / deliverable]]="","",IF(CommitmentsTable[[#This Row],[Revised due]]&lt;&gt;"",CommitmentsTable[[#This Row],[Revised due]],CommitmentsTable[[#This Row],[Original due]]))</f>
        <v/>
      </c>
      <c r="T298" s="237" t="str">
        <f>IF(OR(CommitmentsTable[[#This Row],[Commitment / deliverable]]="",CommitmentsTable[[#This Row],[Owner]]=""),"",IF(CommitmentsTable[[#This Row],[Status2]]="","Open",CommitmentsTable[[#This Row],[Status2]]))</f>
        <v/>
      </c>
      <c r="U298" s="237" t="str">
        <f t="shared" ca="1" si="4"/>
        <v/>
      </c>
      <c r="V298" s="233"/>
      <c r="W298" s="63" t="s">
        <v>1265</v>
      </c>
    </row>
    <row r="299" spans="1:23" ht="39">
      <c r="A299" s="213" t="str">
        <f>IF(OR(CommitmentsTable[[#This Row],[Commitment / deliverable]]="",CommitmentsTable[[#This Row],[Immutable Key]]=""),"",SUBSTITUTE(CommitmentsTable[[#This Row],[Immutable Key]],"-K-","-"))</f>
        <v/>
      </c>
      <c r="B299" s="233"/>
      <c r="C299" s="233"/>
      <c r="D299" s="213"/>
      <c r="E299" s="230"/>
      <c r="F299" s="213"/>
      <c r="G299" s="245" t="str">
        <f ca="1">IF(CommitmentsTable[[#This Row],[Commitment / deliverable]]="","",IF(CommitmentsTable[[#This Row],[Date record entered]]="",TODAY(),CommitmentsTable[[#This Row],[Date record entered]]))</f>
        <v/>
      </c>
      <c r="H299" s="245"/>
      <c r="I299" s="245" t="str">
        <f ca="1">IF(CommitmentsTable[[#This Row],[Date Assigned if different from entry date]]&lt;&gt;"",CommitmentsTable[[#This Row],[Date Assigned if different from entry date]]+90,IF(CommitmentsTable[[#This Row],[Date record entered]]&lt;&gt;"",CommitmentsTable[[#This Row],[Date record entered]]+90,""))</f>
        <v/>
      </c>
      <c r="J299" s="245" t="str">
        <f ca="1">IF(CommitmentsTable[[#This Row],[Date Assigned if different from entry date]]&lt;&gt;"",CommitmentsTable[[#This Row],[Date Assigned if different from entry date]]+30,IF(CommitmentsTable[[#This Row],[Date record entered]]&lt;&gt;"",CommitmentsTable[[#This Row],[Date record entered]]+30,""))</f>
        <v/>
      </c>
      <c r="K299" s="245"/>
      <c r="L299" s="245" t="str">
        <f ca="1">IF(CommitmentsTable[[#This Row],[Date Assigned if different from entry date]]&lt;&gt;"",CommitmentsTable[[#This Row],[Date Assigned if different from entry date]]+60,IF(CommitmentsTable[[#This Row],[Date record entered]]&lt;&gt;"",CommitmentsTable[[#This Row],[Date record entered]]+60,""))</f>
        <v/>
      </c>
      <c r="M299" s="214"/>
      <c r="N299" s="214"/>
      <c r="O299" s="236"/>
      <c r="P299" s="214"/>
      <c r="Q299" s="214"/>
      <c r="R299" s="214"/>
      <c r="S299" s="238" t="str">
        <f>IF(CommitmentsTable[[#This Row],[Commitment / deliverable]]="","",IF(CommitmentsTable[[#This Row],[Revised due]]&lt;&gt;"",CommitmentsTable[[#This Row],[Revised due]],CommitmentsTable[[#This Row],[Original due]]))</f>
        <v/>
      </c>
      <c r="T299" s="237" t="str">
        <f>IF(OR(CommitmentsTable[[#This Row],[Commitment / deliverable]]="",CommitmentsTable[[#This Row],[Owner]]=""),"",IF(CommitmentsTable[[#This Row],[Status2]]="","Open",CommitmentsTable[[#This Row],[Status2]]))</f>
        <v/>
      </c>
      <c r="U299" s="237" t="str">
        <f t="shared" ca="1" si="4"/>
        <v/>
      </c>
      <c r="V299" s="233"/>
      <c r="W299" s="63" t="s">
        <v>1266</v>
      </c>
    </row>
    <row r="300" spans="1:23" ht="26">
      <c r="A300" s="213" t="str">
        <f>IF(OR(CommitmentsTable[[#This Row],[Commitment / deliverable]]="",CommitmentsTable[[#This Row],[Immutable Key]]=""),"",SUBSTITUTE(CommitmentsTable[[#This Row],[Immutable Key]],"-K-","-"))</f>
        <v/>
      </c>
      <c r="B300" s="233"/>
      <c r="C300" s="233"/>
      <c r="D300" s="213"/>
      <c r="E300" s="230"/>
      <c r="F300" s="213"/>
      <c r="G300" s="245" t="str">
        <f ca="1">IF(CommitmentsTable[[#This Row],[Commitment / deliverable]]="","",IF(CommitmentsTable[[#This Row],[Date record entered]]="",TODAY(),CommitmentsTable[[#This Row],[Date record entered]]))</f>
        <v/>
      </c>
      <c r="H300" s="245"/>
      <c r="I300" s="245" t="str">
        <f ca="1">IF(CommitmentsTable[[#This Row],[Date Assigned if different from entry date]]&lt;&gt;"",CommitmentsTable[[#This Row],[Date Assigned if different from entry date]]+90,IF(CommitmentsTable[[#This Row],[Date record entered]]&lt;&gt;"",CommitmentsTable[[#This Row],[Date record entered]]+90,""))</f>
        <v/>
      </c>
      <c r="J300" s="245" t="str">
        <f ca="1">IF(CommitmentsTable[[#This Row],[Date Assigned if different from entry date]]&lt;&gt;"",CommitmentsTable[[#This Row],[Date Assigned if different from entry date]]+30,IF(CommitmentsTable[[#This Row],[Date record entered]]&lt;&gt;"",CommitmentsTable[[#This Row],[Date record entered]]+30,""))</f>
        <v/>
      </c>
      <c r="K300" s="245"/>
      <c r="L300" s="245" t="str">
        <f ca="1">IF(CommitmentsTable[[#This Row],[Date Assigned if different from entry date]]&lt;&gt;"",CommitmentsTable[[#This Row],[Date Assigned if different from entry date]]+60,IF(CommitmentsTable[[#This Row],[Date record entered]]&lt;&gt;"",CommitmentsTable[[#This Row],[Date record entered]]+60,""))</f>
        <v/>
      </c>
      <c r="M300" s="214"/>
      <c r="N300" s="214"/>
      <c r="O300" s="236"/>
      <c r="P300" s="214"/>
      <c r="Q300" s="214"/>
      <c r="R300" s="214"/>
      <c r="S300" s="238" t="str">
        <f>IF(CommitmentsTable[[#This Row],[Commitment / deliverable]]="","",IF(CommitmentsTable[[#This Row],[Revised due]]&lt;&gt;"",CommitmentsTable[[#This Row],[Revised due]],CommitmentsTable[[#This Row],[Original due]]))</f>
        <v/>
      </c>
      <c r="T300" s="237" t="str">
        <f>IF(OR(CommitmentsTable[[#This Row],[Commitment / deliverable]]="",CommitmentsTable[[#This Row],[Owner]]=""),"",IF(CommitmentsTable[[#This Row],[Status2]]="","Open",CommitmentsTable[[#This Row],[Status2]]))</f>
        <v/>
      </c>
      <c r="U300" s="237" t="str">
        <f t="shared" ca="1" si="4"/>
        <v/>
      </c>
      <c r="V300" s="233"/>
      <c r="W300" s="63" t="s">
        <v>1267</v>
      </c>
    </row>
    <row r="301" spans="1:23" ht="39">
      <c r="A301" s="213" t="str">
        <f>IF(OR(CommitmentsTable[[#This Row],[Commitment / deliverable]]="",CommitmentsTable[[#This Row],[Immutable Key]]=""),"",SUBSTITUTE(CommitmentsTable[[#This Row],[Immutable Key]],"-K-","-"))</f>
        <v/>
      </c>
      <c r="B301" s="233"/>
      <c r="C301" s="233"/>
      <c r="D301" s="213"/>
      <c r="E301" s="230"/>
      <c r="F301" s="213"/>
      <c r="G301" s="245" t="str">
        <f ca="1">IF(CommitmentsTable[[#This Row],[Commitment / deliverable]]="","",IF(CommitmentsTable[[#This Row],[Date record entered]]="",TODAY(),CommitmentsTable[[#This Row],[Date record entered]]))</f>
        <v/>
      </c>
      <c r="H301" s="245"/>
      <c r="I301" s="245" t="str">
        <f ca="1">IF(CommitmentsTable[[#This Row],[Date Assigned if different from entry date]]&lt;&gt;"",CommitmentsTable[[#This Row],[Date Assigned if different from entry date]]+90,IF(CommitmentsTable[[#This Row],[Date record entered]]&lt;&gt;"",CommitmentsTable[[#This Row],[Date record entered]]+90,""))</f>
        <v/>
      </c>
      <c r="J301" s="245" t="str">
        <f ca="1">IF(CommitmentsTable[[#This Row],[Date Assigned if different from entry date]]&lt;&gt;"",CommitmentsTable[[#This Row],[Date Assigned if different from entry date]]+30,IF(CommitmentsTable[[#This Row],[Date record entered]]&lt;&gt;"",CommitmentsTable[[#This Row],[Date record entered]]+30,""))</f>
        <v/>
      </c>
      <c r="K301" s="245"/>
      <c r="L301" s="245" t="str">
        <f ca="1">IF(CommitmentsTable[[#This Row],[Date Assigned if different from entry date]]&lt;&gt;"",CommitmentsTable[[#This Row],[Date Assigned if different from entry date]]+60,IF(CommitmentsTable[[#This Row],[Date record entered]]&lt;&gt;"",CommitmentsTable[[#This Row],[Date record entered]]+60,""))</f>
        <v/>
      </c>
      <c r="M301" s="214"/>
      <c r="N301" s="214"/>
      <c r="O301" s="236"/>
      <c r="P301" s="214"/>
      <c r="Q301" s="214"/>
      <c r="R301" s="214"/>
      <c r="S301" s="238" t="str">
        <f>IF(CommitmentsTable[[#This Row],[Commitment / deliverable]]="","",IF(CommitmentsTable[[#This Row],[Revised due]]&lt;&gt;"",CommitmentsTable[[#This Row],[Revised due]],CommitmentsTable[[#This Row],[Original due]]))</f>
        <v/>
      </c>
      <c r="T301" s="237" t="str">
        <f>IF(OR(CommitmentsTable[[#This Row],[Commitment / deliverable]]="",CommitmentsTable[[#This Row],[Owner]]=""),"",IF(CommitmentsTable[[#This Row],[Status2]]="","Open",CommitmentsTable[[#This Row],[Status2]]))</f>
        <v/>
      </c>
      <c r="U301" s="237" t="str">
        <f t="shared" ca="1" si="4"/>
        <v/>
      </c>
      <c r="V301" s="233"/>
      <c r="W301" s="63" t="s">
        <v>1268</v>
      </c>
    </row>
    <row r="302" spans="1:23" ht="39">
      <c r="A302" s="213" t="str">
        <f>IF(OR(CommitmentsTable[[#This Row],[Commitment / deliverable]]="",CommitmentsTable[[#This Row],[Immutable Key]]=""),"",SUBSTITUTE(CommitmentsTable[[#This Row],[Immutable Key]],"-K-","-"))</f>
        <v/>
      </c>
      <c r="B302" s="233"/>
      <c r="C302" s="233"/>
      <c r="D302" s="213"/>
      <c r="E302" s="230"/>
      <c r="F302" s="213"/>
      <c r="G302" s="245" t="str">
        <f ca="1">IF(CommitmentsTable[[#This Row],[Commitment / deliverable]]="","",IF(CommitmentsTable[[#This Row],[Date record entered]]="",TODAY(),CommitmentsTable[[#This Row],[Date record entered]]))</f>
        <v/>
      </c>
      <c r="H302" s="245"/>
      <c r="I302" s="245" t="str">
        <f ca="1">IF(CommitmentsTable[[#This Row],[Date Assigned if different from entry date]]&lt;&gt;"",CommitmentsTable[[#This Row],[Date Assigned if different from entry date]]+90,IF(CommitmentsTable[[#This Row],[Date record entered]]&lt;&gt;"",CommitmentsTable[[#This Row],[Date record entered]]+90,""))</f>
        <v/>
      </c>
      <c r="J302" s="245" t="str">
        <f ca="1">IF(CommitmentsTable[[#This Row],[Date Assigned if different from entry date]]&lt;&gt;"",CommitmentsTable[[#This Row],[Date Assigned if different from entry date]]+30,IF(CommitmentsTable[[#This Row],[Date record entered]]&lt;&gt;"",CommitmentsTable[[#This Row],[Date record entered]]+30,""))</f>
        <v/>
      </c>
      <c r="K302" s="245"/>
      <c r="L302" s="245" t="str">
        <f ca="1">IF(CommitmentsTable[[#This Row],[Date Assigned if different from entry date]]&lt;&gt;"",CommitmentsTable[[#This Row],[Date Assigned if different from entry date]]+60,IF(CommitmentsTable[[#This Row],[Date record entered]]&lt;&gt;"",CommitmentsTable[[#This Row],[Date record entered]]+60,""))</f>
        <v/>
      </c>
      <c r="M302" s="214"/>
      <c r="N302" s="214"/>
      <c r="O302" s="236"/>
      <c r="P302" s="214"/>
      <c r="Q302" s="214"/>
      <c r="R302" s="214"/>
      <c r="S302" s="238" t="str">
        <f>IF(CommitmentsTable[[#This Row],[Commitment / deliverable]]="","",IF(CommitmentsTable[[#This Row],[Revised due]]&lt;&gt;"",CommitmentsTable[[#This Row],[Revised due]],CommitmentsTable[[#This Row],[Original due]]))</f>
        <v/>
      </c>
      <c r="T302" s="237" t="str">
        <f>IF(OR(CommitmentsTable[[#This Row],[Commitment / deliverable]]="",CommitmentsTable[[#This Row],[Owner]]=""),"",IF(CommitmentsTable[[#This Row],[Status2]]="","Open",CommitmentsTable[[#This Row],[Status2]]))</f>
        <v/>
      </c>
      <c r="U302" s="237" t="str">
        <f t="shared" ca="1" si="4"/>
        <v/>
      </c>
      <c r="V302" s="233"/>
      <c r="W302" s="63" t="s">
        <v>1269</v>
      </c>
    </row>
    <row r="303" spans="1:23" ht="39">
      <c r="A303" s="213" t="str">
        <f>IF(OR(CommitmentsTable[[#This Row],[Commitment / deliverable]]="",CommitmentsTable[[#This Row],[Immutable Key]]=""),"",SUBSTITUTE(CommitmentsTable[[#This Row],[Immutable Key]],"-K-","-"))</f>
        <v/>
      </c>
      <c r="B303" s="233"/>
      <c r="C303" s="233"/>
      <c r="D303" s="213"/>
      <c r="E303" s="230"/>
      <c r="F303" s="213"/>
      <c r="G303" s="245" t="str">
        <f ca="1">IF(CommitmentsTable[[#This Row],[Commitment / deliverable]]="","",IF(CommitmentsTable[[#This Row],[Date record entered]]="",TODAY(),CommitmentsTable[[#This Row],[Date record entered]]))</f>
        <v/>
      </c>
      <c r="H303" s="245"/>
      <c r="I303" s="245" t="str">
        <f ca="1">IF(CommitmentsTable[[#This Row],[Date Assigned if different from entry date]]&lt;&gt;"",CommitmentsTable[[#This Row],[Date Assigned if different from entry date]]+90,IF(CommitmentsTable[[#This Row],[Date record entered]]&lt;&gt;"",CommitmentsTable[[#This Row],[Date record entered]]+90,""))</f>
        <v/>
      </c>
      <c r="J303" s="245" t="str">
        <f ca="1">IF(CommitmentsTable[[#This Row],[Date Assigned if different from entry date]]&lt;&gt;"",CommitmentsTable[[#This Row],[Date Assigned if different from entry date]]+30,IF(CommitmentsTable[[#This Row],[Date record entered]]&lt;&gt;"",CommitmentsTable[[#This Row],[Date record entered]]+30,""))</f>
        <v/>
      </c>
      <c r="K303" s="245"/>
      <c r="L303" s="245" t="str">
        <f ca="1">IF(CommitmentsTable[[#This Row],[Date Assigned if different from entry date]]&lt;&gt;"",CommitmentsTable[[#This Row],[Date Assigned if different from entry date]]+60,IF(CommitmentsTable[[#This Row],[Date record entered]]&lt;&gt;"",CommitmentsTable[[#This Row],[Date record entered]]+60,""))</f>
        <v/>
      </c>
      <c r="M303" s="214"/>
      <c r="N303" s="214"/>
      <c r="O303" s="236"/>
      <c r="P303" s="214"/>
      <c r="Q303" s="214"/>
      <c r="R303" s="214"/>
      <c r="S303" s="238" t="str">
        <f>IF(CommitmentsTable[[#This Row],[Commitment / deliverable]]="","",IF(CommitmentsTable[[#This Row],[Revised due]]&lt;&gt;"",CommitmentsTable[[#This Row],[Revised due]],CommitmentsTable[[#This Row],[Original due]]))</f>
        <v/>
      </c>
      <c r="T303" s="237" t="str">
        <f>IF(OR(CommitmentsTable[[#This Row],[Commitment / deliverable]]="",CommitmentsTable[[#This Row],[Owner]]=""),"",IF(CommitmentsTable[[#This Row],[Status2]]="","Open",CommitmentsTable[[#This Row],[Status2]]))</f>
        <v/>
      </c>
      <c r="U303" s="237" t="str">
        <f t="shared" ca="1" si="4"/>
        <v/>
      </c>
      <c r="V303" s="233"/>
      <c r="W303" s="63" t="s">
        <v>1270</v>
      </c>
    </row>
    <row r="304" spans="1:23" ht="39">
      <c r="A304" s="213" t="str">
        <f>IF(OR(CommitmentsTable[[#This Row],[Commitment / deliverable]]="",CommitmentsTable[[#This Row],[Immutable Key]]=""),"",SUBSTITUTE(CommitmentsTable[[#This Row],[Immutable Key]],"-K-","-"))</f>
        <v/>
      </c>
      <c r="B304" s="233"/>
      <c r="C304" s="233"/>
      <c r="D304" s="213"/>
      <c r="E304" s="230"/>
      <c r="F304" s="213"/>
      <c r="G304" s="245" t="str">
        <f ca="1">IF(CommitmentsTable[[#This Row],[Commitment / deliverable]]="","",IF(CommitmentsTable[[#This Row],[Date record entered]]="",TODAY(),CommitmentsTable[[#This Row],[Date record entered]]))</f>
        <v/>
      </c>
      <c r="H304" s="245"/>
      <c r="I304" s="245" t="str">
        <f ca="1">IF(CommitmentsTable[[#This Row],[Date Assigned if different from entry date]]&lt;&gt;"",CommitmentsTable[[#This Row],[Date Assigned if different from entry date]]+90,IF(CommitmentsTable[[#This Row],[Date record entered]]&lt;&gt;"",CommitmentsTable[[#This Row],[Date record entered]]+90,""))</f>
        <v/>
      </c>
      <c r="J304" s="245" t="str">
        <f ca="1">IF(CommitmentsTable[[#This Row],[Date Assigned if different from entry date]]&lt;&gt;"",CommitmentsTable[[#This Row],[Date Assigned if different from entry date]]+30,IF(CommitmentsTable[[#This Row],[Date record entered]]&lt;&gt;"",CommitmentsTable[[#This Row],[Date record entered]]+30,""))</f>
        <v/>
      </c>
      <c r="K304" s="245"/>
      <c r="L304" s="245" t="str">
        <f ca="1">IF(CommitmentsTable[[#This Row],[Date Assigned if different from entry date]]&lt;&gt;"",CommitmentsTable[[#This Row],[Date Assigned if different from entry date]]+60,IF(CommitmentsTable[[#This Row],[Date record entered]]&lt;&gt;"",CommitmentsTable[[#This Row],[Date record entered]]+60,""))</f>
        <v/>
      </c>
      <c r="M304" s="214"/>
      <c r="N304" s="214"/>
      <c r="O304" s="236"/>
      <c r="P304" s="214"/>
      <c r="Q304" s="214"/>
      <c r="R304" s="214"/>
      <c r="S304" s="238" t="str">
        <f>IF(CommitmentsTable[[#This Row],[Commitment / deliverable]]="","",IF(CommitmentsTable[[#This Row],[Revised due]]&lt;&gt;"",CommitmentsTable[[#This Row],[Revised due]],CommitmentsTable[[#This Row],[Original due]]))</f>
        <v/>
      </c>
      <c r="T304" s="237" t="str">
        <f>IF(OR(CommitmentsTable[[#This Row],[Commitment / deliverable]]="",CommitmentsTable[[#This Row],[Owner]]=""),"",IF(CommitmentsTable[[#This Row],[Status2]]="","Open",CommitmentsTable[[#This Row],[Status2]]))</f>
        <v/>
      </c>
      <c r="U304" s="237" t="str">
        <f t="shared" ca="1" si="4"/>
        <v/>
      </c>
      <c r="V304" s="233"/>
      <c r="W304" s="63" t="s">
        <v>1271</v>
      </c>
    </row>
    <row r="305" spans="1:23" ht="39">
      <c r="A305" s="213" t="str">
        <f>IF(OR(CommitmentsTable[[#This Row],[Commitment / deliverable]]="",CommitmentsTable[[#This Row],[Immutable Key]]=""),"",SUBSTITUTE(CommitmentsTable[[#This Row],[Immutable Key]],"-K-","-"))</f>
        <v/>
      </c>
      <c r="B305" s="233"/>
      <c r="C305" s="233"/>
      <c r="D305" s="213"/>
      <c r="E305" s="230"/>
      <c r="F305" s="213"/>
      <c r="G305" s="245" t="str">
        <f ca="1">IF(CommitmentsTable[[#This Row],[Commitment / deliverable]]="","",IF(CommitmentsTable[[#This Row],[Date record entered]]="",TODAY(),CommitmentsTable[[#This Row],[Date record entered]]))</f>
        <v/>
      </c>
      <c r="H305" s="245"/>
      <c r="I305" s="245" t="str">
        <f ca="1">IF(CommitmentsTable[[#This Row],[Date Assigned if different from entry date]]&lt;&gt;"",CommitmentsTable[[#This Row],[Date Assigned if different from entry date]]+90,IF(CommitmentsTable[[#This Row],[Date record entered]]&lt;&gt;"",CommitmentsTable[[#This Row],[Date record entered]]+90,""))</f>
        <v/>
      </c>
      <c r="J305" s="245" t="str">
        <f ca="1">IF(CommitmentsTable[[#This Row],[Date Assigned if different from entry date]]&lt;&gt;"",CommitmentsTable[[#This Row],[Date Assigned if different from entry date]]+30,IF(CommitmentsTable[[#This Row],[Date record entered]]&lt;&gt;"",CommitmentsTable[[#This Row],[Date record entered]]+30,""))</f>
        <v/>
      </c>
      <c r="K305" s="245"/>
      <c r="L305" s="245" t="str">
        <f ca="1">IF(CommitmentsTable[[#This Row],[Date Assigned if different from entry date]]&lt;&gt;"",CommitmentsTable[[#This Row],[Date Assigned if different from entry date]]+60,IF(CommitmentsTable[[#This Row],[Date record entered]]&lt;&gt;"",CommitmentsTable[[#This Row],[Date record entered]]+60,""))</f>
        <v/>
      </c>
      <c r="M305" s="214"/>
      <c r="N305" s="214"/>
      <c r="O305" s="236"/>
      <c r="P305" s="214"/>
      <c r="Q305" s="214"/>
      <c r="R305" s="214"/>
      <c r="S305" s="238" t="str">
        <f>IF(CommitmentsTable[[#This Row],[Commitment / deliverable]]="","",IF(CommitmentsTable[[#This Row],[Revised due]]&lt;&gt;"",CommitmentsTable[[#This Row],[Revised due]],CommitmentsTable[[#This Row],[Original due]]))</f>
        <v/>
      </c>
      <c r="T305" s="237" t="str">
        <f>IF(OR(CommitmentsTable[[#This Row],[Commitment / deliverable]]="",CommitmentsTable[[#This Row],[Owner]]=""),"",IF(CommitmentsTable[[#This Row],[Status2]]="","Open",CommitmentsTable[[#This Row],[Status2]]))</f>
        <v/>
      </c>
      <c r="U305" s="237" t="str">
        <f t="shared" ca="1" si="4"/>
        <v/>
      </c>
      <c r="V305" s="233"/>
      <c r="W305" s="63" t="s">
        <v>1272</v>
      </c>
    </row>
    <row r="306" spans="1:23" ht="39">
      <c r="A306" s="213" t="str">
        <f>IF(OR(CommitmentsTable[[#This Row],[Commitment / deliverable]]="",CommitmentsTable[[#This Row],[Immutable Key]]=""),"",SUBSTITUTE(CommitmentsTable[[#This Row],[Immutable Key]],"-K-","-"))</f>
        <v/>
      </c>
      <c r="B306" s="233"/>
      <c r="C306" s="233"/>
      <c r="D306" s="213"/>
      <c r="E306" s="230"/>
      <c r="F306" s="213"/>
      <c r="G306" s="245" t="str">
        <f ca="1">IF(CommitmentsTable[[#This Row],[Commitment / deliverable]]="","",IF(CommitmentsTable[[#This Row],[Date record entered]]="",TODAY(),CommitmentsTable[[#This Row],[Date record entered]]))</f>
        <v/>
      </c>
      <c r="H306" s="245"/>
      <c r="I306" s="245" t="str">
        <f ca="1">IF(CommitmentsTable[[#This Row],[Date Assigned if different from entry date]]&lt;&gt;"",CommitmentsTable[[#This Row],[Date Assigned if different from entry date]]+90,IF(CommitmentsTable[[#This Row],[Date record entered]]&lt;&gt;"",CommitmentsTable[[#This Row],[Date record entered]]+90,""))</f>
        <v/>
      </c>
      <c r="J306" s="245" t="str">
        <f ca="1">IF(CommitmentsTable[[#This Row],[Date Assigned if different from entry date]]&lt;&gt;"",CommitmentsTable[[#This Row],[Date Assigned if different from entry date]]+30,IF(CommitmentsTable[[#This Row],[Date record entered]]&lt;&gt;"",CommitmentsTable[[#This Row],[Date record entered]]+30,""))</f>
        <v/>
      </c>
      <c r="K306" s="245"/>
      <c r="L306" s="245" t="str">
        <f ca="1">IF(CommitmentsTable[[#This Row],[Date Assigned if different from entry date]]&lt;&gt;"",CommitmentsTable[[#This Row],[Date Assigned if different from entry date]]+60,IF(CommitmentsTable[[#This Row],[Date record entered]]&lt;&gt;"",CommitmentsTable[[#This Row],[Date record entered]]+60,""))</f>
        <v/>
      </c>
      <c r="M306" s="214"/>
      <c r="N306" s="214"/>
      <c r="O306" s="236"/>
      <c r="P306" s="214"/>
      <c r="Q306" s="214"/>
      <c r="R306" s="214"/>
      <c r="S306" s="238" t="str">
        <f>IF(CommitmentsTable[[#This Row],[Commitment / deliverable]]="","",IF(CommitmentsTable[[#This Row],[Revised due]]&lt;&gt;"",CommitmentsTable[[#This Row],[Revised due]],CommitmentsTable[[#This Row],[Original due]]))</f>
        <v/>
      </c>
      <c r="T306" s="237" t="str">
        <f>IF(OR(CommitmentsTable[[#This Row],[Commitment / deliverable]]="",CommitmentsTable[[#This Row],[Owner]]=""),"",IF(CommitmentsTable[[#This Row],[Status2]]="","Open",CommitmentsTable[[#This Row],[Status2]]))</f>
        <v/>
      </c>
      <c r="U306" s="237" t="str">
        <f t="shared" ca="1" si="4"/>
        <v/>
      </c>
      <c r="V306" s="233"/>
      <c r="W306" s="63" t="s">
        <v>1273</v>
      </c>
    </row>
    <row r="307" spans="1:23" ht="39">
      <c r="A307" s="213" t="str">
        <f>IF(OR(CommitmentsTable[[#This Row],[Commitment / deliverable]]="",CommitmentsTable[[#This Row],[Immutable Key]]=""),"",SUBSTITUTE(CommitmentsTable[[#This Row],[Immutable Key]],"-K-","-"))</f>
        <v/>
      </c>
      <c r="B307" s="233"/>
      <c r="C307" s="233"/>
      <c r="D307" s="213"/>
      <c r="E307" s="230"/>
      <c r="F307" s="213"/>
      <c r="G307" s="245" t="str">
        <f ca="1">IF(CommitmentsTable[[#This Row],[Commitment / deliverable]]="","",IF(CommitmentsTable[[#This Row],[Date record entered]]="",TODAY(),CommitmentsTable[[#This Row],[Date record entered]]))</f>
        <v/>
      </c>
      <c r="H307" s="245"/>
      <c r="I307" s="245" t="str">
        <f ca="1">IF(CommitmentsTable[[#This Row],[Date Assigned if different from entry date]]&lt;&gt;"",CommitmentsTable[[#This Row],[Date Assigned if different from entry date]]+90,IF(CommitmentsTable[[#This Row],[Date record entered]]&lt;&gt;"",CommitmentsTable[[#This Row],[Date record entered]]+90,""))</f>
        <v/>
      </c>
      <c r="J307" s="245" t="str">
        <f ca="1">IF(CommitmentsTable[[#This Row],[Date Assigned if different from entry date]]&lt;&gt;"",CommitmentsTable[[#This Row],[Date Assigned if different from entry date]]+30,IF(CommitmentsTable[[#This Row],[Date record entered]]&lt;&gt;"",CommitmentsTable[[#This Row],[Date record entered]]+30,""))</f>
        <v/>
      </c>
      <c r="K307" s="245"/>
      <c r="L307" s="245" t="str">
        <f ca="1">IF(CommitmentsTable[[#This Row],[Date Assigned if different from entry date]]&lt;&gt;"",CommitmentsTable[[#This Row],[Date Assigned if different from entry date]]+60,IF(CommitmentsTable[[#This Row],[Date record entered]]&lt;&gt;"",CommitmentsTable[[#This Row],[Date record entered]]+60,""))</f>
        <v/>
      </c>
      <c r="M307" s="214"/>
      <c r="N307" s="214"/>
      <c r="O307" s="236"/>
      <c r="P307" s="214"/>
      <c r="Q307" s="214"/>
      <c r="R307" s="214"/>
      <c r="S307" s="238" t="str">
        <f>IF(CommitmentsTable[[#This Row],[Commitment / deliverable]]="","",IF(CommitmentsTable[[#This Row],[Revised due]]&lt;&gt;"",CommitmentsTable[[#This Row],[Revised due]],CommitmentsTable[[#This Row],[Original due]]))</f>
        <v/>
      </c>
      <c r="T307" s="237" t="str">
        <f>IF(OR(CommitmentsTable[[#This Row],[Commitment / deliverable]]="",CommitmentsTable[[#This Row],[Owner]]=""),"",IF(CommitmentsTable[[#This Row],[Status2]]="","Open",CommitmentsTable[[#This Row],[Status2]]))</f>
        <v/>
      </c>
      <c r="U307" s="237" t="str">
        <f t="shared" ca="1" si="4"/>
        <v/>
      </c>
      <c r="V307" s="233"/>
      <c r="W307" s="63" t="s">
        <v>1274</v>
      </c>
    </row>
    <row r="308" spans="1:23" ht="39">
      <c r="A308" s="213" t="str">
        <f>IF(OR(CommitmentsTable[[#This Row],[Commitment / deliverable]]="",CommitmentsTable[[#This Row],[Immutable Key]]=""),"",SUBSTITUTE(CommitmentsTable[[#This Row],[Immutable Key]],"-K-","-"))</f>
        <v/>
      </c>
      <c r="B308" s="233"/>
      <c r="C308" s="233"/>
      <c r="D308" s="213"/>
      <c r="E308" s="230"/>
      <c r="F308" s="213"/>
      <c r="G308" s="245" t="str">
        <f ca="1">IF(CommitmentsTable[[#This Row],[Commitment / deliverable]]="","",IF(CommitmentsTable[[#This Row],[Date record entered]]="",TODAY(),CommitmentsTable[[#This Row],[Date record entered]]))</f>
        <v/>
      </c>
      <c r="H308" s="245"/>
      <c r="I308" s="245" t="str">
        <f ca="1">IF(CommitmentsTable[[#This Row],[Date Assigned if different from entry date]]&lt;&gt;"",CommitmentsTable[[#This Row],[Date Assigned if different from entry date]]+90,IF(CommitmentsTable[[#This Row],[Date record entered]]&lt;&gt;"",CommitmentsTable[[#This Row],[Date record entered]]+90,""))</f>
        <v/>
      </c>
      <c r="J308" s="245" t="str">
        <f ca="1">IF(CommitmentsTable[[#This Row],[Date Assigned if different from entry date]]&lt;&gt;"",CommitmentsTable[[#This Row],[Date Assigned if different from entry date]]+30,IF(CommitmentsTable[[#This Row],[Date record entered]]&lt;&gt;"",CommitmentsTable[[#This Row],[Date record entered]]+30,""))</f>
        <v/>
      </c>
      <c r="K308" s="245"/>
      <c r="L308" s="245" t="str">
        <f ca="1">IF(CommitmentsTable[[#This Row],[Date Assigned if different from entry date]]&lt;&gt;"",CommitmentsTable[[#This Row],[Date Assigned if different from entry date]]+60,IF(CommitmentsTable[[#This Row],[Date record entered]]&lt;&gt;"",CommitmentsTable[[#This Row],[Date record entered]]+60,""))</f>
        <v/>
      </c>
      <c r="M308" s="214"/>
      <c r="N308" s="214"/>
      <c r="O308" s="236"/>
      <c r="P308" s="214"/>
      <c r="Q308" s="214"/>
      <c r="R308" s="214"/>
      <c r="S308" s="238" t="str">
        <f>IF(CommitmentsTable[[#This Row],[Commitment / deliverable]]="","",IF(CommitmentsTable[[#This Row],[Revised due]]&lt;&gt;"",CommitmentsTable[[#This Row],[Revised due]],CommitmentsTable[[#This Row],[Original due]]))</f>
        <v/>
      </c>
      <c r="T308" s="237" t="str">
        <f>IF(OR(CommitmentsTable[[#This Row],[Commitment / deliverable]]="",CommitmentsTable[[#This Row],[Owner]]=""),"",IF(CommitmentsTable[[#This Row],[Status2]]="","Open",CommitmentsTable[[#This Row],[Status2]]))</f>
        <v/>
      </c>
      <c r="U308" s="237" t="str">
        <f t="shared" ca="1" si="4"/>
        <v/>
      </c>
      <c r="V308" s="233"/>
      <c r="W308" s="63" t="s">
        <v>1275</v>
      </c>
    </row>
    <row r="309" spans="1:23" ht="39">
      <c r="A309" s="213" t="str">
        <f>IF(OR(CommitmentsTable[[#This Row],[Commitment / deliverable]]="",CommitmentsTable[[#This Row],[Immutable Key]]=""),"",SUBSTITUTE(CommitmentsTable[[#This Row],[Immutable Key]],"-K-","-"))</f>
        <v/>
      </c>
      <c r="B309" s="233"/>
      <c r="C309" s="233"/>
      <c r="D309" s="213"/>
      <c r="E309" s="230"/>
      <c r="F309" s="213"/>
      <c r="G309" s="245" t="str">
        <f ca="1">IF(CommitmentsTable[[#This Row],[Commitment / deliverable]]="","",IF(CommitmentsTable[[#This Row],[Date record entered]]="",TODAY(),CommitmentsTable[[#This Row],[Date record entered]]))</f>
        <v/>
      </c>
      <c r="H309" s="245"/>
      <c r="I309" s="245" t="str">
        <f ca="1">IF(CommitmentsTable[[#This Row],[Date Assigned if different from entry date]]&lt;&gt;"",CommitmentsTable[[#This Row],[Date Assigned if different from entry date]]+90,IF(CommitmentsTable[[#This Row],[Date record entered]]&lt;&gt;"",CommitmentsTable[[#This Row],[Date record entered]]+90,""))</f>
        <v/>
      </c>
      <c r="J309" s="245" t="str">
        <f ca="1">IF(CommitmentsTable[[#This Row],[Date Assigned if different from entry date]]&lt;&gt;"",CommitmentsTable[[#This Row],[Date Assigned if different from entry date]]+30,IF(CommitmentsTable[[#This Row],[Date record entered]]&lt;&gt;"",CommitmentsTable[[#This Row],[Date record entered]]+30,""))</f>
        <v/>
      </c>
      <c r="K309" s="245"/>
      <c r="L309" s="245" t="str">
        <f ca="1">IF(CommitmentsTable[[#This Row],[Date Assigned if different from entry date]]&lt;&gt;"",CommitmentsTable[[#This Row],[Date Assigned if different from entry date]]+60,IF(CommitmentsTable[[#This Row],[Date record entered]]&lt;&gt;"",CommitmentsTable[[#This Row],[Date record entered]]+60,""))</f>
        <v/>
      </c>
      <c r="M309" s="214"/>
      <c r="N309" s="214"/>
      <c r="O309" s="236"/>
      <c r="P309" s="214"/>
      <c r="Q309" s="214"/>
      <c r="R309" s="214"/>
      <c r="S309" s="238" t="str">
        <f>IF(CommitmentsTable[[#This Row],[Commitment / deliverable]]="","",IF(CommitmentsTable[[#This Row],[Revised due]]&lt;&gt;"",CommitmentsTable[[#This Row],[Revised due]],CommitmentsTable[[#This Row],[Original due]]))</f>
        <v/>
      </c>
      <c r="T309" s="237" t="str">
        <f>IF(OR(CommitmentsTable[[#This Row],[Commitment / deliverable]]="",CommitmentsTable[[#This Row],[Owner]]=""),"",IF(CommitmentsTable[[#This Row],[Status2]]="","Open",CommitmentsTable[[#This Row],[Status2]]))</f>
        <v/>
      </c>
      <c r="U309" s="237" t="str">
        <f t="shared" ca="1" si="4"/>
        <v/>
      </c>
      <c r="V309" s="233"/>
      <c r="W309" s="63" t="s">
        <v>1276</v>
      </c>
    </row>
    <row r="310" spans="1:23" ht="39">
      <c r="A310" s="213" t="str">
        <f>IF(OR(CommitmentsTable[[#This Row],[Commitment / deliverable]]="",CommitmentsTable[[#This Row],[Immutable Key]]=""),"",SUBSTITUTE(CommitmentsTable[[#This Row],[Immutable Key]],"-K-","-"))</f>
        <v/>
      </c>
      <c r="B310" s="233"/>
      <c r="C310" s="233"/>
      <c r="D310" s="213"/>
      <c r="E310" s="230"/>
      <c r="F310" s="213"/>
      <c r="G310" s="245" t="str">
        <f ca="1">IF(CommitmentsTable[[#This Row],[Commitment / deliverable]]="","",IF(CommitmentsTable[[#This Row],[Date record entered]]="",TODAY(),CommitmentsTable[[#This Row],[Date record entered]]))</f>
        <v/>
      </c>
      <c r="H310" s="245"/>
      <c r="I310" s="245" t="str">
        <f ca="1">IF(CommitmentsTable[[#This Row],[Date Assigned if different from entry date]]&lt;&gt;"",CommitmentsTable[[#This Row],[Date Assigned if different from entry date]]+90,IF(CommitmentsTable[[#This Row],[Date record entered]]&lt;&gt;"",CommitmentsTable[[#This Row],[Date record entered]]+90,""))</f>
        <v/>
      </c>
      <c r="J310" s="245" t="str">
        <f ca="1">IF(CommitmentsTable[[#This Row],[Date Assigned if different from entry date]]&lt;&gt;"",CommitmentsTable[[#This Row],[Date Assigned if different from entry date]]+30,IF(CommitmentsTable[[#This Row],[Date record entered]]&lt;&gt;"",CommitmentsTable[[#This Row],[Date record entered]]+30,""))</f>
        <v/>
      </c>
      <c r="K310" s="245"/>
      <c r="L310" s="245" t="str">
        <f ca="1">IF(CommitmentsTable[[#This Row],[Date Assigned if different from entry date]]&lt;&gt;"",CommitmentsTable[[#This Row],[Date Assigned if different from entry date]]+60,IF(CommitmentsTable[[#This Row],[Date record entered]]&lt;&gt;"",CommitmentsTable[[#This Row],[Date record entered]]+60,""))</f>
        <v/>
      </c>
      <c r="M310" s="214"/>
      <c r="N310" s="214"/>
      <c r="O310" s="236"/>
      <c r="P310" s="214"/>
      <c r="Q310" s="214"/>
      <c r="R310" s="214"/>
      <c r="S310" s="238" t="str">
        <f>IF(CommitmentsTable[[#This Row],[Commitment / deliverable]]="","",IF(CommitmentsTable[[#This Row],[Revised due]]&lt;&gt;"",CommitmentsTable[[#This Row],[Revised due]],CommitmentsTable[[#This Row],[Original due]]))</f>
        <v/>
      </c>
      <c r="T310" s="237" t="str">
        <f>IF(OR(CommitmentsTable[[#This Row],[Commitment / deliverable]]="",CommitmentsTable[[#This Row],[Owner]]=""),"",IF(CommitmentsTable[[#This Row],[Status2]]="","Open",CommitmentsTable[[#This Row],[Status2]]))</f>
        <v/>
      </c>
      <c r="U310" s="237" t="str">
        <f t="shared" ca="1" si="4"/>
        <v/>
      </c>
      <c r="V310" s="233"/>
      <c r="W310" s="63" t="s">
        <v>1277</v>
      </c>
    </row>
    <row r="311" spans="1:23" ht="39">
      <c r="A311" s="213" t="str">
        <f>IF(OR(CommitmentsTable[[#This Row],[Commitment / deliverable]]="",CommitmentsTable[[#This Row],[Immutable Key]]=""),"",SUBSTITUTE(CommitmentsTable[[#This Row],[Immutable Key]],"-K-","-"))</f>
        <v/>
      </c>
      <c r="B311" s="233"/>
      <c r="C311" s="233"/>
      <c r="D311" s="213"/>
      <c r="E311" s="230"/>
      <c r="F311" s="213"/>
      <c r="G311" s="245" t="str">
        <f ca="1">IF(CommitmentsTable[[#This Row],[Commitment / deliverable]]="","",IF(CommitmentsTable[[#This Row],[Date record entered]]="",TODAY(),CommitmentsTable[[#This Row],[Date record entered]]))</f>
        <v/>
      </c>
      <c r="H311" s="245"/>
      <c r="I311" s="245" t="str">
        <f ca="1">IF(CommitmentsTable[[#This Row],[Date Assigned if different from entry date]]&lt;&gt;"",CommitmentsTable[[#This Row],[Date Assigned if different from entry date]]+90,IF(CommitmentsTable[[#This Row],[Date record entered]]&lt;&gt;"",CommitmentsTable[[#This Row],[Date record entered]]+90,""))</f>
        <v/>
      </c>
      <c r="J311" s="245" t="str">
        <f ca="1">IF(CommitmentsTable[[#This Row],[Date Assigned if different from entry date]]&lt;&gt;"",CommitmentsTable[[#This Row],[Date Assigned if different from entry date]]+30,IF(CommitmentsTable[[#This Row],[Date record entered]]&lt;&gt;"",CommitmentsTable[[#This Row],[Date record entered]]+30,""))</f>
        <v/>
      </c>
      <c r="K311" s="245"/>
      <c r="L311" s="245" t="str">
        <f ca="1">IF(CommitmentsTable[[#This Row],[Date Assigned if different from entry date]]&lt;&gt;"",CommitmentsTable[[#This Row],[Date Assigned if different from entry date]]+60,IF(CommitmentsTable[[#This Row],[Date record entered]]&lt;&gt;"",CommitmentsTable[[#This Row],[Date record entered]]+60,""))</f>
        <v/>
      </c>
      <c r="M311" s="214"/>
      <c r="N311" s="214"/>
      <c r="O311" s="236"/>
      <c r="P311" s="214"/>
      <c r="Q311" s="214"/>
      <c r="R311" s="214"/>
      <c r="S311" s="238" t="str">
        <f>IF(CommitmentsTable[[#This Row],[Commitment / deliverable]]="","",IF(CommitmentsTable[[#This Row],[Revised due]]&lt;&gt;"",CommitmentsTable[[#This Row],[Revised due]],CommitmentsTable[[#This Row],[Original due]]))</f>
        <v/>
      </c>
      <c r="T311" s="237" t="str">
        <f>IF(OR(CommitmentsTable[[#This Row],[Commitment / deliverable]]="",CommitmentsTable[[#This Row],[Owner]]=""),"",IF(CommitmentsTable[[#This Row],[Status2]]="","Open",CommitmentsTable[[#This Row],[Status2]]))</f>
        <v/>
      </c>
      <c r="U311" s="237" t="str">
        <f t="shared" ca="1" si="4"/>
        <v/>
      </c>
      <c r="V311" s="233"/>
      <c r="W311" s="63" t="s">
        <v>1278</v>
      </c>
    </row>
    <row r="312" spans="1:23" ht="39">
      <c r="A312" s="213" t="str">
        <f>IF(OR(CommitmentsTable[[#This Row],[Commitment / deliverable]]="",CommitmentsTable[[#This Row],[Immutable Key]]=""),"",SUBSTITUTE(CommitmentsTable[[#This Row],[Immutable Key]],"-K-","-"))</f>
        <v/>
      </c>
      <c r="B312" s="233"/>
      <c r="C312" s="233"/>
      <c r="D312" s="213"/>
      <c r="E312" s="230"/>
      <c r="F312" s="213"/>
      <c r="G312" s="245" t="str">
        <f ca="1">IF(CommitmentsTable[[#This Row],[Commitment / deliverable]]="","",IF(CommitmentsTable[[#This Row],[Date record entered]]="",TODAY(),CommitmentsTable[[#This Row],[Date record entered]]))</f>
        <v/>
      </c>
      <c r="H312" s="245"/>
      <c r="I312" s="245" t="str">
        <f ca="1">IF(CommitmentsTable[[#This Row],[Date Assigned if different from entry date]]&lt;&gt;"",CommitmentsTable[[#This Row],[Date Assigned if different from entry date]]+90,IF(CommitmentsTable[[#This Row],[Date record entered]]&lt;&gt;"",CommitmentsTable[[#This Row],[Date record entered]]+90,""))</f>
        <v/>
      </c>
      <c r="J312" s="245" t="str">
        <f ca="1">IF(CommitmentsTable[[#This Row],[Date Assigned if different from entry date]]&lt;&gt;"",CommitmentsTable[[#This Row],[Date Assigned if different from entry date]]+30,IF(CommitmentsTable[[#This Row],[Date record entered]]&lt;&gt;"",CommitmentsTable[[#This Row],[Date record entered]]+30,""))</f>
        <v/>
      </c>
      <c r="K312" s="245"/>
      <c r="L312" s="245" t="str">
        <f ca="1">IF(CommitmentsTable[[#This Row],[Date Assigned if different from entry date]]&lt;&gt;"",CommitmentsTable[[#This Row],[Date Assigned if different from entry date]]+60,IF(CommitmentsTable[[#This Row],[Date record entered]]&lt;&gt;"",CommitmentsTable[[#This Row],[Date record entered]]+60,""))</f>
        <v/>
      </c>
      <c r="M312" s="214"/>
      <c r="N312" s="214"/>
      <c r="O312" s="236"/>
      <c r="P312" s="214"/>
      <c r="Q312" s="214"/>
      <c r="R312" s="214"/>
      <c r="S312" s="238" t="str">
        <f>IF(CommitmentsTable[[#This Row],[Commitment / deliverable]]="","",IF(CommitmentsTable[[#This Row],[Revised due]]&lt;&gt;"",CommitmentsTable[[#This Row],[Revised due]],CommitmentsTable[[#This Row],[Original due]]))</f>
        <v/>
      </c>
      <c r="T312" s="237" t="str">
        <f>IF(OR(CommitmentsTable[[#This Row],[Commitment / deliverable]]="",CommitmentsTable[[#This Row],[Owner]]=""),"",IF(CommitmentsTable[[#This Row],[Status2]]="","Open",CommitmentsTable[[#This Row],[Status2]]))</f>
        <v/>
      </c>
      <c r="U312" s="237" t="str">
        <f t="shared" ca="1" si="4"/>
        <v/>
      </c>
      <c r="V312" s="233"/>
      <c r="W312" s="63" t="s">
        <v>1279</v>
      </c>
    </row>
    <row r="313" spans="1:23" ht="39">
      <c r="A313" s="213" t="str">
        <f>IF(OR(CommitmentsTable[[#This Row],[Commitment / deliverable]]="",CommitmentsTable[[#This Row],[Immutable Key]]=""),"",SUBSTITUTE(CommitmentsTable[[#This Row],[Immutable Key]],"-K-","-"))</f>
        <v/>
      </c>
      <c r="B313" s="233"/>
      <c r="C313" s="233"/>
      <c r="D313" s="213"/>
      <c r="E313" s="230"/>
      <c r="F313" s="213"/>
      <c r="G313" s="245" t="str">
        <f ca="1">IF(CommitmentsTable[[#This Row],[Commitment / deliverable]]="","",IF(CommitmentsTable[[#This Row],[Date record entered]]="",TODAY(),CommitmentsTable[[#This Row],[Date record entered]]))</f>
        <v/>
      </c>
      <c r="H313" s="245"/>
      <c r="I313" s="245" t="str">
        <f ca="1">IF(CommitmentsTable[[#This Row],[Date Assigned if different from entry date]]&lt;&gt;"",CommitmentsTable[[#This Row],[Date Assigned if different from entry date]]+90,IF(CommitmentsTable[[#This Row],[Date record entered]]&lt;&gt;"",CommitmentsTable[[#This Row],[Date record entered]]+90,""))</f>
        <v/>
      </c>
      <c r="J313" s="245" t="str">
        <f ca="1">IF(CommitmentsTable[[#This Row],[Date Assigned if different from entry date]]&lt;&gt;"",CommitmentsTable[[#This Row],[Date Assigned if different from entry date]]+30,IF(CommitmentsTable[[#This Row],[Date record entered]]&lt;&gt;"",CommitmentsTable[[#This Row],[Date record entered]]+30,""))</f>
        <v/>
      </c>
      <c r="K313" s="245"/>
      <c r="L313" s="245" t="str">
        <f ca="1">IF(CommitmentsTable[[#This Row],[Date Assigned if different from entry date]]&lt;&gt;"",CommitmentsTable[[#This Row],[Date Assigned if different from entry date]]+60,IF(CommitmentsTable[[#This Row],[Date record entered]]&lt;&gt;"",CommitmentsTable[[#This Row],[Date record entered]]+60,""))</f>
        <v/>
      </c>
      <c r="M313" s="214"/>
      <c r="N313" s="214"/>
      <c r="O313" s="236"/>
      <c r="P313" s="214"/>
      <c r="Q313" s="214"/>
      <c r="R313" s="214"/>
      <c r="S313" s="238" t="str">
        <f>IF(CommitmentsTable[[#This Row],[Commitment / deliverable]]="","",IF(CommitmentsTable[[#This Row],[Revised due]]&lt;&gt;"",CommitmentsTable[[#This Row],[Revised due]],CommitmentsTable[[#This Row],[Original due]]))</f>
        <v/>
      </c>
      <c r="T313" s="237" t="str">
        <f>IF(OR(CommitmentsTable[[#This Row],[Commitment / deliverable]]="",CommitmentsTable[[#This Row],[Owner]]=""),"",IF(CommitmentsTable[[#This Row],[Status2]]="","Open",CommitmentsTable[[#This Row],[Status2]]))</f>
        <v/>
      </c>
      <c r="U313" s="237" t="str">
        <f t="shared" ca="1" si="4"/>
        <v/>
      </c>
      <c r="V313" s="233"/>
      <c r="W313" s="63" t="s">
        <v>1280</v>
      </c>
    </row>
    <row r="314" spans="1:23" ht="39">
      <c r="A314" s="213" t="str">
        <f>IF(OR(CommitmentsTable[[#This Row],[Commitment / deliverable]]="",CommitmentsTable[[#This Row],[Immutable Key]]=""),"",SUBSTITUTE(CommitmentsTable[[#This Row],[Immutable Key]],"-K-","-"))</f>
        <v/>
      </c>
      <c r="B314" s="233"/>
      <c r="C314" s="233"/>
      <c r="D314" s="213"/>
      <c r="E314" s="230"/>
      <c r="F314" s="213"/>
      <c r="G314" s="245" t="str">
        <f ca="1">IF(CommitmentsTable[[#This Row],[Commitment / deliverable]]="","",IF(CommitmentsTable[[#This Row],[Date record entered]]="",TODAY(),CommitmentsTable[[#This Row],[Date record entered]]))</f>
        <v/>
      </c>
      <c r="H314" s="245"/>
      <c r="I314" s="245" t="str">
        <f ca="1">IF(CommitmentsTable[[#This Row],[Date Assigned if different from entry date]]&lt;&gt;"",CommitmentsTable[[#This Row],[Date Assigned if different from entry date]]+90,IF(CommitmentsTable[[#This Row],[Date record entered]]&lt;&gt;"",CommitmentsTable[[#This Row],[Date record entered]]+90,""))</f>
        <v/>
      </c>
      <c r="J314" s="245" t="str">
        <f ca="1">IF(CommitmentsTable[[#This Row],[Date Assigned if different from entry date]]&lt;&gt;"",CommitmentsTable[[#This Row],[Date Assigned if different from entry date]]+30,IF(CommitmentsTable[[#This Row],[Date record entered]]&lt;&gt;"",CommitmentsTable[[#This Row],[Date record entered]]+30,""))</f>
        <v/>
      </c>
      <c r="K314" s="245"/>
      <c r="L314" s="245" t="str">
        <f ca="1">IF(CommitmentsTable[[#This Row],[Date Assigned if different from entry date]]&lt;&gt;"",CommitmentsTable[[#This Row],[Date Assigned if different from entry date]]+60,IF(CommitmentsTable[[#This Row],[Date record entered]]&lt;&gt;"",CommitmentsTable[[#This Row],[Date record entered]]+60,""))</f>
        <v/>
      </c>
      <c r="M314" s="214"/>
      <c r="N314" s="214"/>
      <c r="O314" s="236"/>
      <c r="P314" s="214"/>
      <c r="Q314" s="214"/>
      <c r="R314" s="214"/>
      <c r="S314" s="238" t="str">
        <f>IF(CommitmentsTable[[#This Row],[Commitment / deliverable]]="","",IF(CommitmentsTable[[#This Row],[Revised due]]&lt;&gt;"",CommitmentsTable[[#This Row],[Revised due]],CommitmentsTable[[#This Row],[Original due]]))</f>
        <v/>
      </c>
      <c r="T314" s="237" t="str">
        <f>IF(OR(CommitmentsTable[[#This Row],[Commitment / deliverable]]="",CommitmentsTable[[#This Row],[Owner]]=""),"",IF(CommitmentsTable[[#This Row],[Status2]]="","Open",CommitmentsTable[[#This Row],[Status2]]))</f>
        <v/>
      </c>
      <c r="U314" s="237" t="str">
        <f t="shared" ca="1" si="4"/>
        <v/>
      </c>
      <c r="V314" s="233"/>
      <c r="W314" s="63" t="s">
        <v>1281</v>
      </c>
    </row>
    <row r="315" spans="1:23" ht="39">
      <c r="A315" s="213" t="str">
        <f>IF(OR(CommitmentsTable[[#This Row],[Commitment / deliverable]]="",CommitmentsTable[[#This Row],[Immutable Key]]=""),"",SUBSTITUTE(CommitmentsTable[[#This Row],[Immutable Key]],"-K-","-"))</f>
        <v/>
      </c>
      <c r="B315" s="233"/>
      <c r="C315" s="233"/>
      <c r="D315" s="213"/>
      <c r="E315" s="230"/>
      <c r="F315" s="213"/>
      <c r="G315" s="245" t="str">
        <f ca="1">IF(CommitmentsTable[[#This Row],[Commitment / deliverable]]="","",IF(CommitmentsTable[[#This Row],[Date record entered]]="",TODAY(),CommitmentsTable[[#This Row],[Date record entered]]))</f>
        <v/>
      </c>
      <c r="H315" s="245"/>
      <c r="I315" s="245" t="str">
        <f ca="1">IF(CommitmentsTable[[#This Row],[Date Assigned if different from entry date]]&lt;&gt;"",CommitmentsTable[[#This Row],[Date Assigned if different from entry date]]+90,IF(CommitmentsTable[[#This Row],[Date record entered]]&lt;&gt;"",CommitmentsTable[[#This Row],[Date record entered]]+90,""))</f>
        <v/>
      </c>
      <c r="J315" s="245" t="str">
        <f ca="1">IF(CommitmentsTable[[#This Row],[Date Assigned if different from entry date]]&lt;&gt;"",CommitmentsTable[[#This Row],[Date Assigned if different from entry date]]+30,IF(CommitmentsTable[[#This Row],[Date record entered]]&lt;&gt;"",CommitmentsTable[[#This Row],[Date record entered]]+30,""))</f>
        <v/>
      </c>
      <c r="K315" s="245"/>
      <c r="L315" s="245" t="str">
        <f ca="1">IF(CommitmentsTable[[#This Row],[Date Assigned if different from entry date]]&lt;&gt;"",CommitmentsTable[[#This Row],[Date Assigned if different from entry date]]+60,IF(CommitmentsTable[[#This Row],[Date record entered]]&lt;&gt;"",CommitmentsTable[[#This Row],[Date record entered]]+60,""))</f>
        <v/>
      </c>
      <c r="M315" s="214"/>
      <c r="N315" s="214"/>
      <c r="O315" s="236"/>
      <c r="P315" s="214"/>
      <c r="Q315" s="214"/>
      <c r="R315" s="214"/>
      <c r="S315" s="238" t="str">
        <f>IF(CommitmentsTable[[#This Row],[Commitment / deliverable]]="","",IF(CommitmentsTable[[#This Row],[Revised due]]&lt;&gt;"",CommitmentsTable[[#This Row],[Revised due]],CommitmentsTable[[#This Row],[Original due]]))</f>
        <v/>
      </c>
      <c r="T315" s="237" t="str">
        <f>IF(OR(CommitmentsTable[[#This Row],[Commitment / deliverable]]="",CommitmentsTable[[#This Row],[Owner]]=""),"",IF(CommitmentsTable[[#This Row],[Status2]]="","Open",CommitmentsTable[[#This Row],[Status2]]))</f>
        <v/>
      </c>
      <c r="U315" s="237" t="str">
        <f t="shared" ca="1" si="4"/>
        <v/>
      </c>
      <c r="V315" s="233"/>
      <c r="W315" s="63" t="s">
        <v>1282</v>
      </c>
    </row>
    <row r="316" spans="1:23" ht="39">
      <c r="A316" s="213" t="str">
        <f>IF(OR(CommitmentsTable[[#This Row],[Commitment / deliverable]]="",CommitmentsTable[[#This Row],[Immutable Key]]=""),"",SUBSTITUTE(CommitmentsTable[[#This Row],[Immutable Key]],"-K-","-"))</f>
        <v/>
      </c>
      <c r="B316" s="233"/>
      <c r="C316" s="233"/>
      <c r="D316" s="213"/>
      <c r="E316" s="230"/>
      <c r="F316" s="213"/>
      <c r="G316" s="245" t="str">
        <f ca="1">IF(CommitmentsTable[[#This Row],[Commitment / deliverable]]="","",IF(CommitmentsTable[[#This Row],[Date record entered]]="",TODAY(),CommitmentsTable[[#This Row],[Date record entered]]))</f>
        <v/>
      </c>
      <c r="H316" s="245"/>
      <c r="I316" s="245" t="str">
        <f ca="1">IF(CommitmentsTable[[#This Row],[Date Assigned if different from entry date]]&lt;&gt;"",CommitmentsTable[[#This Row],[Date Assigned if different from entry date]]+90,IF(CommitmentsTable[[#This Row],[Date record entered]]&lt;&gt;"",CommitmentsTable[[#This Row],[Date record entered]]+90,""))</f>
        <v/>
      </c>
      <c r="J316" s="245" t="str">
        <f ca="1">IF(CommitmentsTable[[#This Row],[Date Assigned if different from entry date]]&lt;&gt;"",CommitmentsTable[[#This Row],[Date Assigned if different from entry date]]+30,IF(CommitmentsTable[[#This Row],[Date record entered]]&lt;&gt;"",CommitmentsTable[[#This Row],[Date record entered]]+30,""))</f>
        <v/>
      </c>
      <c r="K316" s="245"/>
      <c r="L316" s="245" t="str">
        <f ca="1">IF(CommitmentsTable[[#This Row],[Date Assigned if different from entry date]]&lt;&gt;"",CommitmentsTable[[#This Row],[Date Assigned if different from entry date]]+60,IF(CommitmentsTable[[#This Row],[Date record entered]]&lt;&gt;"",CommitmentsTable[[#This Row],[Date record entered]]+60,""))</f>
        <v/>
      </c>
      <c r="M316" s="214"/>
      <c r="N316" s="214"/>
      <c r="O316" s="236"/>
      <c r="P316" s="214"/>
      <c r="Q316" s="214"/>
      <c r="R316" s="214"/>
      <c r="S316" s="238" t="str">
        <f>IF(CommitmentsTable[[#This Row],[Commitment / deliverable]]="","",IF(CommitmentsTable[[#This Row],[Revised due]]&lt;&gt;"",CommitmentsTable[[#This Row],[Revised due]],CommitmentsTable[[#This Row],[Original due]]))</f>
        <v/>
      </c>
      <c r="T316" s="237" t="str">
        <f>IF(OR(CommitmentsTable[[#This Row],[Commitment / deliverable]]="",CommitmentsTable[[#This Row],[Owner]]=""),"",IF(CommitmentsTable[[#This Row],[Status2]]="","Open",CommitmentsTable[[#This Row],[Status2]]))</f>
        <v/>
      </c>
      <c r="U316" s="237" t="str">
        <f t="shared" ca="1" si="4"/>
        <v/>
      </c>
      <c r="V316" s="233"/>
      <c r="W316" s="63" t="s">
        <v>1283</v>
      </c>
    </row>
    <row r="317" spans="1:23" ht="39">
      <c r="A317" s="213" t="str">
        <f>IF(OR(CommitmentsTable[[#This Row],[Commitment / deliverable]]="",CommitmentsTable[[#This Row],[Immutable Key]]=""),"",SUBSTITUTE(CommitmentsTable[[#This Row],[Immutable Key]],"-K-","-"))</f>
        <v/>
      </c>
      <c r="B317" s="233"/>
      <c r="C317" s="233"/>
      <c r="D317" s="213"/>
      <c r="E317" s="230"/>
      <c r="F317" s="213"/>
      <c r="G317" s="245" t="str">
        <f ca="1">IF(CommitmentsTable[[#This Row],[Commitment / deliverable]]="","",IF(CommitmentsTable[[#This Row],[Date record entered]]="",TODAY(),CommitmentsTable[[#This Row],[Date record entered]]))</f>
        <v/>
      </c>
      <c r="H317" s="245"/>
      <c r="I317" s="245" t="str">
        <f ca="1">IF(CommitmentsTable[[#This Row],[Date Assigned if different from entry date]]&lt;&gt;"",CommitmentsTable[[#This Row],[Date Assigned if different from entry date]]+90,IF(CommitmentsTable[[#This Row],[Date record entered]]&lt;&gt;"",CommitmentsTable[[#This Row],[Date record entered]]+90,""))</f>
        <v/>
      </c>
      <c r="J317" s="245" t="str">
        <f ca="1">IF(CommitmentsTable[[#This Row],[Date Assigned if different from entry date]]&lt;&gt;"",CommitmentsTable[[#This Row],[Date Assigned if different from entry date]]+30,IF(CommitmentsTable[[#This Row],[Date record entered]]&lt;&gt;"",CommitmentsTable[[#This Row],[Date record entered]]+30,""))</f>
        <v/>
      </c>
      <c r="K317" s="245"/>
      <c r="L317" s="245" t="str">
        <f ca="1">IF(CommitmentsTable[[#This Row],[Date Assigned if different from entry date]]&lt;&gt;"",CommitmentsTable[[#This Row],[Date Assigned if different from entry date]]+60,IF(CommitmentsTable[[#This Row],[Date record entered]]&lt;&gt;"",CommitmentsTable[[#This Row],[Date record entered]]+60,""))</f>
        <v/>
      </c>
      <c r="M317" s="214"/>
      <c r="N317" s="214"/>
      <c r="O317" s="236"/>
      <c r="P317" s="214"/>
      <c r="Q317" s="214"/>
      <c r="R317" s="214"/>
      <c r="S317" s="238" t="str">
        <f>IF(CommitmentsTable[[#This Row],[Commitment / deliverable]]="","",IF(CommitmentsTable[[#This Row],[Revised due]]&lt;&gt;"",CommitmentsTable[[#This Row],[Revised due]],CommitmentsTable[[#This Row],[Original due]]))</f>
        <v/>
      </c>
      <c r="T317" s="237" t="str">
        <f>IF(OR(CommitmentsTable[[#This Row],[Commitment / deliverable]]="",CommitmentsTable[[#This Row],[Owner]]=""),"",IF(CommitmentsTable[[#This Row],[Status2]]="","Open",CommitmentsTable[[#This Row],[Status2]]))</f>
        <v/>
      </c>
      <c r="U317" s="237" t="str">
        <f t="shared" ca="1" si="4"/>
        <v/>
      </c>
      <c r="V317" s="233"/>
      <c r="W317" s="63" t="s">
        <v>1284</v>
      </c>
    </row>
    <row r="318" spans="1:23" ht="39">
      <c r="A318" s="213" t="str">
        <f>IF(OR(CommitmentsTable[[#This Row],[Commitment / deliverable]]="",CommitmentsTable[[#This Row],[Immutable Key]]=""),"",SUBSTITUTE(CommitmentsTable[[#This Row],[Immutable Key]],"-K-","-"))</f>
        <v/>
      </c>
      <c r="B318" s="233"/>
      <c r="C318" s="233"/>
      <c r="D318" s="213"/>
      <c r="E318" s="230"/>
      <c r="F318" s="213"/>
      <c r="G318" s="245" t="str">
        <f ca="1">IF(CommitmentsTable[[#This Row],[Commitment / deliverable]]="","",IF(CommitmentsTable[[#This Row],[Date record entered]]="",TODAY(),CommitmentsTable[[#This Row],[Date record entered]]))</f>
        <v/>
      </c>
      <c r="H318" s="245"/>
      <c r="I318" s="245" t="str">
        <f ca="1">IF(CommitmentsTable[[#This Row],[Date Assigned if different from entry date]]&lt;&gt;"",CommitmentsTable[[#This Row],[Date Assigned if different from entry date]]+90,IF(CommitmentsTable[[#This Row],[Date record entered]]&lt;&gt;"",CommitmentsTable[[#This Row],[Date record entered]]+90,""))</f>
        <v/>
      </c>
      <c r="J318" s="245" t="str">
        <f ca="1">IF(CommitmentsTable[[#This Row],[Date Assigned if different from entry date]]&lt;&gt;"",CommitmentsTable[[#This Row],[Date Assigned if different from entry date]]+30,IF(CommitmentsTable[[#This Row],[Date record entered]]&lt;&gt;"",CommitmentsTable[[#This Row],[Date record entered]]+30,""))</f>
        <v/>
      </c>
      <c r="K318" s="245"/>
      <c r="L318" s="245" t="str">
        <f ca="1">IF(CommitmentsTable[[#This Row],[Date Assigned if different from entry date]]&lt;&gt;"",CommitmentsTable[[#This Row],[Date Assigned if different from entry date]]+60,IF(CommitmentsTable[[#This Row],[Date record entered]]&lt;&gt;"",CommitmentsTable[[#This Row],[Date record entered]]+60,""))</f>
        <v/>
      </c>
      <c r="M318" s="214"/>
      <c r="N318" s="214"/>
      <c r="O318" s="236"/>
      <c r="P318" s="214"/>
      <c r="Q318" s="214"/>
      <c r="R318" s="214"/>
      <c r="S318" s="238" t="str">
        <f>IF(CommitmentsTable[[#This Row],[Commitment / deliverable]]="","",IF(CommitmentsTable[[#This Row],[Revised due]]&lt;&gt;"",CommitmentsTable[[#This Row],[Revised due]],CommitmentsTable[[#This Row],[Original due]]))</f>
        <v/>
      </c>
      <c r="T318" s="237" t="str">
        <f>IF(OR(CommitmentsTable[[#This Row],[Commitment / deliverable]]="",CommitmentsTable[[#This Row],[Owner]]=""),"",IF(CommitmentsTable[[#This Row],[Status2]]="","Open",CommitmentsTable[[#This Row],[Status2]]))</f>
        <v/>
      </c>
      <c r="U318" s="237" t="str">
        <f t="shared" ca="1" si="4"/>
        <v/>
      </c>
      <c r="V318" s="233"/>
      <c r="W318" s="63" t="s">
        <v>1285</v>
      </c>
    </row>
    <row r="319" spans="1:23" ht="39">
      <c r="A319" s="213" t="str">
        <f>IF(OR(CommitmentsTable[[#This Row],[Commitment / deliverable]]="",CommitmentsTable[[#This Row],[Immutable Key]]=""),"",SUBSTITUTE(CommitmentsTable[[#This Row],[Immutable Key]],"-K-","-"))</f>
        <v/>
      </c>
      <c r="B319" s="233"/>
      <c r="C319" s="233"/>
      <c r="D319" s="213"/>
      <c r="E319" s="230"/>
      <c r="F319" s="213"/>
      <c r="G319" s="245" t="str">
        <f ca="1">IF(CommitmentsTable[[#This Row],[Commitment / deliverable]]="","",IF(CommitmentsTable[[#This Row],[Date record entered]]="",TODAY(),CommitmentsTable[[#This Row],[Date record entered]]))</f>
        <v/>
      </c>
      <c r="H319" s="245"/>
      <c r="I319" s="245" t="str">
        <f ca="1">IF(CommitmentsTable[[#This Row],[Date Assigned if different from entry date]]&lt;&gt;"",CommitmentsTable[[#This Row],[Date Assigned if different from entry date]]+90,IF(CommitmentsTable[[#This Row],[Date record entered]]&lt;&gt;"",CommitmentsTable[[#This Row],[Date record entered]]+90,""))</f>
        <v/>
      </c>
      <c r="J319" s="245" t="str">
        <f ca="1">IF(CommitmentsTable[[#This Row],[Date Assigned if different from entry date]]&lt;&gt;"",CommitmentsTable[[#This Row],[Date Assigned if different from entry date]]+30,IF(CommitmentsTable[[#This Row],[Date record entered]]&lt;&gt;"",CommitmentsTable[[#This Row],[Date record entered]]+30,""))</f>
        <v/>
      </c>
      <c r="K319" s="245"/>
      <c r="L319" s="245" t="str">
        <f ca="1">IF(CommitmentsTable[[#This Row],[Date Assigned if different from entry date]]&lt;&gt;"",CommitmentsTable[[#This Row],[Date Assigned if different from entry date]]+60,IF(CommitmentsTable[[#This Row],[Date record entered]]&lt;&gt;"",CommitmentsTable[[#This Row],[Date record entered]]+60,""))</f>
        <v/>
      </c>
      <c r="M319" s="214"/>
      <c r="N319" s="214"/>
      <c r="O319" s="236"/>
      <c r="P319" s="214"/>
      <c r="Q319" s="214"/>
      <c r="R319" s="214"/>
      <c r="S319" s="238" t="str">
        <f>IF(CommitmentsTable[[#This Row],[Commitment / deliverable]]="","",IF(CommitmentsTable[[#This Row],[Revised due]]&lt;&gt;"",CommitmentsTable[[#This Row],[Revised due]],CommitmentsTable[[#This Row],[Original due]]))</f>
        <v/>
      </c>
      <c r="T319" s="237" t="str">
        <f>IF(OR(CommitmentsTable[[#This Row],[Commitment / deliverable]]="",CommitmentsTable[[#This Row],[Owner]]=""),"",IF(CommitmentsTable[[#This Row],[Status2]]="","Open",CommitmentsTable[[#This Row],[Status2]]))</f>
        <v/>
      </c>
      <c r="U319" s="237" t="str">
        <f t="shared" ca="1" si="4"/>
        <v/>
      </c>
      <c r="V319" s="233"/>
      <c r="W319" s="63" t="s">
        <v>1286</v>
      </c>
    </row>
    <row r="320" spans="1:23" ht="39">
      <c r="A320" s="213" t="str">
        <f>IF(OR(CommitmentsTable[[#This Row],[Commitment / deliverable]]="",CommitmentsTable[[#This Row],[Immutable Key]]=""),"",SUBSTITUTE(CommitmentsTable[[#This Row],[Immutable Key]],"-K-","-"))</f>
        <v/>
      </c>
      <c r="B320" s="233"/>
      <c r="C320" s="233"/>
      <c r="D320" s="213"/>
      <c r="E320" s="230"/>
      <c r="F320" s="213"/>
      <c r="G320" s="245" t="str">
        <f ca="1">IF(CommitmentsTable[[#This Row],[Commitment / deliverable]]="","",IF(CommitmentsTable[[#This Row],[Date record entered]]="",TODAY(),CommitmentsTable[[#This Row],[Date record entered]]))</f>
        <v/>
      </c>
      <c r="H320" s="245"/>
      <c r="I320" s="245" t="str">
        <f ca="1">IF(CommitmentsTable[[#This Row],[Date Assigned if different from entry date]]&lt;&gt;"",CommitmentsTable[[#This Row],[Date Assigned if different from entry date]]+90,IF(CommitmentsTable[[#This Row],[Date record entered]]&lt;&gt;"",CommitmentsTable[[#This Row],[Date record entered]]+90,""))</f>
        <v/>
      </c>
      <c r="J320" s="245" t="str">
        <f ca="1">IF(CommitmentsTable[[#This Row],[Date Assigned if different from entry date]]&lt;&gt;"",CommitmentsTable[[#This Row],[Date Assigned if different from entry date]]+30,IF(CommitmentsTable[[#This Row],[Date record entered]]&lt;&gt;"",CommitmentsTable[[#This Row],[Date record entered]]+30,""))</f>
        <v/>
      </c>
      <c r="K320" s="245"/>
      <c r="L320" s="245" t="str">
        <f ca="1">IF(CommitmentsTable[[#This Row],[Date Assigned if different from entry date]]&lt;&gt;"",CommitmentsTable[[#This Row],[Date Assigned if different from entry date]]+60,IF(CommitmentsTable[[#This Row],[Date record entered]]&lt;&gt;"",CommitmentsTable[[#This Row],[Date record entered]]+60,""))</f>
        <v/>
      </c>
      <c r="M320" s="214"/>
      <c r="N320" s="214"/>
      <c r="O320" s="236"/>
      <c r="P320" s="214"/>
      <c r="Q320" s="214"/>
      <c r="R320" s="214"/>
      <c r="S320" s="238" t="str">
        <f>IF(CommitmentsTable[[#This Row],[Commitment / deliverable]]="","",IF(CommitmentsTable[[#This Row],[Revised due]]&lt;&gt;"",CommitmentsTable[[#This Row],[Revised due]],CommitmentsTable[[#This Row],[Original due]]))</f>
        <v/>
      </c>
      <c r="T320" s="237" t="str">
        <f>IF(OR(CommitmentsTable[[#This Row],[Commitment / deliverable]]="",CommitmentsTable[[#This Row],[Owner]]=""),"",IF(CommitmentsTable[[#This Row],[Status2]]="","Open",CommitmentsTable[[#This Row],[Status2]]))</f>
        <v/>
      </c>
      <c r="U320" s="237" t="str">
        <f t="shared" ca="1" si="4"/>
        <v/>
      </c>
      <c r="V320" s="233"/>
      <c r="W320" s="63" t="s">
        <v>1287</v>
      </c>
    </row>
    <row r="321" spans="1:23" ht="39">
      <c r="A321" s="213" t="str">
        <f>IF(OR(CommitmentsTable[[#This Row],[Commitment / deliverable]]="",CommitmentsTable[[#This Row],[Immutable Key]]=""),"",SUBSTITUTE(CommitmentsTable[[#This Row],[Immutable Key]],"-K-","-"))</f>
        <v/>
      </c>
      <c r="B321" s="233"/>
      <c r="C321" s="233"/>
      <c r="D321" s="213"/>
      <c r="E321" s="230"/>
      <c r="F321" s="213"/>
      <c r="G321" s="245" t="str">
        <f ca="1">IF(CommitmentsTable[[#This Row],[Commitment / deliverable]]="","",IF(CommitmentsTable[[#This Row],[Date record entered]]="",TODAY(),CommitmentsTable[[#This Row],[Date record entered]]))</f>
        <v/>
      </c>
      <c r="H321" s="245"/>
      <c r="I321" s="245" t="str">
        <f ca="1">IF(CommitmentsTable[[#This Row],[Date Assigned if different from entry date]]&lt;&gt;"",CommitmentsTable[[#This Row],[Date Assigned if different from entry date]]+90,IF(CommitmentsTable[[#This Row],[Date record entered]]&lt;&gt;"",CommitmentsTable[[#This Row],[Date record entered]]+90,""))</f>
        <v/>
      </c>
      <c r="J321" s="245" t="str">
        <f ca="1">IF(CommitmentsTable[[#This Row],[Date Assigned if different from entry date]]&lt;&gt;"",CommitmentsTable[[#This Row],[Date Assigned if different from entry date]]+30,IF(CommitmentsTable[[#This Row],[Date record entered]]&lt;&gt;"",CommitmentsTable[[#This Row],[Date record entered]]+30,""))</f>
        <v/>
      </c>
      <c r="K321" s="245"/>
      <c r="L321" s="245" t="str">
        <f ca="1">IF(CommitmentsTable[[#This Row],[Date Assigned if different from entry date]]&lt;&gt;"",CommitmentsTable[[#This Row],[Date Assigned if different from entry date]]+60,IF(CommitmentsTable[[#This Row],[Date record entered]]&lt;&gt;"",CommitmentsTable[[#This Row],[Date record entered]]+60,""))</f>
        <v/>
      </c>
      <c r="M321" s="214"/>
      <c r="N321" s="214"/>
      <c r="O321" s="236"/>
      <c r="P321" s="214"/>
      <c r="Q321" s="214"/>
      <c r="R321" s="214"/>
      <c r="S321" s="238" t="str">
        <f>IF(CommitmentsTable[[#This Row],[Commitment / deliverable]]="","",IF(CommitmentsTable[[#This Row],[Revised due]]&lt;&gt;"",CommitmentsTable[[#This Row],[Revised due]],CommitmentsTable[[#This Row],[Original due]]))</f>
        <v/>
      </c>
      <c r="T321" s="237" t="str">
        <f>IF(OR(CommitmentsTable[[#This Row],[Commitment / deliverable]]="",CommitmentsTable[[#This Row],[Owner]]=""),"",IF(CommitmentsTable[[#This Row],[Status2]]="","Open",CommitmentsTable[[#This Row],[Status2]]))</f>
        <v/>
      </c>
      <c r="U321" s="237" t="str">
        <f t="shared" ca="1" si="4"/>
        <v/>
      </c>
      <c r="V321" s="233"/>
      <c r="W321" s="63" t="s">
        <v>1288</v>
      </c>
    </row>
    <row r="322" spans="1:23" ht="39">
      <c r="A322" s="213" t="str">
        <f>IF(OR(CommitmentsTable[[#This Row],[Commitment / deliverable]]="",CommitmentsTable[[#This Row],[Immutable Key]]=""),"",SUBSTITUTE(CommitmentsTable[[#This Row],[Immutable Key]],"-K-","-"))</f>
        <v/>
      </c>
      <c r="B322" s="233"/>
      <c r="C322" s="233"/>
      <c r="D322" s="213"/>
      <c r="E322" s="230"/>
      <c r="F322" s="213"/>
      <c r="G322" s="245" t="str">
        <f ca="1">IF(CommitmentsTable[[#This Row],[Commitment / deliverable]]="","",IF(CommitmentsTable[[#This Row],[Date record entered]]="",TODAY(),CommitmentsTable[[#This Row],[Date record entered]]))</f>
        <v/>
      </c>
      <c r="H322" s="245"/>
      <c r="I322" s="245" t="str">
        <f ca="1">IF(CommitmentsTable[[#This Row],[Date Assigned if different from entry date]]&lt;&gt;"",CommitmentsTable[[#This Row],[Date Assigned if different from entry date]]+90,IF(CommitmentsTable[[#This Row],[Date record entered]]&lt;&gt;"",CommitmentsTable[[#This Row],[Date record entered]]+90,""))</f>
        <v/>
      </c>
      <c r="J322" s="245" t="str">
        <f ca="1">IF(CommitmentsTable[[#This Row],[Date Assigned if different from entry date]]&lt;&gt;"",CommitmentsTable[[#This Row],[Date Assigned if different from entry date]]+30,IF(CommitmentsTable[[#This Row],[Date record entered]]&lt;&gt;"",CommitmentsTable[[#This Row],[Date record entered]]+30,""))</f>
        <v/>
      </c>
      <c r="K322" s="245"/>
      <c r="L322" s="245" t="str">
        <f ca="1">IF(CommitmentsTable[[#This Row],[Date Assigned if different from entry date]]&lt;&gt;"",CommitmentsTable[[#This Row],[Date Assigned if different from entry date]]+60,IF(CommitmentsTable[[#This Row],[Date record entered]]&lt;&gt;"",CommitmentsTable[[#This Row],[Date record entered]]+60,""))</f>
        <v/>
      </c>
      <c r="M322" s="214"/>
      <c r="N322" s="214"/>
      <c r="O322" s="236"/>
      <c r="P322" s="214"/>
      <c r="Q322" s="214"/>
      <c r="R322" s="214"/>
      <c r="S322" s="238" t="str">
        <f>IF(CommitmentsTable[[#This Row],[Commitment / deliverable]]="","",IF(CommitmentsTable[[#This Row],[Revised due]]&lt;&gt;"",CommitmentsTable[[#This Row],[Revised due]],CommitmentsTable[[#This Row],[Original due]]))</f>
        <v/>
      </c>
      <c r="T322" s="237" t="str">
        <f>IF(OR(CommitmentsTable[[#This Row],[Commitment / deliverable]]="",CommitmentsTable[[#This Row],[Owner]]=""),"",IF(CommitmentsTable[[#This Row],[Status2]]="","Open",CommitmentsTable[[#This Row],[Status2]]))</f>
        <v/>
      </c>
      <c r="U322" s="237" t="str">
        <f t="shared" ca="1" si="4"/>
        <v/>
      </c>
      <c r="V322" s="233"/>
      <c r="W322" s="63" t="s">
        <v>1289</v>
      </c>
    </row>
    <row r="323" spans="1:23" ht="39">
      <c r="A323" s="213" t="str">
        <f>IF(OR(CommitmentsTable[[#This Row],[Commitment / deliverable]]="",CommitmentsTable[[#This Row],[Immutable Key]]=""),"",SUBSTITUTE(CommitmentsTable[[#This Row],[Immutable Key]],"-K-","-"))</f>
        <v/>
      </c>
      <c r="B323" s="233"/>
      <c r="C323" s="233"/>
      <c r="D323" s="213"/>
      <c r="E323" s="230"/>
      <c r="F323" s="213"/>
      <c r="G323" s="245" t="str">
        <f ca="1">IF(CommitmentsTable[[#This Row],[Commitment / deliverable]]="","",IF(CommitmentsTable[[#This Row],[Date record entered]]="",TODAY(),CommitmentsTable[[#This Row],[Date record entered]]))</f>
        <v/>
      </c>
      <c r="H323" s="245"/>
      <c r="I323" s="245" t="str">
        <f ca="1">IF(CommitmentsTable[[#This Row],[Date Assigned if different from entry date]]&lt;&gt;"",CommitmentsTable[[#This Row],[Date Assigned if different from entry date]]+90,IF(CommitmentsTable[[#This Row],[Date record entered]]&lt;&gt;"",CommitmentsTable[[#This Row],[Date record entered]]+90,""))</f>
        <v/>
      </c>
      <c r="J323" s="245" t="str">
        <f ca="1">IF(CommitmentsTable[[#This Row],[Date Assigned if different from entry date]]&lt;&gt;"",CommitmentsTable[[#This Row],[Date Assigned if different from entry date]]+30,IF(CommitmentsTable[[#This Row],[Date record entered]]&lt;&gt;"",CommitmentsTable[[#This Row],[Date record entered]]+30,""))</f>
        <v/>
      </c>
      <c r="K323" s="245"/>
      <c r="L323" s="245" t="str">
        <f ca="1">IF(CommitmentsTable[[#This Row],[Date Assigned if different from entry date]]&lt;&gt;"",CommitmentsTable[[#This Row],[Date Assigned if different from entry date]]+60,IF(CommitmentsTable[[#This Row],[Date record entered]]&lt;&gt;"",CommitmentsTable[[#This Row],[Date record entered]]+60,""))</f>
        <v/>
      </c>
      <c r="M323" s="214"/>
      <c r="N323" s="214"/>
      <c r="O323" s="236"/>
      <c r="P323" s="214"/>
      <c r="Q323" s="214"/>
      <c r="R323" s="214"/>
      <c r="S323" s="238" t="str">
        <f>IF(CommitmentsTable[[#This Row],[Commitment / deliverable]]="","",IF(CommitmentsTable[[#This Row],[Revised due]]&lt;&gt;"",CommitmentsTable[[#This Row],[Revised due]],CommitmentsTable[[#This Row],[Original due]]))</f>
        <v/>
      </c>
      <c r="T323" s="237" t="str">
        <f>IF(OR(CommitmentsTable[[#This Row],[Commitment / deliverable]]="",CommitmentsTable[[#This Row],[Owner]]=""),"",IF(CommitmentsTable[[#This Row],[Status2]]="","Open",CommitmentsTable[[#This Row],[Status2]]))</f>
        <v/>
      </c>
      <c r="U323" s="237" t="str">
        <f t="shared" ca="1" si="4"/>
        <v/>
      </c>
      <c r="V323" s="233"/>
      <c r="W323" s="63" t="s">
        <v>1290</v>
      </c>
    </row>
    <row r="324" spans="1:23" ht="39">
      <c r="A324" s="213" t="str">
        <f>IF(OR(CommitmentsTable[[#This Row],[Commitment / deliverable]]="",CommitmentsTable[[#This Row],[Immutable Key]]=""),"",SUBSTITUTE(CommitmentsTable[[#This Row],[Immutable Key]],"-K-","-"))</f>
        <v/>
      </c>
      <c r="B324" s="233"/>
      <c r="C324" s="233"/>
      <c r="D324" s="213"/>
      <c r="E324" s="230"/>
      <c r="F324" s="213"/>
      <c r="G324" s="245" t="str">
        <f ca="1">IF(CommitmentsTable[[#This Row],[Commitment / deliverable]]="","",IF(CommitmentsTable[[#This Row],[Date record entered]]="",TODAY(),CommitmentsTable[[#This Row],[Date record entered]]))</f>
        <v/>
      </c>
      <c r="H324" s="245"/>
      <c r="I324" s="245" t="str">
        <f ca="1">IF(CommitmentsTable[[#This Row],[Date Assigned if different from entry date]]&lt;&gt;"",CommitmentsTable[[#This Row],[Date Assigned if different from entry date]]+90,IF(CommitmentsTable[[#This Row],[Date record entered]]&lt;&gt;"",CommitmentsTable[[#This Row],[Date record entered]]+90,""))</f>
        <v/>
      </c>
      <c r="J324" s="245" t="str">
        <f ca="1">IF(CommitmentsTable[[#This Row],[Date Assigned if different from entry date]]&lt;&gt;"",CommitmentsTable[[#This Row],[Date Assigned if different from entry date]]+30,IF(CommitmentsTable[[#This Row],[Date record entered]]&lt;&gt;"",CommitmentsTable[[#This Row],[Date record entered]]+30,""))</f>
        <v/>
      </c>
      <c r="K324" s="245"/>
      <c r="L324" s="245" t="str">
        <f ca="1">IF(CommitmentsTable[[#This Row],[Date Assigned if different from entry date]]&lt;&gt;"",CommitmentsTable[[#This Row],[Date Assigned if different from entry date]]+60,IF(CommitmentsTable[[#This Row],[Date record entered]]&lt;&gt;"",CommitmentsTable[[#This Row],[Date record entered]]+60,""))</f>
        <v/>
      </c>
      <c r="M324" s="214"/>
      <c r="N324" s="214"/>
      <c r="O324" s="236"/>
      <c r="P324" s="214"/>
      <c r="Q324" s="214"/>
      <c r="R324" s="214"/>
      <c r="S324" s="238" t="str">
        <f>IF(CommitmentsTable[[#This Row],[Commitment / deliverable]]="","",IF(CommitmentsTable[[#This Row],[Revised due]]&lt;&gt;"",CommitmentsTable[[#This Row],[Revised due]],CommitmentsTable[[#This Row],[Original due]]))</f>
        <v/>
      </c>
      <c r="T324" s="237" t="str">
        <f>IF(OR(CommitmentsTable[[#This Row],[Commitment / deliverable]]="",CommitmentsTable[[#This Row],[Owner]]=""),"",IF(CommitmentsTable[[#This Row],[Status2]]="","Open",CommitmentsTable[[#This Row],[Status2]]))</f>
        <v/>
      </c>
      <c r="U324" s="237" t="str">
        <f t="shared" ca="1" si="4"/>
        <v/>
      </c>
      <c r="V324" s="233"/>
      <c r="W324" s="63" t="s">
        <v>1291</v>
      </c>
    </row>
    <row r="325" spans="1:23" ht="39">
      <c r="A325" s="213" t="str">
        <f>IF(OR(CommitmentsTable[[#This Row],[Commitment / deliverable]]="",CommitmentsTable[[#This Row],[Immutable Key]]=""),"",SUBSTITUTE(CommitmentsTable[[#This Row],[Immutable Key]],"-K-","-"))</f>
        <v/>
      </c>
      <c r="B325" s="233"/>
      <c r="C325" s="233"/>
      <c r="D325" s="213"/>
      <c r="E325" s="230"/>
      <c r="F325" s="213"/>
      <c r="G325" s="245" t="str">
        <f ca="1">IF(CommitmentsTable[[#This Row],[Commitment / deliverable]]="","",IF(CommitmentsTable[[#This Row],[Date record entered]]="",TODAY(),CommitmentsTable[[#This Row],[Date record entered]]))</f>
        <v/>
      </c>
      <c r="H325" s="245"/>
      <c r="I325" s="245" t="str">
        <f ca="1">IF(CommitmentsTable[[#This Row],[Date Assigned if different from entry date]]&lt;&gt;"",CommitmentsTable[[#This Row],[Date Assigned if different from entry date]]+90,IF(CommitmentsTable[[#This Row],[Date record entered]]&lt;&gt;"",CommitmentsTable[[#This Row],[Date record entered]]+90,""))</f>
        <v/>
      </c>
      <c r="J325" s="245" t="str">
        <f ca="1">IF(CommitmentsTable[[#This Row],[Date Assigned if different from entry date]]&lt;&gt;"",CommitmentsTable[[#This Row],[Date Assigned if different from entry date]]+30,IF(CommitmentsTable[[#This Row],[Date record entered]]&lt;&gt;"",CommitmentsTable[[#This Row],[Date record entered]]+30,""))</f>
        <v/>
      </c>
      <c r="K325" s="245"/>
      <c r="L325" s="245" t="str">
        <f ca="1">IF(CommitmentsTable[[#This Row],[Date Assigned if different from entry date]]&lt;&gt;"",CommitmentsTable[[#This Row],[Date Assigned if different from entry date]]+60,IF(CommitmentsTable[[#This Row],[Date record entered]]&lt;&gt;"",CommitmentsTable[[#This Row],[Date record entered]]+60,""))</f>
        <v/>
      </c>
      <c r="M325" s="214"/>
      <c r="N325" s="214"/>
      <c r="O325" s="236"/>
      <c r="P325" s="214"/>
      <c r="Q325" s="214"/>
      <c r="R325" s="214"/>
      <c r="S325" s="238" t="str">
        <f>IF(CommitmentsTable[[#This Row],[Commitment / deliverable]]="","",IF(CommitmentsTable[[#This Row],[Revised due]]&lt;&gt;"",CommitmentsTable[[#This Row],[Revised due]],CommitmentsTable[[#This Row],[Original due]]))</f>
        <v/>
      </c>
      <c r="T325" s="237" t="str">
        <f>IF(OR(CommitmentsTable[[#This Row],[Commitment / deliverable]]="",CommitmentsTable[[#This Row],[Owner]]=""),"",IF(CommitmentsTable[[#This Row],[Status2]]="","Open",CommitmentsTable[[#This Row],[Status2]]))</f>
        <v/>
      </c>
      <c r="U325" s="237" t="str">
        <f t="shared" ca="1" si="4"/>
        <v/>
      </c>
      <c r="V325" s="233"/>
      <c r="W325" s="63" t="s">
        <v>1292</v>
      </c>
    </row>
    <row r="326" spans="1:23" ht="39">
      <c r="A326" s="213" t="str">
        <f>IF(OR(CommitmentsTable[[#This Row],[Commitment / deliverable]]="",CommitmentsTable[[#This Row],[Immutable Key]]=""),"",SUBSTITUTE(CommitmentsTable[[#This Row],[Immutable Key]],"-K-","-"))</f>
        <v/>
      </c>
      <c r="B326" s="233"/>
      <c r="C326" s="233"/>
      <c r="D326" s="213"/>
      <c r="E326" s="230"/>
      <c r="F326" s="213"/>
      <c r="G326" s="245" t="str">
        <f ca="1">IF(CommitmentsTable[[#This Row],[Commitment / deliverable]]="","",IF(CommitmentsTable[[#This Row],[Date record entered]]="",TODAY(),CommitmentsTable[[#This Row],[Date record entered]]))</f>
        <v/>
      </c>
      <c r="H326" s="245"/>
      <c r="I326" s="245" t="str">
        <f ca="1">IF(CommitmentsTable[[#This Row],[Date Assigned if different from entry date]]&lt;&gt;"",CommitmentsTable[[#This Row],[Date Assigned if different from entry date]]+90,IF(CommitmentsTable[[#This Row],[Date record entered]]&lt;&gt;"",CommitmentsTable[[#This Row],[Date record entered]]+90,""))</f>
        <v/>
      </c>
      <c r="J326" s="245" t="str">
        <f ca="1">IF(CommitmentsTable[[#This Row],[Date Assigned if different from entry date]]&lt;&gt;"",CommitmentsTable[[#This Row],[Date Assigned if different from entry date]]+30,IF(CommitmentsTable[[#This Row],[Date record entered]]&lt;&gt;"",CommitmentsTable[[#This Row],[Date record entered]]+30,""))</f>
        <v/>
      </c>
      <c r="K326" s="245"/>
      <c r="L326" s="245" t="str">
        <f ca="1">IF(CommitmentsTable[[#This Row],[Date Assigned if different from entry date]]&lt;&gt;"",CommitmentsTable[[#This Row],[Date Assigned if different from entry date]]+60,IF(CommitmentsTable[[#This Row],[Date record entered]]&lt;&gt;"",CommitmentsTable[[#This Row],[Date record entered]]+60,""))</f>
        <v/>
      </c>
      <c r="M326" s="214"/>
      <c r="N326" s="214"/>
      <c r="O326" s="236"/>
      <c r="P326" s="214"/>
      <c r="Q326" s="214"/>
      <c r="R326" s="214"/>
      <c r="S326" s="238" t="str">
        <f>IF(CommitmentsTable[[#This Row],[Commitment / deliverable]]="","",IF(CommitmentsTable[[#This Row],[Revised due]]&lt;&gt;"",CommitmentsTable[[#This Row],[Revised due]],CommitmentsTable[[#This Row],[Original due]]))</f>
        <v/>
      </c>
      <c r="T326" s="237" t="str">
        <f>IF(OR(CommitmentsTable[[#This Row],[Commitment / deliverable]]="",CommitmentsTable[[#This Row],[Owner]]=""),"",IF(CommitmentsTable[[#This Row],[Status2]]="","Open",CommitmentsTable[[#This Row],[Status2]]))</f>
        <v/>
      </c>
      <c r="U326" s="237" t="str">
        <f t="shared" ca="1" si="4"/>
        <v/>
      </c>
      <c r="V326" s="233"/>
      <c r="W326" s="63" t="s">
        <v>1293</v>
      </c>
    </row>
    <row r="327" spans="1:23" ht="39">
      <c r="A327" s="213" t="str">
        <f>IF(OR(CommitmentsTable[[#This Row],[Commitment / deliverable]]="",CommitmentsTable[[#This Row],[Immutable Key]]=""),"",SUBSTITUTE(CommitmentsTable[[#This Row],[Immutable Key]],"-K-","-"))</f>
        <v/>
      </c>
      <c r="B327" s="233"/>
      <c r="C327" s="233"/>
      <c r="D327" s="213"/>
      <c r="E327" s="230"/>
      <c r="F327" s="213"/>
      <c r="G327" s="245" t="str">
        <f ca="1">IF(CommitmentsTable[[#This Row],[Commitment / deliverable]]="","",IF(CommitmentsTable[[#This Row],[Date record entered]]="",TODAY(),CommitmentsTable[[#This Row],[Date record entered]]))</f>
        <v/>
      </c>
      <c r="H327" s="245"/>
      <c r="I327" s="245" t="str">
        <f ca="1">IF(CommitmentsTable[[#This Row],[Date Assigned if different from entry date]]&lt;&gt;"",CommitmentsTable[[#This Row],[Date Assigned if different from entry date]]+90,IF(CommitmentsTable[[#This Row],[Date record entered]]&lt;&gt;"",CommitmentsTable[[#This Row],[Date record entered]]+90,""))</f>
        <v/>
      </c>
      <c r="J327" s="245" t="str">
        <f ca="1">IF(CommitmentsTable[[#This Row],[Date Assigned if different from entry date]]&lt;&gt;"",CommitmentsTable[[#This Row],[Date Assigned if different from entry date]]+30,IF(CommitmentsTable[[#This Row],[Date record entered]]&lt;&gt;"",CommitmentsTable[[#This Row],[Date record entered]]+30,""))</f>
        <v/>
      </c>
      <c r="K327" s="245"/>
      <c r="L327" s="245" t="str">
        <f ca="1">IF(CommitmentsTable[[#This Row],[Date Assigned if different from entry date]]&lt;&gt;"",CommitmentsTable[[#This Row],[Date Assigned if different from entry date]]+60,IF(CommitmentsTable[[#This Row],[Date record entered]]&lt;&gt;"",CommitmentsTable[[#This Row],[Date record entered]]+60,""))</f>
        <v/>
      </c>
      <c r="M327" s="214"/>
      <c r="N327" s="214"/>
      <c r="O327" s="236"/>
      <c r="P327" s="214"/>
      <c r="Q327" s="214"/>
      <c r="R327" s="214"/>
      <c r="S327" s="238" t="str">
        <f>IF(CommitmentsTable[[#This Row],[Commitment / deliverable]]="","",IF(CommitmentsTable[[#This Row],[Revised due]]&lt;&gt;"",CommitmentsTable[[#This Row],[Revised due]],CommitmentsTable[[#This Row],[Original due]]))</f>
        <v/>
      </c>
      <c r="T327" s="237" t="str">
        <f>IF(OR(CommitmentsTable[[#This Row],[Commitment / deliverable]]="",CommitmentsTable[[#This Row],[Owner]]=""),"",IF(CommitmentsTable[[#This Row],[Status2]]="","Open",CommitmentsTable[[#This Row],[Status2]]))</f>
        <v/>
      </c>
      <c r="U327" s="237" t="str">
        <f t="shared" ca="1" si="4"/>
        <v/>
      </c>
      <c r="V327" s="233"/>
      <c r="W327" s="63" t="s">
        <v>1294</v>
      </c>
    </row>
    <row r="328" spans="1:23" ht="39">
      <c r="A328" s="213" t="str">
        <f>IF(OR(CommitmentsTable[[#This Row],[Commitment / deliverable]]="",CommitmentsTable[[#This Row],[Immutable Key]]=""),"",SUBSTITUTE(CommitmentsTable[[#This Row],[Immutable Key]],"-K-","-"))</f>
        <v/>
      </c>
      <c r="B328" s="233"/>
      <c r="C328" s="233"/>
      <c r="D328" s="213"/>
      <c r="E328" s="230"/>
      <c r="F328" s="213"/>
      <c r="G328" s="245" t="str">
        <f ca="1">IF(CommitmentsTable[[#This Row],[Commitment / deliverable]]="","",IF(CommitmentsTable[[#This Row],[Date record entered]]="",TODAY(),CommitmentsTable[[#This Row],[Date record entered]]))</f>
        <v/>
      </c>
      <c r="H328" s="245"/>
      <c r="I328" s="245" t="str">
        <f ca="1">IF(CommitmentsTable[[#This Row],[Date Assigned if different from entry date]]&lt;&gt;"",CommitmentsTable[[#This Row],[Date Assigned if different from entry date]]+90,IF(CommitmentsTable[[#This Row],[Date record entered]]&lt;&gt;"",CommitmentsTable[[#This Row],[Date record entered]]+90,""))</f>
        <v/>
      </c>
      <c r="J328" s="245" t="str">
        <f ca="1">IF(CommitmentsTable[[#This Row],[Date Assigned if different from entry date]]&lt;&gt;"",CommitmentsTable[[#This Row],[Date Assigned if different from entry date]]+30,IF(CommitmentsTable[[#This Row],[Date record entered]]&lt;&gt;"",CommitmentsTable[[#This Row],[Date record entered]]+30,""))</f>
        <v/>
      </c>
      <c r="K328" s="245"/>
      <c r="L328" s="245" t="str">
        <f ca="1">IF(CommitmentsTable[[#This Row],[Date Assigned if different from entry date]]&lt;&gt;"",CommitmentsTable[[#This Row],[Date Assigned if different from entry date]]+60,IF(CommitmentsTable[[#This Row],[Date record entered]]&lt;&gt;"",CommitmentsTable[[#This Row],[Date record entered]]+60,""))</f>
        <v/>
      </c>
      <c r="M328" s="214"/>
      <c r="N328" s="214"/>
      <c r="O328" s="236"/>
      <c r="P328" s="214"/>
      <c r="Q328" s="214"/>
      <c r="R328" s="214"/>
      <c r="S328" s="238" t="str">
        <f>IF(CommitmentsTable[[#This Row],[Commitment / deliverable]]="","",IF(CommitmentsTable[[#This Row],[Revised due]]&lt;&gt;"",CommitmentsTable[[#This Row],[Revised due]],CommitmentsTable[[#This Row],[Original due]]))</f>
        <v/>
      </c>
      <c r="T328" s="237" t="str">
        <f>IF(OR(CommitmentsTable[[#This Row],[Commitment / deliverable]]="",CommitmentsTable[[#This Row],[Owner]]=""),"",IF(CommitmentsTable[[#This Row],[Status2]]="","Open",CommitmentsTable[[#This Row],[Status2]]))</f>
        <v/>
      </c>
      <c r="U328" s="237" t="str">
        <f t="shared" ca="1" si="4"/>
        <v/>
      </c>
      <c r="V328" s="233"/>
      <c r="W328" s="63" t="s">
        <v>1295</v>
      </c>
    </row>
    <row r="329" spans="1:23" ht="39">
      <c r="A329" s="213" t="str">
        <f>IF(OR(CommitmentsTable[[#This Row],[Commitment / deliverable]]="",CommitmentsTable[[#This Row],[Immutable Key]]=""),"",SUBSTITUTE(CommitmentsTable[[#This Row],[Immutable Key]],"-K-","-"))</f>
        <v/>
      </c>
      <c r="B329" s="233"/>
      <c r="C329" s="233"/>
      <c r="D329" s="213"/>
      <c r="E329" s="230"/>
      <c r="F329" s="213"/>
      <c r="G329" s="245" t="str">
        <f ca="1">IF(CommitmentsTable[[#This Row],[Commitment / deliverable]]="","",IF(CommitmentsTable[[#This Row],[Date record entered]]="",TODAY(),CommitmentsTable[[#This Row],[Date record entered]]))</f>
        <v/>
      </c>
      <c r="H329" s="245"/>
      <c r="I329" s="245" t="str">
        <f ca="1">IF(CommitmentsTable[[#This Row],[Date Assigned if different from entry date]]&lt;&gt;"",CommitmentsTable[[#This Row],[Date Assigned if different from entry date]]+90,IF(CommitmentsTable[[#This Row],[Date record entered]]&lt;&gt;"",CommitmentsTable[[#This Row],[Date record entered]]+90,""))</f>
        <v/>
      </c>
      <c r="J329" s="245" t="str">
        <f ca="1">IF(CommitmentsTable[[#This Row],[Date Assigned if different from entry date]]&lt;&gt;"",CommitmentsTable[[#This Row],[Date Assigned if different from entry date]]+30,IF(CommitmentsTable[[#This Row],[Date record entered]]&lt;&gt;"",CommitmentsTable[[#This Row],[Date record entered]]+30,""))</f>
        <v/>
      </c>
      <c r="K329" s="245"/>
      <c r="L329" s="245" t="str">
        <f ca="1">IF(CommitmentsTable[[#This Row],[Date Assigned if different from entry date]]&lt;&gt;"",CommitmentsTable[[#This Row],[Date Assigned if different from entry date]]+60,IF(CommitmentsTable[[#This Row],[Date record entered]]&lt;&gt;"",CommitmentsTable[[#This Row],[Date record entered]]+60,""))</f>
        <v/>
      </c>
      <c r="M329" s="214"/>
      <c r="N329" s="214"/>
      <c r="O329" s="236"/>
      <c r="P329" s="214"/>
      <c r="Q329" s="214"/>
      <c r="R329" s="214"/>
      <c r="S329" s="238" t="str">
        <f>IF(CommitmentsTable[[#This Row],[Commitment / deliverable]]="","",IF(CommitmentsTable[[#This Row],[Revised due]]&lt;&gt;"",CommitmentsTable[[#This Row],[Revised due]],CommitmentsTable[[#This Row],[Original due]]))</f>
        <v/>
      </c>
      <c r="T329" s="237" t="str">
        <f>IF(OR(CommitmentsTable[[#This Row],[Commitment / deliverable]]="",CommitmentsTable[[#This Row],[Owner]]=""),"",IF(CommitmentsTable[[#This Row],[Status2]]="","Open",CommitmentsTable[[#This Row],[Status2]]))</f>
        <v/>
      </c>
      <c r="U329" s="237" t="str">
        <f t="shared" ca="1" si="4"/>
        <v/>
      </c>
      <c r="V329" s="233"/>
      <c r="W329" s="63" t="s">
        <v>1296</v>
      </c>
    </row>
    <row r="330" spans="1:23" ht="39">
      <c r="A330" s="213" t="str">
        <f>IF(OR(CommitmentsTable[[#This Row],[Commitment / deliverable]]="",CommitmentsTable[[#This Row],[Immutable Key]]=""),"",SUBSTITUTE(CommitmentsTable[[#This Row],[Immutable Key]],"-K-","-"))</f>
        <v/>
      </c>
      <c r="B330" s="233"/>
      <c r="C330" s="233"/>
      <c r="D330" s="213"/>
      <c r="E330" s="230"/>
      <c r="F330" s="213"/>
      <c r="G330" s="245" t="str">
        <f ca="1">IF(CommitmentsTable[[#This Row],[Commitment / deliverable]]="","",IF(CommitmentsTable[[#This Row],[Date record entered]]="",TODAY(),CommitmentsTable[[#This Row],[Date record entered]]))</f>
        <v/>
      </c>
      <c r="H330" s="245"/>
      <c r="I330" s="245" t="str">
        <f ca="1">IF(CommitmentsTable[[#This Row],[Date Assigned if different from entry date]]&lt;&gt;"",CommitmentsTable[[#This Row],[Date Assigned if different from entry date]]+90,IF(CommitmentsTable[[#This Row],[Date record entered]]&lt;&gt;"",CommitmentsTable[[#This Row],[Date record entered]]+90,""))</f>
        <v/>
      </c>
      <c r="J330" s="245" t="str">
        <f ca="1">IF(CommitmentsTable[[#This Row],[Date Assigned if different from entry date]]&lt;&gt;"",CommitmentsTable[[#This Row],[Date Assigned if different from entry date]]+30,IF(CommitmentsTable[[#This Row],[Date record entered]]&lt;&gt;"",CommitmentsTable[[#This Row],[Date record entered]]+30,""))</f>
        <v/>
      </c>
      <c r="K330" s="245"/>
      <c r="L330" s="245" t="str">
        <f ca="1">IF(CommitmentsTable[[#This Row],[Date Assigned if different from entry date]]&lt;&gt;"",CommitmentsTable[[#This Row],[Date Assigned if different from entry date]]+60,IF(CommitmentsTable[[#This Row],[Date record entered]]&lt;&gt;"",CommitmentsTable[[#This Row],[Date record entered]]+60,""))</f>
        <v/>
      </c>
      <c r="M330" s="214"/>
      <c r="N330" s="214"/>
      <c r="O330" s="236"/>
      <c r="P330" s="214"/>
      <c r="Q330" s="214"/>
      <c r="R330" s="214"/>
      <c r="S330" s="238" t="str">
        <f>IF(CommitmentsTable[[#This Row],[Commitment / deliverable]]="","",IF(CommitmentsTable[[#This Row],[Revised due]]&lt;&gt;"",CommitmentsTable[[#This Row],[Revised due]],CommitmentsTable[[#This Row],[Original due]]))</f>
        <v/>
      </c>
      <c r="T330" s="237" t="str">
        <f>IF(OR(CommitmentsTable[[#This Row],[Commitment / deliverable]]="",CommitmentsTable[[#This Row],[Owner]]=""),"",IF(CommitmentsTable[[#This Row],[Status2]]="","Open",CommitmentsTable[[#This Row],[Status2]]))</f>
        <v/>
      </c>
      <c r="U330" s="237" t="str">
        <f t="shared" ca="1" si="4"/>
        <v/>
      </c>
      <c r="V330" s="233"/>
      <c r="W330" s="63" t="s">
        <v>1297</v>
      </c>
    </row>
    <row r="331" spans="1:23" ht="39">
      <c r="A331" s="213" t="str">
        <f>IF(OR(CommitmentsTable[[#This Row],[Commitment / deliverable]]="",CommitmentsTable[[#This Row],[Immutable Key]]=""),"",SUBSTITUTE(CommitmentsTable[[#This Row],[Immutable Key]],"-K-","-"))</f>
        <v/>
      </c>
      <c r="B331" s="233"/>
      <c r="C331" s="233"/>
      <c r="D331" s="213"/>
      <c r="E331" s="230"/>
      <c r="F331" s="213"/>
      <c r="G331" s="245" t="str">
        <f ca="1">IF(CommitmentsTable[[#This Row],[Commitment / deliverable]]="","",IF(CommitmentsTable[[#This Row],[Date record entered]]="",TODAY(),CommitmentsTable[[#This Row],[Date record entered]]))</f>
        <v/>
      </c>
      <c r="H331" s="245"/>
      <c r="I331" s="245" t="str">
        <f ca="1">IF(CommitmentsTable[[#This Row],[Date Assigned if different from entry date]]&lt;&gt;"",CommitmentsTable[[#This Row],[Date Assigned if different from entry date]]+90,IF(CommitmentsTable[[#This Row],[Date record entered]]&lt;&gt;"",CommitmentsTable[[#This Row],[Date record entered]]+90,""))</f>
        <v/>
      </c>
      <c r="J331" s="245" t="str">
        <f ca="1">IF(CommitmentsTable[[#This Row],[Date Assigned if different from entry date]]&lt;&gt;"",CommitmentsTable[[#This Row],[Date Assigned if different from entry date]]+30,IF(CommitmentsTable[[#This Row],[Date record entered]]&lt;&gt;"",CommitmentsTable[[#This Row],[Date record entered]]+30,""))</f>
        <v/>
      </c>
      <c r="K331" s="245"/>
      <c r="L331" s="245" t="str">
        <f ca="1">IF(CommitmentsTable[[#This Row],[Date Assigned if different from entry date]]&lt;&gt;"",CommitmentsTable[[#This Row],[Date Assigned if different from entry date]]+60,IF(CommitmentsTable[[#This Row],[Date record entered]]&lt;&gt;"",CommitmentsTable[[#This Row],[Date record entered]]+60,""))</f>
        <v/>
      </c>
      <c r="M331" s="214"/>
      <c r="N331" s="214"/>
      <c r="O331" s="236"/>
      <c r="P331" s="214"/>
      <c r="Q331" s="214"/>
      <c r="R331" s="214"/>
      <c r="S331" s="238" t="str">
        <f>IF(CommitmentsTable[[#This Row],[Commitment / deliverable]]="","",IF(CommitmentsTable[[#This Row],[Revised due]]&lt;&gt;"",CommitmentsTable[[#This Row],[Revised due]],CommitmentsTable[[#This Row],[Original due]]))</f>
        <v/>
      </c>
      <c r="T331" s="237" t="str">
        <f>IF(OR(CommitmentsTable[[#This Row],[Commitment / deliverable]]="",CommitmentsTable[[#This Row],[Owner]]=""),"",IF(CommitmentsTable[[#This Row],[Status2]]="","Open",CommitmentsTable[[#This Row],[Status2]]))</f>
        <v/>
      </c>
      <c r="U331" s="237" t="str">
        <f t="shared" ca="1" si="4"/>
        <v/>
      </c>
      <c r="V331" s="233"/>
      <c r="W331" s="63" t="s">
        <v>1298</v>
      </c>
    </row>
    <row r="332" spans="1:23" ht="39">
      <c r="A332" s="213" t="str">
        <f>IF(OR(CommitmentsTable[[#This Row],[Commitment / deliverable]]="",CommitmentsTable[[#This Row],[Immutable Key]]=""),"",SUBSTITUTE(CommitmentsTable[[#This Row],[Immutable Key]],"-K-","-"))</f>
        <v/>
      </c>
      <c r="B332" s="233"/>
      <c r="C332" s="233"/>
      <c r="D332" s="213"/>
      <c r="E332" s="230"/>
      <c r="F332" s="213"/>
      <c r="G332" s="245" t="str">
        <f ca="1">IF(CommitmentsTable[[#This Row],[Commitment / deliverable]]="","",IF(CommitmentsTable[[#This Row],[Date record entered]]="",TODAY(),CommitmentsTable[[#This Row],[Date record entered]]))</f>
        <v/>
      </c>
      <c r="H332" s="245"/>
      <c r="I332" s="245" t="str">
        <f ca="1">IF(CommitmentsTable[[#This Row],[Date Assigned if different from entry date]]&lt;&gt;"",CommitmentsTable[[#This Row],[Date Assigned if different from entry date]]+90,IF(CommitmentsTable[[#This Row],[Date record entered]]&lt;&gt;"",CommitmentsTable[[#This Row],[Date record entered]]+90,""))</f>
        <v/>
      </c>
      <c r="J332" s="245" t="str">
        <f ca="1">IF(CommitmentsTable[[#This Row],[Date Assigned if different from entry date]]&lt;&gt;"",CommitmentsTable[[#This Row],[Date Assigned if different from entry date]]+30,IF(CommitmentsTable[[#This Row],[Date record entered]]&lt;&gt;"",CommitmentsTable[[#This Row],[Date record entered]]+30,""))</f>
        <v/>
      </c>
      <c r="K332" s="245"/>
      <c r="L332" s="245" t="str">
        <f ca="1">IF(CommitmentsTable[[#This Row],[Date Assigned if different from entry date]]&lt;&gt;"",CommitmentsTable[[#This Row],[Date Assigned if different from entry date]]+60,IF(CommitmentsTable[[#This Row],[Date record entered]]&lt;&gt;"",CommitmentsTable[[#This Row],[Date record entered]]+60,""))</f>
        <v/>
      </c>
      <c r="M332" s="214"/>
      <c r="N332" s="214"/>
      <c r="O332" s="236"/>
      <c r="P332" s="214"/>
      <c r="Q332" s="214"/>
      <c r="R332" s="214"/>
      <c r="S332" s="238" t="str">
        <f>IF(CommitmentsTable[[#This Row],[Commitment / deliverable]]="","",IF(CommitmentsTable[[#This Row],[Revised due]]&lt;&gt;"",CommitmentsTable[[#This Row],[Revised due]],CommitmentsTable[[#This Row],[Original due]]))</f>
        <v/>
      </c>
      <c r="T332" s="237" t="str">
        <f>IF(OR(CommitmentsTable[[#This Row],[Commitment / deliverable]]="",CommitmentsTable[[#This Row],[Owner]]=""),"",IF(CommitmentsTable[[#This Row],[Status2]]="","Open",CommitmentsTable[[#This Row],[Status2]]))</f>
        <v/>
      </c>
      <c r="U332" s="237" t="str">
        <f t="shared" ca="1" si="4"/>
        <v/>
      </c>
      <c r="V332" s="233"/>
      <c r="W332" s="63" t="s">
        <v>1299</v>
      </c>
    </row>
    <row r="333" spans="1:23" ht="39">
      <c r="A333" s="213" t="str">
        <f>IF(OR(CommitmentsTable[[#This Row],[Commitment / deliverable]]="",CommitmentsTable[[#This Row],[Immutable Key]]=""),"",SUBSTITUTE(CommitmentsTable[[#This Row],[Immutable Key]],"-K-","-"))</f>
        <v/>
      </c>
      <c r="B333" s="233"/>
      <c r="C333" s="233"/>
      <c r="D333" s="213"/>
      <c r="E333" s="230"/>
      <c r="F333" s="213"/>
      <c r="G333" s="245" t="str">
        <f ca="1">IF(CommitmentsTable[[#This Row],[Commitment / deliverable]]="","",IF(CommitmentsTable[[#This Row],[Date record entered]]="",TODAY(),CommitmentsTable[[#This Row],[Date record entered]]))</f>
        <v/>
      </c>
      <c r="H333" s="245"/>
      <c r="I333" s="245" t="str">
        <f ca="1">IF(CommitmentsTable[[#This Row],[Date Assigned if different from entry date]]&lt;&gt;"",CommitmentsTable[[#This Row],[Date Assigned if different from entry date]]+90,IF(CommitmentsTable[[#This Row],[Date record entered]]&lt;&gt;"",CommitmentsTable[[#This Row],[Date record entered]]+90,""))</f>
        <v/>
      </c>
      <c r="J333" s="245" t="str">
        <f ca="1">IF(CommitmentsTable[[#This Row],[Date Assigned if different from entry date]]&lt;&gt;"",CommitmentsTable[[#This Row],[Date Assigned if different from entry date]]+30,IF(CommitmentsTable[[#This Row],[Date record entered]]&lt;&gt;"",CommitmentsTable[[#This Row],[Date record entered]]+30,""))</f>
        <v/>
      </c>
      <c r="K333" s="245"/>
      <c r="L333" s="245" t="str">
        <f ca="1">IF(CommitmentsTable[[#This Row],[Date Assigned if different from entry date]]&lt;&gt;"",CommitmentsTable[[#This Row],[Date Assigned if different from entry date]]+60,IF(CommitmentsTable[[#This Row],[Date record entered]]&lt;&gt;"",CommitmentsTable[[#This Row],[Date record entered]]+60,""))</f>
        <v/>
      </c>
      <c r="M333" s="214"/>
      <c r="N333" s="214"/>
      <c r="O333" s="236"/>
      <c r="P333" s="214"/>
      <c r="Q333" s="214"/>
      <c r="R333" s="214"/>
      <c r="S333" s="238" t="str">
        <f>IF(CommitmentsTable[[#This Row],[Commitment / deliverable]]="","",IF(CommitmentsTable[[#This Row],[Revised due]]&lt;&gt;"",CommitmentsTable[[#This Row],[Revised due]],CommitmentsTable[[#This Row],[Original due]]))</f>
        <v/>
      </c>
      <c r="T333" s="237" t="str">
        <f>IF(OR(CommitmentsTable[[#This Row],[Commitment / deliverable]]="",CommitmentsTable[[#This Row],[Owner]]=""),"",IF(CommitmentsTable[[#This Row],[Status2]]="","Open",CommitmentsTable[[#This Row],[Status2]]))</f>
        <v/>
      </c>
      <c r="U333" s="237" t="str">
        <f t="shared" ref="U333:U396" ca="1" si="5">IF(B333="","",IF(T333="Closed","",IF(OR(T333="Slipped",T333="At risk",AND(S333&lt;&gt;"",S333&lt;TODAY())),"Slipped / at risk",IF(G333=TODAY(),"New today",IF(S333=TODAY()+1,"Due tomorrow","")))))</f>
        <v/>
      </c>
      <c r="V333" s="233"/>
      <c r="W333" s="63" t="s">
        <v>1300</v>
      </c>
    </row>
    <row r="334" spans="1:23" ht="39">
      <c r="A334" s="213" t="str">
        <f>IF(OR(CommitmentsTable[[#This Row],[Commitment / deliverable]]="",CommitmentsTable[[#This Row],[Immutable Key]]=""),"",SUBSTITUTE(CommitmentsTable[[#This Row],[Immutable Key]],"-K-","-"))</f>
        <v/>
      </c>
      <c r="B334" s="233"/>
      <c r="C334" s="233"/>
      <c r="D334" s="213"/>
      <c r="E334" s="230"/>
      <c r="F334" s="213"/>
      <c r="G334" s="245" t="str">
        <f ca="1">IF(CommitmentsTable[[#This Row],[Commitment / deliverable]]="","",IF(CommitmentsTable[[#This Row],[Date record entered]]="",TODAY(),CommitmentsTable[[#This Row],[Date record entered]]))</f>
        <v/>
      </c>
      <c r="H334" s="245"/>
      <c r="I334" s="245" t="str">
        <f ca="1">IF(CommitmentsTable[[#This Row],[Date Assigned if different from entry date]]&lt;&gt;"",CommitmentsTable[[#This Row],[Date Assigned if different from entry date]]+90,IF(CommitmentsTable[[#This Row],[Date record entered]]&lt;&gt;"",CommitmentsTable[[#This Row],[Date record entered]]+90,""))</f>
        <v/>
      </c>
      <c r="J334" s="245" t="str">
        <f ca="1">IF(CommitmentsTable[[#This Row],[Date Assigned if different from entry date]]&lt;&gt;"",CommitmentsTable[[#This Row],[Date Assigned if different from entry date]]+30,IF(CommitmentsTable[[#This Row],[Date record entered]]&lt;&gt;"",CommitmentsTable[[#This Row],[Date record entered]]+30,""))</f>
        <v/>
      </c>
      <c r="K334" s="245"/>
      <c r="L334" s="245" t="str">
        <f ca="1">IF(CommitmentsTable[[#This Row],[Date Assigned if different from entry date]]&lt;&gt;"",CommitmentsTable[[#This Row],[Date Assigned if different from entry date]]+60,IF(CommitmentsTable[[#This Row],[Date record entered]]&lt;&gt;"",CommitmentsTable[[#This Row],[Date record entered]]+60,""))</f>
        <v/>
      </c>
      <c r="M334" s="214"/>
      <c r="N334" s="214"/>
      <c r="O334" s="236"/>
      <c r="P334" s="214"/>
      <c r="Q334" s="214"/>
      <c r="R334" s="214"/>
      <c r="S334" s="238" t="str">
        <f>IF(CommitmentsTable[[#This Row],[Commitment / deliverable]]="","",IF(CommitmentsTable[[#This Row],[Revised due]]&lt;&gt;"",CommitmentsTable[[#This Row],[Revised due]],CommitmentsTable[[#This Row],[Original due]]))</f>
        <v/>
      </c>
      <c r="T334" s="237" t="str">
        <f>IF(OR(CommitmentsTable[[#This Row],[Commitment / deliverable]]="",CommitmentsTable[[#This Row],[Owner]]=""),"",IF(CommitmentsTable[[#This Row],[Status2]]="","Open",CommitmentsTable[[#This Row],[Status2]]))</f>
        <v/>
      </c>
      <c r="U334" s="237" t="str">
        <f t="shared" ca="1" si="5"/>
        <v/>
      </c>
      <c r="V334" s="233"/>
      <c r="W334" s="63" t="s">
        <v>1301</v>
      </c>
    </row>
    <row r="335" spans="1:23" ht="39">
      <c r="A335" s="213" t="str">
        <f>IF(OR(CommitmentsTable[[#This Row],[Commitment / deliverable]]="",CommitmentsTable[[#This Row],[Immutable Key]]=""),"",SUBSTITUTE(CommitmentsTable[[#This Row],[Immutable Key]],"-K-","-"))</f>
        <v/>
      </c>
      <c r="B335" s="233"/>
      <c r="C335" s="233"/>
      <c r="D335" s="213"/>
      <c r="E335" s="230"/>
      <c r="F335" s="213"/>
      <c r="G335" s="245" t="str">
        <f ca="1">IF(CommitmentsTable[[#This Row],[Commitment / deliverable]]="","",IF(CommitmentsTable[[#This Row],[Date record entered]]="",TODAY(),CommitmentsTable[[#This Row],[Date record entered]]))</f>
        <v/>
      </c>
      <c r="H335" s="245"/>
      <c r="I335" s="245" t="str">
        <f ca="1">IF(CommitmentsTable[[#This Row],[Date Assigned if different from entry date]]&lt;&gt;"",CommitmentsTable[[#This Row],[Date Assigned if different from entry date]]+90,IF(CommitmentsTable[[#This Row],[Date record entered]]&lt;&gt;"",CommitmentsTable[[#This Row],[Date record entered]]+90,""))</f>
        <v/>
      </c>
      <c r="J335" s="245" t="str">
        <f ca="1">IF(CommitmentsTable[[#This Row],[Date Assigned if different from entry date]]&lt;&gt;"",CommitmentsTable[[#This Row],[Date Assigned if different from entry date]]+30,IF(CommitmentsTable[[#This Row],[Date record entered]]&lt;&gt;"",CommitmentsTable[[#This Row],[Date record entered]]+30,""))</f>
        <v/>
      </c>
      <c r="K335" s="245"/>
      <c r="L335" s="245" t="str">
        <f ca="1">IF(CommitmentsTable[[#This Row],[Date Assigned if different from entry date]]&lt;&gt;"",CommitmentsTable[[#This Row],[Date Assigned if different from entry date]]+60,IF(CommitmentsTable[[#This Row],[Date record entered]]&lt;&gt;"",CommitmentsTable[[#This Row],[Date record entered]]+60,""))</f>
        <v/>
      </c>
      <c r="M335" s="214"/>
      <c r="N335" s="214"/>
      <c r="O335" s="236"/>
      <c r="P335" s="214"/>
      <c r="Q335" s="214"/>
      <c r="R335" s="214"/>
      <c r="S335" s="238" t="str">
        <f>IF(CommitmentsTable[[#This Row],[Commitment / deliverable]]="","",IF(CommitmentsTable[[#This Row],[Revised due]]&lt;&gt;"",CommitmentsTable[[#This Row],[Revised due]],CommitmentsTable[[#This Row],[Original due]]))</f>
        <v/>
      </c>
      <c r="T335" s="237" t="str">
        <f>IF(OR(CommitmentsTable[[#This Row],[Commitment / deliverable]]="",CommitmentsTable[[#This Row],[Owner]]=""),"",IF(CommitmentsTable[[#This Row],[Status2]]="","Open",CommitmentsTable[[#This Row],[Status2]]))</f>
        <v/>
      </c>
      <c r="U335" s="237" t="str">
        <f t="shared" ca="1" si="5"/>
        <v/>
      </c>
      <c r="V335" s="233"/>
      <c r="W335" s="63" t="s">
        <v>1302</v>
      </c>
    </row>
    <row r="336" spans="1:23" ht="39">
      <c r="A336" s="213" t="str">
        <f>IF(OR(CommitmentsTable[[#This Row],[Commitment / deliverable]]="",CommitmentsTable[[#This Row],[Immutable Key]]=""),"",SUBSTITUTE(CommitmentsTable[[#This Row],[Immutable Key]],"-K-","-"))</f>
        <v/>
      </c>
      <c r="B336" s="233"/>
      <c r="C336" s="233"/>
      <c r="D336" s="213"/>
      <c r="E336" s="230"/>
      <c r="F336" s="213"/>
      <c r="G336" s="245" t="str">
        <f ca="1">IF(CommitmentsTable[[#This Row],[Commitment / deliverable]]="","",IF(CommitmentsTable[[#This Row],[Date record entered]]="",TODAY(),CommitmentsTable[[#This Row],[Date record entered]]))</f>
        <v/>
      </c>
      <c r="H336" s="245"/>
      <c r="I336" s="245" t="str">
        <f ca="1">IF(CommitmentsTable[[#This Row],[Date Assigned if different from entry date]]&lt;&gt;"",CommitmentsTable[[#This Row],[Date Assigned if different from entry date]]+90,IF(CommitmentsTable[[#This Row],[Date record entered]]&lt;&gt;"",CommitmentsTable[[#This Row],[Date record entered]]+90,""))</f>
        <v/>
      </c>
      <c r="J336" s="245" t="str">
        <f ca="1">IF(CommitmentsTable[[#This Row],[Date Assigned if different from entry date]]&lt;&gt;"",CommitmentsTable[[#This Row],[Date Assigned if different from entry date]]+30,IF(CommitmentsTable[[#This Row],[Date record entered]]&lt;&gt;"",CommitmentsTable[[#This Row],[Date record entered]]+30,""))</f>
        <v/>
      </c>
      <c r="K336" s="245"/>
      <c r="L336" s="245" t="str">
        <f ca="1">IF(CommitmentsTable[[#This Row],[Date Assigned if different from entry date]]&lt;&gt;"",CommitmentsTable[[#This Row],[Date Assigned if different from entry date]]+60,IF(CommitmentsTable[[#This Row],[Date record entered]]&lt;&gt;"",CommitmentsTable[[#This Row],[Date record entered]]+60,""))</f>
        <v/>
      </c>
      <c r="M336" s="214"/>
      <c r="N336" s="214"/>
      <c r="O336" s="236"/>
      <c r="P336" s="214"/>
      <c r="Q336" s="214"/>
      <c r="R336" s="214"/>
      <c r="S336" s="238" t="str">
        <f>IF(CommitmentsTable[[#This Row],[Commitment / deliverable]]="","",IF(CommitmentsTable[[#This Row],[Revised due]]&lt;&gt;"",CommitmentsTable[[#This Row],[Revised due]],CommitmentsTable[[#This Row],[Original due]]))</f>
        <v/>
      </c>
      <c r="T336" s="237" t="str">
        <f>IF(OR(CommitmentsTable[[#This Row],[Commitment / deliverable]]="",CommitmentsTable[[#This Row],[Owner]]=""),"",IF(CommitmentsTable[[#This Row],[Status2]]="","Open",CommitmentsTable[[#This Row],[Status2]]))</f>
        <v/>
      </c>
      <c r="U336" s="237" t="str">
        <f t="shared" ca="1" si="5"/>
        <v/>
      </c>
      <c r="V336" s="233"/>
      <c r="W336" s="63" t="s">
        <v>1303</v>
      </c>
    </row>
    <row r="337" spans="1:23" ht="39">
      <c r="A337" s="213" t="str">
        <f>IF(OR(CommitmentsTable[[#This Row],[Commitment / deliverable]]="",CommitmentsTable[[#This Row],[Immutable Key]]=""),"",SUBSTITUTE(CommitmentsTable[[#This Row],[Immutable Key]],"-K-","-"))</f>
        <v/>
      </c>
      <c r="B337" s="233"/>
      <c r="C337" s="233"/>
      <c r="D337" s="213"/>
      <c r="E337" s="230"/>
      <c r="F337" s="213"/>
      <c r="G337" s="245" t="str">
        <f ca="1">IF(CommitmentsTable[[#This Row],[Commitment / deliverable]]="","",IF(CommitmentsTable[[#This Row],[Date record entered]]="",TODAY(),CommitmentsTable[[#This Row],[Date record entered]]))</f>
        <v/>
      </c>
      <c r="H337" s="245"/>
      <c r="I337" s="245" t="str">
        <f ca="1">IF(CommitmentsTable[[#This Row],[Date Assigned if different from entry date]]&lt;&gt;"",CommitmentsTable[[#This Row],[Date Assigned if different from entry date]]+90,IF(CommitmentsTable[[#This Row],[Date record entered]]&lt;&gt;"",CommitmentsTable[[#This Row],[Date record entered]]+90,""))</f>
        <v/>
      </c>
      <c r="J337" s="245" t="str">
        <f ca="1">IF(CommitmentsTable[[#This Row],[Date Assigned if different from entry date]]&lt;&gt;"",CommitmentsTable[[#This Row],[Date Assigned if different from entry date]]+30,IF(CommitmentsTable[[#This Row],[Date record entered]]&lt;&gt;"",CommitmentsTable[[#This Row],[Date record entered]]+30,""))</f>
        <v/>
      </c>
      <c r="K337" s="245"/>
      <c r="L337" s="245" t="str">
        <f ca="1">IF(CommitmentsTable[[#This Row],[Date Assigned if different from entry date]]&lt;&gt;"",CommitmentsTable[[#This Row],[Date Assigned if different from entry date]]+60,IF(CommitmentsTable[[#This Row],[Date record entered]]&lt;&gt;"",CommitmentsTable[[#This Row],[Date record entered]]+60,""))</f>
        <v/>
      </c>
      <c r="M337" s="214"/>
      <c r="N337" s="214"/>
      <c r="O337" s="236"/>
      <c r="P337" s="214"/>
      <c r="Q337" s="214"/>
      <c r="R337" s="214"/>
      <c r="S337" s="238" t="str">
        <f>IF(CommitmentsTable[[#This Row],[Commitment / deliverable]]="","",IF(CommitmentsTable[[#This Row],[Revised due]]&lt;&gt;"",CommitmentsTable[[#This Row],[Revised due]],CommitmentsTable[[#This Row],[Original due]]))</f>
        <v/>
      </c>
      <c r="T337" s="237" t="str">
        <f>IF(OR(CommitmentsTable[[#This Row],[Commitment / deliverable]]="",CommitmentsTable[[#This Row],[Owner]]=""),"",IF(CommitmentsTable[[#This Row],[Status2]]="","Open",CommitmentsTable[[#This Row],[Status2]]))</f>
        <v/>
      </c>
      <c r="U337" s="237" t="str">
        <f t="shared" ca="1" si="5"/>
        <v/>
      </c>
      <c r="V337" s="233"/>
      <c r="W337" s="63" t="s">
        <v>1304</v>
      </c>
    </row>
    <row r="338" spans="1:23" ht="39">
      <c r="A338" s="213" t="str">
        <f>IF(OR(CommitmentsTable[[#This Row],[Commitment / deliverable]]="",CommitmentsTable[[#This Row],[Immutable Key]]=""),"",SUBSTITUTE(CommitmentsTable[[#This Row],[Immutable Key]],"-K-","-"))</f>
        <v/>
      </c>
      <c r="B338" s="233"/>
      <c r="C338" s="233"/>
      <c r="D338" s="213"/>
      <c r="E338" s="230"/>
      <c r="F338" s="213"/>
      <c r="G338" s="245" t="str">
        <f ca="1">IF(CommitmentsTable[[#This Row],[Commitment / deliverable]]="","",IF(CommitmentsTable[[#This Row],[Date record entered]]="",TODAY(),CommitmentsTable[[#This Row],[Date record entered]]))</f>
        <v/>
      </c>
      <c r="H338" s="245"/>
      <c r="I338" s="245" t="str">
        <f ca="1">IF(CommitmentsTable[[#This Row],[Date Assigned if different from entry date]]&lt;&gt;"",CommitmentsTable[[#This Row],[Date Assigned if different from entry date]]+90,IF(CommitmentsTable[[#This Row],[Date record entered]]&lt;&gt;"",CommitmentsTable[[#This Row],[Date record entered]]+90,""))</f>
        <v/>
      </c>
      <c r="J338" s="245" t="str">
        <f ca="1">IF(CommitmentsTable[[#This Row],[Date Assigned if different from entry date]]&lt;&gt;"",CommitmentsTable[[#This Row],[Date Assigned if different from entry date]]+30,IF(CommitmentsTable[[#This Row],[Date record entered]]&lt;&gt;"",CommitmentsTable[[#This Row],[Date record entered]]+30,""))</f>
        <v/>
      </c>
      <c r="K338" s="245"/>
      <c r="L338" s="245" t="str">
        <f ca="1">IF(CommitmentsTable[[#This Row],[Date Assigned if different from entry date]]&lt;&gt;"",CommitmentsTable[[#This Row],[Date Assigned if different from entry date]]+60,IF(CommitmentsTable[[#This Row],[Date record entered]]&lt;&gt;"",CommitmentsTable[[#This Row],[Date record entered]]+60,""))</f>
        <v/>
      </c>
      <c r="M338" s="214"/>
      <c r="N338" s="214"/>
      <c r="O338" s="236"/>
      <c r="P338" s="214"/>
      <c r="Q338" s="214"/>
      <c r="R338" s="214"/>
      <c r="S338" s="238" t="str">
        <f>IF(CommitmentsTable[[#This Row],[Commitment / deliverable]]="","",IF(CommitmentsTable[[#This Row],[Revised due]]&lt;&gt;"",CommitmentsTable[[#This Row],[Revised due]],CommitmentsTable[[#This Row],[Original due]]))</f>
        <v/>
      </c>
      <c r="T338" s="237" t="str">
        <f>IF(OR(CommitmentsTable[[#This Row],[Commitment / deliverable]]="",CommitmentsTable[[#This Row],[Owner]]=""),"",IF(CommitmentsTable[[#This Row],[Status2]]="","Open",CommitmentsTable[[#This Row],[Status2]]))</f>
        <v/>
      </c>
      <c r="U338" s="237" t="str">
        <f t="shared" ca="1" si="5"/>
        <v/>
      </c>
      <c r="V338" s="233"/>
      <c r="W338" s="63" t="s">
        <v>1305</v>
      </c>
    </row>
    <row r="339" spans="1:23" ht="39">
      <c r="A339" s="213" t="str">
        <f>IF(OR(CommitmentsTable[[#This Row],[Commitment / deliverable]]="",CommitmentsTable[[#This Row],[Immutable Key]]=""),"",SUBSTITUTE(CommitmentsTable[[#This Row],[Immutable Key]],"-K-","-"))</f>
        <v/>
      </c>
      <c r="B339" s="233"/>
      <c r="C339" s="233"/>
      <c r="D339" s="213"/>
      <c r="E339" s="230"/>
      <c r="F339" s="213"/>
      <c r="G339" s="245" t="str">
        <f ca="1">IF(CommitmentsTable[[#This Row],[Commitment / deliverable]]="","",IF(CommitmentsTable[[#This Row],[Date record entered]]="",TODAY(),CommitmentsTable[[#This Row],[Date record entered]]))</f>
        <v/>
      </c>
      <c r="H339" s="245"/>
      <c r="I339" s="245" t="str">
        <f ca="1">IF(CommitmentsTable[[#This Row],[Date Assigned if different from entry date]]&lt;&gt;"",CommitmentsTable[[#This Row],[Date Assigned if different from entry date]]+90,IF(CommitmentsTable[[#This Row],[Date record entered]]&lt;&gt;"",CommitmentsTable[[#This Row],[Date record entered]]+90,""))</f>
        <v/>
      </c>
      <c r="J339" s="245" t="str">
        <f ca="1">IF(CommitmentsTable[[#This Row],[Date Assigned if different from entry date]]&lt;&gt;"",CommitmentsTable[[#This Row],[Date Assigned if different from entry date]]+30,IF(CommitmentsTable[[#This Row],[Date record entered]]&lt;&gt;"",CommitmentsTable[[#This Row],[Date record entered]]+30,""))</f>
        <v/>
      </c>
      <c r="K339" s="245"/>
      <c r="L339" s="245" t="str">
        <f ca="1">IF(CommitmentsTable[[#This Row],[Date Assigned if different from entry date]]&lt;&gt;"",CommitmentsTable[[#This Row],[Date Assigned if different from entry date]]+60,IF(CommitmentsTable[[#This Row],[Date record entered]]&lt;&gt;"",CommitmentsTable[[#This Row],[Date record entered]]+60,""))</f>
        <v/>
      </c>
      <c r="M339" s="214"/>
      <c r="N339" s="214"/>
      <c r="O339" s="236"/>
      <c r="P339" s="214"/>
      <c r="Q339" s="214"/>
      <c r="R339" s="214"/>
      <c r="S339" s="238" t="str">
        <f>IF(CommitmentsTable[[#This Row],[Commitment / deliverable]]="","",IF(CommitmentsTable[[#This Row],[Revised due]]&lt;&gt;"",CommitmentsTable[[#This Row],[Revised due]],CommitmentsTable[[#This Row],[Original due]]))</f>
        <v/>
      </c>
      <c r="T339" s="237" t="str">
        <f>IF(OR(CommitmentsTable[[#This Row],[Commitment / deliverable]]="",CommitmentsTable[[#This Row],[Owner]]=""),"",IF(CommitmentsTable[[#This Row],[Status2]]="","Open",CommitmentsTable[[#This Row],[Status2]]))</f>
        <v/>
      </c>
      <c r="U339" s="237" t="str">
        <f t="shared" ca="1" si="5"/>
        <v/>
      </c>
      <c r="V339" s="233"/>
      <c r="W339" s="63" t="s">
        <v>1306</v>
      </c>
    </row>
    <row r="340" spans="1:23" ht="39">
      <c r="A340" s="213" t="str">
        <f>IF(OR(CommitmentsTable[[#This Row],[Commitment / deliverable]]="",CommitmentsTable[[#This Row],[Immutable Key]]=""),"",SUBSTITUTE(CommitmentsTable[[#This Row],[Immutable Key]],"-K-","-"))</f>
        <v/>
      </c>
      <c r="B340" s="233"/>
      <c r="C340" s="233"/>
      <c r="D340" s="213"/>
      <c r="E340" s="230"/>
      <c r="F340" s="213"/>
      <c r="G340" s="245" t="str">
        <f ca="1">IF(CommitmentsTable[[#This Row],[Commitment / deliverable]]="","",IF(CommitmentsTable[[#This Row],[Date record entered]]="",TODAY(),CommitmentsTable[[#This Row],[Date record entered]]))</f>
        <v/>
      </c>
      <c r="H340" s="245"/>
      <c r="I340" s="245" t="str">
        <f ca="1">IF(CommitmentsTable[[#This Row],[Date Assigned if different from entry date]]&lt;&gt;"",CommitmentsTable[[#This Row],[Date Assigned if different from entry date]]+90,IF(CommitmentsTable[[#This Row],[Date record entered]]&lt;&gt;"",CommitmentsTable[[#This Row],[Date record entered]]+90,""))</f>
        <v/>
      </c>
      <c r="J340" s="245" t="str">
        <f ca="1">IF(CommitmentsTable[[#This Row],[Date Assigned if different from entry date]]&lt;&gt;"",CommitmentsTable[[#This Row],[Date Assigned if different from entry date]]+30,IF(CommitmentsTable[[#This Row],[Date record entered]]&lt;&gt;"",CommitmentsTable[[#This Row],[Date record entered]]+30,""))</f>
        <v/>
      </c>
      <c r="K340" s="245"/>
      <c r="L340" s="245" t="str">
        <f ca="1">IF(CommitmentsTable[[#This Row],[Date Assigned if different from entry date]]&lt;&gt;"",CommitmentsTable[[#This Row],[Date Assigned if different from entry date]]+60,IF(CommitmentsTable[[#This Row],[Date record entered]]&lt;&gt;"",CommitmentsTable[[#This Row],[Date record entered]]+60,""))</f>
        <v/>
      </c>
      <c r="M340" s="214"/>
      <c r="N340" s="214"/>
      <c r="O340" s="236"/>
      <c r="P340" s="214"/>
      <c r="Q340" s="214"/>
      <c r="R340" s="214"/>
      <c r="S340" s="238" t="str">
        <f>IF(CommitmentsTable[[#This Row],[Commitment / deliverable]]="","",IF(CommitmentsTable[[#This Row],[Revised due]]&lt;&gt;"",CommitmentsTable[[#This Row],[Revised due]],CommitmentsTable[[#This Row],[Original due]]))</f>
        <v/>
      </c>
      <c r="T340" s="237" t="str">
        <f>IF(OR(CommitmentsTable[[#This Row],[Commitment / deliverable]]="",CommitmentsTable[[#This Row],[Owner]]=""),"",IF(CommitmentsTable[[#This Row],[Status2]]="","Open",CommitmentsTable[[#This Row],[Status2]]))</f>
        <v/>
      </c>
      <c r="U340" s="237" t="str">
        <f t="shared" ca="1" si="5"/>
        <v/>
      </c>
      <c r="V340" s="233"/>
      <c r="W340" s="63" t="s">
        <v>1307</v>
      </c>
    </row>
    <row r="341" spans="1:23" ht="39">
      <c r="A341" s="213" t="str">
        <f>IF(OR(CommitmentsTable[[#This Row],[Commitment / deliverable]]="",CommitmentsTable[[#This Row],[Immutable Key]]=""),"",SUBSTITUTE(CommitmentsTable[[#This Row],[Immutable Key]],"-K-","-"))</f>
        <v/>
      </c>
      <c r="B341" s="233"/>
      <c r="C341" s="233"/>
      <c r="D341" s="213"/>
      <c r="E341" s="230"/>
      <c r="F341" s="213"/>
      <c r="G341" s="245" t="str">
        <f ca="1">IF(CommitmentsTable[[#This Row],[Commitment / deliverable]]="","",IF(CommitmentsTable[[#This Row],[Date record entered]]="",TODAY(),CommitmentsTable[[#This Row],[Date record entered]]))</f>
        <v/>
      </c>
      <c r="H341" s="245"/>
      <c r="I341" s="245" t="str">
        <f ca="1">IF(CommitmentsTable[[#This Row],[Date Assigned if different from entry date]]&lt;&gt;"",CommitmentsTable[[#This Row],[Date Assigned if different from entry date]]+90,IF(CommitmentsTable[[#This Row],[Date record entered]]&lt;&gt;"",CommitmentsTable[[#This Row],[Date record entered]]+90,""))</f>
        <v/>
      </c>
      <c r="J341" s="245" t="str">
        <f ca="1">IF(CommitmentsTable[[#This Row],[Date Assigned if different from entry date]]&lt;&gt;"",CommitmentsTable[[#This Row],[Date Assigned if different from entry date]]+30,IF(CommitmentsTable[[#This Row],[Date record entered]]&lt;&gt;"",CommitmentsTable[[#This Row],[Date record entered]]+30,""))</f>
        <v/>
      </c>
      <c r="K341" s="245"/>
      <c r="L341" s="245" t="str">
        <f ca="1">IF(CommitmentsTable[[#This Row],[Date Assigned if different from entry date]]&lt;&gt;"",CommitmentsTable[[#This Row],[Date Assigned if different from entry date]]+60,IF(CommitmentsTable[[#This Row],[Date record entered]]&lt;&gt;"",CommitmentsTable[[#This Row],[Date record entered]]+60,""))</f>
        <v/>
      </c>
      <c r="M341" s="214"/>
      <c r="N341" s="214"/>
      <c r="O341" s="236"/>
      <c r="P341" s="214"/>
      <c r="Q341" s="214"/>
      <c r="R341" s="214"/>
      <c r="S341" s="238" t="str">
        <f>IF(CommitmentsTable[[#This Row],[Commitment / deliverable]]="","",IF(CommitmentsTable[[#This Row],[Revised due]]&lt;&gt;"",CommitmentsTable[[#This Row],[Revised due]],CommitmentsTable[[#This Row],[Original due]]))</f>
        <v/>
      </c>
      <c r="T341" s="237" t="str">
        <f>IF(OR(CommitmentsTable[[#This Row],[Commitment / deliverable]]="",CommitmentsTable[[#This Row],[Owner]]=""),"",IF(CommitmentsTable[[#This Row],[Status2]]="","Open",CommitmentsTable[[#This Row],[Status2]]))</f>
        <v/>
      </c>
      <c r="U341" s="237" t="str">
        <f t="shared" ca="1" si="5"/>
        <v/>
      </c>
      <c r="V341" s="233"/>
      <c r="W341" s="63" t="s">
        <v>1308</v>
      </c>
    </row>
    <row r="342" spans="1:23" ht="39">
      <c r="A342" s="213" t="str">
        <f>IF(OR(CommitmentsTable[[#This Row],[Commitment / deliverable]]="",CommitmentsTable[[#This Row],[Immutable Key]]=""),"",SUBSTITUTE(CommitmentsTable[[#This Row],[Immutable Key]],"-K-","-"))</f>
        <v/>
      </c>
      <c r="B342" s="233"/>
      <c r="C342" s="233"/>
      <c r="D342" s="213"/>
      <c r="E342" s="230"/>
      <c r="F342" s="213"/>
      <c r="G342" s="245" t="str">
        <f ca="1">IF(CommitmentsTable[[#This Row],[Commitment / deliverable]]="","",IF(CommitmentsTable[[#This Row],[Date record entered]]="",TODAY(),CommitmentsTable[[#This Row],[Date record entered]]))</f>
        <v/>
      </c>
      <c r="H342" s="245"/>
      <c r="I342" s="245" t="str">
        <f ca="1">IF(CommitmentsTable[[#This Row],[Date Assigned if different from entry date]]&lt;&gt;"",CommitmentsTable[[#This Row],[Date Assigned if different from entry date]]+90,IF(CommitmentsTable[[#This Row],[Date record entered]]&lt;&gt;"",CommitmentsTable[[#This Row],[Date record entered]]+90,""))</f>
        <v/>
      </c>
      <c r="J342" s="245" t="str">
        <f ca="1">IF(CommitmentsTable[[#This Row],[Date Assigned if different from entry date]]&lt;&gt;"",CommitmentsTable[[#This Row],[Date Assigned if different from entry date]]+30,IF(CommitmentsTable[[#This Row],[Date record entered]]&lt;&gt;"",CommitmentsTable[[#This Row],[Date record entered]]+30,""))</f>
        <v/>
      </c>
      <c r="K342" s="245"/>
      <c r="L342" s="245" t="str">
        <f ca="1">IF(CommitmentsTable[[#This Row],[Date Assigned if different from entry date]]&lt;&gt;"",CommitmentsTable[[#This Row],[Date Assigned if different from entry date]]+60,IF(CommitmentsTable[[#This Row],[Date record entered]]&lt;&gt;"",CommitmentsTable[[#This Row],[Date record entered]]+60,""))</f>
        <v/>
      </c>
      <c r="M342" s="214"/>
      <c r="N342" s="214"/>
      <c r="O342" s="236"/>
      <c r="P342" s="214"/>
      <c r="Q342" s="214"/>
      <c r="R342" s="214"/>
      <c r="S342" s="238" t="str">
        <f>IF(CommitmentsTable[[#This Row],[Commitment / deliverable]]="","",IF(CommitmentsTable[[#This Row],[Revised due]]&lt;&gt;"",CommitmentsTable[[#This Row],[Revised due]],CommitmentsTable[[#This Row],[Original due]]))</f>
        <v/>
      </c>
      <c r="T342" s="237" t="str">
        <f>IF(OR(CommitmentsTable[[#This Row],[Commitment / deliverable]]="",CommitmentsTable[[#This Row],[Owner]]=""),"",IF(CommitmentsTable[[#This Row],[Status2]]="","Open",CommitmentsTable[[#This Row],[Status2]]))</f>
        <v/>
      </c>
      <c r="U342" s="237" t="str">
        <f t="shared" ca="1" si="5"/>
        <v/>
      </c>
      <c r="V342" s="233"/>
      <c r="W342" s="63" t="s">
        <v>1309</v>
      </c>
    </row>
    <row r="343" spans="1:23" ht="39">
      <c r="A343" s="213" t="str">
        <f>IF(OR(CommitmentsTable[[#This Row],[Commitment / deliverable]]="",CommitmentsTable[[#This Row],[Immutable Key]]=""),"",SUBSTITUTE(CommitmentsTable[[#This Row],[Immutable Key]],"-K-","-"))</f>
        <v/>
      </c>
      <c r="B343" s="233"/>
      <c r="C343" s="233"/>
      <c r="D343" s="213"/>
      <c r="E343" s="230"/>
      <c r="F343" s="213"/>
      <c r="G343" s="245" t="str">
        <f ca="1">IF(CommitmentsTable[[#This Row],[Commitment / deliverable]]="","",IF(CommitmentsTable[[#This Row],[Date record entered]]="",TODAY(),CommitmentsTable[[#This Row],[Date record entered]]))</f>
        <v/>
      </c>
      <c r="H343" s="245"/>
      <c r="I343" s="245" t="str">
        <f ca="1">IF(CommitmentsTable[[#This Row],[Date Assigned if different from entry date]]&lt;&gt;"",CommitmentsTable[[#This Row],[Date Assigned if different from entry date]]+90,IF(CommitmentsTable[[#This Row],[Date record entered]]&lt;&gt;"",CommitmentsTable[[#This Row],[Date record entered]]+90,""))</f>
        <v/>
      </c>
      <c r="J343" s="245" t="str">
        <f ca="1">IF(CommitmentsTable[[#This Row],[Date Assigned if different from entry date]]&lt;&gt;"",CommitmentsTable[[#This Row],[Date Assigned if different from entry date]]+30,IF(CommitmentsTable[[#This Row],[Date record entered]]&lt;&gt;"",CommitmentsTable[[#This Row],[Date record entered]]+30,""))</f>
        <v/>
      </c>
      <c r="K343" s="245"/>
      <c r="L343" s="245" t="str">
        <f ca="1">IF(CommitmentsTable[[#This Row],[Date Assigned if different from entry date]]&lt;&gt;"",CommitmentsTable[[#This Row],[Date Assigned if different from entry date]]+60,IF(CommitmentsTable[[#This Row],[Date record entered]]&lt;&gt;"",CommitmentsTable[[#This Row],[Date record entered]]+60,""))</f>
        <v/>
      </c>
      <c r="M343" s="214"/>
      <c r="N343" s="214"/>
      <c r="O343" s="236"/>
      <c r="P343" s="214"/>
      <c r="Q343" s="214"/>
      <c r="R343" s="214"/>
      <c r="S343" s="238" t="str">
        <f>IF(CommitmentsTable[[#This Row],[Commitment / deliverable]]="","",IF(CommitmentsTable[[#This Row],[Revised due]]&lt;&gt;"",CommitmentsTable[[#This Row],[Revised due]],CommitmentsTable[[#This Row],[Original due]]))</f>
        <v/>
      </c>
      <c r="T343" s="237" t="str">
        <f>IF(OR(CommitmentsTable[[#This Row],[Commitment / deliverable]]="",CommitmentsTable[[#This Row],[Owner]]=""),"",IF(CommitmentsTable[[#This Row],[Status2]]="","Open",CommitmentsTable[[#This Row],[Status2]]))</f>
        <v/>
      </c>
      <c r="U343" s="237" t="str">
        <f t="shared" ca="1" si="5"/>
        <v/>
      </c>
      <c r="V343" s="233"/>
      <c r="W343" s="63" t="s">
        <v>1310</v>
      </c>
    </row>
    <row r="344" spans="1:23" ht="39">
      <c r="A344" s="213" t="str">
        <f>IF(OR(CommitmentsTable[[#This Row],[Commitment / deliverable]]="",CommitmentsTable[[#This Row],[Immutable Key]]=""),"",SUBSTITUTE(CommitmentsTable[[#This Row],[Immutable Key]],"-K-","-"))</f>
        <v/>
      </c>
      <c r="B344" s="233"/>
      <c r="C344" s="233"/>
      <c r="D344" s="213"/>
      <c r="E344" s="230"/>
      <c r="F344" s="213"/>
      <c r="G344" s="245" t="str">
        <f ca="1">IF(CommitmentsTable[[#This Row],[Commitment / deliverable]]="","",IF(CommitmentsTable[[#This Row],[Date record entered]]="",TODAY(),CommitmentsTable[[#This Row],[Date record entered]]))</f>
        <v/>
      </c>
      <c r="H344" s="245"/>
      <c r="I344" s="245" t="str">
        <f ca="1">IF(CommitmentsTable[[#This Row],[Date Assigned if different from entry date]]&lt;&gt;"",CommitmentsTable[[#This Row],[Date Assigned if different from entry date]]+90,IF(CommitmentsTable[[#This Row],[Date record entered]]&lt;&gt;"",CommitmentsTable[[#This Row],[Date record entered]]+90,""))</f>
        <v/>
      </c>
      <c r="J344" s="245" t="str">
        <f ca="1">IF(CommitmentsTable[[#This Row],[Date Assigned if different from entry date]]&lt;&gt;"",CommitmentsTable[[#This Row],[Date Assigned if different from entry date]]+30,IF(CommitmentsTable[[#This Row],[Date record entered]]&lt;&gt;"",CommitmentsTable[[#This Row],[Date record entered]]+30,""))</f>
        <v/>
      </c>
      <c r="K344" s="245"/>
      <c r="L344" s="245" t="str">
        <f ca="1">IF(CommitmentsTable[[#This Row],[Date Assigned if different from entry date]]&lt;&gt;"",CommitmentsTable[[#This Row],[Date Assigned if different from entry date]]+60,IF(CommitmentsTable[[#This Row],[Date record entered]]&lt;&gt;"",CommitmentsTable[[#This Row],[Date record entered]]+60,""))</f>
        <v/>
      </c>
      <c r="M344" s="214"/>
      <c r="N344" s="214"/>
      <c r="O344" s="236"/>
      <c r="P344" s="214"/>
      <c r="Q344" s="214"/>
      <c r="R344" s="214"/>
      <c r="S344" s="238" t="str">
        <f>IF(CommitmentsTable[[#This Row],[Commitment / deliverable]]="","",IF(CommitmentsTable[[#This Row],[Revised due]]&lt;&gt;"",CommitmentsTable[[#This Row],[Revised due]],CommitmentsTable[[#This Row],[Original due]]))</f>
        <v/>
      </c>
      <c r="T344" s="237" t="str">
        <f>IF(OR(CommitmentsTable[[#This Row],[Commitment / deliverable]]="",CommitmentsTable[[#This Row],[Owner]]=""),"",IF(CommitmentsTable[[#This Row],[Status2]]="","Open",CommitmentsTable[[#This Row],[Status2]]))</f>
        <v/>
      </c>
      <c r="U344" s="237" t="str">
        <f t="shared" ca="1" si="5"/>
        <v/>
      </c>
      <c r="V344" s="233"/>
      <c r="W344" s="63" t="s">
        <v>1311</v>
      </c>
    </row>
    <row r="345" spans="1:23" ht="39">
      <c r="A345" s="213" t="str">
        <f>IF(OR(CommitmentsTable[[#This Row],[Commitment / deliverable]]="",CommitmentsTable[[#This Row],[Immutable Key]]=""),"",SUBSTITUTE(CommitmentsTable[[#This Row],[Immutable Key]],"-K-","-"))</f>
        <v/>
      </c>
      <c r="B345" s="233"/>
      <c r="C345" s="233"/>
      <c r="D345" s="213"/>
      <c r="E345" s="230"/>
      <c r="F345" s="213"/>
      <c r="G345" s="245" t="str">
        <f ca="1">IF(CommitmentsTable[[#This Row],[Commitment / deliverable]]="","",IF(CommitmentsTable[[#This Row],[Date record entered]]="",TODAY(),CommitmentsTable[[#This Row],[Date record entered]]))</f>
        <v/>
      </c>
      <c r="H345" s="245"/>
      <c r="I345" s="245" t="str">
        <f ca="1">IF(CommitmentsTable[[#This Row],[Date Assigned if different from entry date]]&lt;&gt;"",CommitmentsTable[[#This Row],[Date Assigned if different from entry date]]+90,IF(CommitmentsTable[[#This Row],[Date record entered]]&lt;&gt;"",CommitmentsTable[[#This Row],[Date record entered]]+90,""))</f>
        <v/>
      </c>
      <c r="J345" s="245" t="str">
        <f ca="1">IF(CommitmentsTable[[#This Row],[Date Assigned if different from entry date]]&lt;&gt;"",CommitmentsTable[[#This Row],[Date Assigned if different from entry date]]+30,IF(CommitmentsTable[[#This Row],[Date record entered]]&lt;&gt;"",CommitmentsTable[[#This Row],[Date record entered]]+30,""))</f>
        <v/>
      </c>
      <c r="K345" s="245"/>
      <c r="L345" s="245" t="str">
        <f ca="1">IF(CommitmentsTable[[#This Row],[Date Assigned if different from entry date]]&lt;&gt;"",CommitmentsTable[[#This Row],[Date Assigned if different from entry date]]+60,IF(CommitmentsTable[[#This Row],[Date record entered]]&lt;&gt;"",CommitmentsTable[[#This Row],[Date record entered]]+60,""))</f>
        <v/>
      </c>
      <c r="M345" s="214"/>
      <c r="N345" s="214"/>
      <c r="O345" s="236"/>
      <c r="P345" s="214"/>
      <c r="Q345" s="214"/>
      <c r="R345" s="214"/>
      <c r="S345" s="238" t="str">
        <f>IF(CommitmentsTable[[#This Row],[Commitment / deliverable]]="","",IF(CommitmentsTable[[#This Row],[Revised due]]&lt;&gt;"",CommitmentsTable[[#This Row],[Revised due]],CommitmentsTable[[#This Row],[Original due]]))</f>
        <v/>
      </c>
      <c r="T345" s="237" t="str">
        <f>IF(OR(CommitmentsTable[[#This Row],[Commitment / deliverable]]="",CommitmentsTable[[#This Row],[Owner]]=""),"",IF(CommitmentsTable[[#This Row],[Status2]]="","Open",CommitmentsTable[[#This Row],[Status2]]))</f>
        <v/>
      </c>
      <c r="U345" s="237" t="str">
        <f t="shared" ca="1" si="5"/>
        <v/>
      </c>
      <c r="V345" s="233"/>
      <c r="W345" s="63" t="s">
        <v>1312</v>
      </c>
    </row>
    <row r="346" spans="1:23" ht="39">
      <c r="A346" s="213" t="str">
        <f>IF(OR(CommitmentsTable[[#This Row],[Commitment / deliverable]]="",CommitmentsTable[[#This Row],[Immutable Key]]=""),"",SUBSTITUTE(CommitmentsTable[[#This Row],[Immutable Key]],"-K-","-"))</f>
        <v/>
      </c>
      <c r="B346" s="233"/>
      <c r="C346" s="233"/>
      <c r="D346" s="213"/>
      <c r="E346" s="230"/>
      <c r="F346" s="213"/>
      <c r="G346" s="245" t="str">
        <f ca="1">IF(CommitmentsTable[[#This Row],[Commitment / deliverable]]="","",IF(CommitmentsTable[[#This Row],[Date record entered]]="",TODAY(),CommitmentsTable[[#This Row],[Date record entered]]))</f>
        <v/>
      </c>
      <c r="H346" s="245"/>
      <c r="I346" s="245" t="str">
        <f ca="1">IF(CommitmentsTable[[#This Row],[Date Assigned if different from entry date]]&lt;&gt;"",CommitmentsTable[[#This Row],[Date Assigned if different from entry date]]+90,IF(CommitmentsTable[[#This Row],[Date record entered]]&lt;&gt;"",CommitmentsTable[[#This Row],[Date record entered]]+90,""))</f>
        <v/>
      </c>
      <c r="J346" s="245" t="str">
        <f ca="1">IF(CommitmentsTable[[#This Row],[Date Assigned if different from entry date]]&lt;&gt;"",CommitmentsTable[[#This Row],[Date Assigned if different from entry date]]+30,IF(CommitmentsTable[[#This Row],[Date record entered]]&lt;&gt;"",CommitmentsTable[[#This Row],[Date record entered]]+30,""))</f>
        <v/>
      </c>
      <c r="K346" s="245"/>
      <c r="L346" s="245" t="str">
        <f ca="1">IF(CommitmentsTable[[#This Row],[Date Assigned if different from entry date]]&lt;&gt;"",CommitmentsTable[[#This Row],[Date Assigned if different from entry date]]+60,IF(CommitmentsTable[[#This Row],[Date record entered]]&lt;&gt;"",CommitmentsTable[[#This Row],[Date record entered]]+60,""))</f>
        <v/>
      </c>
      <c r="M346" s="214"/>
      <c r="N346" s="214"/>
      <c r="O346" s="236"/>
      <c r="P346" s="214"/>
      <c r="Q346" s="214"/>
      <c r="R346" s="214"/>
      <c r="S346" s="238" t="str">
        <f>IF(CommitmentsTable[[#This Row],[Commitment / deliverable]]="","",IF(CommitmentsTable[[#This Row],[Revised due]]&lt;&gt;"",CommitmentsTable[[#This Row],[Revised due]],CommitmentsTable[[#This Row],[Original due]]))</f>
        <v/>
      </c>
      <c r="T346" s="237" t="str">
        <f>IF(OR(CommitmentsTable[[#This Row],[Commitment / deliverable]]="",CommitmentsTable[[#This Row],[Owner]]=""),"",IF(CommitmentsTable[[#This Row],[Status2]]="","Open",CommitmentsTable[[#This Row],[Status2]]))</f>
        <v/>
      </c>
      <c r="U346" s="237" t="str">
        <f t="shared" ca="1" si="5"/>
        <v/>
      </c>
      <c r="V346" s="233"/>
      <c r="W346" s="63" t="s">
        <v>1313</v>
      </c>
    </row>
    <row r="347" spans="1:23" ht="39">
      <c r="A347" s="213" t="str">
        <f>IF(OR(CommitmentsTable[[#This Row],[Commitment / deliverable]]="",CommitmentsTable[[#This Row],[Immutable Key]]=""),"",SUBSTITUTE(CommitmentsTable[[#This Row],[Immutable Key]],"-K-","-"))</f>
        <v/>
      </c>
      <c r="B347" s="233"/>
      <c r="C347" s="233"/>
      <c r="D347" s="213"/>
      <c r="E347" s="230"/>
      <c r="F347" s="213"/>
      <c r="G347" s="245" t="str">
        <f ca="1">IF(CommitmentsTable[[#This Row],[Commitment / deliverable]]="","",IF(CommitmentsTable[[#This Row],[Date record entered]]="",TODAY(),CommitmentsTable[[#This Row],[Date record entered]]))</f>
        <v/>
      </c>
      <c r="H347" s="245"/>
      <c r="I347" s="245" t="str">
        <f ca="1">IF(CommitmentsTable[[#This Row],[Date Assigned if different from entry date]]&lt;&gt;"",CommitmentsTable[[#This Row],[Date Assigned if different from entry date]]+90,IF(CommitmentsTable[[#This Row],[Date record entered]]&lt;&gt;"",CommitmentsTable[[#This Row],[Date record entered]]+90,""))</f>
        <v/>
      </c>
      <c r="J347" s="245" t="str">
        <f ca="1">IF(CommitmentsTable[[#This Row],[Date Assigned if different from entry date]]&lt;&gt;"",CommitmentsTable[[#This Row],[Date Assigned if different from entry date]]+30,IF(CommitmentsTable[[#This Row],[Date record entered]]&lt;&gt;"",CommitmentsTable[[#This Row],[Date record entered]]+30,""))</f>
        <v/>
      </c>
      <c r="K347" s="245"/>
      <c r="L347" s="245" t="str">
        <f ca="1">IF(CommitmentsTable[[#This Row],[Date Assigned if different from entry date]]&lt;&gt;"",CommitmentsTable[[#This Row],[Date Assigned if different from entry date]]+60,IF(CommitmentsTable[[#This Row],[Date record entered]]&lt;&gt;"",CommitmentsTable[[#This Row],[Date record entered]]+60,""))</f>
        <v/>
      </c>
      <c r="M347" s="214"/>
      <c r="N347" s="214"/>
      <c r="O347" s="236"/>
      <c r="P347" s="214"/>
      <c r="Q347" s="214"/>
      <c r="R347" s="214"/>
      <c r="S347" s="238" t="str">
        <f>IF(CommitmentsTable[[#This Row],[Commitment / deliverable]]="","",IF(CommitmentsTable[[#This Row],[Revised due]]&lt;&gt;"",CommitmentsTable[[#This Row],[Revised due]],CommitmentsTable[[#This Row],[Original due]]))</f>
        <v/>
      </c>
      <c r="T347" s="237" t="str">
        <f>IF(OR(CommitmentsTable[[#This Row],[Commitment / deliverable]]="",CommitmentsTable[[#This Row],[Owner]]=""),"",IF(CommitmentsTable[[#This Row],[Status2]]="","Open",CommitmentsTable[[#This Row],[Status2]]))</f>
        <v/>
      </c>
      <c r="U347" s="237" t="str">
        <f t="shared" ca="1" si="5"/>
        <v/>
      </c>
      <c r="V347" s="233"/>
      <c r="W347" s="63" t="s">
        <v>1314</v>
      </c>
    </row>
    <row r="348" spans="1:23" ht="39">
      <c r="A348" s="213" t="str">
        <f>IF(OR(CommitmentsTable[[#This Row],[Commitment / deliverable]]="",CommitmentsTable[[#This Row],[Immutable Key]]=""),"",SUBSTITUTE(CommitmentsTable[[#This Row],[Immutable Key]],"-K-","-"))</f>
        <v/>
      </c>
      <c r="B348" s="233"/>
      <c r="C348" s="233"/>
      <c r="D348" s="213"/>
      <c r="E348" s="230"/>
      <c r="F348" s="213"/>
      <c r="G348" s="245" t="str">
        <f ca="1">IF(CommitmentsTable[[#This Row],[Commitment / deliverable]]="","",IF(CommitmentsTable[[#This Row],[Date record entered]]="",TODAY(),CommitmentsTable[[#This Row],[Date record entered]]))</f>
        <v/>
      </c>
      <c r="H348" s="245"/>
      <c r="I348" s="245" t="str">
        <f ca="1">IF(CommitmentsTable[[#This Row],[Date Assigned if different from entry date]]&lt;&gt;"",CommitmentsTable[[#This Row],[Date Assigned if different from entry date]]+90,IF(CommitmentsTable[[#This Row],[Date record entered]]&lt;&gt;"",CommitmentsTable[[#This Row],[Date record entered]]+90,""))</f>
        <v/>
      </c>
      <c r="J348" s="245" t="str">
        <f ca="1">IF(CommitmentsTable[[#This Row],[Date Assigned if different from entry date]]&lt;&gt;"",CommitmentsTable[[#This Row],[Date Assigned if different from entry date]]+30,IF(CommitmentsTable[[#This Row],[Date record entered]]&lt;&gt;"",CommitmentsTable[[#This Row],[Date record entered]]+30,""))</f>
        <v/>
      </c>
      <c r="K348" s="245"/>
      <c r="L348" s="245" t="str">
        <f ca="1">IF(CommitmentsTable[[#This Row],[Date Assigned if different from entry date]]&lt;&gt;"",CommitmentsTable[[#This Row],[Date Assigned if different from entry date]]+60,IF(CommitmentsTable[[#This Row],[Date record entered]]&lt;&gt;"",CommitmentsTable[[#This Row],[Date record entered]]+60,""))</f>
        <v/>
      </c>
      <c r="M348" s="214"/>
      <c r="N348" s="214"/>
      <c r="O348" s="236"/>
      <c r="P348" s="214"/>
      <c r="Q348" s="214"/>
      <c r="R348" s="214"/>
      <c r="S348" s="238" t="str">
        <f>IF(CommitmentsTable[[#This Row],[Commitment / deliverable]]="","",IF(CommitmentsTable[[#This Row],[Revised due]]&lt;&gt;"",CommitmentsTable[[#This Row],[Revised due]],CommitmentsTable[[#This Row],[Original due]]))</f>
        <v/>
      </c>
      <c r="T348" s="237" t="str">
        <f>IF(OR(CommitmentsTable[[#This Row],[Commitment / deliverable]]="",CommitmentsTable[[#This Row],[Owner]]=""),"",IF(CommitmentsTable[[#This Row],[Status2]]="","Open",CommitmentsTable[[#This Row],[Status2]]))</f>
        <v/>
      </c>
      <c r="U348" s="237" t="str">
        <f t="shared" ca="1" si="5"/>
        <v/>
      </c>
      <c r="V348" s="233"/>
      <c r="W348" s="63" t="s">
        <v>1315</v>
      </c>
    </row>
    <row r="349" spans="1:23" ht="39">
      <c r="A349" s="213" t="str">
        <f>IF(OR(CommitmentsTable[[#This Row],[Commitment / deliverable]]="",CommitmentsTable[[#This Row],[Immutable Key]]=""),"",SUBSTITUTE(CommitmentsTable[[#This Row],[Immutable Key]],"-K-","-"))</f>
        <v/>
      </c>
      <c r="B349" s="233"/>
      <c r="C349" s="233"/>
      <c r="D349" s="213"/>
      <c r="E349" s="230"/>
      <c r="F349" s="213"/>
      <c r="G349" s="245" t="str">
        <f ca="1">IF(CommitmentsTable[[#This Row],[Commitment / deliverable]]="","",IF(CommitmentsTable[[#This Row],[Date record entered]]="",TODAY(),CommitmentsTable[[#This Row],[Date record entered]]))</f>
        <v/>
      </c>
      <c r="H349" s="245"/>
      <c r="I349" s="245" t="str">
        <f ca="1">IF(CommitmentsTable[[#This Row],[Date Assigned if different from entry date]]&lt;&gt;"",CommitmentsTable[[#This Row],[Date Assigned if different from entry date]]+90,IF(CommitmentsTable[[#This Row],[Date record entered]]&lt;&gt;"",CommitmentsTable[[#This Row],[Date record entered]]+90,""))</f>
        <v/>
      </c>
      <c r="J349" s="245" t="str">
        <f ca="1">IF(CommitmentsTable[[#This Row],[Date Assigned if different from entry date]]&lt;&gt;"",CommitmentsTable[[#This Row],[Date Assigned if different from entry date]]+30,IF(CommitmentsTable[[#This Row],[Date record entered]]&lt;&gt;"",CommitmentsTable[[#This Row],[Date record entered]]+30,""))</f>
        <v/>
      </c>
      <c r="K349" s="245"/>
      <c r="L349" s="245" t="str">
        <f ca="1">IF(CommitmentsTable[[#This Row],[Date Assigned if different from entry date]]&lt;&gt;"",CommitmentsTable[[#This Row],[Date Assigned if different from entry date]]+60,IF(CommitmentsTable[[#This Row],[Date record entered]]&lt;&gt;"",CommitmentsTable[[#This Row],[Date record entered]]+60,""))</f>
        <v/>
      </c>
      <c r="M349" s="214"/>
      <c r="N349" s="214"/>
      <c r="O349" s="236"/>
      <c r="P349" s="214"/>
      <c r="Q349" s="214"/>
      <c r="R349" s="214"/>
      <c r="S349" s="238" t="str">
        <f>IF(CommitmentsTable[[#This Row],[Commitment / deliverable]]="","",IF(CommitmentsTable[[#This Row],[Revised due]]&lt;&gt;"",CommitmentsTable[[#This Row],[Revised due]],CommitmentsTable[[#This Row],[Original due]]))</f>
        <v/>
      </c>
      <c r="T349" s="237" t="str">
        <f>IF(OR(CommitmentsTable[[#This Row],[Commitment / deliverable]]="",CommitmentsTable[[#This Row],[Owner]]=""),"",IF(CommitmentsTable[[#This Row],[Status2]]="","Open",CommitmentsTable[[#This Row],[Status2]]))</f>
        <v/>
      </c>
      <c r="U349" s="237" t="str">
        <f t="shared" ca="1" si="5"/>
        <v/>
      </c>
      <c r="V349" s="233"/>
      <c r="W349" s="63" t="s">
        <v>1316</v>
      </c>
    </row>
    <row r="350" spans="1:23" ht="39">
      <c r="A350" s="213" t="str">
        <f>IF(OR(CommitmentsTable[[#This Row],[Commitment / deliverable]]="",CommitmentsTable[[#This Row],[Immutable Key]]=""),"",SUBSTITUTE(CommitmentsTable[[#This Row],[Immutable Key]],"-K-","-"))</f>
        <v/>
      </c>
      <c r="B350" s="233"/>
      <c r="C350" s="233"/>
      <c r="D350" s="213"/>
      <c r="E350" s="230"/>
      <c r="F350" s="213"/>
      <c r="G350" s="245" t="str">
        <f ca="1">IF(CommitmentsTable[[#This Row],[Commitment / deliverable]]="","",IF(CommitmentsTable[[#This Row],[Date record entered]]="",TODAY(),CommitmentsTable[[#This Row],[Date record entered]]))</f>
        <v/>
      </c>
      <c r="H350" s="245"/>
      <c r="I350" s="245" t="str">
        <f ca="1">IF(CommitmentsTable[[#This Row],[Date Assigned if different from entry date]]&lt;&gt;"",CommitmentsTable[[#This Row],[Date Assigned if different from entry date]]+90,IF(CommitmentsTable[[#This Row],[Date record entered]]&lt;&gt;"",CommitmentsTable[[#This Row],[Date record entered]]+90,""))</f>
        <v/>
      </c>
      <c r="J350" s="245" t="str">
        <f ca="1">IF(CommitmentsTable[[#This Row],[Date Assigned if different from entry date]]&lt;&gt;"",CommitmentsTable[[#This Row],[Date Assigned if different from entry date]]+30,IF(CommitmentsTable[[#This Row],[Date record entered]]&lt;&gt;"",CommitmentsTable[[#This Row],[Date record entered]]+30,""))</f>
        <v/>
      </c>
      <c r="K350" s="245"/>
      <c r="L350" s="245" t="str">
        <f ca="1">IF(CommitmentsTable[[#This Row],[Date Assigned if different from entry date]]&lt;&gt;"",CommitmentsTable[[#This Row],[Date Assigned if different from entry date]]+60,IF(CommitmentsTable[[#This Row],[Date record entered]]&lt;&gt;"",CommitmentsTable[[#This Row],[Date record entered]]+60,""))</f>
        <v/>
      </c>
      <c r="M350" s="214"/>
      <c r="N350" s="214"/>
      <c r="O350" s="236"/>
      <c r="P350" s="214"/>
      <c r="Q350" s="214"/>
      <c r="R350" s="214"/>
      <c r="S350" s="238" t="str">
        <f>IF(CommitmentsTable[[#This Row],[Commitment / deliverable]]="","",IF(CommitmentsTable[[#This Row],[Revised due]]&lt;&gt;"",CommitmentsTable[[#This Row],[Revised due]],CommitmentsTable[[#This Row],[Original due]]))</f>
        <v/>
      </c>
      <c r="T350" s="237" t="str">
        <f>IF(OR(CommitmentsTable[[#This Row],[Commitment / deliverable]]="",CommitmentsTable[[#This Row],[Owner]]=""),"",IF(CommitmentsTable[[#This Row],[Status2]]="","Open",CommitmentsTable[[#This Row],[Status2]]))</f>
        <v/>
      </c>
      <c r="U350" s="237" t="str">
        <f t="shared" ca="1" si="5"/>
        <v/>
      </c>
      <c r="V350" s="233"/>
      <c r="W350" s="63" t="s">
        <v>1317</v>
      </c>
    </row>
    <row r="351" spans="1:23" ht="39">
      <c r="A351" s="213" t="str">
        <f>IF(OR(CommitmentsTable[[#This Row],[Commitment / deliverable]]="",CommitmentsTable[[#This Row],[Immutable Key]]=""),"",SUBSTITUTE(CommitmentsTable[[#This Row],[Immutable Key]],"-K-","-"))</f>
        <v/>
      </c>
      <c r="B351" s="233"/>
      <c r="C351" s="233"/>
      <c r="D351" s="213"/>
      <c r="E351" s="230"/>
      <c r="F351" s="213"/>
      <c r="G351" s="245" t="str">
        <f ca="1">IF(CommitmentsTable[[#This Row],[Commitment / deliverable]]="","",IF(CommitmentsTable[[#This Row],[Date record entered]]="",TODAY(),CommitmentsTable[[#This Row],[Date record entered]]))</f>
        <v/>
      </c>
      <c r="H351" s="245"/>
      <c r="I351" s="245" t="str">
        <f ca="1">IF(CommitmentsTable[[#This Row],[Date Assigned if different from entry date]]&lt;&gt;"",CommitmentsTable[[#This Row],[Date Assigned if different from entry date]]+90,IF(CommitmentsTable[[#This Row],[Date record entered]]&lt;&gt;"",CommitmentsTable[[#This Row],[Date record entered]]+90,""))</f>
        <v/>
      </c>
      <c r="J351" s="245" t="str">
        <f ca="1">IF(CommitmentsTable[[#This Row],[Date Assigned if different from entry date]]&lt;&gt;"",CommitmentsTable[[#This Row],[Date Assigned if different from entry date]]+30,IF(CommitmentsTable[[#This Row],[Date record entered]]&lt;&gt;"",CommitmentsTable[[#This Row],[Date record entered]]+30,""))</f>
        <v/>
      </c>
      <c r="K351" s="245"/>
      <c r="L351" s="245" t="str">
        <f ca="1">IF(CommitmentsTable[[#This Row],[Date Assigned if different from entry date]]&lt;&gt;"",CommitmentsTable[[#This Row],[Date Assigned if different from entry date]]+60,IF(CommitmentsTable[[#This Row],[Date record entered]]&lt;&gt;"",CommitmentsTable[[#This Row],[Date record entered]]+60,""))</f>
        <v/>
      </c>
      <c r="M351" s="214"/>
      <c r="N351" s="214"/>
      <c r="O351" s="236"/>
      <c r="P351" s="214"/>
      <c r="Q351" s="214"/>
      <c r="R351" s="214"/>
      <c r="S351" s="238" t="str">
        <f>IF(CommitmentsTable[[#This Row],[Commitment / deliverable]]="","",IF(CommitmentsTable[[#This Row],[Revised due]]&lt;&gt;"",CommitmentsTable[[#This Row],[Revised due]],CommitmentsTable[[#This Row],[Original due]]))</f>
        <v/>
      </c>
      <c r="T351" s="237" t="str">
        <f>IF(OR(CommitmentsTable[[#This Row],[Commitment / deliverable]]="",CommitmentsTable[[#This Row],[Owner]]=""),"",IF(CommitmentsTable[[#This Row],[Status2]]="","Open",CommitmentsTable[[#This Row],[Status2]]))</f>
        <v/>
      </c>
      <c r="U351" s="237" t="str">
        <f t="shared" ca="1" si="5"/>
        <v/>
      </c>
      <c r="V351" s="233"/>
      <c r="W351" s="63" t="s">
        <v>1318</v>
      </c>
    </row>
    <row r="352" spans="1:23" ht="39">
      <c r="A352" s="213" t="str">
        <f>IF(OR(CommitmentsTable[[#This Row],[Commitment / deliverable]]="",CommitmentsTable[[#This Row],[Immutable Key]]=""),"",SUBSTITUTE(CommitmentsTable[[#This Row],[Immutable Key]],"-K-","-"))</f>
        <v/>
      </c>
      <c r="B352" s="233"/>
      <c r="C352" s="233"/>
      <c r="D352" s="213"/>
      <c r="E352" s="230"/>
      <c r="F352" s="213"/>
      <c r="G352" s="245" t="str">
        <f ca="1">IF(CommitmentsTable[[#This Row],[Commitment / deliverable]]="","",IF(CommitmentsTable[[#This Row],[Date record entered]]="",TODAY(),CommitmentsTable[[#This Row],[Date record entered]]))</f>
        <v/>
      </c>
      <c r="H352" s="245"/>
      <c r="I352" s="245" t="str">
        <f ca="1">IF(CommitmentsTable[[#This Row],[Date Assigned if different from entry date]]&lt;&gt;"",CommitmentsTable[[#This Row],[Date Assigned if different from entry date]]+90,IF(CommitmentsTable[[#This Row],[Date record entered]]&lt;&gt;"",CommitmentsTable[[#This Row],[Date record entered]]+90,""))</f>
        <v/>
      </c>
      <c r="J352" s="245" t="str">
        <f ca="1">IF(CommitmentsTable[[#This Row],[Date Assigned if different from entry date]]&lt;&gt;"",CommitmentsTable[[#This Row],[Date Assigned if different from entry date]]+30,IF(CommitmentsTable[[#This Row],[Date record entered]]&lt;&gt;"",CommitmentsTable[[#This Row],[Date record entered]]+30,""))</f>
        <v/>
      </c>
      <c r="K352" s="245"/>
      <c r="L352" s="245" t="str">
        <f ca="1">IF(CommitmentsTable[[#This Row],[Date Assigned if different from entry date]]&lt;&gt;"",CommitmentsTable[[#This Row],[Date Assigned if different from entry date]]+60,IF(CommitmentsTable[[#This Row],[Date record entered]]&lt;&gt;"",CommitmentsTable[[#This Row],[Date record entered]]+60,""))</f>
        <v/>
      </c>
      <c r="M352" s="214"/>
      <c r="N352" s="214"/>
      <c r="O352" s="236"/>
      <c r="P352" s="214"/>
      <c r="Q352" s="214"/>
      <c r="R352" s="214"/>
      <c r="S352" s="238" t="str">
        <f>IF(CommitmentsTable[[#This Row],[Commitment / deliverable]]="","",IF(CommitmentsTable[[#This Row],[Revised due]]&lt;&gt;"",CommitmentsTable[[#This Row],[Revised due]],CommitmentsTable[[#This Row],[Original due]]))</f>
        <v/>
      </c>
      <c r="T352" s="237" t="str">
        <f>IF(OR(CommitmentsTable[[#This Row],[Commitment / deliverable]]="",CommitmentsTable[[#This Row],[Owner]]=""),"",IF(CommitmentsTable[[#This Row],[Status2]]="","Open",CommitmentsTable[[#This Row],[Status2]]))</f>
        <v/>
      </c>
      <c r="U352" s="237" t="str">
        <f t="shared" ca="1" si="5"/>
        <v/>
      </c>
      <c r="V352" s="233"/>
      <c r="W352" s="63" t="s">
        <v>1319</v>
      </c>
    </row>
    <row r="353" spans="1:23" ht="39">
      <c r="A353" s="213" t="str">
        <f>IF(OR(CommitmentsTable[[#This Row],[Commitment / deliverable]]="",CommitmentsTable[[#This Row],[Immutable Key]]=""),"",SUBSTITUTE(CommitmentsTable[[#This Row],[Immutable Key]],"-K-","-"))</f>
        <v/>
      </c>
      <c r="B353" s="233"/>
      <c r="C353" s="233"/>
      <c r="D353" s="213"/>
      <c r="E353" s="230"/>
      <c r="F353" s="213"/>
      <c r="G353" s="245" t="str">
        <f ca="1">IF(CommitmentsTable[[#This Row],[Commitment / deliverable]]="","",IF(CommitmentsTable[[#This Row],[Date record entered]]="",TODAY(),CommitmentsTable[[#This Row],[Date record entered]]))</f>
        <v/>
      </c>
      <c r="H353" s="245"/>
      <c r="I353" s="245" t="str">
        <f ca="1">IF(CommitmentsTable[[#This Row],[Date Assigned if different from entry date]]&lt;&gt;"",CommitmentsTable[[#This Row],[Date Assigned if different from entry date]]+90,IF(CommitmentsTable[[#This Row],[Date record entered]]&lt;&gt;"",CommitmentsTable[[#This Row],[Date record entered]]+90,""))</f>
        <v/>
      </c>
      <c r="J353" s="245" t="str">
        <f ca="1">IF(CommitmentsTable[[#This Row],[Date Assigned if different from entry date]]&lt;&gt;"",CommitmentsTable[[#This Row],[Date Assigned if different from entry date]]+30,IF(CommitmentsTable[[#This Row],[Date record entered]]&lt;&gt;"",CommitmentsTable[[#This Row],[Date record entered]]+30,""))</f>
        <v/>
      </c>
      <c r="K353" s="245"/>
      <c r="L353" s="245" t="str">
        <f ca="1">IF(CommitmentsTable[[#This Row],[Date Assigned if different from entry date]]&lt;&gt;"",CommitmentsTable[[#This Row],[Date Assigned if different from entry date]]+60,IF(CommitmentsTable[[#This Row],[Date record entered]]&lt;&gt;"",CommitmentsTable[[#This Row],[Date record entered]]+60,""))</f>
        <v/>
      </c>
      <c r="M353" s="214"/>
      <c r="N353" s="214"/>
      <c r="O353" s="236"/>
      <c r="P353" s="214"/>
      <c r="Q353" s="214"/>
      <c r="R353" s="214"/>
      <c r="S353" s="238" t="str">
        <f>IF(CommitmentsTable[[#This Row],[Commitment / deliverable]]="","",IF(CommitmentsTable[[#This Row],[Revised due]]&lt;&gt;"",CommitmentsTable[[#This Row],[Revised due]],CommitmentsTable[[#This Row],[Original due]]))</f>
        <v/>
      </c>
      <c r="T353" s="237" t="str">
        <f>IF(OR(CommitmentsTable[[#This Row],[Commitment / deliverable]]="",CommitmentsTable[[#This Row],[Owner]]=""),"",IF(CommitmentsTable[[#This Row],[Status2]]="","Open",CommitmentsTable[[#This Row],[Status2]]))</f>
        <v/>
      </c>
      <c r="U353" s="237" t="str">
        <f t="shared" ca="1" si="5"/>
        <v/>
      </c>
      <c r="V353" s="233"/>
      <c r="W353" s="63" t="s">
        <v>1320</v>
      </c>
    </row>
    <row r="354" spans="1:23" ht="39">
      <c r="A354" s="213" t="str">
        <f>IF(OR(CommitmentsTable[[#This Row],[Commitment / deliverable]]="",CommitmentsTable[[#This Row],[Immutable Key]]=""),"",SUBSTITUTE(CommitmentsTable[[#This Row],[Immutable Key]],"-K-","-"))</f>
        <v/>
      </c>
      <c r="B354" s="233"/>
      <c r="C354" s="233"/>
      <c r="D354" s="213"/>
      <c r="E354" s="230"/>
      <c r="F354" s="213"/>
      <c r="G354" s="245" t="str">
        <f ca="1">IF(CommitmentsTable[[#This Row],[Commitment / deliverable]]="","",IF(CommitmentsTable[[#This Row],[Date record entered]]="",TODAY(),CommitmentsTable[[#This Row],[Date record entered]]))</f>
        <v/>
      </c>
      <c r="H354" s="245"/>
      <c r="I354" s="245" t="str">
        <f ca="1">IF(CommitmentsTable[[#This Row],[Date Assigned if different from entry date]]&lt;&gt;"",CommitmentsTable[[#This Row],[Date Assigned if different from entry date]]+90,IF(CommitmentsTable[[#This Row],[Date record entered]]&lt;&gt;"",CommitmentsTable[[#This Row],[Date record entered]]+90,""))</f>
        <v/>
      </c>
      <c r="J354" s="245" t="str">
        <f ca="1">IF(CommitmentsTable[[#This Row],[Date Assigned if different from entry date]]&lt;&gt;"",CommitmentsTable[[#This Row],[Date Assigned if different from entry date]]+30,IF(CommitmentsTable[[#This Row],[Date record entered]]&lt;&gt;"",CommitmentsTable[[#This Row],[Date record entered]]+30,""))</f>
        <v/>
      </c>
      <c r="K354" s="245"/>
      <c r="L354" s="245" t="str">
        <f ca="1">IF(CommitmentsTable[[#This Row],[Date Assigned if different from entry date]]&lt;&gt;"",CommitmentsTable[[#This Row],[Date Assigned if different from entry date]]+60,IF(CommitmentsTable[[#This Row],[Date record entered]]&lt;&gt;"",CommitmentsTable[[#This Row],[Date record entered]]+60,""))</f>
        <v/>
      </c>
      <c r="M354" s="214"/>
      <c r="N354" s="214"/>
      <c r="O354" s="236"/>
      <c r="P354" s="214"/>
      <c r="Q354" s="214"/>
      <c r="R354" s="214"/>
      <c r="S354" s="238" t="str">
        <f>IF(CommitmentsTable[[#This Row],[Commitment / deliverable]]="","",IF(CommitmentsTable[[#This Row],[Revised due]]&lt;&gt;"",CommitmentsTable[[#This Row],[Revised due]],CommitmentsTable[[#This Row],[Original due]]))</f>
        <v/>
      </c>
      <c r="T354" s="237" t="str">
        <f>IF(OR(CommitmentsTable[[#This Row],[Commitment / deliverable]]="",CommitmentsTable[[#This Row],[Owner]]=""),"",IF(CommitmentsTable[[#This Row],[Status2]]="","Open",CommitmentsTable[[#This Row],[Status2]]))</f>
        <v/>
      </c>
      <c r="U354" s="237" t="str">
        <f t="shared" ca="1" si="5"/>
        <v/>
      </c>
      <c r="V354" s="233"/>
      <c r="W354" s="63" t="s">
        <v>1321</v>
      </c>
    </row>
    <row r="355" spans="1:23" ht="39">
      <c r="A355" s="213" t="str">
        <f>IF(OR(CommitmentsTable[[#This Row],[Commitment / deliverable]]="",CommitmentsTable[[#This Row],[Immutable Key]]=""),"",SUBSTITUTE(CommitmentsTable[[#This Row],[Immutable Key]],"-K-","-"))</f>
        <v/>
      </c>
      <c r="B355" s="233"/>
      <c r="C355" s="233"/>
      <c r="D355" s="213"/>
      <c r="E355" s="230"/>
      <c r="F355" s="213"/>
      <c r="G355" s="245" t="str">
        <f ca="1">IF(CommitmentsTable[[#This Row],[Commitment / deliverable]]="","",IF(CommitmentsTable[[#This Row],[Date record entered]]="",TODAY(),CommitmentsTable[[#This Row],[Date record entered]]))</f>
        <v/>
      </c>
      <c r="H355" s="245"/>
      <c r="I355" s="245" t="str">
        <f ca="1">IF(CommitmentsTable[[#This Row],[Date Assigned if different from entry date]]&lt;&gt;"",CommitmentsTable[[#This Row],[Date Assigned if different from entry date]]+90,IF(CommitmentsTable[[#This Row],[Date record entered]]&lt;&gt;"",CommitmentsTable[[#This Row],[Date record entered]]+90,""))</f>
        <v/>
      </c>
      <c r="J355" s="245" t="str">
        <f ca="1">IF(CommitmentsTable[[#This Row],[Date Assigned if different from entry date]]&lt;&gt;"",CommitmentsTable[[#This Row],[Date Assigned if different from entry date]]+30,IF(CommitmentsTable[[#This Row],[Date record entered]]&lt;&gt;"",CommitmentsTable[[#This Row],[Date record entered]]+30,""))</f>
        <v/>
      </c>
      <c r="K355" s="245"/>
      <c r="L355" s="245" t="str">
        <f ca="1">IF(CommitmentsTable[[#This Row],[Date Assigned if different from entry date]]&lt;&gt;"",CommitmentsTable[[#This Row],[Date Assigned if different from entry date]]+60,IF(CommitmentsTable[[#This Row],[Date record entered]]&lt;&gt;"",CommitmentsTable[[#This Row],[Date record entered]]+60,""))</f>
        <v/>
      </c>
      <c r="M355" s="214"/>
      <c r="N355" s="214"/>
      <c r="O355" s="236"/>
      <c r="P355" s="214"/>
      <c r="Q355" s="214"/>
      <c r="R355" s="214"/>
      <c r="S355" s="238" t="str">
        <f>IF(CommitmentsTable[[#This Row],[Commitment / deliverable]]="","",IF(CommitmentsTable[[#This Row],[Revised due]]&lt;&gt;"",CommitmentsTable[[#This Row],[Revised due]],CommitmentsTable[[#This Row],[Original due]]))</f>
        <v/>
      </c>
      <c r="T355" s="237" t="str">
        <f>IF(OR(CommitmentsTable[[#This Row],[Commitment / deliverable]]="",CommitmentsTable[[#This Row],[Owner]]=""),"",IF(CommitmentsTable[[#This Row],[Status2]]="","Open",CommitmentsTable[[#This Row],[Status2]]))</f>
        <v/>
      </c>
      <c r="U355" s="237" t="str">
        <f t="shared" ca="1" si="5"/>
        <v/>
      </c>
      <c r="V355" s="233"/>
      <c r="W355" s="63" t="s">
        <v>1322</v>
      </c>
    </row>
    <row r="356" spans="1:23" ht="39">
      <c r="A356" s="213" t="str">
        <f>IF(OR(CommitmentsTable[[#This Row],[Commitment / deliverable]]="",CommitmentsTable[[#This Row],[Immutable Key]]=""),"",SUBSTITUTE(CommitmentsTable[[#This Row],[Immutable Key]],"-K-","-"))</f>
        <v/>
      </c>
      <c r="B356" s="233"/>
      <c r="C356" s="233"/>
      <c r="D356" s="213"/>
      <c r="E356" s="230"/>
      <c r="F356" s="213"/>
      <c r="G356" s="245" t="str">
        <f ca="1">IF(CommitmentsTable[[#This Row],[Commitment / deliverable]]="","",IF(CommitmentsTable[[#This Row],[Date record entered]]="",TODAY(),CommitmentsTable[[#This Row],[Date record entered]]))</f>
        <v/>
      </c>
      <c r="H356" s="245"/>
      <c r="I356" s="245" t="str">
        <f ca="1">IF(CommitmentsTable[[#This Row],[Date Assigned if different from entry date]]&lt;&gt;"",CommitmentsTable[[#This Row],[Date Assigned if different from entry date]]+90,IF(CommitmentsTable[[#This Row],[Date record entered]]&lt;&gt;"",CommitmentsTable[[#This Row],[Date record entered]]+90,""))</f>
        <v/>
      </c>
      <c r="J356" s="245" t="str">
        <f ca="1">IF(CommitmentsTable[[#This Row],[Date Assigned if different from entry date]]&lt;&gt;"",CommitmentsTable[[#This Row],[Date Assigned if different from entry date]]+30,IF(CommitmentsTable[[#This Row],[Date record entered]]&lt;&gt;"",CommitmentsTable[[#This Row],[Date record entered]]+30,""))</f>
        <v/>
      </c>
      <c r="K356" s="245"/>
      <c r="L356" s="245" t="str">
        <f ca="1">IF(CommitmentsTable[[#This Row],[Date Assigned if different from entry date]]&lt;&gt;"",CommitmentsTable[[#This Row],[Date Assigned if different from entry date]]+60,IF(CommitmentsTable[[#This Row],[Date record entered]]&lt;&gt;"",CommitmentsTable[[#This Row],[Date record entered]]+60,""))</f>
        <v/>
      </c>
      <c r="M356" s="214"/>
      <c r="N356" s="214"/>
      <c r="O356" s="236"/>
      <c r="P356" s="214"/>
      <c r="Q356" s="214"/>
      <c r="R356" s="214"/>
      <c r="S356" s="238" t="str">
        <f>IF(CommitmentsTable[[#This Row],[Commitment / deliverable]]="","",IF(CommitmentsTable[[#This Row],[Revised due]]&lt;&gt;"",CommitmentsTable[[#This Row],[Revised due]],CommitmentsTable[[#This Row],[Original due]]))</f>
        <v/>
      </c>
      <c r="T356" s="237" t="str">
        <f>IF(OR(CommitmentsTable[[#This Row],[Commitment / deliverable]]="",CommitmentsTable[[#This Row],[Owner]]=""),"",IF(CommitmentsTable[[#This Row],[Status2]]="","Open",CommitmentsTable[[#This Row],[Status2]]))</f>
        <v/>
      </c>
      <c r="U356" s="237" t="str">
        <f t="shared" ca="1" si="5"/>
        <v/>
      </c>
      <c r="V356" s="233"/>
      <c r="W356" s="63" t="s">
        <v>1323</v>
      </c>
    </row>
    <row r="357" spans="1:23" ht="39">
      <c r="A357" s="213" t="str">
        <f>IF(OR(CommitmentsTable[[#This Row],[Commitment / deliverable]]="",CommitmentsTable[[#This Row],[Immutable Key]]=""),"",SUBSTITUTE(CommitmentsTable[[#This Row],[Immutable Key]],"-K-","-"))</f>
        <v/>
      </c>
      <c r="B357" s="233"/>
      <c r="C357" s="233"/>
      <c r="D357" s="213"/>
      <c r="E357" s="230"/>
      <c r="F357" s="213"/>
      <c r="G357" s="245" t="str">
        <f ca="1">IF(CommitmentsTable[[#This Row],[Commitment / deliverable]]="","",IF(CommitmentsTable[[#This Row],[Date record entered]]="",TODAY(),CommitmentsTable[[#This Row],[Date record entered]]))</f>
        <v/>
      </c>
      <c r="H357" s="245"/>
      <c r="I357" s="245" t="str">
        <f ca="1">IF(CommitmentsTable[[#This Row],[Date Assigned if different from entry date]]&lt;&gt;"",CommitmentsTable[[#This Row],[Date Assigned if different from entry date]]+90,IF(CommitmentsTable[[#This Row],[Date record entered]]&lt;&gt;"",CommitmentsTable[[#This Row],[Date record entered]]+90,""))</f>
        <v/>
      </c>
      <c r="J357" s="245" t="str">
        <f ca="1">IF(CommitmentsTable[[#This Row],[Date Assigned if different from entry date]]&lt;&gt;"",CommitmentsTable[[#This Row],[Date Assigned if different from entry date]]+30,IF(CommitmentsTable[[#This Row],[Date record entered]]&lt;&gt;"",CommitmentsTable[[#This Row],[Date record entered]]+30,""))</f>
        <v/>
      </c>
      <c r="K357" s="245"/>
      <c r="L357" s="245" t="str">
        <f ca="1">IF(CommitmentsTable[[#This Row],[Date Assigned if different from entry date]]&lt;&gt;"",CommitmentsTable[[#This Row],[Date Assigned if different from entry date]]+60,IF(CommitmentsTable[[#This Row],[Date record entered]]&lt;&gt;"",CommitmentsTable[[#This Row],[Date record entered]]+60,""))</f>
        <v/>
      </c>
      <c r="M357" s="214"/>
      <c r="N357" s="214"/>
      <c r="O357" s="236"/>
      <c r="P357" s="214"/>
      <c r="Q357" s="214"/>
      <c r="R357" s="214"/>
      <c r="S357" s="238" t="str">
        <f>IF(CommitmentsTable[[#This Row],[Commitment / deliverable]]="","",IF(CommitmentsTable[[#This Row],[Revised due]]&lt;&gt;"",CommitmentsTable[[#This Row],[Revised due]],CommitmentsTable[[#This Row],[Original due]]))</f>
        <v/>
      </c>
      <c r="T357" s="237" t="str">
        <f>IF(OR(CommitmentsTable[[#This Row],[Commitment / deliverable]]="",CommitmentsTable[[#This Row],[Owner]]=""),"",IF(CommitmentsTable[[#This Row],[Status2]]="","Open",CommitmentsTable[[#This Row],[Status2]]))</f>
        <v/>
      </c>
      <c r="U357" s="237" t="str">
        <f t="shared" ca="1" si="5"/>
        <v/>
      </c>
      <c r="V357" s="233"/>
      <c r="W357" s="63" t="s">
        <v>1324</v>
      </c>
    </row>
    <row r="358" spans="1:23" ht="39">
      <c r="A358" s="213" t="str">
        <f>IF(OR(CommitmentsTable[[#This Row],[Commitment / deliverable]]="",CommitmentsTable[[#This Row],[Immutable Key]]=""),"",SUBSTITUTE(CommitmentsTable[[#This Row],[Immutable Key]],"-K-","-"))</f>
        <v/>
      </c>
      <c r="B358" s="233"/>
      <c r="C358" s="233"/>
      <c r="D358" s="213"/>
      <c r="E358" s="230"/>
      <c r="F358" s="213"/>
      <c r="G358" s="245" t="str">
        <f ca="1">IF(CommitmentsTable[[#This Row],[Commitment / deliverable]]="","",IF(CommitmentsTable[[#This Row],[Date record entered]]="",TODAY(),CommitmentsTable[[#This Row],[Date record entered]]))</f>
        <v/>
      </c>
      <c r="H358" s="245"/>
      <c r="I358" s="245" t="str">
        <f ca="1">IF(CommitmentsTable[[#This Row],[Date Assigned if different from entry date]]&lt;&gt;"",CommitmentsTable[[#This Row],[Date Assigned if different from entry date]]+90,IF(CommitmentsTable[[#This Row],[Date record entered]]&lt;&gt;"",CommitmentsTable[[#This Row],[Date record entered]]+90,""))</f>
        <v/>
      </c>
      <c r="J358" s="245" t="str">
        <f ca="1">IF(CommitmentsTable[[#This Row],[Date Assigned if different from entry date]]&lt;&gt;"",CommitmentsTable[[#This Row],[Date Assigned if different from entry date]]+30,IF(CommitmentsTable[[#This Row],[Date record entered]]&lt;&gt;"",CommitmentsTable[[#This Row],[Date record entered]]+30,""))</f>
        <v/>
      </c>
      <c r="K358" s="245"/>
      <c r="L358" s="245" t="str">
        <f ca="1">IF(CommitmentsTable[[#This Row],[Date Assigned if different from entry date]]&lt;&gt;"",CommitmentsTable[[#This Row],[Date Assigned if different from entry date]]+60,IF(CommitmentsTable[[#This Row],[Date record entered]]&lt;&gt;"",CommitmentsTable[[#This Row],[Date record entered]]+60,""))</f>
        <v/>
      </c>
      <c r="M358" s="214"/>
      <c r="N358" s="214"/>
      <c r="O358" s="236"/>
      <c r="P358" s="214"/>
      <c r="Q358" s="214"/>
      <c r="R358" s="214"/>
      <c r="S358" s="238" t="str">
        <f>IF(CommitmentsTable[[#This Row],[Commitment / deliverable]]="","",IF(CommitmentsTable[[#This Row],[Revised due]]&lt;&gt;"",CommitmentsTable[[#This Row],[Revised due]],CommitmentsTable[[#This Row],[Original due]]))</f>
        <v/>
      </c>
      <c r="T358" s="237" t="str">
        <f>IF(OR(CommitmentsTable[[#This Row],[Commitment / deliverable]]="",CommitmentsTable[[#This Row],[Owner]]=""),"",IF(CommitmentsTable[[#This Row],[Status2]]="","Open",CommitmentsTable[[#This Row],[Status2]]))</f>
        <v/>
      </c>
      <c r="U358" s="237" t="str">
        <f t="shared" ca="1" si="5"/>
        <v/>
      </c>
      <c r="V358" s="233"/>
      <c r="W358" s="63" t="s">
        <v>1325</v>
      </c>
    </row>
    <row r="359" spans="1:23" ht="39">
      <c r="A359" s="213" t="str">
        <f>IF(OR(CommitmentsTable[[#This Row],[Commitment / deliverable]]="",CommitmentsTable[[#This Row],[Immutable Key]]=""),"",SUBSTITUTE(CommitmentsTable[[#This Row],[Immutable Key]],"-K-","-"))</f>
        <v/>
      </c>
      <c r="B359" s="233"/>
      <c r="C359" s="233"/>
      <c r="D359" s="213"/>
      <c r="E359" s="230"/>
      <c r="F359" s="213"/>
      <c r="G359" s="245" t="str">
        <f ca="1">IF(CommitmentsTable[[#This Row],[Commitment / deliverable]]="","",IF(CommitmentsTable[[#This Row],[Date record entered]]="",TODAY(),CommitmentsTable[[#This Row],[Date record entered]]))</f>
        <v/>
      </c>
      <c r="H359" s="245"/>
      <c r="I359" s="245" t="str">
        <f ca="1">IF(CommitmentsTable[[#This Row],[Date Assigned if different from entry date]]&lt;&gt;"",CommitmentsTable[[#This Row],[Date Assigned if different from entry date]]+90,IF(CommitmentsTable[[#This Row],[Date record entered]]&lt;&gt;"",CommitmentsTable[[#This Row],[Date record entered]]+90,""))</f>
        <v/>
      </c>
      <c r="J359" s="245" t="str">
        <f ca="1">IF(CommitmentsTable[[#This Row],[Date Assigned if different from entry date]]&lt;&gt;"",CommitmentsTable[[#This Row],[Date Assigned if different from entry date]]+30,IF(CommitmentsTable[[#This Row],[Date record entered]]&lt;&gt;"",CommitmentsTable[[#This Row],[Date record entered]]+30,""))</f>
        <v/>
      </c>
      <c r="K359" s="245"/>
      <c r="L359" s="245" t="str">
        <f ca="1">IF(CommitmentsTable[[#This Row],[Date Assigned if different from entry date]]&lt;&gt;"",CommitmentsTable[[#This Row],[Date Assigned if different from entry date]]+60,IF(CommitmentsTable[[#This Row],[Date record entered]]&lt;&gt;"",CommitmentsTable[[#This Row],[Date record entered]]+60,""))</f>
        <v/>
      </c>
      <c r="M359" s="214"/>
      <c r="N359" s="214"/>
      <c r="O359" s="236"/>
      <c r="P359" s="214"/>
      <c r="Q359" s="214"/>
      <c r="R359" s="214"/>
      <c r="S359" s="238" t="str">
        <f>IF(CommitmentsTable[[#This Row],[Commitment / deliverable]]="","",IF(CommitmentsTable[[#This Row],[Revised due]]&lt;&gt;"",CommitmentsTable[[#This Row],[Revised due]],CommitmentsTable[[#This Row],[Original due]]))</f>
        <v/>
      </c>
      <c r="T359" s="237" t="str">
        <f>IF(OR(CommitmentsTable[[#This Row],[Commitment / deliverable]]="",CommitmentsTable[[#This Row],[Owner]]=""),"",IF(CommitmentsTable[[#This Row],[Status2]]="","Open",CommitmentsTable[[#This Row],[Status2]]))</f>
        <v/>
      </c>
      <c r="U359" s="237" t="str">
        <f t="shared" ca="1" si="5"/>
        <v/>
      </c>
      <c r="V359" s="233"/>
      <c r="W359" s="63" t="s">
        <v>1326</v>
      </c>
    </row>
    <row r="360" spans="1:23" ht="39">
      <c r="A360" s="213" t="str">
        <f>IF(OR(CommitmentsTable[[#This Row],[Commitment / deliverable]]="",CommitmentsTable[[#This Row],[Immutable Key]]=""),"",SUBSTITUTE(CommitmentsTable[[#This Row],[Immutable Key]],"-K-","-"))</f>
        <v/>
      </c>
      <c r="B360" s="233"/>
      <c r="C360" s="233"/>
      <c r="D360" s="213"/>
      <c r="E360" s="230"/>
      <c r="F360" s="213"/>
      <c r="G360" s="245" t="str">
        <f ca="1">IF(CommitmentsTable[[#This Row],[Commitment / deliverable]]="","",IF(CommitmentsTable[[#This Row],[Date record entered]]="",TODAY(),CommitmentsTable[[#This Row],[Date record entered]]))</f>
        <v/>
      </c>
      <c r="H360" s="245"/>
      <c r="I360" s="245" t="str">
        <f ca="1">IF(CommitmentsTable[[#This Row],[Date Assigned if different from entry date]]&lt;&gt;"",CommitmentsTable[[#This Row],[Date Assigned if different from entry date]]+90,IF(CommitmentsTable[[#This Row],[Date record entered]]&lt;&gt;"",CommitmentsTable[[#This Row],[Date record entered]]+90,""))</f>
        <v/>
      </c>
      <c r="J360" s="245" t="str">
        <f ca="1">IF(CommitmentsTable[[#This Row],[Date Assigned if different from entry date]]&lt;&gt;"",CommitmentsTable[[#This Row],[Date Assigned if different from entry date]]+30,IF(CommitmentsTable[[#This Row],[Date record entered]]&lt;&gt;"",CommitmentsTable[[#This Row],[Date record entered]]+30,""))</f>
        <v/>
      </c>
      <c r="K360" s="245"/>
      <c r="L360" s="245" t="str">
        <f ca="1">IF(CommitmentsTable[[#This Row],[Date Assigned if different from entry date]]&lt;&gt;"",CommitmentsTable[[#This Row],[Date Assigned if different from entry date]]+60,IF(CommitmentsTable[[#This Row],[Date record entered]]&lt;&gt;"",CommitmentsTable[[#This Row],[Date record entered]]+60,""))</f>
        <v/>
      </c>
      <c r="M360" s="214"/>
      <c r="N360" s="214"/>
      <c r="O360" s="236"/>
      <c r="P360" s="214"/>
      <c r="Q360" s="214"/>
      <c r="R360" s="214"/>
      <c r="S360" s="238" t="str">
        <f>IF(CommitmentsTable[[#This Row],[Commitment / deliverable]]="","",IF(CommitmentsTable[[#This Row],[Revised due]]&lt;&gt;"",CommitmentsTable[[#This Row],[Revised due]],CommitmentsTable[[#This Row],[Original due]]))</f>
        <v/>
      </c>
      <c r="T360" s="237" t="str">
        <f>IF(OR(CommitmentsTable[[#This Row],[Commitment / deliverable]]="",CommitmentsTable[[#This Row],[Owner]]=""),"",IF(CommitmentsTable[[#This Row],[Status2]]="","Open",CommitmentsTable[[#This Row],[Status2]]))</f>
        <v/>
      </c>
      <c r="U360" s="237" t="str">
        <f t="shared" ca="1" si="5"/>
        <v/>
      </c>
      <c r="V360" s="233"/>
      <c r="W360" s="63" t="s">
        <v>1327</v>
      </c>
    </row>
    <row r="361" spans="1:23" ht="39">
      <c r="A361" s="213" t="str">
        <f>IF(OR(CommitmentsTable[[#This Row],[Commitment / deliverable]]="",CommitmentsTable[[#This Row],[Immutable Key]]=""),"",SUBSTITUTE(CommitmentsTable[[#This Row],[Immutable Key]],"-K-","-"))</f>
        <v/>
      </c>
      <c r="B361" s="233"/>
      <c r="C361" s="233"/>
      <c r="D361" s="213"/>
      <c r="E361" s="230"/>
      <c r="F361" s="213"/>
      <c r="G361" s="245" t="str">
        <f ca="1">IF(CommitmentsTable[[#This Row],[Commitment / deliverable]]="","",IF(CommitmentsTable[[#This Row],[Date record entered]]="",TODAY(),CommitmentsTable[[#This Row],[Date record entered]]))</f>
        <v/>
      </c>
      <c r="H361" s="245"/>
      <c r="I361" s="245" t="str">
        <f ca="1">IF(CommitmentsTable[[#This Row],[Date Assigned if different from entry date]]&lt;&gt;"",CommitmentsTable[[#This Row],[Date Assigned if different from entry date]]+90,IF(CommitmentsTable[[#This Row],[Date record entered]]&lt;&gt;"",CommitmentsTable[[#This Row],[Date record entered]]+90,""))</f>
        <v/>
      </c>
      <c r="J361" s="245" t="str">
        <f ca="1">IF(CommitmentsTable[[#This Row],[Date Assigned if different from entry date]]&lt;&gt;"",CommitmentsTable[[#This Row],[Date Assigned if different from entry date]]+30,IF(CommitmentsTable[[#This Row],[Date record entered]]&lt;&gt;"",CommitmentsTable[[#This Row],[Date record entered]]+30,""))</f>
        <v/>
      </c>
      <c r="K361" s="245"/>
      <c r="L361" s="245" t="str">
        <f ca="1">IF(CommitmentsTable[[#This Row],[Date Assigned if different from entry date]]&lt;&gt;"",CommitmentsTable[[#This Row],[Date Assigned if different from entry date]]+60,IF(CommitmentsTable[[#This Row],[Date record entered]]&lt;&gt;"",CommitmentsTable[[#This Row],[Date record entered]]+60,""))</f>
        <v/>
      </c>
      <c r="M361" s="214"/>
      <c r="N361" s="214"/>
      <c r="O361" s="236"/>
      <c r="P361" s="214"/>
      <c r="Q361" s="214"/>
      <c r="R361" s="214"/>
      <c r="S361" s="238" t="str">
        <f>IF(CommitmentsTable[[#This Row],[Commitment / deliverable]]="","",IF(CommitmentsTable[[#This Row],[Revised due]]&lt;&gt;"",CommitmentsTable[[#This Row],[Revised due]],CommitmentsTable[[#This Row],[Original due]]))</f>
        <v/>
      </c>
      <c r="T361" s="237" t="str">
        <f>IF(OR(CommitmentsTable[[#This Row],[Commitment / deliverable]]="",CommitmentsTable[[#This Row],[Owner]]=""),"",IF(CommitmentsTable[[#This Row],[Status2]]="","Open",CommitmentsTable[[#This Row],[Status2]]))</f>
        <v/>
      </c>
      <c r="U361" s="237" t="str">
        <f t="shared" ca="1" si="5"/>
        <v/>
      </c>
      <c r="V361" s="233"/>
      <c r="W361" s="63" t="s">
        <v>1328</v>
      </c>
    </row>
    <row r="362" spans="1:23" ht="39">
      <c r="A362" s="213" t="str">
        <f>IF(OR(CommitmentsTable[[#This Row],[Commitment / deliverable]]="",CommitmentsTable[[#This Row],[Immutable Key]]=""),"",SUBSTITUTE(CommitmentsTable[[#This Row],[Immutable Key]],"-K-","-"))</f>
        <v/>
      </c>
      <c r="B362" s="233"/>
      <c r="C362" s="233"/>
      <c r="D362" s="213"/>
      <c r="E362" s="230"/>
      <c r="F362" s="213"/>
      <c r="G362" s="245" t="str">
        <f ca="1">IF(CommitmentsTable[[#This Row],[Commitment / deliverable]]="","",IF(CommitmentsTable[[#This Row],[Date record entered]]="",TODAY(),CommitmentsTable[[#This Row],[Date record entered]]))</f>
        <v/>
      </c>
      <c r="H362" s="245"/>
      <c r="I362" s="245" t="str">
        <f ca="1">IF(CommitmentsTable[[#This Row],[Date Assigned if different from entry date]]&lt;&gt;"",CommitmentsTable[[#This Row],[Date Assigned if different from entry date]]+90,IF(CommitmentsTable[[#This Row],[Date record entered]]&lt;&gt;"",CommitmentsTable[[#This Row],[Date record entered]]+90,""))</f>
        <v/>
      </c>
      <c r="J362" s="245" t="str">
        <f ca="1">IF(CommitmentsTable[[#This Row],[Date Assigned if different from entry date]]&lt;&gt;"",CommitmentsTable[[#This Row],[Date Assigned if different from entry date]]+30,IF(CommitmentsTable[[#This Row],[Date record entered]]&lt;&gt;"",CommitmentsTable[[#This Row],[Date record entered]]+30,""))</f>
        <v/>
      </c>
      <c r="K362" s="245"/>
      <c r="L362" s="245" t="str">
        <f ca="1">IF(CommitmentsTable[[#This Row],[Date Assigned if different from entry date]]&lt;&gt;"",CommitmentsTable[[#This Row],[Date Assigned if different from entry date]]+60,IF(CommitmentsTable[[#This Row],[Date record entered]]&lt;&gt;"",CommitmentsTable[[#This Row],[Date record entered]]+60,""))</f>
        <v/>
      </c>
      <c r="M362" s="214"/>
      <c r="N362" s="214"/>
      <c r="O362" s="236"/>
      <c r="P362" s="214"/>
      <c r="Q362" s="214"/>
      <c r="R362" s="214"/>
      <c r="S362" s="238" t="str">
        <f>IF(CommitmentsTable[[#This Row],[Commitment / deliverable]]="","",IF(CommitmentsTable[[#This Row],[Revised due]]&lt;&gt;"",CommitmentsTable[[#This Row],[Revised due]],CommitmentsTable[[#This Row],[Original due]]))</f>
        <v/>
      </c>
      <c r="T362" s="237" t="str">
        <f>IF(OR(CommitmentsTable[[#This Row],[Commitment / deliverable]]="",CommitmentsTable[[#This Row],[Owner]]=""),"",IF(CommitmentsTable[[#This Row],[Status2]]="","Open",CommitmentsTable[[#This Row],[Status2]]))</f>
        <v/>
      </c>
      <c r="U362" s="237" t="str">
        <f t="shared" ca="1" si="5"/>
        <v/>
      </c>
      <c r="V362" s="233"/>
      <c r="W362" s="63" t="s">
        <v>1329</v>
      </c>
    </row>
    <row r="363" spans="1:23" ht="39">
      <c r="A363" s="213" t="str">
        <f>IF(OR(CommitmentsTable[[#This Row],[Commitment / deliverable]]="",CommitmentsTable[[#This Row],[Immutable Key]]=""),"",SUBSTITUTE(CommitmentsTable[[#This Row],[Immutable Key]],"-K-","-"))</f>
        <v/>
      </c>
      <c r="B363" s="233"/>
      <c r="C363" s="233"/>
      <c r="D363" s="213"/>
      <c r="E363" s="230"/>
      <c r="F363" s="213"/>
      <c r="G363" s="245" t="str">
        <f ca="1">IF(CommitmentsTable[[#This Row],[Commitment / deliverable]]="","",IF(CommitmentsTable[[#This Row],[Date record entered]]="",TODAY(),CommitmentsTable[[#This Row],[Date record entered]]))</f>
        <v/>
      </c>
      <c r="H363" s="245"/>
      <c r="I363" s="245" t="str">
        <f ca="1">IF(CommitmentsTable[[#This Row],[Date Assigned if different from entry date]]&lt;&gt;"",CommitmentsTable[[#This Row],[Date Assigned if different from entry date]]+90,IF(CommitmentsTable[[#This Row],[Date record entered]]&lt;&gt;"",CommitmentsTable[[#This Row],[Date record entered]]+90,""))</f>
        <v/>
      </c>
      <c r="J363" s="245" t="str">
        <f ca="1">IF(CommitmentsTable[[#This Row],[Date Assigned if different from entry date]]&lt;&gt;"",CommitmentsTable[[#This Row],[Date Assigned if different from entry date]]+30,IF(CommitmentsTable[[#This Row],[Date record entered]]&lt;&gt;"",CommitmentsTable[[#This Row],[Date record entered]]+30,""))</f>
        <v/>
      </c>
      <c r="K363" s="245"/>
      <c r="L363" s="245" t="str">
        <f ca="1">IF(CommitmentsTable[[#This Row],[Date Assigned if different from entry date]]&lt;&gt;"",CommitmentsTable[[#This Row],[Date Assigned if different from entry date]]+60,IF(CommitmentsTable[[#This Row],[Date record entered]]&lt;&gt;"",CommitmentsTable[[#This Row],[Date record entered]]+60,""))</f>
        <v/>
      </c>
      <c r="M363" s="214"/>
      <c r="N363" s="214"/>
      <c r="O363" s="236"/>
      <c r="P363" s="214"/>
      <c r="Q363" s="214"/>
      <c r="R363" s="214"/>
      <c r="S363" s="238" t="str">
        <f>IF(CommitmentsTable[[#This Row],[Commitment / deliverable]]="","",IF(CommitmentsTable[[#This Row],[Revised due]]&lt;&gt;"",CommitmentsTable[[#This Row],[Revised due]],CommitmentsTable[[#This Row],[Original due]]))</f>
        <v/>
      </c>
      <c r="T363" s="237" t="str">
        <f>IF(OR(CommitmentsTable[[#This Row],[Commitment / deliverable]]="",CommitmentsTable[[#This Row],[Owner]]=""),"",IF(CommitmentsTable[[#This Row],[Status2]]="","Open",CommitmentsTable[[#This Row],[Status2]]))</f>
        <v/>
      </c>
      <c r="U363" s="237" t="str">
        <f t="shared" ca="1" si="5"/>
        <v/>
      </c>
      <c r="V363" s="233"/>
      <c r="W363" s="63" t="s">
        <v>1330</v>
      </c>
    </row>
    <row r="364" spans="1:23" ht="39">
      <c r="A364" s="213" t="str">
        <f>IF(OR(CommitmentsTable[[#This Row],[Commitment / deliverable]]="",CommitmentsTable[[#This Row],[Immutable Key]]=""),"",SUBSTITUTE(CommitmentsTable[[#This Row],[Immutable Key]],"-K-","-"))</f>
        <v/>
      </c>
      <c r="B364" s="233"/>
      <c r="C364" s="233"/>
      <c r="D364" s="213"/>
      <c r="E364" s="230"/>
      <c r="F364" s="213"/>
      <c r="G364" s="245" t="str">
        <f ca="1">IF(CommitmentsTable[[#This Row],[Commitment / deliverable]]="","",IF(CommitmentsTable[[#This Row],[Date record entered]]="",TODAY(),CommitmentsTable[[#This Row],[Date record entered]]))</f>
        <v/>
      </c>
      <c r="H364" s="245"/>
      <c r="I364" s="245" t="str">
        <f ca="1">IF(CommitmentsTable[[#This Row],[Date Assigned if different from entry date]]&lt;&gt;"",CommitmentsTable[[#This Row],[Date Assigned if different from entry date]]+90,IF(CommitmentsTable[[#This Row],[Date record entered]]&lt;&gt;"",CommitmentsTable[[#This Row],[Date record entered]]+90,""))</f>
        <v/>
      </c>
      <c r="J364" s="245" t="str">
        <f ca="1">IF(CommitmentsTable[[#This Row],[Date Assigned if different from entry date]]&lt;&gt;"",CommitmentsTable[[#This Row],[Date Assigned if different from entry date]]+30,IF(CommitmentsTable[[#This Row],[Date record entered]]&lt;&gt;"",CommitmentsTable[[#This Row],[Date record entered]]+30,""))</f>
        <v/>
      </c>
      <c r="K364" s="245"/>
      <c r="L364" s="245" t="str">
        <f ca="1">IF(CommitmentsTable[[#This Row],[Date Assigned if different from entry date]]&lt;&gt;"",CommitmentsTable[[#This Row],[Date Assigned if different from entry date]]+60,IF(CommitmentsTable[[#This Row],[Date record entered]]&lt;&gt;"",CommitmentsTable[[#This Row],[Date record entered]]+60,""))</f>
        <v/>
      </c>
      <c r="M364" s="214"/>
      <c r="N364" s="214"/>
      <c r="O364" s="236"/>
      <c r="P364" s="214"/>
      <c r="Q364" s="214"/>
      <c r="R364" s="214"/>
      <c r="S364" s="238" t="str">
        <f>IF(CommitmentsTable[[#This Row],[Commitment / deliverable]]="","",IF(CommitmentsTable[[#This Row],[Revised due]]&lt;&gt;"",CommitmentsTable[[#This Row],[Revised due]],CommitmentsTable[[#This Row],[Original due]]))</f>
        <v/>
      </c>
      <c r="T364" s="237" t="str">
        <f>IF(OR(CommitmentsTable[[#This Row],[Commitment / deliverable]]="",CommitmentsTable[[#This Row],[Owner]]=""),"",IF(CommitmentsTable[[#This Row],[Status2]]="","Open",CommitmentsTable[[#This Row],[Status2]]))</f>
        <v/>
      </c>
      <c r="U364" s="237" t="str">
        <f t="shared" ca="1" si="5"/>
        <v/>
      </c>
      <c r="V364" s="233"/>
      <c r="W364" s="63" t="s">
        <v>1331</v>
      </c>
    </row>
    <row r="365" spans="1:23" ht="39">
      <c r="A365" s="213" t="str">
        <f>IF(OR(CommitmentsTable[[#This Row],[Commitment / deliverable]]="",CommitmentsTable[[#This Row],[Immutable Key]]=""),"",SUBSTITUTE(CommitmentsTable[[#This Row],[Immutable Key]],"-K-","-"))</f>
        <v/>
      </c>
      <c r="B365" s="233"/>
      <c r="C365" s="233"/>
      <c r="D365" s="213"/>
      <c r="E365" s="230"/>
      <c r="F365" s="213"/>
      <c r="G365" s="245" t="str">
        <f ca="1">IF(CommitmentsTable[[#This Row],[Commitment / deliverable]]="","",IF(CommitmentsTable[[#This Row],[Date record entered]]="",TODAY(),CommitmentsTable[[#This Row],[Date record entered]]))</f>
        <v/>
      </c>
      <c r="H365" s="245"/>
      <c r="I365" s="245" t="str">
        <f ca="1">IF(CommitmentsTable[[#This Row],[Date Assigned if different from entry date]]&lt;&gt;"",CommitmentsTable[[#This Row],[Date Assigned if different from entry date]]+90,IF(CommitmentsTable[[#This Row],[Date record entered]]&lt;&gt;"",CommitmentsTable[[#This Row],[Date record entered]]+90,""))</f>
        <v/>
      </c>
      <c r="J365" s="245" t="str">
        <f ca="1">IF(CommitmentsTable[[#This Row],[Date Assigned if different from entry date]]&lt;&gt;"",CommitmentsTable[[#This Row],[Date Assigned if different from entry date]]+30,IF(CommitmentsTable[[#This Row],[Date record entered]]&lt;&gt;"",CommitmentsTable[[#This Row],[Date record entered]]+30,""))</f>
        <v/>
      </c>
      <c r="K365" s="245"/>
      <c r="L365" s="245" t="str">
        <f ca="1">IF(CommitmentsTable[[#This Row],[Date Assigned if different from entry date]]&lt;&gt;"",CommitmentsTable[[#This Row],[Date Assigned if different from entry date]]+60,IF(CommitmentsTable[[#This Row],[Date record entered]]&lt;&gt;"",CommitmentsTable[[#This Row],[Date record entered]]+60,""))</f>
        <v/>
      </c>
      <c r="M365" s="214"/>
      <c r="N365" s="214"/>
      <c r="O365" s="236"/>
      <c r="P365" s="214"/>
      <c r="Q365" s="214"/>
      <c r="R365" s="214"/>
      <c r="S365" s="238" t="str">
        <f>IF(CommitmentsTable[[#This Row],[Commitment / deliverable]]="","",IF(CommitmentsTable[[#This Row],[Revised due]]&lt;&gt;"",CommitmentsTable[[#This Row],[Revised due]],CommitmentsTable[[#This Row],[Original due]]))</f>
        <v/>
      </c>
      <c r="T365" s="237" t="str">
        <f>IF(OR(CommitmentsTable[[#This Row],[Commitment / deliverable]]="",CommitmentsTable[[#This Row],[Owner]]=""),"",IF(CommitmentsTable[[#This Row],[Status2]]="","Open",CommitmentsTable[[#This Row],[Status2]]))</f>
        <v/>
      </c>
      <c r="U365" s="237" t="str">
        <f t="shared" ca="1" si="5"/>
        <v/>
      </c>
      <c r="V365" s="233"/>
      <c r="W365" s="63" t="s">
        <v>1332</v>
      </c>
    </row>
    <row r="366" spans="1:23" ht="39">
      <c r="A366" s="213" t="str">
        <f>IF(OR(CommitmentsTable[[#This Row],[Commitment / deliverable]]="",CommitmentsTable[[#This Row],[Immutable Key]]=""),"",SUBSTITUTE(CommitmentsTable[[#This Row],[Immutable Key]],"-K-","-"))</f>
        <v/>
      </c>
      <c r="B366" s="233"/>
      <c r="C366" s="233"/>
      <c r="D366" s="213"/>
      <c r="E366" s="230"/>
      <c r="F366" s="213"/>
      <c r="G366" s="245" t="str">
        <f ca="1">IF(CommitmentsTable[[#This Row],[Commitment / deliverable]]="","",IF(CommitmentsTable[[#This Row],[Date record entered]]="",TODAY(),CommitmentsTable[[#This Row],[Date record entered]]))</f>
        <v/>
      </c>
      <c r="H366" s="245"/>
      <c r="I366" s="245" t="str">
        <f ca="1">IF(CommitmentsTable[[#This Row],[Date Assigned if different from entry date]]&lt;&gt;"",CommitmentsTable[[#This Row],[Date Assigned if different from entry date]]+90,IF(CommitmentsTable[[#This Row],[Date record entered]]&lt;&gt;"",CommitmentsTable[[#This Row],[Date record entered]]+90,""))</f>
        <v/>
      </c>
      <c r="J366" s="245" t="str">
        <f ca="1">IF(CommitmentsTable[[#This Row],[Date Assigned if different from entry date]]&lt;&gt;"",CommitmentsTable[[#This Row],[Date Assigned if different from entry date]]+30,IF(CommitmentsTable[[#This Row],[Date record entered]]&lt;&gt;"",CommitmentsTable[[#This Row],[Date record entered]]+30,""))</f>
        <v/>
      </c>
      <c r="K366" s="245"/>
      <c r="L366" s="245" t="str">
        <f ca="1">IF(CommitmentsTable[[#This Row],[Date Assigned if different from entry date]]&lt;&gt;"",CommitmentsTable[[#This Row],[Date Assigned if different from entry date]]+60,IF(CommitmentsTable[[#This Row],[Date record entered]]&lt;&gt;"",CommitmentsTable[[#This Row],[Date record entered]]+60,""))</f>
        <v/>
      </c>
      <c r="M366" s="214"/>
      <c r="N366" s="214"/>
      <c r="O366" s="236"/>
      <c r="P366" s="214"/>
      <c r="Q366" s="214"/>
      <c r="R366" s="214"/>
      <c r="S366" s="238" t="str">
        <f>IF(CommitmentsTable[[#This Row],[Commitment / deliverable]]="","",IF(CommitmentsTable[[#This Row],[Revised due]]&lt;&gt;"",CommitmentsTable[[#This Row],[Revised due]],CommitmentsTable[[#This Row],[Original due]]))</f>
        <v/>
      </c>
      <c r="T366" s="237" t="str">
        <f>IF(OR(CommitmentsTable[[#This Row],[Commitment / deliverable]]="",CommitmentsTable[[#This Row],[Owner]]=""),"",IF(CommitmentsTable[[#This Row],[Status2]]="","Open",CommitmentsTable[[#This Row],[Status2]]))</f>
        <v/>
      </c>
      <c r="U366" s="237" t="str">
        <f t="shared" ca="1" si="5"/>
        <v/>
      </c>
      <c r="V366" s="233"/>
      <c r="W366" s="63" t="s">
        <v>1333</v>
      </c>
    </row>
    <row r="367" spans="1:23" ht="39">
      <c r="A367" s="213" t="str">
        <f>IF(OR(CommitmentsTable[[#This Row],[Commitment / deliverable]]="",CommitmentsTable[[#This Row],[Immutable Key]]=""),"",SUBSTITUTE(CommitmentsTable[[#This Row],[Immutable Key]],"-K-","-"))</f>
        <v/>
      </c>
      <c r="B367" s="233"/>
      <c r="C367" s="233"/>
      <c r="D367" s="213"/>
      <c r="E367" s="230"/>
      <c r="F367" s="213"/>
      <c r="G367" s="245" t="str">
        <f ca="1">IF(CommitmentsTable[[#This Row],[Commitment / deliverable]]="","",IF(CommitmentsTable[[#This Row],[Date record entered]]="",TODAY(),CommitmentsTable[[#This Row],[Date record entered]]))</f>
        <v/>
      </c>
      <c r="H367" s="245"/>
      <c r="I367" s="245" t="str">
        <f ca="1">IF(CommitmentsTable[[#This Row],[Date Assigned if different from entry date]]&lt;&gt;"",CommitmentsTable[[#This Row],[Date Assigned if different from entry date]]+90,IF(CommitmentsTable[[#This Row],[Date record entered]]&lt;&gt;"",CommitmentsTable[[#This Row],[Date record entered]]+90,""))</f>
        <v/>
      </c>
      <c r="J367" s="245" t="str">
        <f ca="1">IF(CommitmentsTable[[#This Row],[Date Assigned if different from entry date]]&lt;&gt;"",CommitmentsTable[[#This Row],[Date Assigned if different from entry date]]+30,IF(CommitmentsTable[[#This Row],[Date record entered]]&lt;&gt;"",CommitmentsTable[[#This Row],[Date record entered]]+30,""))</f>
        <v/>
      </c>
      <c r="K367" s="245"/>
      <c r="L367" s="245" t="str">
        <f ca="1">IF(CommitmentsTable[[#This Row],[Date Assigned if different from entry date]]&lt;&gt;"",CommitmentsTable[[#This Row],[Date Assigned if different from entry date]]+60,IF(CommitmentsTable[[#This Row],[Date record entered]]&lt;&gt;"",CommitmentsTable[[#This Row],[Date record entered]]+60,""))</f>
        <v/>
      </c>
      <c r="M367" s="214"/>
      <c r="N367" s="214"/>
      <c r="O367" s="236"/>
      <c r="P367" s="214"/>
      <c r="Q367" s="214"/>
      <c r="R367" s="214"/>
      <c r="S367" s="238" t="str">
        <f>IF(CommitmentsTable[[#This Row],[Commitment / deliverable]]="","",IF(CommitmentsTable[[#This Row],[Revised due]]&lt;&gt;"",CommitmentsTable[[#This Row],[Revised due]],CommitmentsTable[[#This Row],[Original due]]))</f>
        <v/>
      </c>
      <c r="T367" s="237" t="str">
        <f>IF(OR(CommitmentsTable[[#This Row],[Commitment / deliverable]]="",CommitmentsTable[[#This Row],[Owner]]=""),"",IF(CommitmentsTable[[#This Row],[Status2]]="","Open",CommitmentsTable[[#This Row],[Status2]]))</f>
        <v/>
      </c>
      <c r="U367" s="237" t="str">
        <f t="shared" ca="1" si="5"/>
        <v/>
      </c>
      <c r="V367" s="233"/>
      <c r="W367" s="63" t="s">
        <v>1334</v>
      </c>
    </row>
    <row r="368" spans="1:23" ht="39">
      <c r="A368" s="213" t="str">
        <f>IF(OR(CommitmentsTable[[#This Row],[Commitment / deliverable]]="",CommitmentsTable[[#This Row],[Immutable Key]]=""),"",SUBSTITUTE(CommitmentsTable[[#This Row],[Immutable Key]],"-K-","-"))</f>
        <v/>
      </c>
      <c r="B368" s="233"/>
      <c r="C368" s="233"/>
      <c r="D368" s="213"/>
      <c r="E368" s="230"/>
      <c r="F368" s="213"/>
      <c r="G368" s="245" t="str">
        <f ca="1">IF(CommitmentsTable[[#This Row],[Commitment / deliverable]]="","",IF(CommitmentsTable[[#This Row],[Date record entered]]="",TODAY(),CommitmentsTable[[#This Row],[Date record entered]]))</f>
        <v/>
      </c>
      <c r="H368" s="245"/>
      <c r="I368" s="245" t="str">
        <f ca="1">IF(CommitmentsTable[[#This Row],[Date Assigned if different from entry date]]&lt;&gt;"",CommitmentsTable[[#This Row],[Date Assigned if different from entry date]]+90,IF(CommitmentsTable[[#This Row],[Date record entered]]&lt;&gt;"",CommitmentsTable[[#This Row],[Date record entered]]+90,""))</f>
        <v/>
      </c>
      <c r="J368" s="245" t="str">
        <f ca="1">IF(CommitmentsTable[[#This Row],[Date Assigned if different from entry date]]&lt;&gt;"",CommitmentsTable[[#This Row],[Date Assigned if different from entry date]]+30,IF(CommitmentsTable[[#This Row],[Date record entered]]&lt;&gt;"",CommitmentsTable[[#This Row],[Date record entered]]+30,""))</f>
        <v/>
      </c>
      <c r="K368" s="245"/>
      <c r="L368" s="245" t="str">
        <f ca="1">IF(CommitmentsTable[[#This Row],[Date Assigned if different from entry date]]&lt;&gt;"",CommitmentsTable[[#This Row],[Date Assigned if different from entry date]]+60,IF(CommitmentsTable[[#This Row],[Date record entered]]&lt;&gt;"",CommitmentsTable[[#This Row],[Date record entered]]+60,""))</f>
        <v/>
      </c>
      <c r="M368" s="214"/>
      <c r="N368" s="214"/>
      <c r="O368" s="236"/>
      <c r="P368" s="214"/>
      <c r="Q368" s="214"/>
      <c r="R368" s="214"/>
      <c r="S368" s="238" t="str">
        <f>IF(CommitmentsTable[[#This Row],[Commitment / deliverable]]="","",IF(CommitmentsTable[[#This Row],[Revised due]]&lt;&gt;"",CommitmentsTable[[#This Row],[Revised due]],CommitmentsTable[[#This Row],[Original due]]))</f>
        <v/>
      </c>
      <c r="T368" s="237" t="str">
        <f>IF(OR(CommitmentsTable[[#This Row],[Commitment / deliverable]]="",CommitmentsTable[[#This Row],[Owner]]=""),"",IF(CommitmentsTable[[#This Row],[Status2]]="","Open",CommitmentsTable[[#This Row],[Status2]]))</f>
        <v/>
      </c>
      <c r="U368" s="237" t="str">
        <f t="shared" ca="1" si="5"/>
        <v/>
      </c>
      <c r="V368" s="233"/>
      <c r="W368" s="63" t="s">
        <v>1335</v>
      </c>
    </row>
    <row r="369" spans="1:23" ht="39">
      <c r="A369" s="213" t="str">
        <f>IF(OR(CommitmentsTable[[#This Row],[Commitment / deliverable]]="",CommitmentsTable[[#This Row],[Immutable Key]]=""),"",SUBSTITUTE(CommitmentsTable[[#This Row],[Immutable Key]],"-K-","-"))</f>
        <v/>
      </c>
      <c r="B369" s="233"/>
      <c r="C369" s="233"/>
      <c r="D369" s="213"/>
      <c r="E369" s="230"/>
      <c r="F369" s="213"/>
      <c r="G369" s="245" t="str">
        <f ca="1">IF(CommitmentsTable[[#This Row],[Commitment / deliverable]]="","",IF(CommitmentsTable[[#This Row],[Date record entered]]="",TODAY(),CommitmentsTable[[#This Row],[Date record entered]]))</f>
        <v/>
      </c>
      <c r="H369" s="245"/>
      <c r="I369" s="245" t="str">
        <f ca="1">IF(CommitmentsTable[[#This Row],[Date Assigned if different from entry date]]&lt;&gt;"",CommitmentsTable[[#This Row],[Date Assigned if different from entry date]]+90,IF(CommitmentsTable[[#This Row],[Date record entered]]&lt;&gt;"",CommitmentsTable[[#This Row],[Date record entered]]+90,""))</f>
        <v/>
      </c>
      <c r="J369" s="245" t="str">
        <f ca="1">IF(CommitmentsTable[[#This Row],[Date Assigned if different from entry date]]&lt;&gt;"",CommitmentsTable[[#This Row],[Date Assigned if different from entry date]]+30,IF(CommitmentsTable[[#This Row],[Date record entered]]&lt;&gt;"",CommitmentsTable[[#This Row],[Date record entered]]+30,""))</f>
        <v/>
      </c>
      <c r="K369" s="245"/>
      <c r="L369" s="245" t="str">
        <f ca="1">IF(CommitmentsTable[[#This Row],[Date Assigned if different from entry date]]&lt;&gt;"",CommitmentsTable[[#This Row],[Date Assigned if different from entry date]]+60,IF(CommitmentsTable[[#This Row],[Date record entered]]&lt;&gt;"",CommitmentsTable[[#This Row],[Date record entered]]+60,""))</f>
        <v/>
      </c>
      <c r="M369" s="214"/>
      <c r="N369" s="214"/>
      <c r="O369" s="236"/>
      <c r="P369" s="214"/>
      <c r="Q369" s="214"/>
      <c r="R369" s="214"/>
      <c r="S369" s="238" t="str">
        <f>IF(CommitmentsTable[[#This Row],[Commitment / deliverable]]="","",IF(CommitmentsTable[[#This Row],[Revised due]]&lt;&gt;"",CommitmentsTable[[#This Row],[Revised due]],CommitmentsTable[[#This Row],[Original due]]))</f>
        <v/>
      </c>
      <c r="T369" s="237" t="str">
        <f>IF(OR(CommitmentsTable[[#This Row],[Commitment / deliverable]]="",CommitmentsTable[[#This Row],[Owner]]=""),"",IF(CommitmentsTable[[#This Row],[Status2]]="","Open",CommitmentsTable[[#This Row],[Status2]]))</f>
        <v/>
      </c>
      <c r="U369" s="237" t="str">
        <f t="shared" ca="1" si="5"/>
        <v/>
      </c>
      <c r="V369" s="233"/>
      <c r="W369" s="63" t="s">
        <v>1336</v>
      </c>
    </row>
    <row r="370" spans="1:23" ht="39">
      <c r="A370" s="213" t="str">
        <f>IF(OR(CommitmentsTable[[#This Row],[Commitment / deliverable]]="",CommitmentsTable[[#This Row],[Immutable Key]]=""),"",SUBSTITUTE(CommitmentsTable[[#This Row],[Immutable Key]],"-K-","-"))</f>
        <v/>
      </c>
      <c r="B370" s="233"/>
      <c r="C370" s="233"/>
      <c r="D370" s="213"/>
      <c r="E370" s="230"/>
      <c r="F370" s="213"/>
      <c r="G370" s="245" t="str">
        <f ca="1">IF(CommitmentsTable[[#This Row],[Commitment / deliverable]]="","",IF(CommitmentsTable[[#This Row],[Date record entered]]="",TODAY(),CommitmentsTable[[#This Row],[Date record entered]]))</f>
        <v/>
      </c>
      <c r="H370" s="245"/>
      <c r="I370" s="245" t="str">
        <f ca="1">IF(CommitmentsTable[[#This Row],[Date Assigned if different from entry date]]&lt;&gt;"",CommitmentsTable[[#This Row],[Date Assigned if different from entry date]]+90,IF(CommitmentsTable[[#This Row],[Date record entered]]&lt;&gt;"",CommitmentsTable[[#This Row],[Date record entered]]+90,""))</f>
        <v/>
      </c>
      <c r="J370" s="245" t="str">
        <f ca="1">IF(CommitmentsTable[[#This Row],[Date Assigned if different from entry date]]&lt;&gt;"",CommitmentsTable[[#This Row],[Date Assigned if different from entry date]]+30,IF(CommitmentsTable[[#This Row],[Date record entered]]&lt;&gt;"",CommitmentsTable[[#This Row],[Date record entered]]+30,""))</f>
        <v/>
      </c>
      <c r="K370" s="245"/>
      <c r="L370" s="245" t="str">
        <f ca="1">IF(CommitmentsTable[[#This Row],[Date Assigned if different from entry date]]&lt;&gt;"",CommitmentsTable[[#This Row],[Date Assigned if different from entry date]]+60,IF(CommitmentsTable[[#This Row],[Date record entered]]&lt;&gt;"",CommitmentsTable[[#This Row],[Date record entered]]+60,""))</f>
        <v/>
      </c>
      <c r="M370" s="214"/>
      <c r="N370" s="214"/>
      <c r="O370" s="236"/>
      <c r="P370" s="214"/>
      <c r="Q370" s="214"/>
      <c r="R370" s="214"/>
      <c r="S370" s="238" t="str">
        <f>IF(CommitmentsTable[[#This Row],[Commitment / deliverable]]="","",IF(CommitmentsTable[[#This Row],[Revised due]]&lt;&gt;"",CommitmentsTable[[#This Row],[Revised due]],CommitmentsTable[[#This Row],[Original due]]))</f>
        <v/>
      </c>
      <c r="T370" s="237" t="str">
        <f>IF(OR(CommitmentsTable[[#This Row],[Commitment / deliverable]]="",CommitmentsTable[[#This Row],[Owner]]=""),"",IF(CommitmentsTable[[#This Row],[Status2]]="","Open",CommitmentsTable[[#This Row],[Status2]]))</f>
        <v/>
      </c>
      <c r="U370" s="237" t="str">
        <f t="shared" ca="1" si="5"/>
        <v/>
      </c>
      <c r="V370" s="233"/>
      <c r="W370" s="63" t="s">
        <v>1337</v>
      </c>
    </row>
    <row r="371" spans="1:23" ht="39">
      <c r="A371" s="213" t="str">
        <f>IF(OR(CommitmentsTable[[#This Row],[Commitment / deliverable]]="",CommitmentsTable[[#This Row],[Immutable Key]]=""),"",SUBSTITUTE(CommitmentsTable[[#This Row],[Immutable Key]],"-K-","-"))</f>
        <v/>
      </c>
      <c r="B371" s="233"/>
      <c r="C371" s="233"/>
      <c r="D371" s="213"/>
      <c r="E371" s="230"/>
      <c r="F371" s="213"/>
      <c r="G371" s="245" t="str">
        <f ca="1">IF(CommitmentsTable[[#This Row],[Commitment / deliverable]]="","",IF(CommitmentsTable[[#This Row],[Date record entered]]="",TODAY(),CommitmentsTable[[#This Row],[Date record entered]]))</f>
        <v/>
      </c>
      <c r="H371" s="245"/>
      <c r="I371" s="245" t="str">
        <f ca="1">IF(CommitmentsTable[[#This Row],[Date Assigned if different from entry date]]&lt;&gt;"",CommitmentsTable[[#This Row],[Date Assigned if different from entry date]]+90,IF(CommitmentsTable[[#This Row],[Date record entered]]&lt;&gt;"",CommitmentsTable[[#This Row],[Date record entered]]+90,""))</f>
        <v/>
      </c>
      <c r="J371" s="245" t="str">
        <f ca="1">IF(CommitmentsTable[[#This Row],[Date Assigned if different from entry date]]&lt;&gt;"",CommitmentsTable[[#This Row],[Date Assigned if different from entry date]]+30,IF(CommitmentsTable[[#This Row],[Date record entered]]&lt;&gt;"",CommitmentsTable[[#This Row],[Date record entered]]+30,""))</f>
        <v/>
      </c>
      <c r="K371" s="245"/>
      <c r="L371" s="245" t="str">
        <f ca="1">IF(CommitmentsTable[[#This Row],[Date Assigned if different from entry date]]&lt;&gt;"",CommitmentsTable[[#This Row],[Date Assigned if different from entry date]]+60,IF(CommitmentsTable[[#This Row],[Date record entered]]&lt;&gt;"",CommitmentsTable[[#This Row],[Date record entered]]+60,""))</f>
        <v/>
      </c>
      <c r="M371" s="214"/>
      <c r="N371" s="214"/>
      <c r="O371" s="236"/>
      <c r="P371" s="214"/>
      <c r="Q371" s="214"/>
      <c r="R371" s="214"/>
      <c r="S371" s="238" t="str">
        <f>IF(CommitmentsTable[[#This Row],[Commitment / deliverable]]="","",IF(CommitmentsTable[[#This Row],[Revised due]]&lt;&gt;"",CommitmentsTable[[#This Row],[Revised due]],CommitmentsTable[[#This Row],[Original due]]))</f>
        <v/>
      </c>
      <c r="T371" s="237" t="str">
        <f>IF(OR(CommitmentsTable[[#This Row],[Commitment / deliverable]]="",CommitmentsTable[[#This Row],[Owner]]=""),"",IF(CommitmentsTable[[#This Row],[Status2]]="","Open",CommitmentsTable[[#This Row],[Status2]]))</f>
        <v/>
      </c>
      <c r="U371" s="237" t="str">
        <f t="shared" ca="1" si="5"/>
        <v/>
      </c>
      <c r="V371" s="233"/>
      <c r="W371" s="63" t="s">
        <v>1338</v>
      </c>
    </row>
    <row r="372" spans="1:23" ht="39">
      <c r="A372" s="213" t="str">
        <f>IF(OR(CommitmentsTable[[#This Row],[Commitment / deliverable]]="",CommitmentsTable[[#This Row],[Immutable Key]]=""),"",SUBSTITUTE(CommitmentsTable[[#This Row],[Immutable Key]],"-K-","-"))</f>
        <v/>
      </c>
      <c r="B372" s="233"/>
      <c r="C372" s="233"/>
      <c r="D372" s="213"/>
      <c r="E372" s="230"/>
      <c r="F372" s="213"/>
      <c r="G372" s="245" t="str">
        <f ca="1">IF(CommitmentsTable[[#This Row],[Commitment / deliverable]]="","",IF(CommitmentsTable[[#This Row],[Date record entered]]="",TODAY(),CommitmentsTable[[#This Row],[Date record entered]]))</f>
        <v/>
      </c>
      <c r="H372" s="245"/>
      <c r="I372" s="245" t="str">
        <f ca="1">IF(CommitmentsTable[[#This Row],[Date Assigned if different from entry date]]&lt;&gt;"",CommitmentsTable[[#This Row],[Date Assigned if different from entry date]]+90,IF(CommitmentsTable[[#This Row],[Date record entered]]&lt;&gt;"",CommitmentsTable[[#This Row],[Date record entered]]+90,""))</f>
        <v/>
      </c>
      <c r="J372" s="245" t="str">
        <f ca="1">IF(CommitmentsTable[[#This Row],[Date Assigned if different from entry date]]&lt;&gt;"",CommitmentsTable[[#This Row],[Date Assigned if different from entry date]]+30,IF(CommitmentsTable[[#This Row],[Date record entered]]&lt;&gt;"",CommitmentsTable[[#This Row],[Date record entered]]+30,""))</f>
        <v/>
      </c>
      <c r="K372" s="245"/>
      <c r="L372" s="245" t="str">
        <f ca="1">IF(CommitmentsTable[[#This Row],[Date Assigned if different from entry date]]&lt;&gt;"",CommitmentsTable[[#This Row],[Date Assigned if different from entry date]]+60,IF(CommitmentsTable[[#This Row],[Date record entered]]&lt;&gt;"",CommitmentsTable[[#This Row],[Date record entered]]+60,""))</f>
        <v/>
      </c>
      <c r="M372" s="214"/>
      <c r="N372" s="214"/>
      <c r="O372" s="236"/>
      <c r="P372" s="214"/>
      <c r="Q372" s="214"/>
      <c r="R372" s="214"/>
      <c r="S372" s="238" t="str">
        <f>IF(CommitmentsTable[[#This Row],[Commitment / deliverable]]="","",IF(CommitmentsTable[[#This Row],[Revised due]]&lt;&gt;"",CommitmentsTable[[#This Row],[Revised due]],CommitmentsTable[[#This Row],[Original due]]))</f>
        <v/>
      </c>
      <c r="T372" s="237" t="str">
        <f>IF(OR(CommitmentsTable[[#This Row],[Commitment / deliverable]]="",CommitmentsTable[[#This Row],[Owner]]=""),"",IF(CommitmentsTable[[#This Row],[Status2]]="","Open",CommitmentsTable[[#This Row],[Status2]]))</f>
        <v/>
      </c>
      <c r="U372" s="237" t="str">
        <f t="shared" ca="1" si="5"/>
        <v/>
      </c>
      <c r="V372" s="233"/>
      <c r="W372" s="63" t="s">
        <v>1339</v>
      </c>
    </row>
    <row r="373" spans="1:23" ht="39">
      <c r="A373" s="213" t="str">
        <f>IF(OR(CommitmentsTable[[#This Row],[Commitment / deliverable]]="",CommitmentsTable[[#This Row],[Immutable Key]]=""),"",SUBSTITUTE(CommitmentsTable[[#This Row],[Immutable Key]],"-K-","-"))</f>
        <v/>
      </c>
      <c r="B373" s="233"/>
      <c r="C373" s="233"/>
      <c r="D373" s="213"/>
      <c r="E373" s="230"/>
      <c r="F373" s="213"/>
      <c r="G373" s="245" t="str">
        <f ca="1">IF(CommitmentsTable[[#This Row],[Commitment / deliverable]]="","",IF(CommitmentsTable[[#This Row],[Date record entered]]="",TODAY(),CommitmentsTable[[#This Row],[Date record entered]]))</f>
        <v/>
      </c>
      <c r="H373" s="245"/>
      <c r="I373" s="245" t="str">
        <f ca="1">IF(CommitmentsTable[[#This Row],[Date Assigned if different from entry date]]&lt;&gt;"",CommitmentsTable[[#This Row],[Date Assigned if different from entry date]]+90,IF(CommitmentsTable[[#This Row],[Date record entered]]&lt;&gt;"",CommitmentsTable[[#This Row],[Date record entered]]+90,""))</f>
        <v/>
      </c>
      <c r="J373" s="245" t="str">
        <f ca="1">IF(CommitmentsTable[[#This Row],[Date Assigned if different from entry date]]&lt;&gt;"",CommitmentsTable[[#This Row],[Date Assigned if different from entry date]]+30,IF(CommitmentsTable[[#This Row],[Date record entered]]&lt;&gt;"",CommitmentsTable[[#This Row],[Date record entered]]+30,""))</f>
        <v/>
      </c>
      <c r="K373" s="245"/>
      <c r="L373" s="245" t="str">
        <f ca="1">IF(CommitmentsTable[[#This Row],[Date Assigned if different from entry date]]&lt;&gt;"",CommitmentsTable[[#This Row],[Date Assigned if different from entry date]]+60,IF(CommitmentsTable[[#This Row],[Date record entered]]&lt;&gt;"",CommitmentsTable[[#This Row],[Date record entered]]+60,""))</f>
        <v/>
      </c>
      <c r="M373" s="214"/>
      <c r="N373" s="214"/>
      <c r="O373" s="236"/>
      <c r="P373" s="214"/>
      <c r="Q373" s="214"/>
      <c r="R373" s="214"/>
      <c r="S373" s="238" t="str">
        <f>IF(CommitmentsTable[[#This Row],[Commitment / deliverable]]="","",IF(CommitmentsTable[[#This Row],[Revised due]]&lt;&gt;"",CommitmentsTable[[#This Row],[Revised due]],CommitmentsTable[[#This Row],[Original due]]))</f>
        <v/>
      </c>
      <c r="T373" s="237" t="str">
        <f>IF(OR(CommitmentsTable[[#This Row],[Commitment / deliverable]]="",CommitmentsTable[[#This Row],[Owner]]=""),"",IF(CommitmentsTable[[#This Row],[Status2]]="","Open",CommitmentsTable[[#This Row],[Status2]]))</f>
        <v/>
      </c>
      <c r="U373" s="237" t="str">
        <f t="shared" ca="1" si="5"/>
        <v/>
      </c>
      <c r="V373" s="233"/>
      <c r="W373" s="63" t="s">
        <v>1340</v>
      </c>
    </row>
    <row r="374" spans="1:23" ht="39">
      <c r="A374" s="213" t="str">
        <f>IF(OR(CommitmentsTable[[#This Row],[Commitment / deliverable]]="",CommitmentsTable[[#This Row],[Immutable Key]]=""),"",SUBSTITUTE(CommitmentsTable[[#This Row],[Immutable Key]],"-K-","-"))</f>
        <v/>
      </c>
      <c r="B374" s="233"/>
      <c r="C374" s="233"/>
      <c r="D374" s="213"/>
      <c r="E374" s="230"/>
      <c r="F374" s="213"/>
      <c r="G374" s="245" t="str">
        <f ca="1">IF(CommitmentsTable[[#This Row],[Commitment / deliverable]]="","",IF(CommitmentsTable[[#This Row],[Date record entered]]="",TODAY(),CommitmentsTable[[#This Row],[Date record entered]]))</f>
        <v/>
      </c>
      <c r="H374" s="245"/>
      <c r="I374" s="245" t="str">
        <f ca="1">IF(CommitmentsTable[[#This Row],[Date Assigned if different from entry date]]&lt;&gt;"",CommitmentsTable[[#This Row],[Date Assigned if different from entry date]]+90,IF(CommitmentsTable[[#This Row],[Date record entered]]&lt;&gt;"",CommitmentsTable[[#This Row],[Date record entered]]+90,""))</f>
        <v/>
      </c>
      <c r="J374" s="245" t="str">
        <f ca="1">IF(CommitmentsTable[[#This Row],[Date Assigned if different from entry date]]&lt;&gt;"",CommitmentsTable[[#This Row],[Date Assigned if different from entry date]]+30,IF(CommitmentsTable[[#This Row],[Date record entered]]&lt;&gt;"",CommitmentsTable[[#This Row],[Date record entered]]+30,""))</f>
        <v/>
      </c>
      <c r="K374" s="245"/>
      <c r="L374" s="245" t="str">
        <f ca="1">IF(CommitmentsTable[[#This Row],[Date Assigned if different from entry date]]&lt;&gt;"",CommitmentsTable[[#This Row],[Date Assigned if different from entry date]]+60,IF(CommitmentsTable[[#This Row],[Date record entered]]&lt;&gt;"",CommitmentsTable[[#This Row],[Date record entered]]+60,""))</f>
        <v/>
      </c>
      <c r="M374" s="214"/>
      <c r="N374" s="214"/>
      <c r="O374" s="236"/>
      <c r="P374" s="214"/>
      <c r="Q374" s="214"/>
      <c r="R374" s="214"/>
      <c r="S374" s="238" t="str">
        <f>IF(CommitmentsTable[[#This Row],[Commitment / deliverable]]="","",IF(CommitmentsTable[[#This Row],[Revised due]]&lt;&gt;"",CommitmentsTable[[#This Row],[Revised due]],CommitmentsTable[[#This Row],[Original due]]))</f>
        <v/>
      </c>
      <c r="T374" s="237" t="str">
        <f>IF(OR(CommitmentsTable[[#This Row],[Commitment / deliverable]]="",CommitmentsTable[[#This Row],[Owner]]=""),"",IF(CommitmentsTable[[#This Row],[Status2]]="","Open",CommitmentsTable[[#This Row],[Status2]]))</f>
        <v/>
      </c>
      <c r="U374" s="237" t="str">
        <f t="shared" ca="1" si="5"/>
        <v/>
      </c>
      <c r="V374" s="233"/>
      <c r="W374" s="63" t="s">
        <v>1341</v>
      </c>
    </row>
    <row r="375" spans="1:23" ht="39">
      <c r="A375" s="213" t="str">
        <f>IF(OR(CommitmentsTable[[#This Row],[Commitment / deliverable]]="",CommitmentsTable[[#This Row],[Immutable Key]]=""),"",SUBSTITUTE(CommitmentsTable[[#This Row],[Immutable Key]],"-K-","-"))</f>
        <v/>
      </c>
      <c r="B375" s="233"/>
      <c r="C375" s="233"/>
      <c r="D375" s="213"/>
      <c r="E375" s="230"/>
      <c r="F375" s="213"/>
      <c r="G375" s="245" t="str">
        <f ca="1">IF(CommitmentsTable[[#This Row],[Commitment / deliverable]]="","",IF(CommitmentsTable[[#This Row],[Date record entered]]="",TODAY(),CommitmentsTable[[#This Row],[Date record entered]]))</f>
        <v/>
      </c>
      <c r="H375" s="245"/>
      <c r="I375" s="245" t="str">
        <f ca="1">IF(CommitmentsTable[[#This Row],[Date Assigned if different from entry date]]&lt;&gt;"",CommitmentsTable[[#This Row],[Date Assigned if different from entry date]]+90,IF(CommitmentsTable[[#This Row],[Date record entered]]&lt;&gt;"",CommitmentsTable[[#This Row],[Date record entered]]+90,""))</f>
        <v/>
      </c>
      <c r="J375" s="245" t="str">
        <f ca="1">IF(CommitmentsTable[[#This Row],[Date Assigned if different from entry date]]&lt;&gt;"",CommitmentsTable[[#This Row],[Date Assigned if different from entry date]]+30,IF(CommitmentsTable[[#This Row],[Date record entered]]&lt;&gt;"",CommitmentsTable[[#This Row],[Date record entered]]+30,""))</f>
        <v/>
      </c>
      <c r="K375" s="245"/>
      <c r="L375" s="245" t="str">
        <f ca="1">IF(CommitmentsTable[[#This Row],[Date Assigned if different from entry date]]&lt;&gt;"",CommitmentsTable[[#This Row],[Date Assigned if different from entry date]]+60,IF(CommitmentsTable[[#This Row],[Date record entered]]&lt;&gt;"",CommitmentsTable[[#This Row],[Date record entered]]+60,""))</f>
        <v/>
      </c>
      <c r="M375" s="214"/>
      <c r="N375" s="214"/>
      <c r="O375" s="236"/>
      <c r="P375" s="214"/>
      <c r="Q375" s="214"/>
      <c r="R375" s="214"/>
      <c r="S375" s="238" t="str">
        <f>IF(CommitmentsTable[[#This Row],[Commitment / deliverable]]="","",IF(CommitmentsTable[[#This Row],[Revised due]]&lt;&gt;"",CommitmentsTable[[#This Row],[Revised due]],CommitmentsTable[[#This Row],[Original due]]))</f>
        <v/>
      </c>
      <c r="T375" s="237" t="str">
        <f>IF(OR(CommitmentsTable[[#This Row],[Commitment / deliverable]]="",CommitmentsTable[[#This Row],[Owner]]=""),"",IF(CommitmentsTable[[#This Row],[Status2]]="","Open",CommitmentsTable[[#This Row],[Status2]]))</f>
        <v/>
      </c>
      <c r="U375" s="237" t="str">
        <f t="shared" ca="1" si="5"/>
        <v/>
      </c>
      <c r="V375" s="233"/>
      <c r="W375" s="63" t="s">
        <v>1342</v>
      </c>
    </row>
    <row r="376" spans="1:23" ht="39">
      <c r="A376" s="213" t="str">
        <f>IF(OR(CommitmentsTable[[#This Row],[Commitment / deliverable]]="",CommitmentsTable[[#This Row],[Immutable Key]]=""),"",SUBSTITUTE(CommitmentsTable[[#This Row],[Immutable Key]],"-K-","-"))</f>
        <v/>
      </c>
      <c r="B376" s="233"/>
      <c r="C376" s="233"/>
      <c r="D376" s="213"/>
      <c r="E376" s="230"/>
      <c r="F376" s="213"/>
      <c r="G376" s="245" t="str">
        <f ca="1">IF(CommitmentsTable[[#This Row],[Commitment / deliverable]]="","",IF(CommitmentsTable[[#This Row],[Date record entered]]="",TODAY(),CommitmentsTable[[#This Row],[Date record entered]]))</f>
        <v/>
      </c>
      <c r="H376" s="245"/>
      <c r="I376" s="245" t="str">
        <f ca="1">IF(CommitmentsTable[[#This Row],[Date Assigned if different from entry date]]&lt;&gt;"",CommitmentsTable[[#This Row],[Date Assigned if different from entry date]]+90,IF(CommitmentsTable[[#This Row],[Date record entered]]&lt;&gt;"",CommitmentsTable[[#This Row],[Date record entered]]+90,""))</f>
        <v/>
      </c>
      <c r="J376" s="245" t="str">
        <f ca="1">IF(CommitmentsTable[[#This Row],[Date Assigned if different from entry date]]&lt;&gt;"",CommitmentsTable[[#This Row],[Date Assigned if different from entry date]]+30,IF(CommitmentsTable[[#This Row],[Date record entered]]&lt;&gt;"",CommitmentsTable[[#This Row],[Date record entered]]+30,""))</f>
        <v/>
      </c>
      <c r="K376" s="245"/>
      <c r="L376" s="245" t="str">
        <f ca="1">IF(CommitmentsTable[[#This Row],[Date Assigned if different from entry date]]&lt;&gt;"",CommitmentsTable[[#This Row],[Date Assigned if different from entry date]]+60,IF(CommitmentsTable[[#This Row],[Date record entered]]&lt;&gt;"",CommitmentsTable[[#This Row],[Date record entered]]+60,""))</f>
        <v/>
      </c>
      <c r="M376" s="214"/>
      <c r="N376" s="214"/>
      <c r="O376" s="236"/>
      <c r="P376" s="214"/>
      <c r="Q376" s="214"/>
      <c r="R376" s="214"/>
      <c r="S376" s="238" t="str">
        <f>IF(CommitmentsTable[[#This Row],[Commitment / deliverable]]="","",IF(CommitmentsTable[[#This Row],[Revised due]]&lt;&gt;"",CommitmentsTable[[#This Row],[Revised due]],CommitmentsTable[[#This Row],[Original due]]))</f>
        <v/>
      </c>
      <c r="T376" s="237" t="str">
        <f>IF(OR(CommitmentsTable[[#This Row],[Commitment / deliverable]]="",CommitmentsTable[[#This Row],[Owner]]=""),"",IF(CommitmentsTable[[#This Row],[Status2]]="","Open",CommitmentsTable[[#This Row],[Status2]]))</f>
        <v/>
      </c>
      <c r="U376" s="237" t="str">
        <f t="shared" ca="1" si="5"/>
        <v/>
      </c>
      <c r="V376" s="233"/>
      <c r="W376" s="63" t="s">
        <v>1343</v>
      </c>
    </row>
    <row r="377" spans="1:23" ht="39">
      <c r="A377" s="213" t="str">
        <f>IF(OR(CommitmentsTable[[#This Row],[Commitment / deliverable]]="",CommitmentsTable[[#This Row],[Immutable Key]]=""),"",SUBSTITUTE(CommitmentsTable[[#This Row],[Immutable Key]],"-K-","-"))</f>
        <v/>
      </c>
      <c r="B377" s="233"/>
      <c r="C377" s="233"/>
      <c r="D377" s="213"/>
      <c r="E377" s="230"/>
      <c r="F377" s="213"/>
      <c r="G377" s="245" t="str">
        <f ca="1">IF(CommitmentsTable[[#This Row],[Commitment / deliverable]]="","",IF(CommitmentsTable[[#This Row],[Date record entered]]="",TODAY(),CommitmentsTable[[#This Row],[Date record entered]]))</f>
        <v/>
      </c>
      <c r="H377" s="245"/>
      <c r="I377" s="245" t="str">
        <f ca="1">IF(CommitmentsTable[[#This Row],[Date Assigned if different from entry date]]&lt;&gt;"",CommitmentsTable[[#This Row],[Date Assigned if different from entry date]]+90,IF(CommitmentsTable[[#This Row],[Date record entered]]&lt;&gt;"",CommitmentsTable[[#This Row],[Date record entered]]+90,""))</f>
        <v/>
      </c>
      <c r="J377" s="245" t="str">
        <f ca="1">IF(CommitmentsTable[[#This Row],[Date Assigned if different from entry date]]&lt;&gt;"",CommitmentsTable[[#This Row],[Date Assigned if different from entry date]]+30,IF(CommitmentsTable[[#This Row],[Date record entered]]&lt;&gt;"",CommitmentsTable[[#This Row],[Date record entered]]+30,""))</f>
        <v/>
      </c>
      <c r="K377" s="245"/>
      <c r="L377" s="245" t="str">
        <f ca="1">IF(CommitmentsTable[[#This Row],[Date Assigned if different from entry date]]&lt;&gt;"",CommitmentsTable[[#This Row],[Date Assigned if different from entry date]]+60,IF(CommitmentsTable[[#This Row],[Date record entered]]&lt;&gt;"",CommitmentsTable[[#This Row],[Date record entered]]+60,""))</f>
        <v/>
      </c>
      <c r="M377" s="214"/>
      <c r="N377" s="214"/>
      <c r="O377" s="236"/>
      <c r="P377" s="214"/>
      <c r="Q377" s="214"/>
      <c r="R377" s="214"/>
      <c r="S377" s="238" t="str">
        <f>IF(CommitmentsTable[[#This Row],[Commitment / deliverable]]="","",IF(CommitmentsTable[[#This Row],[Revised due]]&lt;&gt;"",CommitmentsTable[[#This Row],[Revised due]],CommitmentsTable[[#This Row],[Original due]]))</f>
        <v/>
      </c>
      <c r="T377" s="237" t="str">
        <f>IF(OR(CommitmentsTable[[#This Row],[Commitment / deliverable]]="",CommitmentsTable[[#This Row],[Owner]]=""),"",IF(CommitmentsTable[[#This Row],[Status2]]="","Open",CommitmentsTable[[#This Row],[Status2]]))</f>
        <v/>
      </c>
      <c r="U377" s="237" t="str">
        <f t="shared" ca="1" si="5"/>
        <v/>
      </c>
      <c r="V377" s="233"/>
      <c r="W377" s="63" t="s">
        <v>1344</v>
      </c>
    </row>
    <row r="378" spans="1:23" ht="39">
      <c r="A378" s="213" t="str">
        <f>IF(OR(CommitmentsTable[[#This Row],[Commitment / deliverable]]="",CommitmentsTable[[#This Row],[Immutable Key]]=""),"",SUBSTITUTE(CommitmentsTable[[#This Row],[Immutable Key]],"-K-","-"))</f>
        <v/>
      </c>
      <c r="B378" s="233"/>
      <c r="C378" s="233"/>
      <c r="D378" s="213"/>
      <c r="E378" s="230"/>
      <c r="F378" s="213"/>
      <c r="G378" s="245" t="str">
        <f ca="1">IF(CommitmentsTable[[#This Row],[Commitment / deliverable]]="","",IF(CommitmentsTable[[#This Row],[Date record entered]]="",TODAY(),CommitmentsTable[[#This Row],[Date record entered]]))</f>
        <v/>
      </c>
      <c r="H378" s="245"/>
      <c r="I378" s="245" t="str">
        <f ca="1">IF(CommitmentsTable[[#This Row],[Date Assigned if different from entry date]]&lt;&gt;"",CommitmentsTable[[#This Row],[Date Assigned if different from entry date]]+90,IF(CommitmentsTable[[#This Row],[Date record entered]]&lt;&gt;"",CommitmentsTable[[#This Row],[Date record entered]]+90,""))</f>
        <v/>
      </c>
      <c r="J378" s="245" t="str">
        <f ca="1">IF(CommitmentsTable[[#This Row],[Date Assigned if different from entry date]]&lt;&gt;"",CommitmentsTable[[#This Row],[Date Assigned if different from entry date]]+30,IF(CommitmentsTable[[#This Row],[Date record entered]]&lt;&gt;"",CommitmentsTable[[#This Row],[Date record entered]]+30,""))</f>
        <v/>
      </c>
      <c r="K378" s="245"/>
      <c r="L378" s="245" t="str">
        <f ca="1">IF(CommitmentsTable[[#This Row],[Date Assigned if different from entry date]]&lt;&gt;"",CommitmentsTable[[#This Row],[Date Assigned if different from entry date]]+60,IF(CommitmentsTable[[#This Row],[Date record entered]]&lt;&gt;"",CommitmentsTable[[#This Row],[Date record entered]]+60,""))</f>
        <v/>
      </c>
      <c r="M378" s="214"/>
      <c r="N378" s="214"/>
      <c r="O378" s="236"/>
      <c r="P378" s="214"/>
      <c r="Q378" s="214"/>
      <c r="R378" s="214"/>
      <c r="S378" s="238" t="str">
        <f>IF(CommitmentsTable[[#This Row],[Commitment / deliverable]]="","",IF(CommitmentsTable[[#This Row],[Revised due]]&lt;&gt;"",CommitmentsTable[[#This Row],[Revised due]],CommitmentsTable[[#This Row],[Original due]]))</f>
        <v/>
      </c>
      <c r="T378" s="237" t="str">
        <f>IF(OR(CommitmentsTable[[#This Row],[Commitment / deliverable]]="",CommitmentsTable[[#This Row],[Owner]]=""),"",IF(CommitmentsTable[[#This Row],[Status2]]="","Open",CommitmentsTable[[#This Row],[Status2]]))</f>
        <v/>
      </c>
      <c r="U378" s="237" t="str">
        <f t="shared" ca="1" si="5"/>
        <v/>
      </c>
      <c r="V378" s="233"/>
      <c r="W378" s="63" t="s">
        <v>1345</v>
      </c>
    </row>
    <row r="379" spans="1:23" ht="39">
      <c r="A379" s="213" t="str">
        <f>IF(OR(CommitmentsTable[[#This Row],[Commitment / deliverable]]="",CommitmentsTable[[#This Row],[Immutable Key]]=""),"",SUBSTITUTE(CommitmentsTable[[#This Row],[Immutable Key]],"-K-","-"))</f>
        <v/>
      </c>
      <c r="B379" s="233"/>
      <c r="C379" s="233"/>
      <c r="D379" s="213"/>
      <c r="E379" s="230"/>
      <c r="F379" s="213"/>
      <c r="G379" s="245" t="str">
        <f ca="1">IF(CommitmentsTable[[#This Row],[Commitment / deliverable]]="","",IF(CommitmentsTable[[#This Row],[Date record entered]]="",TODAY(),CommitmentsTable[[#This Row],[Date record entered]]))</f>
        <v/>
      </c>
      <c r="H379" s="245"/>
      <c r="I379" s="245" t="str">
        <f ca="1">IF(CommitmentsTable[[#This Row],[Date Assigned if different from entry date]]&lt;&gt;"",CommitmentsTable[[#This Row],[Date Assigned if different from entry date]]+90,IF(CommitmentsTable[[#This Row],[Date record entered]]&lt;&gt;"",CommitmentsTable[[#This Row],[Date record entered]]+90,""))</f>
        <v/>
      </c>
      <c r="J379" s="245" t="str">
        <f ca="1">IF(CommitmentsTable[[#This Row],[Date Assigned if different from entry date]]&lt;&gt;"",CommitmentsTable[[#This Row],[Date Assigned if different from entry date]]+30,IF(CommitmentsTable[[#This Row],[Date record entered]]&lt;&gt;"",CommitmentsTable[[#This Row],[Date record entered]]+30,""))</f>
        <v/>
      </c>
      <c r="K379" s="245"/>
      <c r="L379" s="245" t="str">
        <f ca="1">IF(CommitmentsTable[[#This Row],[Date Assigned if different from entry date]]&lt;&gt;"",CommitmentsTable[[#This Row],[Date Assigned if different from entry date]]+60,IF(CommitmentsTable[[#This Row],[Date record entered]]&lt;&gt;"",CommitmentsTable[[#This Row],[Date record entered]]+60,""))</f>
        <v/>
      </c>
      <c r="M379" s="214"/>
      <c r="N379" s="214"/>
      <c r="O379" s="236"/>
      <c r="P379" s="214"/>
      <c r="Q379" s="214"/>
      <c r="R379" s="214"/>
      <c r="S379" s="238" t="str">
        <f>IF(CommitmentsTable[[#This Row],[Commitment / deliverable]]="","",IF(CommitmentsTable[[#This Row],[Revised due]]&lt;&gt;"",CommitmentsTable[[#This Row],[Revised due]],CommitmentsTable[[#This Row],[Original due]]))</f>
        <v/>
      </c>
      <c r="T379" s="237" t="str">
        <f>IF(OR(CommitmentsTable[[#This Row],[Commitment / deliverable]]="",CommitmentsTable[[#This Row],[Owner]]=""),"",IF(CommitmentsTable[[#This Row],[Status2]]="","Open",CommitmentsTable[[#This Row],[Status2]]))</f>
        <v/>
      </c>
      <c r="U379" s="237" t="str">
        <f t="shared" ca="1" si="5"/>
        <v/>
      </c>
      <c r="V379" s="233"/>
      <c r="W379" s="63" t="s">
        <v>1346</v>
      </c>
    </row>
    <row r="380" spans="1:23" ht="39">
      <c r="A380" s="213" t="str">
        <f>IF(OR(CommitmentsTable[[#This Row],[Commitment / deliverable]]="",CommitmentsTable[[#This Row],[Immutable Key]]=""),"",SUBSTITUTE(CommitmentsTable[[#This Row],[Immutable Key]],"-K-","-"))</f>
        <v/>
      </c>
      <c r="B380" s="233"/>
      <c r="C380" s="233"/>
      <c r="D380" s="213"/>
      <c r="E380" s="230"/>
      <c r="F380" s="213"/>
      <c r="G380" s="245" t="str">
        <f ca="1">IF(CommitmentsTable[[#This Row],[Commitment / deliverable]]="","",IF(CommitmentsTable[[#This Row],[Date record entered]]="",TODAY(),CommitmentsTable[[#This Row],[Date record entered]]))</f>
        <v/>
      </c>
      <c r="H380" s="245"/>
      <c r="I380" s="245" t="str">
        <f ca="1">IF(CommitmentsTable[[#This Row],[Date Assigned if different from entry date]]&lt;&gt;"",CommitmentsTable[[#This Row],[Date Assigned if different from entry date]]+90,IF(CommitmentsTable[[#This Row],[Date record entered]]&lt;&gt;"",CommitmentsTable[[#This Row],[Date record entered]]+90,""))</f>
        <v/>
      </c>
      <c r="J380" s="245" t="str">
        <f ca="1">IF(CommitmentsTable[[#This Row],[Date Assigned if different from entry date]]&lt;&gt;"",CommitmentsTable[[#This Row],[Date Assigned if different from entry date]]+30,IF(CommitmentsTable[[#This Row],[Date record entered]]&lt;&gt;"",CommitmentsTable[[#This Row],[Date record entered]]+30,""))</f>
        <v/>
      </c>
      <c r="K380" s="245"/>
      <c r="L380" s="245" t="str">
        <f ca="1">IF(CommitmentsTable[[#This Row],[Date Assigned if different from entry date]]&lt;&gt;"",CommitmentsTable[[#This Row],[Date Assigned if different from entry date]]+60,IF(CommitmentsTable[[#This Row],[Date record entered]]&lt;&gt;"",CommitmentsTable[[#This Row],[Date record entered]]+60,""))</f>
        <v/>
      </c>
      <c r="M380" s="214"/>
      <c r="N380" s="214"/>
      <c r="O380" s="236"/>
      <c r="P380" s="214"/>
      <c r="Q380" s="214"/>
      <c r="R380" s="214"/>
      <c r="S380" s="238" t="str">
        <f>IF(CommitmentsTable[[#This Row],[Commitment / deliverable]]="","",IF(CommitmentsTable[[#This Row],[Revised due]]&lt;&gt;"",CommitmentsTable[[#This Row],[Revised due]],CommitmentsTable[[#This Row],[Original due]]))</f>
        <v/>
      </c>
      <c r="T380" s="237" t="str">
        <f>IF(OR(CommitmentsTable[[#This Row],[Commitment / deliverable]]="",CommitmentsTable[[#This Row],[Owner]]=""),"",IF(CommitmentsTable[[#This Row],[Status2]]="","Open",CommitmentsTable[[#This Row],[Status2]]))</f>
        <v/>
      </c>
      <c r="U380" s="237" t="str">
        <f t="shared" ca="1" si="5"/>
        <v/>
      </c>
      <c r="V380" s="233"/>
      <c r="W380" s="63" t="s">
        <v>1347</v>
      </c>
    </row>
    <row r="381" spans="1:23" ht="39">
      <c r="A381" s="213" t="str">
        <f>IF(OR(CommitmentsTable[[#This Row],[Commitment / deliverable]]="",CommitmentsTable[[#This Row],[Immutable Key]]=""),"",SUBSTITUTE(CommitmentsTable[[#This Row],[Immutable Key]],"-K-","-"))</f>
        <v/>
      </c>
      <c r="B381" s="233"/>
      <c r="C381" s="233"/>
      <c r="D381" s="213"/>
      <c r="E381" s="230"/>
      <c r="F381" s="213"/>
      <c r="G381" s="245" t="str">
        <f ca="1">IF(CommitmentsTable[[#This Row],[Commitment / deliverable]]="","",IF(CommitmentsTable[[#This Row],[Date record entered]]="",TODAY(),CommitmentsTable[[#This Row],[Date record entered]]))</f>
        <v/>
      </c>
      <c r="H381" s="245"/>
      <c r="I381" s="245" t="str">
        <f ca="1">IF(CommitmentsTable[[#This Row],[Date Assigned if different from entry date]]&lt;&gt;"",CommitmentsTable[[#This Row],[Date Assigned if different from entry date]]+90,IF(CommitmentsTable[[#This Row],[Date record entered]]&lt;&gt;"",CommitmentsTable[[#This Row],[Date record entered]]+90,""))</f>
        <v/>
      </c>
      <c r="J381" s="245" t="str">
        <f ca="1">IF(CommitmentsTable[[#This Row],[Date Assigned if different from entry date]]&lt;&gt;"",CommitmentsTable[[#This Row],[Date Assigned if different from entry date]]+30,IF(CommitmentsTable[[#This Row],[Date record entered]]&lt;&gt;"",CommitmentsTable[[#This Row],[Date record entered]]+30,""))</f>
        <v/>
      </c>
      <c r="K381" s="245"/>
      <c r="L381" s="245" t="str">
        <f ca="1">IF(CommitmentsTable[[#This Row],[Date Assigned if different from entry date]]&lt;&gt;"",CommitmentsTable[[#This Row],[Date Assigned if different from entry date]]+60,IF(CommitmentsTable[[#This Row],[Date record entered]]&lt;&gt;"",CommitmentsTable[[#This Row],[Date record entered]]+60,""))</f>
        <v/>
      </c>
      <c r="M381" s="214"/>
      <c r="N381" s="214"/>
      <c r="O381" s="236"/>
      <c r="P381" s="214"/>
      <c r="Q381" s="214"/>
      <c r="R381" s="214"/>
      <c r="S381" s="238" t="str">
        <f>IF(CommitmentsTable[[#This Row],[Commitment / deliverable]]="","",IF(CommitmentsTable[[#This Row],[Revised due]]&lt;&gt;"",CommitmentsTable[[#This Row],[Revised due]],CommitmentsTable[[#This Row],[Original due]]))</f>
        <v/>
      </c>
      <c r="T381" s="237" t="str">
        <f>IF(OR(CommitmentsTable[[#This Row],[Commitment / deliverable]]="",CommitmentsTable[[#This Row],[Owner]]=""),"",IF(CommitmentsTable[[#This Row],[Status2]]="","Open",CommitmentsTable[[#This Row],[Status2]]))</f>
        <v/>
      </c>
      <c r="U381" s="237" t="str">
        <f t="shared" ca="1" si="5"/>
        <v/>
      </c>
      <c r="V381" s="233"/>
      <c r="W381" s="63" t="s">
        <v>1348</v>
      </c>
    </row>
    <row r="382" spans="1:23" ht="39">
      <c r="A382" s="213" t="str">
        <f>IF(OR(CommitmentsTable[[#This Row],[Commitment / deliverable]]="",CommitmentsTable[[#This Row],[Immutable Key]]=""),"",SUBSTITUTE(CommitmentsTable[[#This Row],[Immutable Key]],"-K-","-"))</f>
        <v/>
      </c>
      <c r="B382" s="233"/>
      <c r="C382" s="233"/>
      <c r="D382" s="213"/>
      <c r="E382" s="230"/>
      <c r="F382" s="213"/>
      <c r="G382" s="245" t="str">
        <f ca="1">IF(CommitmentsTable[[#This Row],[Commitment / deliverable]]="","",IF(CommitmentsTable[[#This Row],[Date record entered]]="",TODAY(),CommitmentsTable[[#This Row],[Date record entered]]))</f>
        <v/>
      </c>
      <c r="H382" s="245"/>
      <c r="I382" s="245" t="str">
        <f ca="1">IF(CommitmentsTable[[#This Row],[Date Assigned if different from entry date]]&lt;&gt;"",CommitmentsTable[[#This Row],[Date Assigned if different from entry date]]+90,IF(CommitmentsTable[[#This Row],[Date record entered]]&lt;&gt;"",CommitmentsTable[[#This Row],[Date record entered]]+90,""))</f>
        <v/>
      </c>
      <c r="J382" s="245" t="str">
        <f ca="1">IF(CommitmentsTable[[#This Row],[Date Assigned if different from entry date]]&lt;&gt;"",CommitmentsTable[[#This Row],[Date Assigned if different from entry date]]+30,IF(CommitmentsTable[[#This Row],[Date record entered]]&lt;&gt;"",CommitmentsTable[[#This Row],[Date record entered]]+30,""))</f>
        <v/>
      </c>
      <c r="K382" s="245"/>
      <c r="L382" s="245" t="str">
        <f ca="1">IF(CommitmentsTable[[#This Row],[Date Assigned if different from entry date]]&lt;&gt;"",CommitmentsTable[[#This Row],[Date Assigned if different from entry date]]+60,IF(CommitmentsTable[[#This Row],[Date record entered]]&lt;&gt;"",CommitmentsTable[[#This Row],[Date record entered]]+60,""))</f>
        <v/>
      </c>
      <c r="M382" s="214"/>
      <c r="N382" s="214"/>
      <c r="O382" s="236"/>
      <c r="P382" s="214"/>
      <c r="Q382" s="214"/>
      <c r="R382" s="214"/>
      <c r="S382" s="238" t="str">
        <f>IF(CommitmentsTable[[#This Row],[Commitment / deliverable]]="","",IF(CommitmentsTable[[#This Row],[Revised due]]&lt;&gt;"",CommitmentsTable[[#This Row],[Revised due]],CommitmentsTable[[#This Row],[Original due]]))</f>
        <v/>
      </c>
      <c r="T382" s="237" t="str">
        <f>IF(OR(CommitmentsTable[[#This Row],[Commitment / deliverable]]="",CommitmentsTable[[#This Row],[Owner]]=""),"",IF(CommitmentsTable[[#This Row],[Status2]]="","Open",CommitmentsTable[[#This Row],[Status2]]))</f>
        <v/>
      </c>
      <c r="U382" s="237" t="str">
        <f t="shared" ca="1" si="5"/>
        <v/>
      </c>
      <c r="V382" s="233"/>
      <c r="W382" s="63" t="s">
        <v>1349</v>
      </c>
    </row>
    <row r="383" spans="1:23" ht="39">
      <c r="A383" s="213" t="str">
        <f>IF(OR(CommitmentsTable[[#This Row],[Commitment / deliverable]]="",CommitmentsTable[[#This Row],[Immutable Key]]=""),"",SUBSTITUTE(CommitmentsTable[[#This Row],[Immutable Key]],"-K-","-"))</f>
        <v/>
      </c>
      <c r="B383" s="233"/>
      <c r="C383" s="233"/>
      <c r="D383" s="213"/>
      <c r="E383" s="230"/>
      <c r="F383" s="213"/>
      <c r="G383" s="245" t="str">
        <f ca="1">IF(CommitmentsTable[[#This Row],[Commitment / deliverable]]="","",IF(CommitmentsTable[[#This Row],[Date record entered]]="",TODAY(),CommitmentsTable[[#This Row],[Date record entered]]))</f>
        <v/>
      </c>
      <c r="H383" s="245"/>
      <c r="I383" s="245" t="str">
        <f ca="1">IF(CommitmentsTable[[#This Row],[Date Assigned if different from entry date]]&lt;&gt;"",CommitmentsTable[[#This Row],[Date Assigned if different from entry date]]+90,IF(CommitmentsTable[[#This Row],[Date record entered]]&lt;&gt;"",CommitmentsTable[[#This Row],[Date record entered]]+90,""))</f>
        <v/>
      </c>
      <c r="J383" s="245" t="str">
        <f ca="1">IF(CommitmentsTable[[#This Row],[Date Assigned if different from entry date]]&lt;&gt;"",CommitmentsTable[[#This Row],[Date Assigned if different from entry date]]+30,IF(CommitmentsTable[[#This Row],[Date record entered]]&lt;&gt;"",CommitmentsTable[[#This Row],[Date record entered]]+30,""))</f>
        <v/>
      </c>
      <c r="K383" s="245"/>
      <c r="L383" s="245" t="str">
        <f ca="1">IF(CommitmentsTable[[#This Row],[Date Assigned if different from entry date]]&lt;&gt;"",CommitmentsTable[[#This Row],[Date Assigned if different from entry date]]+60,IF(CommitmentsTable[[#This Row],[Date record entered]]&lt;&gt;"",CommitmentsTable[[#This Row],[Date record entered]]+60,""))</f>
        <v/>
      </c>
      <c r="M383" s="214"/>
      <c r="N383" s="214"/>
      <c r="O383" s="236"/>
      <c r="P383" s="214"/>
      <c r="Q383" s="214"/>
      <c r="R383" s="214"/>
      <c r="S383" s="238" t="str">
        <f>IF(CommitmentsTable[[#This Row],[Commitment / deliverable]]="","",IF(CommitmentsTable[[#This Row],[Revised due]]&lt;&gt;"",CommitmentsTable[[#This Row],[Revised due]],CommitmentsTable[[#This Row],[Original due]]))</f>
        <v/>
      </c>
      <c r="T383" s="237" t="str">
        <f>IF(OR(CommitmentsTable[[#This Row],[Commitment / deliverable]]="",CommitmentsTable[[#This Row],[Owner]]=""),"",IF(CommitmentsTable[[#This Row],[Status2]]="","Open",CommitmentsTable[[#This Row],[Status2]]))</f>
        <v/>
      </c>
      <c r="U383" s="237" t="str">
        <f t="shared" ca="1" si="5"/>
        <v/>
      </c>
      <c r="V383" s="233"/>
      <c r="W383" s="63" t="s">
        <v>1350</v>
      </c>
    </row>
    <row r="384" spans="1:23" ht="39">
      <c r="A384" s="213" t="str">
        <f>IF(OR(CommitmentsTable[[#This Row],[Commitment / deliverable]]="",CommitmentsTable[[#This Row],[Immutable Key]]=""),"",SUBSTITUTE(CommitmentsTable[[#This Row],[Immutable Key]],"-K-","-"))</f>
        <v/>
      </c>
      <c r="B384" s="233"/>
      <c r="C384" s="233"/>
      <c r="D384" s="213"/>
      <c r="E384" s="230"/>
      <c r="F384" s="213"/>
      <c r="G384" s="245" t="str">
        <f ca="1">IF(CommitmentsTable[[#This Row],[Commitment / deliverable]]="","",IF(CommitmentsTable[[#This Row],[Date record entered]]="",TODAY(),CommitmentsTable[[#This Row],[Date record entered]]))</f>
        <v/>
      </c>
      <c r="H384" s="245"/>
      <c r="I384" s="245" t="str">
        <f ca="1">IF(CommitmentsTable[[#This Row],[Date Assigned if different from entry date]]&lt;&gt;"",CommitmentsTable[[#This Row],[Date Assigned if different from entry date]]+90,IF(CommitmentsTable[[#This Row],[Date record entered]]&lt;&gt;"",CommitmentsTable[[#This Row],[Date record entered]]+90,""))</f>
        <v/>
      </c>
      <c r="J384" s="245" t="str">
        <f ca="1">IF(CommitmentsTable[[#This Row],[Date Assigned if different from entry date]]&lt;&gt;"",CommitmentsTable[[#This Row],[Date Assigned if different from entry date]]+30,IF(CommitmentsTable[[#This Row],[Date record entered]]&lt;&gt;"",CommitmentsTable[[#This Row],[Date record entered]]+30,""))</f>
        <v/>
      </c>
      <c r="K384" s="245"/>
      <c r="L384" s="245" t="str">
        <f ca="1">IF(CommitmentsTable[[#This Row],[Date Assigned if different from entry date]]&lt;&gt;"",CommitmentsTable[[#This Row],[Date Assigned if different from entry date]]+60,IF(CommitmentsTable[[#This Row],[Date record entered]]&lt;&gt;"",CommitmentsTable[[#This Row],[Date record entered]]+60,""))</f>
        <v/>
      </c>
      <c r="M384" s="214"/>
      <c r="N384" s="214"/>
      <c r="O384" s="236"/>
      <c r="P384" s="214"/>
      <c r="Q384" s="214"/>
      <c r="R384" s="214"/>
      <c r="S384" s="238" t="str">
        <f>IF(CommitmentsTable[[#This Row],[Commitment / deliverable]]="","",IF(CommitmentsTable[[#This Row],[Revised due]]&lt;&gt;"",CommitmentsTable[[#This Row],[Revised due]],CommitmentsTable[[#This Row],[Original due]]))</f>
        <v/>
      </c>
      <c r="T384" s="237" t="str">
        <f>IF(OR(CommitmentsTable[[#This Row],[Commitment / deliverable]]="",CommitmentsTable[[#This Row],[Owner]]=""),"",IF(CommitmentsTable[[#This Row],[Status2]]="","Open",CommitmentsTable[[#This Row],[Status2]]))</f>
        <v/>
      </c>
      <c r="U384" s="237" t="str">
        <f t="shared" ca="1" si="5"/>
        <v/>
      </c>
      <c r="V384" s="233"/>
      <c r="W384" s="63" t="s">
        <v>1351</v>
      </c>
    </row>
    <row r="385" spans="1:23" ht="39">
      <c r="A385" s="213" t="str">
        <f>IF(OR(CommitmentsTable[[#This Row],[Commitment / deliverable]]="",CommitmentsTable[[#This Row],[Immutable Key]]=""),"",SUBSTITUTE(CommitmentsTable[[#This Row],[Immutable Key]],"-K-","-"))</f>
        <v/>
      </c>
      <c r="B385" s="233"/>
      <c r="C385" s="233"/>
      <c r="D385" s="213"/>
      <c r="E385" s="230"/>
      <c r="F385" s="213"/>
      <c r="G385" s="245" t="str">
        <f ca="1">IF(CommitmentsTable[[#This Row],[Commitment / deliverable]]="","",IF(CommitmentsTable[[#This Row],[Date record entered]]="",TODAY(),CommitmentsTable[[#This Row],[Date record entered]]))</f>
        <v/>
      </c>
      <c r="H385" s="245"/>
      <c r="I385" s="245" t="str">
        <f ca="1">IF(CommitmentsTable[[#This Row],[Date Assigned if different from entry date]]&lt;&gt;"",CommitmentsTable[[#This Row],[Date Assigned if different from entry date]]+90,IF(CommitmentsTable[[#This Row],[Date record entered]]&lt;&gt;"",CommitmentsTable[[#This Row],[Date record entered]]+90,""))</f>
        <v/>
      </c>
      <c r="J385" s="245" t="str">
        <f ca="1">IF(CommitmentsTable[[#This Row],[Date Assigned if different from entry date]]&lt;&gt;"",CommitmentsTable[[#This Row],[Date Assigned if different from entry date]]+30,IF(CommitmentsTable[[#This Row],[Date record entered]]&lt;&gt;"",CommitmentsTable[[#This Row],[Date record entered]]+30,""))</f>
        <v/>
      </c>
      <c r="K385" s="245"/>
      <c r="L385" s="245" t="str">
        <f ca="1">IF(CommitmentsTable[[#This Row],[Date Assigned if different from entry date]]&lt;&gt;"",CommitmentsTable[[#This Row],[Date Assigned if different from entry date]]+60,IF(CommitmentsTable[[#This Row],[Date record entered]]&lt;&gt;"",CommitmentsTable[[#This Row],[Date record entered]]+60,""))</f>
        <v/>
      </c>
      <c r="M385" s="214"/>
      <c r="N385" s="214"/>
      <c r="O385" s="236"/>
      <c r="P385" s="214"/>
      <c r="Q385" s="214"/>
      <c r="R385" s="214"/>
      <c r="S385" s="238" t="str">
        <f>IF(CommitmentsTable[[#This Row],[Commitment / deliverable]]="","",IF(CommitmentsTable[[#This Row],[Revised due]]&lt;&gt;"",CommitmentsTable[[#This Row],[Revised due]],CommitmentsTable[[#This Row],[Original due]]))</f>
        <v/>
      </c>
      <c r="T385" s="237" t="str">
        <f>IF(OR(CommitmentsTable[[#This Row],[Commitment / deliverable]]="",CommitmentsTable[[#This Row],[Owner]]=""),"",IF(CommitmentsTable[[#This Row],[Status2]]="","Open",CommitmentsTable[[#This Row],[Status2]]))</f>
        <v/>
      </c>
      <c r="U385" s="237" t="str">
        <f t="shared" ca="1" si="5"/>
        <v/>
      </c>
      <c r="V385" s="233"/>
      <c r="W385" s="63" t="s">
        <v>1352</v>
      </c>
    </row>
    <row r="386" spans="1:23" ht="39">
      <c r="A386" s="213" t="str">
        <f>IF(OR(CommitmentsTable[[#This Row],[Commitment / deliverable]]="",CommitmentsTable[[#This Row],[Immutable Key]]=""),"",SUBSTITUTE(CommitmentsTable[[#This Row],[Immutable Key]],"-K-","-"))</f>
        <v/>
      </c>
      <c r="B386" s="233"/>
      <c r="C386" s="233"/>
      <c r="D386" s="213"/>
      <c r="E386" s="230"/>
      <c r="F386" s="213"/>
      <c r="G386" s="245" t="str">
        <f ca="1">IF(CommitmentsTable[[#This Row],[Commitment / deliverable]]="","",IF(CommitmentsTable[[#This Row],[Date record entered]]="",TODAY(),CommitmentsTable[[#This Row],[Date record entered]]))</f>
        <v/>
      </c>
      <c r="H386" s="245"/>
      <c r="I386" s="245" t="str">
        <f ca="1">IF(CommitmentsTable[[#This Row],[Date Assigned if different from entry date]]&lt;&gt;"",CommitmentsTable[[#This Row],[Date Assigned if different from entry date]]+90,IF(CommitmentsTable[[#This Row],[Date record entered]]&lt;&gt;"",CommitmentsTable[[#This Row],[Date record entered]]+90,""))</f>
        <v/>
      </c>
      <c r="J386" s="245" t="str">
        <f ca="1">IF(CommitmentsTable[[#This Row],[Date Assigned if different from entry date]]&lt;&gt;"",CommitmentsTable[[#This Row],[Date Assigned if different from entry date]]+30,IF(CommitmentsTable[[#This Row],[Date record entered]]&lt;&gt;"",CommitmentsTable[[#This Row],[Date record entered]]+30,""))</f>
        <v/>
      </c>
      <c r="K386" s="245"/>
      <c r="L386" s="245" t="str">
        <f ca="1">IF(CommitmentsTable[[#This Row],[Date Assigned if different from entry date]]&lt;&gt;"",CommitmentsTable[[#This Row],[Date Assigned if different from entry date]]+60,IF(CommitmentsTable[[#This Row],[Date record entered]]&lt;&gt;"",CommitmentsTable[[#This Row],[Date record entered]]+60,""))</f>
        <v/>
      </c>
      <c r="M386" s="214"/>
      <c r="N386" s="214"/>
      <c r="O386" s="236"/>
      <c r="P386" s="214"/>
      <c r="Q386" s="214"/>
      <c r="R386" s="214"/>
      <c r="S386" s="238" t="str">
        <f>IF(CommitmentsTable[[#This Row],[Commitment / deliverable]]="","",IF(CommitmentsTable[[#This Row],[Revised due]]&lt;&gt;"",CommitmentsTable[[#This Row],[Revised due]],CommitmentsTable[[#This Row],[Original due]]))</f>
        <v/>
      </c>
      <c r="T386" s="237" t="str">
        <f>IF(OR(CommitmentsTable[[#This Row],[Commitment / deliverable]]="",CommitmentsTable[[#This Row],[Owner]]=""),"",IF(CommitmentsTable[[#This Row],[Status2]]="","Open",CommitmentsTable[[#This Row],[Status2]]))</f>
        <v/>
      </c>
      <c r="U386" s="237" t="str">
        <f t="shared" ca="1" si="5"/>
        <v/>
      </c>
      <c r="V386" s="233"/>
      <c r="W386" s="63" t="s">
        <v>1353</v>
      </c>
    </row>
    <row r="387" spans="1:23" ht="39">
      <c r="A387" s="213" t="str">
        <f>IF(OR(CommitmentsTable[[#This Row],[Commitment / deliverable]]="",CommitmentsTable[[#This Row],[Immutable Key]]=""),"",SUBSTITUTE(CommitmentsTable[[#This Row],[Immutable Key]],"-K-","-"))</f>
        <v/>
      </c>
      <c r="B387" s="233"/>
      <c r="C387" s="233"/>
      <c r="D387" s="213"/>
      <c r="E387" s="230"/>
      <c r="F387" s="213"/>
      <c r="G387" s="245" t="str">
        <f ca="1">IF(CommitmentsTable[[#This Row],[Commitment / deliverable]]="","",IF(CommitmentsTable[[#This Row],[Date record entered]]="",TODAY(),CommitmentsTable[[#This Row],[Date record entered]]))</f>
        <v/>
      </c>
      <c r="H387" s="245"/>
      <c r="I387" s="245" t="str">
        <f ca="1">IF(CommitmentsTable[[#This Row],[Date Assigned if different from entry date]]&lt;&gt;"",CommitmentsTable[[#This Row],[Date Assigned if different from entry date]]+90,IF(CommitmentsTable[[#This Row],[Date record entered]]&lt;&gt;"",CommitmentsTable[[#This Row],[Date record entered]]+90,""))</f>
        <v/>
      </c>
      <c r="J387" s="245" t="str">
        <f ca="1">IF(CommitmentsTable[[#This Row],[Date Assigned if different from entry date]]&lt;&gt;"",CommitmentsTable[[#This Row],[Date Assigned if different from entry date]]+30,IF(CommitmentsTable[[#This Row],[Date record entered]]&lt;&gt;"",CommitmentsTable[[#This Row],[Date record entered]]+30,""))</f>
        <v/>
      </c>
      <c r="K387" s="245"/>
      <c r="L387" s="245" t="str">
        <f ca="1">IF(CommitmentsTable[[#This Row],[Date Assigned if different from entry date]]&lt;&gt;"",CommitmentsTable[[#This Row],[Date Assigned if different from entry date]]+60,IF(CommitmentsTable[[#This Row],[Date record entered]]&lt;&gt;"",CommitmentsTable[[#This Row],[Date record entered]]+60,""))</f>
        <v/>
      </c>
      <c r="M387" s="214"/>
      <c r="N387" s="214"/>
      <c r="O387" s="236"/>
      <c r="P387" s="214"/>
      <c r="Q387" s="214"/>
      <c r="R387" s="214"/>
      <c r="S387" s="238" t="str">
        <f>IF(CommitmentsTable[[#This Row],[Commitment / deliverable]]="","",IF(CommitmentsTable[[#This Row],[Revised due]]&lt;&gt;"",CommitmentsTable[[#This Row],[Revised due]],CommitmentsTable[[#This Row],[Original due]]))</f>
        <v/>
      </c>
      <c r="T387" s="237" t="str">
        <f>IF(OR(CommitmentsTable[[#This Row],[Commitment / deliverable]]="",CommitmentsTable[[#This Row],[Owner]]=""),"",IF(CommitmentsTable[[#This Row],[Status2]]="","Open",CommitmentsTable[[#This Row],[Status2]]))</f>
        <v/>
      </c>
      <c r="U387" s="237" t="str">
        <f t="shared" ca="1" si="5"/>
        <v/>
      </c>
      <c r="V387" s="233"/>
      <c r="W387" s="63" t="s">
        <v>1354</v>
      </c>
    </row>
    <row r="388" spans="1:23" ht="39">
      <c r="A388" s="213" t="str">
        <f>IF(OR(CommitmentsTable[[#This Row],[Commitment / deliverable]]="",CommitmentsTable[[#This Row],[Immutable Key]]=""),"",SUBSTITUTE(CommitmentsTable[[#This Row],[Immutable Key]],"-K-","-"))</f>
        <v/>
      </c>
      <c r="B388" s="233"/>
      <c r="C388" s="233"/>
      <c r="D388" s="213"/>
      <c r="E388" s="230"/>
      <c r="F388" s="213"/>
      <c r="G388" s="245" t="str">
        <f ca="1">IF(CommitmentsTable[[#This Row],[Commitment / deliverable]]="","",IF(CommitmentsTable[[#This Row],[Date record entered]]="",TODAY(),CommitmentsTable[[#This Row],[Date record entered]]))</f>
        <v/>
      </c>
      <c r="H388" s="245"/>
      <c r="I388" s="245" t="str">
        <f ca="1">IF(CommitmentsTable[[#This Row],[Date Assigned if different from entry date]]&lt;&gt;"",CommitmentsTable[[#This Row],[Date Assigned if different from entry date]]+90,IF(CommitmentsTable[[#This Row],[Date record entered]]&lt;&gt;"",CommitmentsTable[[#This Row],[Date record entered]]+90,""))</f>
        <v/>
      </c>
      <c r="J388" s="245" t="str">
        <f ca="1">IF(CommitmentsTable[[#This Row],[Date Assigned if different from entry date]]&lt;&gt;"",CommitmentsTable[[#This Row],[Date Assigned if different from entry date]]+30,IF(CommitmentsTable[[#This Row],[Date record entered]]&lt;&gt;"",CommitmentsTable[[#This Row],[Date record entered]]+30,""))</f>
        <v/>
      </c>
      <c r="K388" s="245"/>
      <c r="L388" s="245" t="str">
        <f ca="1">IF(CommitmentsTable[[#This Row],[Date Assigned if different from entry date]]&lt;&gt;"",CommitmentsTable[[#This Row],[Date Assigned if different from entry date]]+60,IF(CommitmentsTable[[#This Row],[Date record entered]]&lt;&gt;"",CommitmentsTable[[#This Row],[Date record entered]]+60,""))</f>
        <v/>
      </c>
      <c r="M388" s="214"/>
      <c r="N388" s="214"/>
      <c r="O388" s="236"/>
      <c r="P388" s="214"/>
      <c r="Q388" s="214"/>
      <c r="R388" s="214"/>
      <c r="S388" s="238" t="str">
        <f>IF(CommitmentsTable[[#This Row],[Commitment / deliverable]]="","",IF(CommitmentsTable[[#This Row],[Revised due]]&lt;&gt;"",CommitmentsTable[[#This Row],[Revised due]],CommitmentsTable[[#This Row],[Original due]]))</f>
        <v/>
      </c>
      <c r="T388" s="237" t="str">
        <f>IF(OR(CommitmentsTable[[#This Row],[Commitment / deliverable]]="",CommitmentsTable[[#This Row],[Owner]]=""),"",IF(CommitmentsTable[[#This Row],[Status2]]="","Open",CommitmentsTable[[#This Row],[Status2]]))</f>
        <v/>
      </c>
      <c r="U388" s="237" t="str">
        <f t="shared" ca="1" si="5"/>
        <v/>
      </c>
      <c r="V388" s="233"/>
      <c r="W388" s="63" t="s">
        <v>1355</v>
      </c>
    </row>
    <row r="389" spans="1:23" ht="39">
      <c r="A389" s="213" t="str">
        <f>IF(OR(CommitmentsTable[[#This Row],[Commitment / deliverable]]="",CommitmentsTable[[#This Row],[Immutable Key]]=""),"",SUBSTITUTE(CommitmentsTable[[#This Row],[Immutable Key]],"-K-","-"))</f>
        <v/>
      </c>
      <c r="B389" s="233"/>
      <c r="C389" s="233"/>
      <c r="D389" s="213"/>
      <c r="E389" s="230"/>
      <c r="F389" s="213"/>
      <c r="G389" s="245" t="str">
        <f ca="1">IF(CommitmentsTable[[#This Row],[Commitment / deliverable]]="","",IF(CommitmentsTable[[#This Row],[Date record entered]]="",TODAY(),CommitmentsTable[[#This Row],[Date record entered]]))</f>
        <v/>
      </c>
      <c r="H389" s="245"/>
      <c r="I389" s="245" t="str">
        <f ca="1">IF(CommitmentsTable[[#This Row],[Date Assigned if different from entry date]]&lt;&gt;"",CommitmentsTable[[#This Row],[Date Assigned if different from entry date]]+90,IF(CommitmentsTable[[#This Row],[Date record entered]]&lt;&gt;"",CommitmentsTable[[#This Row],[Date record entered]]+90,""))</f>
        <v/>
      </c>
      <c r="J389" s="245" t="str">
        <f ca="1">IF(CommitmentsTable[[#This Row],[Date Assigned if different from entry date]]&lt;&gt;"",CommitmentsTable[[#This Row],[Date Assigned if different from entry date]]+30,IF(CommitmentsTable[[#This Row],[Date record entered]]&lt;&gt;"",CommitmentsTable[[#This Row],[Date record entered]]+30,""))</f>
        <v/>
      </c>
      <c r="K389" s="245"/>
      <c r="L389" s="245" t="str">
        <f ca="1">IF(CommitmentsTable[[#This Row],[Date Assigned if different from entry date]]&lt;&gt;"",CommitmentsTable[[#This Row],[Date Assigned if different from entry date]]+60,IF(CommitmentsTable[[#This Row],[Date record entered]]&lt;&gt;"",CommitmentsTable[[#This Row],[Date record entered]]+60,""))</f>
        <v/>
      </c>
      <c r="M389" s="214"/>
      <c r="N389" s="214"/>
      <c r="O389" s="236"/>
      <c r="P389" s="214"/>
      <c r="Q389" s="214"/>
      <c r="R389" s="214"/>
      <c r="S389" s="238" t="str">
        <f>IF(CommitmentsTable[[#This Row],[Commitment / deliverable]]="","",IF(CommitmentsTable[[#This Row],[Revised due]]&lt;&gt;"",CommitmentsTable[[#This Row],[Revised due]],CommitmentsTable[[#This Row],[Original due]]))</f>
        <v/>
      </c>
      <c r="T389" s="237" t="str">
        <f>IF(OR(CommitmentsTable[[#This Row],[Commitment / deliverable]]="",CommitmentsTable[[#This Row],[Owner]]=""),"",IF(CommitmentsTable[[#This Row],[Status2]]="","Open",CommitmentsTable[[#This Row],[Status2]]))</f>
        <v/>
      </c>
      <c r="U389" s="237" t="str">
        <f t="shared" ca="1" si="5"/>
        <v/>
      </c>
      <c r="V389" s="233"/>
      <c r="W389" s="63" t="s">
        <v>1356</v>
      </c>
    </row>
    <row r="390" spans="1:23" ht="39">
      <c r="A390" s="213" t="str">
        <f>IF(OR(CommitmentsTable[[#This Row],[Commitment / deliverable]]="",CommitmentsTable[[#This Row],[Immutable Key]]=""),"",SUBSTITUTE(CommitmentsTable[[#This Row],[Immutable Key]],"-K-","-"))</f>
        <v/>
      </c>
      <c r="B390" s="233"/>
      <c r="C390" s="233"/>
      <c r="D390" s="213"/>
      <c r="E390" s="230"/>
      <c r="F390" s="213"/>
      <c r="G390" s="245" t="str">
        <f ca="1">IF(CommitmentsTable[[#This Row],[Commitment / deliverable]]="","",IF(CommitmentsTable[[#This Row],[Date record entered]]="",TODAY(),CommitmentsTable[[#This Row],[Date record entered]]))</f>
        <v/>
      </c>
      <c r="H390" s="245"/>
      <c r="I390" s="245" t="str">
        <f ca="1">IF(CommitmentsTable[[#This Row],[Date Assigned if different from entry date]]&lt;&gt;"",CommitmentsTable[[#This Row],[Date Assigned if different from entry date]]+90,IF(CommitmentsTable[[#This Row],[Date record entered]]&lt;&gt;"",CommitmentsTable[[#This Row],[Date record entered]]+90,""))</f>
        <v/>
      </c>
      <c r="J390" s="245" t="str">
        <f ca="1">IF(CommitmentsTable[[#This Row],[Date Assigned if different from entry date]]&lt;&gt;"",CommitmentsTable[[#This Row],[Date Assigned if different from entry date]]+30,IF(CommitmentsTable[[#This Row],[Date record entered]]&lt;&gt;"",CommitmentsTable[[#This Row],[Date record entered]]+30,""))</f>
        <v/>
      </c>
      <c r="K390" s="245"/>
      <c r="L390" s="245" t="str">
        <f ca="1">IF(CommitmentsTable[[#This Row],[Date Assigned if different from entry date]]&lt;&gt;"",CommitmentsTable[[#This Row],[Date Assigned if different from entry date]]+60,IF(CommitmentsTable[[#This Row],[Date record entered]]&lt;&gt;"",CommitmentsTable[[#This Row],[Date record entered]]+60,""))</f>
        <v/>
      </c>
      <c r="M390" s="214"/>
      <c r="N390" s="214"/>
      <c r="O390" s="236"/>
      <c r="P390" s="214"/>
      <c r="Q390" s="214"/>
      <c r="R390" s="214"/>
      <c r="S390" s="238" t="str">
        <f>IF(CommitmentsTable[[#This Row],[Commitment / deliverable]]="","",IF(CommitmentsTable[[#This Row],[Revised due]]&lt;&gt;"",CommitmentsTable[[#This Row],[Revised due]],CommitmentsTable[[#This Row],[Original due]]))</f>
        <v/>
      </c>
      <c r="T390" s="237" t="str">
        <f>IF(OR(CommitmentsTable[[#This Row],[Commitment / deliverable]]="",CommitmentsTable[[#This Row],[Owner]]=""),"",IF(CommitmentsTable[[#This Row],[Status2]]="","Open",CommitmentsTable[[#This Row],[Status2]]))</f>
        <v/>
      </c>
      <c r="U390" s="237" t="str">
        <f t="shared" ca="1" si="5"/>
        <v/>
      </c>
      <c r="V390" s="233"/>
      <c r="W390" s="63" t="s">
        <v>1357</v>
      </c>
    </row>
    <row r="391" spans="1:23" ht="39">
      <c r="A391" s="213" t="str">
        <f>IF(OR(CommitmentsTable[[#This Row],[Commitment / deliverable]]="",CommitmentsTable[[#This Row],[Immutable Key]]=""),"",SUBSTITUTE(CommitmentsTable[[#This Row],[Immutable Key]],"-K-","-"))</f>
        <v/>
      </c>
      <c r="B391" s="233"/>
      <c r="C391" s="233"/>
      <c r="D391" s="213"/>
      <c r="E391" s="230"/>
      <c r="F391" s="213"/>
      <c r="G391" s="245" t="str">
        <f ca="1">IF(CommitmentsTable[[#This Row],[Commitment / deliverable]]="","",IF(CommitmentsTable[[#This Row],[Date record entered]]="",TODAY(),CommitmentsTable[[#This Row],[Date record entered]]))</f>
        <v/>
      </c>
      <c r="H391" s="245"/>
      <c r="I391" s="245" t="str">
        <f ca="1">IF(CommitmentsTable[[#This Row],[Date Assigned if different from entry date]]&lt;&gt;"",CommitmentsTable[[#This Row],[Date Assigned if different from entry date]]+90,IF(CommitmentsTable[[#This Row],[Date record entered]]&lt;&gt;"",CommitmentsTable[[#This Row],[Date record entered]]+90,""))</f>
        <v/>
      </c>
      <c r="J391" s="245" t="str">
        <f ca="1">IF(CommitmentsTable[[#This Row],[Date Assigned if different from entry date]]&lt;&gt;"",CommitmentsTable[[#This Row],[Date Assigned if different from entry date]]+30,IF(CommitmentsTable[[#This Row],[Date record entered]]&lt;&gt;"",CommitmentsTable[[#This Row],[Date record entered]]+30,""))</f>
        <v/>
      </c>
      <c r="K391" s="245"/>
      <c r="L391" s="245" t="str">
        <f ca="1">IF(CommitmentsTable[[#This Row],[Date Assigned if different from entry date]]&lt;&gt;"",CommitmentsTable[[#This Row],[Date Assigned if different from entry date]]+60,IF(CommitmentsTable[[#This Row],[Date record entered]]&lt;&gt;"",CommitmentsTable[[#This Row],[Date record entered]]+60,""))</f>
        <v/>
      </c>
      <c r="M391" s="214"/>
      <c r="N391" s="214"/>
      <c r="O391" s="236"/>
      <c r="P391" s="214"/>
      <c r="Q391" s="214"/>
      <c r="R391" s="214"/>
      <c r="S391" s="238" t="str">
        <f>IF(CommitmentsTable[[#This Row],[Commitment / deliverable]]="","",IF(CommitmentsTable[[#This Row],[Revised due]]&lt;&gt;"",CommitmentsTable[[#This Row],[Revised due]],CommitmentsTable[[#This Row],[Original due]]))</f>
        <v/>
      </c>
      <c r="T391" s="237" t="str">
        <f>IF(OR(CommitmentsTable[[#This Row],[Commitment / deliverable]]="",CommitmentsTable[[#This Row],[Owner]]=""),"",IF(CommitmentsTable[[#This Row],[Status2]]="","Open",CommitmentsTable[[#This Row],[Status2]]))</f>
        <v/>
      </c>
      <c r="U391" s="237" t="str">
        <f t="shared" ca="1" si="5"/>
        <v/>
      </c>
      <c r="V391" s="233"/>
      <c r="W391" s="63" t="s">
        <v>1358</v>
      </c>
    </row>
    <row r="392" spans="1:23" ht="39">
      <c r="A392" s="213" t="str">
        <f>IF(OR(CommitmentsTable[[#This Row],[Commitment / deliverable]]="",CommitmentsTable[[#This Row],[Immutable Key]]=""),"",SUBSTITUTE(CommitmentsTable[[#This Row],[Immutable Key]],"-K-","-"))</f>
        <v/>
      </c>
      <c r="B392" s="233"/>
      <c r="C392" s="233"/>
      <c r="D392" s="213"/>
      <c r="E392" s="230"/>
      <c r="F392" s="213"/>
      <c r="G392" s="245" t="str">
        <f ca="1">IF(CommitmentsTable[[#This Row],[Commitment / deliverable]]="","",IF(CommitmentsTable[[#This Row],[Date record entered]]="",TODAY(),CommitmentsTable[[#This Row],[Date record entered]]))</f>
        <v/>
      </c>
      <c r="H392" s="245"/>
      <c r="I392" s="245" t="str">
        <f ca="1">IF(CommitmentsTable[[#This Row],[Date Assigned if different from entry date]]&lt;&gt;"",CommitmentsTable[[#This Row],[Date Assigned if different from entry date]]+90,IF(CommitmentsTable[[#This Row],[Date record entered]]&lt;&gt;"",CommitmentsTable[[#This Row],[Date record entered]]+90,""))</f>
        <v/>
      </c>
      <c r="J392" s="245" t="str">
        <f ca="1">IF(CommitmentsTable[[#This Row],[Date Assigned if different from entry date]]&lt;&gt;"",CommitmentsTable[[#This Row],[Date Assigned if different from entry date]]+30,IF(CommitmentsTable[[#This Row],[Date record entered]]&lt;&gt;"",CommitmentsTable[[#This Row],[Date record entered]]+30,""))</f>
        <v/>
      </c>
      <c r="K392" s="245"/>
      <c r="L392" s="245" t="str">
        <f ca="1">IF(CommitmentsTable[[#This Row],[Date Assigned if different from entry date]]&lt;&gt;"",CommitmentsTable[[#This Row],[Date Assigned if different from entry date]]+60,IF(CommitmentsTable[[#This Row],[Date record entered]]&lt;&gt;"",CommitmentsTable[[#This Row],[Date record entered]]+60,""))</f>
        <v/>
      </c>
      <c r="M392" s="214"/>
      <c r="N392" s="214"/>
      <c r="O392" s="236"/>
      <c r="P392" s="214"/>
      <c r="Q392" s="214"/>
      <c r="R392" s="214"/>
      <c r="S392" s="238" t="str">
        <f>IF(CommitmentsTable[[#This Row],[Commitment / deliverable]]="","",IF(CommitmentsTable[[#This Row],[Revised due]]&lt;&gt;"",CommitmentsTable[[#This Row],[Revised due]],CommitmentsTable[[#This Row],[Original due]]))</f>
        <v/>
      </c>
      <c r="T392" s="237" t="str">
        <f>IF(OR(CommitmentsTable[[#This Row],[Commitment / deliverable]]="",CommitmentsTable[[#This Row],[Owner]]=""),"",IF(CommitmentsTable[[#This Row],[Status2]]="","Open",CommitmentsTable[[#This Row],[Status2]]))</f>
        <v/>
      </c>
      <c r="U392" s="237" t="str">
        <f t="shared" ca="1" si="5"/>
        <v/>
      </c>
      <c r="V392" s="233"/>
      <c r="W392" s="63" t="s">
        <v>1359</v>
      </c>
    </row>
    <row r="393" spans="1:23" ht="39">
      <c r="A393" s="213" t="str">
        <f>IF(OR(CommitmentsTable[[#This Row],[Commitment / deliverable]]="",CommitmentsTable[[#This Row],[Immutable Key]]=""),"",SUBSTITUTE(CommitmentsTable[[#This Row],[Immutable Key]],"-K-","-"))</f>
        <v/>
      </c>
      <c r="B393" s="233"/>
      <c r="C393" s="233"/>
      <c r="D393" s="213"/>
      <c r="E393" s="230"/>
      <c r="F393" s="213"/>
      <c r="G393" s="245" t="str">
        <f ca="1">IF(CommitmentsTable[[#This Row],[Commitment / deliverable]]="","",IF(CommitmentsTable[[#This Row],[Date record entered]]="",TODAY(),CommitmentsTable[[#This Row],[Date record entered]]))</f>
        <v/>
      </c>
      <c r="H393" s="245"/>
      <c r="I393" s="245" t="str">
        <f ca="1">IF(CommitmentsTable[[#This Row],[Date Assigned if different from entry date]]&lt;&gt;"",CommitmentsTable[[#This Row],[Date Assigned if different from entry date]]+90,IF(CommitmentsTable[[#This Row],[Date record entered]]&lt;&gt;"",CommitmentsTable[[#This Row],[Date record entered]]+90,""))</f>
        <v/>
      </c>
      <c r="J393" s="245" t="str">
        <f ca="1">IF(CommitmentsTable[[#This Row],[Date Assigned if different from entry date]]&lt;&gt;"",CommitmentsTable[[#This Row],[Date Assigned if different from entry date]]+30,IF(CommitmentsTable[[#This Row],[Date record entered]]&lt;&gt;"",CommitmentsTable[[#This Row],[Date record entered]]+30,""))</f>
        <v/>
      </c>
      <c r="K393" s="245"/>
      <c r="L393" s="245" t="str">
        <f ca="1">IF(CommitmentsTable[[#This Row],[Date Assigned if different from entry date]]&lt;&gt;"",CommitmentsTable[[#This Row],[Date Assigned if different from entry date]]+60,IF(CommitmentsTable[[#This Row],[Date record entered]]&lt;&gt;"",CommitmentsTable[[#This Row],[Date record entered]]+60,""))</f>
        <v/>
      </c>
      <c r="M393" s="214"/>
      <c r="N393" s="214"/>
      <c r="O393" s="236"/>
      <c r="P393" s="214"/>
      <c r="Q393" s="214"/>
      <c r="R393" s="214"/>
      <c r="S393" s="238" t="str">
        <f>IF(CommitmentsTable[[#This Row],[Commitment / deliverable]]="","",IF(CommitmentsTable[[#This Row],[Revised due]]&lt;&gt;"",CommitmentsTable[[#This Row],[Revised due]],CommitmentsTable[[#This Row],[Original due]]))</f>
        <v/>
      </c>
      <c r="T393" s="237" t="str">
        <f>IF(OR(CommitmentsTable[[#This Row],[Commitment / deliverable]]="",CommitmentsTable[[#This Row],[Owner]]=""),"",IF(CommitmentsTable[[#This Row],[Status2]]="","Open",CommitmentsTable[[#This Row],[Status2]]))</f>
        <v/>
      </c>
      <c r="U393" s="237" t="str">
        <f t="shared" ca="1" si="5"/>
        <v/>
      </c>
      <c r="V393" s="233"/>
      <c r="W393" s="63" t="s">
        <v>1360</v>
      </c>
    </row>
    <row r="394" spans="1:23" ht="39">
      <c r="A394" s="213" t="str">
        <f>IF(OR(CommitmentsTable[[#This Row],[Commitment / deliverable]]="",CommitmentsTable[[#This Row],[Immutable Key]]=""),"",SUBSTITUTE(CommitmentsTable[[#This Row],[Immutable Key]],"-K-","-"))</f>
        <v/>
      </c>
      <c r="B394" s="233"/>
      <c r="C394" s="233"/>
      <c r="D394" s="213"/>
      <c r="E394" s="230"/>
      <c r="F394" s="213"/>
      <c r="G394" s="245" t="str">
        <f ca="1">IF(CommitmentsTable[[#This Row],[Commitment / deliverable]]="","",IF(CommitmentsTable[[#This Row],[Date record entered]]="",TODAY(),CommitmentsTable[[#This Row],[Date record entered]]))</f>
        <v/>
      </c>
      <c r="H394" s="245"/>
      <c r="I394" s="245" t="str">
        <f ca="1">IF(CommitmentsTable[[#This Row],[Date Assigned if different from entry date]]&lt;&gt;"",CommitmentsTable[[#This Row],[Date Assigned if different from entry date]]+90,IF(CommitmentsTable[[#This Row],[Date record entered]]&lt;&gt;"",CommitmentsTable[[#This Row],[Date record entered]]+90,""))</f>
        <v/>
      </c>
      <c r="J394" s="245" t="str">
        <f ca="1">IF(CommitmentsTable[[#This Row],[Date Assigned if different from entry date]]&lt;&gt;"",CommitmentsTable[[#This Row],[Date Assigned if different from entry date]]+30,IF(CommitmentsTable[[#This Row],[Date record entered]]&lt;&gt;"",CommitmentsTable[[#This Row],[Date record entered]]+30,""))</f>
        <v/>
      </c>
      <c r="K394" s="245"/>
      <c r="L394" s="245" t="str">
        <f ca="1">IF(CommitmentsTable[[#This Row],[Date Assigned if different from entry date]]&lt;&gt;"",CommitmentsTable[[#This Row],[Date Assigned if different from entry date]]+60,IF(CommitmentsTable[[#This Row],[Date record entered]]&lt;&gt;"",CommitmentsTable[[#This Row],[Date record entered]]+60,""))</f>
        <v/>
      </c>
      <c r="M394" s="214"/>
      <c r="N394" s="214"/>
      <c r="O394" s="236"/>
      <c r="P394" s="214"/>
      <c r="Q394" s="214"/>
      <c r="R394" s="214"/>
      <c r="S394" s="238" t="str">
        <f>IF(CommitmentsTable[[#This Row],[Commitment / deliverable]]="","",IF(CommitmentsTable[[#This Row],[Revised due]]&lt;&gt;"",CommitmentsTable[[#This Row],[Revised due]],CommitmentsTable[[#This Row],[Original due]]))</f>
        <v/>
      </c>
      <c r="T394" s="237" t="str">
        <f>IF(OR(CommitmentsTable[[#This Row],[Commitment / deliverable]]="",CommitmentsTable[[#This Row],[Owner]]=""),"",IF(CommitmentsTable[[#This Row],[Status2]]="","Open",CommitmentsTable[[#This Row],[Status2]]))</f>
        <v/>
      </c>
      <c r="U394" s="237" t="str">
        <f t="shared" ca="1" si="5"/>
        <v/>
      </c>
      <c r="V394" s="233"/>
      <c r="W394" s="63" t="s">
        <v>1361</v>
      </c>
    </row>
    <row r="395" spans="1:23" ht="39">
      <c r="A395" s="213" t="str">
        <f>IF(OR(CommitmentsTable[[#This Row],[Commitment / deliverable]]="",CommitmentsTable[[#This Row],[Immutable Key]]=""),"",SUBSTITUTE(CommitmentsTable[[#This Row],[Immutable Key]],"-K-","-"))</f>
        <v/>
      </c>
      <c r="B395" s="233"/>
      <c r="C395" s="233"/>
      <c r="D395" s="213"/>
      <c r="E395" s="230"/>
      <c r="F395" s="213"/>
      <c r="G395" s="245" t="str">
        <f ca="1">IF(CommitmentsTable[[#This Row],[Commitment / deliverable]]="","",IF(CommitmentsTable[[#This Row],[Date record entered]]="",TODAY(),CommitmentsTable[[#This Row],[Date record entered]]))</f>
        <v/>
      </c>
      <c r="H395" s="245"/>
      <c r="I395" s="245" t="str">
        <f ca="1">IF(CommitmentsTable[[#This Row],[Date Assigned if different from entry date]]&lt;&gt;"",CommitmentsTable[[#This Row],[Date Assigned if different from entry date]]+90,IF(CommitmentsTable[[#This Row],[Date record entered]]&lt;&gt;"",CommitmentsTable[[#This Row],[Date record entered]]+90,""))</f>
        <v/>
      </c>
      <c r="J395" s="245" t="str">
        <f ca="1">IF(CommitmentsTable[[#This Row],[Date Assigned if different from entry date]]&lt;&gt;"",CommitmentsTable[[#This Row],[Date Assigned if different from entry date]]+30,IF(CommitmentsTable[[#This Row],[Date record entered]]&lt;&gt;"",CommitmentsTable[[#This Row],[Date record entered]]+30,""))</f>
        <v/>
      </c>
      <c r="K395" s="245"/>
      <c r="L395" s="245" t="str">
        <f ca="1">IF(CommitmentsTable[[#This Row],[Date Assigned if different from entry date]]&lt;&gt;"",CommitmentsTable[[#This Row],[Date Assigned if different from entry date]]+60,IF(CommitmentsTable[[#This Row],[Date record entered]]&lt;&gt;"",CommitmentsTable[[#This Row],[Date record entered]]+60,""))</f>
        <v/>
      </c>
      <c r="M395" s="214"/>
      <c r="N395" s="214"/>
      <c r="O395" s="236"/>
      <c r="P395" s="214"/>
      <c r="Q395" s="214"/>
      <c r="R395" s="214"/>
      <c r="S395" s="238" t="str">
        <f>IF(CommitmentsTable[[#This Row],[Commitment / deliverable]]="","",IF(CommitmentsTable[[#This Row],[Revised due]]&lt;&gt;"",CommitmentsTable[[#This Row],[Revised due]],CommitmentsTable[[#This Row],[Original due]]))</f>
        <v/>
      </c>
      <c r="T395" s="237" t="str">
        <f>IF(OR(CommitmentsTable[[#This Row],[Commitment / deliverable]]="",CommitmentsTable[[#This Row],[Owner]]=""),"",IF(CommitmentsTable[[#This Row],[Status2]]="","Open",CommitmentsTable[[#This Row],[Status2]]))</f>
        <v/>
      </c>
      <c r="U395" s="237" t="str">
        <f t="shared" ca="1" si="5"/>
        <v/>
      </c>
      <c r="V395" s="233"/>
      <c r="W395" s="63" t="s">
        <v>1362</v>
      </c>
    </row>
    <row r="396" spans="1:23" ht="39">
      <c r="A396" s="213" t="str">
        <f>IF(OR(CommitmentsTable[[#This Row],[Commitment / deliverable]]="",CommitmentsTable[[#This Row],[Immutable Key]]=""),"",SUBSTITUTE(CommitmentsTable[[#This Row],[Immutable Key]],"-K-","-"))</f>
        <v/>
      </c>
      <c r="B396" s="233"/>
      <c r="C396" s="233"/>
      <c r="D396" s="213"/>
      <c r="E396" s="230"/>
      <c r="F396" s="213"/>
      <c r="G396" s="245" t="str">
        <f ca="1">IF(CommitmentsTable[[#This Row],[Commitment / deliverable]]="","",IF(CommitmentsTable[[#This Row],[Date record entered]]="",TODAY(),CommitmentsTable[[#This Row],[Date record entered]]))</f>
        <v/>
      </c>
      <c r="H396" s="245"/>
      <c r="I396" s="245" t="str">
        <f ca="1">IF(CommitmentsTable[[#This Row],[Date Assigned if different from entry date]]&lt;&gt;"",CommitmentsTable[[#This Row],[Date Assigned if different from entry date]]+90,IF(CommitmentsTable[[#This Row],[Date record entered]]&lt;&gt;"",CommitmentsTable[[#This Row],[Date record entered]]+90,""))</f>
        <v/>
      </c>
      <c r="J396" s="245" t="str">
        <f ca="1">IF(CommitmentsTable[[#This Row],[Date Assigned if different from entry date]]&lt;&gt;"",CommitmentsTable[[#This Row],[Date Assigned if different from entry date]]+30,IF(CommitmentsTable[[#This Row],[Date record entered]]&lt;&gt;"",CommitmentsTable[[#This Row],[Date record entered]]+30,""))</f>
        <v/>
      </c>
      <c r="K396" s="245"/>
      <c r="L396" s="245" t="str">
        <f ca="1">IF(CommitmentsTable[[#This Row],[Date Assigned if different from entry date]]&lt;&gt;"",CommitmentsTable[[#This Row],[Date Assigned if different from entry date]]+60,IF(CommitmentsTable[[#This Row],[Date record entered]]&lt;&gt;"",CommitmentsTable[[#This Row],[Date record entered]]+60,""))</f>
        <v/>
      </c>
      <c r="M396" s="214"/>
      <c r="N396" s="214"/>
      <c r="O396" s="236"/>
      <c r="P396" s="214"/>
      <c r="Q396" s="214"/>
      <c r="R396" s="214"/>
      <c r="S396" s="238" t="str">
        <f>IF(CommitmentsTable[[#This Row],[Commitment / deliverable]]="","",IF(CommitmentsTable[[#This Row],[Revised due]]&lt;&gt;"",CommitmentsTable[[#This Row],[Revised due]],CommitmentsTable[[#This Row],[Original due]]))</f>
        <v/>
      </c>
      <c r="T396" s="237" t="str">
        <f>IF(OR(CommitmentsTable[[#This Row],[Commitment / deliverable]]="",CommitmentsTable[[#This Row],[Owner]]=""),"",IF(CommitmentsTable[[#This Row],[Status2]]="","Open",CommitmentsTable[[#This Row],[Status2]]))</f>
        <v/>
      </c>
      <c r="U396" s="237" t="str">
        <f t="shared" ca="1" si="5"/>
        <v/>
      </c>
      <c r="V396" s="233"/>
      <c r="W396" s="63" t="s">
        <v>1363</v>
      </c>
    </row>
    <row r="397" spans="1:23" ht="39">
      <c r="A397" s="213" t="str">
        <f>IF(OR(CommitmentsTable[[#This Row],[Commitment / deliverable]]="",CommitmentsTable[[#This Row],[Immutable Key]]=""),"",SUBSTITUTE(CommitmentsTable[[#This Row],[Immutable Key]],"-K-","-"))</f>
        <v/>
      </c>
      <c r="B397" s="233"/>
      <c r="C397" s="233"/>
      <c r="D397" s="213"/>
      <c r="E397" s="230"/>
      <c r="F397" s="213"/>
      <c r="G397" s="245" t="str">
        <f ca="1">IF(CommitmentsTable[[#This Row],[Commitment / deliverable]]="","",IF(CommitmentsTable[[#This Row],[Date record entered]]="",TODAY(),CommitmentsTable[[#This Row],[Date record entered]]))</f>
        <v/>
      </c>
      <c r="H397" s="245"/>
      <c r="I397" s="245" t="str">
        <f ca="1">IF(CommitmentsTable[[#This Row],[Date Assigned if different from entry date]]&lt;&gt;"",CommitmentsTable[[#This Row],[Date Assigned if different from entry date]]+90,IF(CommitmentsTable[[#This Row],[Date record entered]]&lt;&gt;"",CommitmentsTable[[#This Row],[Date record entered]]+90,""))</f>
        <v/>
      </c>
      <c r="J397" s="245" t="str">
        <f ca="1">IF(CommitmentsTable[[#This Row],[Date Assigned if different from entry date]]&lt;&gt;"",CommitmentsTable[[#This Row],[Date Assigned if different from entry date]]+30,IF(CommitmentsTable[[#This Row],[Date record entered]]&lt;&gt;"",CommitmentsTable[[#This Row],[Date record entered]]+30,""))</f>
        <v/>
      </c>
      <c r="K397" s="245"/>
      <c r="L397" s="245" t="str">
        <f ca="1">IF(CommitmentsTable[[#This Row],[Date Assigned if different from entry date]]&lt;&gt;"",CommitmentsTable[[#This Row],[Date Assigned if different from entry date]]+60,IF(CommitmentsTable[[#This Row],[Date record entered]]&lt;&gt;"",CommitmentsTable[[#This Row],[Date record entered]]+60,""))</f>
        <v/>
      </c>
      <c r="M397" s="214"/>
      <c r="N397" s="214"/>
      <c r="O397" s="236"/>
      <c r="P397" s="214"/>
      <c r="Q397" s="214"/>
      <c r="R397" s="214"/>
      <c r="S397" s="238" t="str">
        <f>IF(CommitmentsTable[[#This Row],[Commitment / deliverable]]="","",IF(CommitmentsTable[[#This Row],[Revised due]]&lt;&gt;"",CommitmentsTable[[#This Row],[Revised due]],CommitmentsTable[[#This Row],[Original due]]))</f>
        <v/>
      </c>
      <c r="T397" s="237" t="str">
        <f>IF(OR(CommitmentsTable[[#This Row],[Commitment / deliverable]]="",CommitmentsTable[[#This Row],[Owner]]=""),"",IF(CommitmentsTable[[#This Row],[Status2]]="","Open",CommitmentsTable[[#This Row],[Status2]]))</f>
        <v/>
      </c>
      <c r="U397" s="237" t="str">
        <f t="shared" ref="U397:U460" ca="1" si="6">IF(B397="","",IF(T397="Closed","",IF(OR(T397="Slipped",T397="At risk",AND(S397&lt;&gt;"",S397&lt;TODAY())),"Slipped / at risk",IF(G397=TODAY(),"New today",IF(S397=TODAY()+1,"Due tomorrow","")))))</f>
        <v/>
      </c>
      <c r="V397" s="233"/>
      <c r="W397" s="63" t="s">
        <v>1364</v>
      </c>
    </row>
    <row r="398" spans="1:23" ht="39">
      <c r="A398" s="213" t="str">
        <f>IF(OR(CommitmentsTable[[#This Row],[Commitment / deliverable]]="",CommitmentsTable[[#This Row],[Immutable Key]]=""),"",SUBSTITUTE(CommitmentsTable[[#This Row],[Immutable Key]],"-K-","-"))</f>
        <v/>
      </c>
      <c r="B398" s="233"/>
      <c r="C398" s="233"/>
      <c r="D398" s="213"/>
      <c r="E398" s="230"/>
      <c r="F398" s="213"/>
      <c r="G398" s="245" t="str">
        <f ca="1">IF(CommitmentsTable[[#This Row],[Commitment / deliverable]]="","",IF(CommitmentsTable[[#This Row],[Date record entered]]="",TODAY(),CommitmentsTable[[#This Row],[Date record entered]]))</f>
        <v/>
      </c>
      <c r="H398" s="245"/>
      <c r="I398" s="245" t="str">
        <f ca="1">IF(CommitmentsTable[[#This Row],[Date Assigned if different from entry date]]&lt;&gt;"",CommitmentsTable[[#This Row],[Date Assigned if different from entry date]]+90,IF(CommitmentsTable[[#This Row],[Date record entered]]&lt;&gt;"",CommitmentsTable[[#This Row],[Date record entered]]+90,""))</f>
        <v/>
      </c>
      <c r="J398" s="245" t="str">
        <f ca="1">IF(CommitmentsTable[[#This Row],[Date Assigned if different from entry date]]&lt;&gt;"",CommitmentsTable[[#This Row],[Date Assigned if different from entry date]]+30,IF(CommitmentsTable[[#This Row],[Date record entered]]&lt;&gt;"",CommitmentsTable[[#This Row],[Date record entered]]+30,""))</f>
        <v/>
      </c>
      <c r="K398" s="245"/>
      <c r="L398" s="245" t="str">
        <f ca="1">IF(CommitmentsTable[[#This Row],[Date Assigned if different from entry date]]&lt;&gt;"",CommitmentsTable[[#This Row],[Date Assigned if different from entry date]]+60,IF(CommitmentsTable[[#This Row],[Date record entered]]&lt;&gt;"",CommitmentsTable[[#This Row],[Date record entered]]+60,""))</f>
        <v/>
      </c>
      <c r="M398" s="214"/>
      <c r="N398" s="214"/>
      <c r="O398" s="236"/>
      <c r="P398" s="214"/>
      <c r="Q398" s="214"/>
      <c r="R398" s="214"/>
      <c r="S398" s="238" t="str">
        <f>IF(CommitmentsTable[[#This Row],[Commitment / deliverable]]="","",IF(CommitmentsTable[[#This Row],[Revised due]]&lt;&gt;"",CommitmentsTable[[#This Row],[Revised due]],CommitmentsTable[[#This Row],[Original due]]))</f>
        <v/>
      </c>
      <c r="T398" s="237" t="str">
        <f>IF(OR(CommitmentsTable[[#This Row],[Commitment / deliverable]]="",CommitmentsTable[[#This Row],[Owner]]=""),"",IF(CommitmentsTable[[#This Row],[Status2]]="","Open",CommitmentsTable[[#This Row],[Status2]]))</f>
        <v/>
      </c>
      <c r="U398" s="237" t="str">
        <f t="shared" ca="1" si="6"/>
        <v/>
      </c>
      <c r="V398" s="233"/>
      <c r="W398" s="63" t="s">
        <v>1365</v>
      </c>
    </row>
    <row r="399" spans="1:23" ht="39">
      <c r="A399" s="213" t="str">
        <f>IF(OR(CommitmentsTable[[#This Row],[Commitment / deliverable]]="",CommitmentsTable[[#This Row],[Immutable Key]]=""),"",SUBSTITUTE(CommitmentsTable[[#This Row],[Immutable Key]],"-K-","-"))</f>
        <v/>
      </c>
      <c r="B399" s="233"/>
      <c r="C399" s="233"/>
      <c r="D399" s="213"/>
      <c r="E399" s="230"/>
      <c r="F399" s="213"/>
      <c r="G399" s="245" t="str">
        <f ca="1">IF(CommitmentsTable[[#This Row],[Commitment / deliverable]]="","",IF(CommitmentsTable[[#This Row],[Date record entered]]="",TODAY(),CommitmentsTable[[#This Row],[Date record entered]]))</f>
        <v/>
      </c>
      <c r="H399" s="245"/>
      <c r="I399" s="245" t="str">
        <f ca="1">IF(CommitmentsTable[[#This Row],[Date Assigned if different from entry date]]&lt;&gt;"",CommitmentsTable[[#This Row],[Date Assigned if different from entry date]]+90,IF(CommitmentsTable[[#This Row],[Date record entered]]&lt;&gt;"",CommitmentsTable[[#This Row],[Date record entered]]+90,""))</f>
        <v/>
      </c>
      <c r="J399" s="245" t="str">
        <f ca="1">IF(CommitmentsTable[[#This Row],[Date Assigned if different from entry date]]&lt;&gt;"",CommitmentsTable[[#This Row],[Date Assigned if different from entry date]]+30,IF(CommitmentsTable[[#This Row],[Date record entered]]&lt;&gt;"",CommitmentsTable[[#This Row],[Date record entered]]+30,""))</f>
        <v/>
      </c>
      <c r="K399" s="245"/>
      <c r="L399" s="245" t="str">
        <f ca="1">IF(CommitmentsTable[[#This Row],[Date Assigned if different from entry date]]&lt;&gt;"",CommitmentsTable[[#This Row],[Date Assigned if different from entry date]]+60,IF(CommitmentsTable[[#This Row],[Date record entered]]&lt;&gt;"",CommitmentsTable[[#This Row],[Date record entered]]+60,""))</f>
        <v/>
      </c>
      <c r="M399" s="214"/>
      <c r="N399" s="214"/>
      <c r="O399" s="236"/>
      <c r="P399" s="214"/>
      <c r="Q399" s="214"/>
      <c r="R399" s="214"/>
      <c r="S399" s="238" t="str">
        <f>IF(CommitmentsTable[[#This Row],[Commitment / deliverable]]="","",IF(CommitmentsTable[[#This Row],[Revised due]]&lt;&gt;"",CommitmentsTable[[#This Row],[Revised due]],CommitmentsTable[[#This Row],[Original due]]))</f>
        <v/>
      </c>
      <c r="T399" s="237" t="str">
        <f>IF(OR(CommitmentsTable[[#This Row],[Commitment / deliverable]]="",CommitmentsTable[[#This Row],[Owner]]=""),"",IF(CommitmentsTable[[#This Row],[Status2]]="","Open",CommitmentsTable[[#This Row],[Status2]]))</f>
        <v/>
      </c>
      <c r="U399" s="237" t="str">
        <f t="shared" ca="1" si="6"/>
        <v/>
      </c>
      <c r="V399" s="233"/>
      <c r="W399" s="63" t="s">
        <v>1366</v>
      </c>
    </row>
    <row r="400" spans="1:23" ht="39">
      <c r="A400" s="213" t="str">
        <f>IF(OR(CommitmentsTable[[#This Row],[Commitment / deliverable]]="",CommitmentsTable[[#This Row],[Immutable Key]]=""),"",SUBSTITUTE(CommitmentsTable[[#This Row],[Immutable Key]],"-K-","-"))</f>
        <v/>
      </c>
      <c r="B400" s="233"/>
      <c r="C400" s="233"/>
      <c r="D400" s="213"/>
      <c r="E400" s="230"/>
      <c r="F400" s="213"/>
      <c r="G400" s="245" t="str">
        <f ca="1">IF(CommitmentsTable[[#This Row],[Commitment / deliverable]]="","",IF(CommitmentsTable[[#This Row],[Date record entered]]="",TODAY(),CommitmentsTable[[#This Row],[Date record entered]]))</f>
        <v/>
      </c>
      <c r="H400" s="245"/>
      <c r="I400" s="245" t="str">
        <f ca="1">IF(CommitmentsTable[[#This Row],[Date Assigned if different from entry date]]&lt;&gt;"",CommitmentsTable[[#This Row],[Date Assigned if different from entry date]]+90,IF(CommitmentsTable[[#This Row],[Date record entered]]&lt;&gt;"",CommitmentsTable[[#This Row],[Date record entered]]+90,""))</f>
        <v/>
      </c>
      <c r="J400" s="245" t="str">
        <f ca="1">IF(CommitmentsTable[[#This Row],[Date Assigned if different from entry date]]&lt;&gt;"",CommitmentsTable[[#This Row],[Date Assigned if different from entry date]]+30,IF(CommitmentsTable[[#This Row],[Date record entered]]&lt;&gt;"",CommitmentsTable[[#This Row],[Date record entered]]+30,""))</f>
        <v/>
      </c>
      <c r="K400" s="245"/>
      <c r="L400" s="245" t="str">
        <f ca="1">IF(CommitmentsTable[[#This Row],[Date Assigned if different from entry date]]&lt;&gt;"",CommitmentsTable[[#This Row],[Date Assigned if different from entry date]]+60,IF(CommitmentsTable[[#This Row],[Date record entered]]&lt;&gt;"",CommitmentsTable[[#This Row],[Date record entered]]+60,""))</f>
        <v/>
      </c>
      <c r="M400" s="214"/>
      <c r="N400" s="214"/>
      <c r="O400" s="236"/>
      <c r="P400" s="214"/>
      <c r="Q400" s="214"/>
      <c r="R400" s="214"/>
      <c r="S400" s="238" t="str">
        <f>IF(CommitmentsTable[[#This Row],[Commitment / deliverable]]="","",IF(CommitmentsTable[[#This Row],[Revised due]]&lt;&gt;"",CommitmentsTable[[#This Row],[Revised due]],CommitmentsTable[[#This Row],[Original due]]))</f>
        <v/>
      </c>
      <c r="T400" s="237" t="str">
        <f>IF(OR(CommitmentsTable[[#This Row],[Commitment / deliverable]]="",CommitmentsTable[[#This Row],[Owner]]=""),"",IF(CommitmentsTable[[#This Row],[Status2]]="","Open",CommitmentsTable[[#This Row],[Status2]]))</f>
        <v/>
      </c>
      <c r="U400" s="237" t="str">
        <f t="shared" ca="1" si="6"/>
        <v/>
      </c>
      <c r="V400" s="233"/>
      <c r="W400" s="63" t="s">
        <v>1367</v>
      </c>
    </row>
    <row r="401" spans="1:23" ht="39">
      <c r="A401" s="213" t="str">
        <f>IF(OR(CommitmentsTable[[#This Row],[Commitment / deliverable]]="",CommitmentsTable[[#This Row],[Immutable Key]]=""),"",SUBSTITUTE(CommitmentsTable[[#This Row],[Immutable Key]],"-K-","-"))</f>
        <v/>
      </c>
      <c r="B401" s="233"/>
      <c r="C401" s="233"/>
      <c r="D401" s="213"/>
      <c r="E401" s="230"/>
      <c r="F401" s="213"/>
      <c r="G401" s="245" t="str">
        <f ca="1">IF(CommitmentsTable[[#This Row],[Commitment / deliverable]]="","",IF(CommitmentsTable[[#This Row],[Date record entered]]="",TODAY(),CommitmentsTable[[#This Row],[Date record entered]]))</f>
        <v/>
      </c>
      <c r="H401" s="245"/>
      <c r="I401" s="245" t="str">
        <f ca="1">IF(CommitmentsTable[[#This Row],[Date Assigned if different from entry date]]&lt;&gt;"",CommitmentsTable[[#This Row],[Date Assigned if different from entry date]]+90,IF(CommitmentsTable[[#This Row],[Date record entered]]&lt;&gt;"",CommitmentsTable[[#This Row],[Date record entered]]+90,""))</f>
        <v/>
      </c>
      <c r="J401" s="245" t="str">
        <f ca="1">IF(CommitmentsTable[[#This Row],[Date Assigned if different from entry date]]&lt;&gt;"",CommitmentsTable[[#This Row],[Date Assigned if different from entry date]]+30,IF(CommitmentsTable[[#This Row],[Date record entered]]&lt;&gt;"",CommitmentsTable[[#This Row],[Date record entered]]+30,""))</f>
        <v/>
      </c>
      <c r="K401" s="245"/>
      <c r="L401" s="245" t="str">
        <f ca="1">IF(CommitmentsTable[[#This Row],[Date Assigned if different from entry date]]&lt;&gt;"",CommitmentsTable[[#This Row],[Date Assigned if different from entry date]]+60,IF(CommitmentsTable[[#This Row],[Date record entered]]&lt;&gt;"",CommitmentsTable[[#This Row],[Date record entered]]+60,""))</f>
        <v/>
      </c>
      <c r="M401" s="214"/>
      <c r="N401" s="214"/>
      <c r="O401" s="236"/>
      <c r="P401" s="214"/>
      <c r="Q401" s="214"/>
      <c r="R401" s="214"/>
      <c r="S401" s="238" t="str">
        <f>IF(CommitmentsTable[[#This Row],[Commitment / deliverable]]="","",IF(CommitmentsTable[[#This Row],[Revised due]]&lt;&gt;"",CommitmentsTable[[#This Row],[Revised due]],CommitmentsTable[[#This Row],[Original due]]))</f>
        <v/>
      </c>
      <c r="T401" s="237" t="str">
        <f>IF(OR(CommitmentsTable[[#This Row],[Commitment / deliverable]]="",CommitmentsTable[[#This Row],[Owner]]=""),"",IF(CommitmentsTable[[#This Row],[Status2]]="","Open",CommitmentsTable[[#This Row],[Status2]]))</f>
        <v/>
      </c>
      <c r="U401" s="237" t="str">
        <f t="shared" ca="1" si="6"/>
        <v/>
      </c>
      <c r="V401" s="233"/>
      <c r="W401" s="63" t="s">
        <v>1368</v>
      </c>
    </row>
    <row r="402" spans="1:23" ht="39">
      <c r="A402" s="213" t="str">
        <f>IF(OR(CommitmentsTable[[#This Row],[Commitment / deliverable]]="",CommitmentsTable[[#This Row],[Immutable Key]]=""),"",SUBSTITUTE(CommitmentsTable[[#This Row],[Immutable Key]],"-K-","-"))</f>
        <v/>
      </c>
      <c r="B402" s="233"/>
      <c r="C402" s="233"/>
      <c r="D402" s="213"/>
      <c r="E402" s="230"/>
      <c r="F402" s="213"/>
      <c r="G402" s="245" t="str">
        <f ca="1">IF(CommitmentsTable[[#This Row],[Commitment / deliverable]]="","",IF(CommitmentsTable[[#This Row],[Date record entered]]="",TODAY(),CommitmentsTable[[#This Row],[Date record entered]]))</f>
        <v/>
      </c>
      <c r="H402" s="245"/>
      <c r="I402" s="245" t="str">
        <f ca="1">IF(CommitmentsTable[[#This Row],[Date Assigned if different from entry date]]&lt;&gt;"",CommitmentsTable[[#This Row],[Date Assigned if different from entry date]]+90,IF(CommitmentsTable[[#This Row],[Date record entered]]&lt;&gt;"",CommitmentsTable[[#This Row],[Date record entered]]+90,""))</f>
        <v/>
      </c>
      <c r="J402" s="245" t="str">
        <f ca="1">IF(CommitmentsTable[[#This Row],[Date Assigned if different from entry date]]&lt;&gt;"",CommitmentsTable[[#This Row],[Date Assigned if different from entry date]]+30,IF(CommitmentsTable[[#This Row],[Date record entered]]&lt;&gt;"",CommitmentsTable[[#This Row],[Date record entered]]+30,""))</f>
        <v/>
      </c>
      <c r="K402" s="245"/>
      <c r="L402" s="245" t="str">
        <f ca="1">IF(CommitmentsTable[[#This Row],[Date Assigned if different from entry date]]&lt;&gt;"",CommitmentsTable[[#This Row],[Date Assigned if different from entry date]]+60,IF(CommitmentsTable[[#This Row],[Date record entered]]&lt;&gt;"",CommitmentsTable[[#This Row],[Date record entered]]+60,""))</f>
        <v/>
      </c>
      <c r="M402" s="214"/>
      <c r="N402" s="214"/>
      <c r="O402" s="236"/>
      <c r="P402" s="214"/>
      <c r="Q402" s="214"/>
      <c r="R402" s="214"/>
      <c r="S402" s="238" t="str">
        <f>IF(CommitmentsTable[[#This Row],[Commitment / deliverable]]="","",IF(CommitmentsTable[[#This Row],[Revised due]]&lt;&gt;"",CommitmentsTable[[#This Row],[Revised due]],CommitmentsTable[[#This Row],[Original due]]))</f>
        <v/>
      </c>
      <c r="T402" s="237" t="str">
        <f>IF(OR(CommitmentsTable[[#This Row],[Commitment / deliverable]]="",CommitmentsTable[[#This Row],[Owner]]=""),"",IF(CommitmentsTable[[#This Row],[Status2]]="","Open",CommitmentsTable[[#This Row],[Status2]]))</f>
        <v/>
      </c>
      <c r="U402" s="237" t="str">
        <f t="shared" ca="1" si="6"/>
        <v/>
      </c>
      <c r="V402" s="233"/>
      <c r="W402" s="63" t="s">
        <v>1369</v>
      </c>
    </row>
    <row r="403" spans="1:23" ht="39">
      <c r="A403" s="213" t="str">
        <f>IF(OR(CommitmentsTable[[#This Row],[Commitment / deliverable]]="",CommitmentsTable[[#This Row],[Immutable Key]]=""),"",SUBSTITUTE(CommitmentsTable[[#This Row],[Immutable Key]],"-K-","-"))</f>
        <v/>
      </c>
      <c r="B403" s="233"/>
      <c r="C403" s="233"/>
      <c r="D403" s="213"/>
      <c r="E403" s="230"/>
      <c r="F403" s="213"/>
      <c r="G403" s="245" t="str">
        <f ca="1">IF(CommitmentsTable[[#This Row],[Commitment / deliverable]]="","",IF(CommitmentsTable[[#This Row],[Date record entered]]="",TODAY(),CommitmentsTable[[#This Row],[Date record entered]]))</f>
        <v/>
      </c>
      <c r="H403" s="245"/>
      <c r="I403" s="245" t="str">
        <f ca="1">IF(CommitmentsTable[[#This Row],[Date Assigned if different from entry date]]&lt;&gt;"",CommitmentsTable[[#This Row],[Date Assigned if different from entry date]]+90,IF(CommitmentsTable[[#This Row],[Date record entered]]&lt;&gt;"",CommitmentsTable[[#This Row],[Date record entered]]+90,""))</f>
        <v/>
      </c>
      <c r="J403" s="245" t="str">
        <f ca="1">IF(CommitmentsTable[[#This Row],[Date Assigned if different from entry date]]&lt;&gt;"",CommitmentsTable[[#This Row],[Date Assigned if different from entry date]]+30,IF(CommitmentsTable[[#This Row],[Date record entered]]&lt;&gt;"",CommitmentsTable[[#This Row],[Date record entered]]+30,""))</f>
        <v/>
      </c>
      <c r="K403" s="245"/>
      <c r="L403" s="245" t="str">
        <f ca="1">IF(CommitmentsTable[[#This Row],[Date Assigned if different from entry date]]&lt;&gt;"",CommitmentsTable[[#This Row],[Date Assigned if different from entry date]]+60,IF(CommitmentsTable[[#This Row],[Date record entered]]&lt;&gt;"",CommitmentsTable[[#This Row],[Date record entered]]+60,""))</f>
        <v/>
      </c>
      <c r="M403" s="214"/>
      <c r="N403" s="214"/>
      <c r="O403" s="236"/>
      <c r="P403" s="214"/>
      <c r="Q403" s="214"/>
      <c r="R403" s="214"/>
      <c r="S403" s="238" t="str">
        <f>IF(CommitmentsTable[[#This Row],[Commitment / deliverable]]="","",IF(CommitmentsTable[[#This Row],[Revised due]]&lt;&gt;"",CommitmentsTable[[#This Row],[Revised due]],CommitmentsTable[[#This Row],[Original due]]))</f>
        <v/>
      </c>
      <c r="T403" s="237" t="str">
        <f>IF(OR(CommitmentsTable[[#This Row],[Commitment / deliverable]]="",CommitmentsTable[[#This Row],[Owner]]=""),"",IF(CommitmentsTable[[#This Row],[Status2]]="","Open",CommitmentsTable[[#This Row],[Status2]]))</f>
        <v/>
      </c>
      <c r="U403" s="237" t="str">
        <f t="shared" ca="1" si="6"/>
        <v/>
      </c>
      <c r="V403" s="233"/>
      <c r="W403" s="63" t="s">
        <v>1370</v>
      </c>
    </row>
    <row r="404" spans="1:23" ht="39">
      <c r="A404" s="213" t="str">
        <f>IF(OR(CommitmentsTable[[#This Row],[Commitment / deliverable]]="",CommitmentsTable[[#This Row],[Immutable Key]]=""),"",SUBSTITUTE(CommitmentsTable[[#This Row],[Immutable Key]],"-K-","-"))</f>
        <v/>
      </c>
      <c r="B404" s="233"/>
      <c r="C404" s="233"/>
      <c r="D404" s="213"/>
      <c r="E404" s="230"/>
      <c r="F404" s="213"/>
      <c r="G404" s="245" t="str">
        <f ca="1">IF(CommitmentsTable[[#This Row],[Commitment / deliverable]]="","",IF(CommitmentsTable[[#This Row],[Date record entered]]="",TODAY(),CommitmentsTable[[#This Row],[Date record entered]]))</f>
        <v/>
      </c>
      <c r="H404" s="245"/>
      <c r="I404" s="245" t="str">
        <f ca="1">IF(CommitmentsTable[[#This Row],[Date Assigned if different from entry date]]&lt;&gt;"",CommitmentsTable[[#This Row],[Date Assigned if different from entry date]]+90,IF(CommitmentsTable[[#This Row],[Date record entered]]&lt;&gt;"",CommitmentsTable[[#This Row],[Date record entered]]+90,""))</f>
        <v/>
      </c>
      <c r="J404" s="245" t="str">
        <f ca="1">IF(CommitmentsTable[[#This Row],[Date Assigned if different from entry date]]&lt;&gt;"",CommitmentsTable[[#This Row],[Date Assigned if different from entry date]]+30,IF(CommitmentsTable[[#This Row],[Date record entered]]&lt;&gt;"",CommitmentsTable[[#This Row],[Date record entered]]+30,""))</f>
        <v/>
      </c>
      <c r="K404" s="245"/>
      <c r="L404" s="245" t="str">
        <f ca="1">IF(CommitmentsTable[[#This Row],[Date Assigned if different from entry date]]&lt;&gt;"",CommitmentsTable[[#This Row],[Date Assigned if different from entry date]]+60,IF(CommitmentsTable[[#This Row],[Date record entered]]&lt;&gt;"",CommitmentsTable[[#This Row],[Date record entered]]+60,""))</f>
        <v/>
      </c>
      <c r="M404" s="214"/>
      <c r="N404" s="214"/>
      <c r="O404" s="236"/>
      <c r="P404" s="214"/>
      <c r="Q404" s="214"/>
      <c r="R404" s="214"/>
      <c r="S404" s="238" t="str">
        <f>IF(CommitmentsTable[[#This Row],[Commitment / deliverable]]="","",IF(CommitmentsTable[[#This Row],[Revised due]]&lt;&gt;"",CommitmentsTable[[#This Row],[Revised due]],CommitmentsTable[[#This Row],[Original due]]))</f>
        <v/>
      </c>
      <c r="T404" s="237" t="str">
        <f>IF(OR(CommitmentsTable[[#This Row],[Commitment / deliverable]]="",CommitmentsTable[[#This Row],[Owner]]=""),"",IF(CommitmentsTable[[#This Row],[Status2]]="","Open",CommitmentsTable[[#This Row],[Status2]]))</f>
        <v/>
      </c>
      <c r="U404" s="237" t="str">
        <f t="shared" ca="1" si="6"/>
        <v/>
      </c>
      <c r="V404" s="233"/>
      <c r="W404" s="63" t="s">
        <v>1371</v>
      </c>
    </row>
    <row r="405" spans="1:23" ht="39">
      <c r="A405" s="213" t="str">
        <f>IF(OR(CommitmentsTable[[#This Row],[Commitment / deliverable]]="",CommitmentsTable[[#This Row],[Immutable Key]]=""),"",SUBSTITUTE(CommitmentsTable[[#This Row],[Immutable Key]],"-K-","-"))</f>
        <v/>
      </c>
      <c r="B405" s="233"/>
      <c r="C405" s="233"/>
      <c r="D405" s="213"/>
      <c r="E405" s="230"/>
      <c r="F405" s="213"/>
      <c r="G405" s="245" t="str">
        <f ca="1">IF(CommitmentsTable[[#This Row],[Commitment / deliverable]]="","",IF(CommitmentsTable[[#This Row],[Date record entered]]="",TODAY(),CommitmentsTable[[#This Row],[Date record entered]]))</f>
        <v/>
      </c>
      <c r="H405" s="245"/>
      <c r="I405" s="245" t="str">
        <f ca="1">IF(CommitmentsTable[[#This Row],[Date Assigned if different from entry date]]&lt;&gt;"",CommitmentsTable[[#This Row],[Date Assigned if different from entry date]]+90,IF(CommitmentsTable[[#This Row],[Date record entered]]&lt;&gt;"",CommitmentsTable[[#This Row],[Date record entered]]+90,""))</f>
        <v/>
      </c>
      <c r="J405" s="245" t="str">
        <f ca="1">IF(CommitmentsTable[[#This Row],[Date Assigned if different from entry date]]&lt;&gt;"",CommitmentsTable[[#This Row],[Date Assigned if different from entry date]]+30,IF(CommitmentsTable[[#This Row],[Date record entered]]&lt;&gt;"",CommitmentsTable[[#This Row],[Date record entered]]+30,""))</f>
        <v/>
      </c>
      <c r="K405" s="245"/>
      <c r="L405" s="245" t="str">
        <f ca="1">IF(CommitmentsTable[[#This Row],[Date Assigned if different from entry date]]&lt;&gt;"",CommitmentsTable[[#This Row],[Date Assigned if different from entry date]]+60,IF(CommitmentsTable[[#This Row],[Date record entered]]&lt;&gt;"",CommitmentsTable[[#This Row],[Date record entered]]+60,""))</f>
        <v/>
      </c>
      <c r="M405" s="214"/>
      <c r="N405" s="214"/>
      <c r="O405" s="236"/>
      <c r="P405" s="214"/>
      <c r="Q405" s="214"/>
      <c r="R405" s="214"/>
      <c r="S405" s="238" t="str">
        <f>IF(CommitmentsTable[[#This Row],[Commitment / deliverable]]="","",IF(CommitmentsTable[[#This Row],[Revised due]]&lt;&gt;"",CommitmentsTable[[#This Row],[Revised due]],CommitmentsTable[[#This Row],[Original due]]))</f>
        <v/>
      </c>
      <c r="T405" s="237" t="str">
        <f>IF(OR(CommitmentsTable[[#This Row],[Commitment / deliverable]]="",CommitmentsTable[[#This Row],[Owner]]=""),"",IF(CommitmentsTable[[#This Row],[Status2]]="","Open",CommitmentsTable[[#This Row],[Status2]]))</f>
        <v/>
      </c>
      <c r="U405" s="237" t="str">
        <f t="shared" ca="1" si="6"/>
        <v/>
      </c>
      <c r="V405" s="233"/>
      <c r="W405" s="63" t="s">
        <v>1372</v>
      </c>
    </row>
    <row r="406" spans="1:23" ht="39">
      <c r="A406" s="213" t="str">
        <f>IF(OR(CommitmentsTable[[#This Row],[Commitment / deliverable]]="",CommitmentsTable[[#This Row],[Immutable Key]]=""),"",SUBSTITUTE(CommitmentsTable[[#This Row],[Immutable Key]],"-K-","-"))</f>
        <v/>
      </c>
      <c r="B406" s="233"/>
      <c r="C406" s="233"/>
      <c r="D406" s="213"/>
      <c r="E406" s="230"/>
      <c r="F406" s="213"/>
      <c r="G406" s="245" t="str">
        <f ca="1">IF(CommitmentsTable[[#This Row],[Commitment / deliverable]]="","",IF(CommitmentsTable[[#This Row],[Date record entered]]="",TODAY(),CommitmentsTable[[#This Row],[Date record entered]]))</f>
        <v/>
      </c>
      <c r="H406" s="245"/>
      <c r="I406" s="245" t="str">
        <f ca="1">IF(CommitmentsTable[[#This Row],[Date Assigned if different from entry date]]&lt;&gt;"",CommitmentsTable[[#This Row],[Date Assigned if different from entry date]]+90,IF(CommitmentsTable[[#This Row],[Date record entered]]&lt;&gt;"",CommitmentsTable[[#This Row],[Date record entered]]+90,""))</f>
        <v/>
      </c>
      <c r="J406" s="245" t="str">
        <f ca="1">IF(CommitmentsTable[[#This Row],[Date Assigned if different from entry date]]&lt;&gt;"",CommitmentsTable[[#This Row],[Date Assigned if different from entry date]]+30,IF(CommitmentsTable[[#This Row],[Date record entered]]&lt;&gt;"",CommitmentsTable[[#This Row],[Date record entered]]+30,""))</f>
        <v/>
      </c>
      <c r="K406" s="245"/>
      <c r="L406" s="245" t="str">
        <f ca="1">IF(CommitmentsTable[[#This Row],[Date Assigned if different from entry date]]&lt;&gt;"",CommitmentsTable[[#This Row],[Date Assigned if different from entry date]]+60,IF(CommitmentsTable[[#This Row],[Date record entered]]&lt;&gt;"",CommitmentsTable[[#This Row],[Date record entered]]+60,""))</f>
        <v/>
      </c>
      <c r="M406" s="214"/>
      <c r="N406" s="214"/>
      <c r="O406" s="236"/>
      <c r="P406" s="214"/>
      <c r="Q406" s="214"/>
      <c r="R406" s="214"/>
      <c r="S406" s="238" t="str">
        <f>IF(CommitmentsTable[[#This Row],[Commitment / deliverable]]="","",IF(CommitmentsTable[[#This Row],[Revised due]]&lt;&gt;"",CommitmentsTable[[#This Row],[Revised due]],CommitmentsTable[[#This Row],[Original due]]))</f>
        <v/>
      </c>
      <c r="T406" s="237" t="str">
        <f>IF(OR(CommitmentsTable[[#This Row],[Commitment / deliverable]]="",CommitmentsTable[[#This Row],[Owner]]=""),"",IF(CommitmentsTable[[#This Row],[Status2]]="","Open",CommitmentsTable[[#This Row],[Status2]]))</f>
        <v/>
      </c>
      <c r="U406" s="237" t="str">
        <f t="shared" ca="1" si="6"/>
        <v/>
      </c>
      <c r="V406" s="233"/>
      <c r="W406" s="63" t="s">
        <v>1373</v>
      </c>
    </row>
    <row r="407" spans="1:23" ht="39">
      <c r="A407" s="213" t="str">
        <f>IF(OR(CommitmentsTable[[#This Row],[Commitment / deliverable]]="",CommitmentsTable[[#This Row],[Immutable Key]]=""),"",SUBSTITUTE(CommitmentsTable[[#This Row],[Immutable Key]],"-K-","-"))</f>
        <v/>
      </c>
      <c r="B407" s="233"/>
      <c r="C407" s="233"/>
      <c r="D407" s="213"/>
      <c r="E407" s="230"/>
      <c r="F407" s="213"/>
      <c r="G407" s="245" t="str">
        <f ca="1">IF(CommitmentsTable[[#This Row],[Commitment / deliverable]]="","",IF(CommitmentsTable[[#This Row],[Date record entered]]="",TODAY(),CommitmentsTable[[#This Row],[Date record entered]]))</f>
        <v/>
      </c>
      <c r="H407" s="245"/>
      <c r="I407" s="245" t="str">
        <f ca="1">IF(CommitmentsTable[[#This Row],[Date Assigned if different from entry date]]&lt;&gt;"",CommitmentsTable[[#This Row],[Date Assigned if different from entry date]]+90,IF(CommitmentsTable[[#This Row],[Date record entered]]&lt;&gt;"",CommitmentsTable[[#This Row],[Date record entered]]+90,""))</f>
        <v/>
      </c>
      <c r="J407" s="245" t="str">
        <f ca="1">IF(CommitmentsTable[[#This Row],[Date Assigned if different from entry date]]&lt;&gt;"",CommitmentsTable[[#This Row],[Date Assigned if different from entry date]]+30,IF(CommitmentsTable[[#This Row],[Date record entered]]&lt;&gt;"",CommitmentsTable[[#This Row],[Date record entered]]+30,""))</f>
        <v/>
      </c>
      <c r="K407" s="245"/>
      <c r="L407" s="245" t="str">
        <f ca="1">IF(CommitmentsTable[[#This Row],[Date Assigned if different from entry date]]&lt;&gt;"",CommitmentsTable[[#This Row],[Date Assigned if different from entry date]]+60,IF(CommitmentsTable[[#This Row],[Date record entered]]&lt;&gt;"",CommitmentsTable[[#This Row],[Date record entered]]+60,""))</f>
        <v/>
      </c>
      <c r="M407" s="214"/>
      <c r="N407" s="214"/>
      <c r="O407" s="236"/>
      <c r="P407" s="214"/>
      <c r="Q407" s="214"/>
      <c r="R407" s="214"/>
      <c r="S407" s="238" t="str">
        <f>IF(CommitmentsTable[[#This Row],[Commitment / deliverable]]="","",IF(CommitmentsTable[[#This Row],[Revised due]]&lt;&gt;"",CommitmentsTable[[#This Row],[Revised due]],CommitmentsTable[[#This Row],[Original due]]))</f>
        <v/>
      </c>
      <c r="T407" s="237" t="str">
        <f>IF(OR(CommitmentsTable[[#This Row],[Commitment / deliverable]]="",CommitmentsTable[[#This Row],[Owner]]=""),"",IF(CommitmentsTable[[#This Row],[Status2]]="","Open",CommitmentsTable[[#This Row],[Status2]]))</f>
        <v/>
      </c>
      <c r="U407" s="237" t="str">
        <f t="shared" ca="1" si="6"/>
        <v/>
      </c>
      <c r="V407" s="233"/>
      <c r="W407" s="63" t="s">
        <v>1374</v>
      </c>
    </row>
    <row r="408" spans="1:23" ht="39">
      <c r="A408" s="213" t="str">
        <f>IF(OR(CommitmentsTable[[#This Row],[Commitment / deliverable]]="",CommitmentsTable[[#This Row],[Immutable Key]]=""),"",SUBSTITUTE(CommitmentsTable[[#This Row],[Immutable Key]],"-K-","-"))</f>
        <v/>
      </c>
      <c r="B408" s="233"/>
      <c r="C408" s="233"/>
      <c r="D408" s="213"/>
      <c r="E408" s="230"/>
      <c r="F408" s="213"/>
      <c r="G408" s="245" t="str">
        <f ca="1">IF(CommitmentsTable[[#This Row],[Commitment / deliverable]]="","",IF(CommitmentsTable[[#This Row],[Date record entered]]="",TODAY(),CommitmentsTable[[#This Row],[Date record entered]]))</f>
        <v/>
      </c>
      <c r="H408" s="245"/>
      <c r="I408" s="245" t="str">
        <f ca="1">IF(CommitmentsTable[[#This Row],[Date Assigned if different from entry date]]&lt;&gt;"",CommitmentsTable[[#This Row],[Date Assigned if different from entry date]]+90,IF(CommitmentsTable[[#This Row],[Date record entered]]&lt;&gt;"",CommitmentsTable[[#This Row],[Date record entered]]+90,""))</f>
        <v/>
      </c>
      <c r="J408" s="245" t="str">
        <f ca="1">IF(CommitmentsTable[[#This Row],[Date Assigned if different from entry date]]&lt;&gt;"",CommitmentsTable[[#This Row],[Date Assigned if different from entry date]]+30,IF(CommitmentsTable[[#This Row],[Date record entered]]&lt;&gt;"",CommitmentsTable[[#This Row],[Date record entered]]+30,""))</f>
        <v/>
      </c>
      <c r="K408" s="245"/>
      <c r="L408" s="245" t="str">
        <f ca="1">IF(CommitmentsTable[[#This Row],[Date Assigned if different from entry date]]&lt;&gt;"",CommitmentsTable[[#This Row],[Date Assigned if different from entry date]]+60,IF(CommitmentsTable[[#This Row],[Date record entered]]&lt;&gt;"",CommitmentsTable[[#This Row],[Date record entered]]+60,""))</f>
        <v/>
      </c>
      <c r="M408" s="214"/>
      <c r="N408" s="214"/>
      <c r="O408" s="236"/>
      <c r="P408" s="214"/>
      <c r="Q408" s="214"/>
      <c r="R408" s="214"/>
      <c r="S408" s="238" t="str">
        <f>IF(CommitmentsTable[[#This Row],[Commitment / deliverable]]="","",IF(CommitmentsTable[[#This Row],[Revised due]]&lt;&gt;"",CommitmentsTable[[#This Row],[Revised due]],CommitmentsTable[[#This Row],[Original due]]))</f>
        <v/>
      </c>
      <c r="T408" s="237" t="str">
        <f>IF(OR(CommitmentsTable[[#This Row],[Commitment / deliverable]]="",CommitmentsTable[[#This Row],[Owner]]=""),"",IF(CommitmentsTable[[#This Row],[Status2]]="","Open",CommitmentsTable[[#This Row],[Status2]]))</f>
        <v/>
      </c>
      <c r="U408" s="237" t="str">
        <f t="shared" ca="1" si="6"/>
        <v/>
      </c>
      <c r="V408" s="233"/>
      <c r="W408" s="63" t="s">
        <v>1375</v>
      </c>
    </row>
    <row r="409" spans="1:23" ht="39">
      <c r="A409" s="213" t="str">
        <f>IF(OR(CommitmentsTable[[#This Row],[Commitment / deliverable]]="",CommitmentsTable[[#This Row],[Immutable Key]]=""),"",SUBSTITUTE(CommitmentsTable[[#This Row],[Immutable Key]],"-K-","-"))</f>
        <v/>
      </c>
      <c r="B409" s="233"/>
      <c r="C409" s="233"/>
      <c r="D409" s="213"/>
      <c r="E409" s="230"/>
      <c r="F409" s="213"/>
      <c r="G409" s="245" t="str">
        <f ca="1">IF(CommitmentsTable[[#This Row],[Commitment / deliverable]]="","",IF(CommitmentsTable[[#This Row],[Date record entered]]="",TODAY(),CommitmentsTable[[#This Row],[Date record entered]]))</f>
        <v/>
      </c>
      <c r="H409" s="245"/>
      <c r="I409" s="245" t="str">
        <f ca="1">IF(CommitmentsTable[[#This Row],[Date Assigned if different from entry date]]&lt;&gt;"",CommitmentsTable[[#This Row],[Date Assigned if different from entry date]]+90,IF(CommitmentsTable[[#This Row],[Date record entered]]&lt;&gt;"",CommitmentsTable[[#This Row],[Date record entered]]+90,""))</f>
        <v/>
      </c>
      <c r="J409" s="245" t="str">
        <f ca="1">IF(CommitmentsTable[[#This Row],[Date Assigned if different from entry date]]&lt;&gt;"",CommitmentsTable[[#This Row],[Date Assigned if different from entry date]]+30,IF(CommitmentsTable[[#This Row],[Date record entered]]&lt;&gt;"",CommitmentsTable[[#This Row],[Date record entered]]+30,""))</f>
        <v/>
      </c>
      <c r="K409" s="245"/>
      <c r="L409" s="245" t="str">
        <f ca="1">IF(CommitmentsTable[[#This Row],[Date Assigned if different from entry date]]&lt;&gt;"",CommitmentsTable[[#This Row],[Date Assigned if different from entry date]]+60,IF(CommitmentsTable[[#This Row],[Date record entered]]&lt;&gt;"",CommitmentsTable[[#This Row],[Date record entered]]+60,""))</f>
        <v/>
      </c>
      <c r="M409" s="214"/>
      <c r="N409" s="214"/>
      <c r="O409" s="236"/>
      <c r="P409" s="214"/>
      <c r="Q409" s="214"/>
      <c r="R409" s="214"/>
      <c r="S409" s="238" t="str">
        <f>IF(CommitmentsTable[[#This Row],[Commitment / deliverable]]="","",IF(CommitmentsTable[[#This Row],[Revised due]]&lt;&gt;"",CommitmentsTable[[#This Row],[Revised due]],CommitmentsTable[[#This Row],[Original due]]))</f>
        <v/>
      </c>
      <c r="T409" s="237" t="str">
        <f>IF(OR(CommitmentsTable[[#This Row],[Commitment / deliverable]]="",CommitmentsTable[[#This Row],[Owner]]=""),"",IF(CommitmentsTable[[#This Row],[Status2]]="","Open",CommitmentsTable[[#This Row],[Status2]]))</f>
        <v/>
      </c>
      <c r="U409" s="237" t="str">
        <f t="shared" ca="1" si="6"/>
        <v/>
      </c>
      <c r="V409" s="233"/>
      <c r="W409" s="63" t="s">
        <v>1376</v>
      </c>
    </row>
    <row r="410" spans="1:23" ht="39">
      <c r="A410" s="213" t="str">
        <f>IF(OR(CommitmentsTable[[#This Row],[Commitment / deliverable]]="",CommitmentsTable[[#This Row],[Immutable Key]]=""),"",SUBSTITUTE(CommitmentsTable[[#This Row],[Immutable Key]],"-K-","-"))</f>
        <v/>
      </c>
      <c r="B410" s="233"/>
      <c r="C410" s="233"/>
      <c r="D410" s="213"/>
      <c r="E410" s="230"/>
      <c r="F410" s="213"/>
      <c r="G410" s="245" t="str">
        <f ca="1">IF(CommitmentsTable[[#This Row],[Commitment / deliverable]]="","",IF(CommitmentsTable[[#This Row],[Date record entered]]="",TODAY(),CommitmentsTable[[#This Row],[Date record entered]]))</f>
        <v/>
      </c>
      <c r="H410" s="245"/>
      <c r="I410" s="245" t="str">
        <f ca="1">IF(CommitmentsTable[[#This Row],[Date Assigned if different from entry date]]&lt;&gt;"",CommitmentsTable[[#This Row],[Date Assigned if different from entry date]]+90,IF(CommitmentsTable[[#This Row],[Date record entered]]&lt;&gt;"",CommitmentsTable[[#This Row],[Date record entered]]+90,""))</f>
        <v/>
      </c>
      <c r="J410" s="245" t="str">
        <f ca="1">IF(CommitmentsTable[[#This Row],[Date Assigned if different from entry date]]&lt;&gt;"",CommitmentsTable[[#This Row],[Date Assigned if different from entry date]]+30,IF(CommitmentsTable[[#This Row],[Date record entered]]&lt;&gt;"",CommitmentsTable[[#This Row],[Date record entered]]+30,""))</f>
        <v/>
      </c>
      <c r="K410" s="245"/>
      <c r="L410" s="245" t="str">
        <f ca="1">IF(CommitmentsTable[[#This Row],[Date Assigned if different from entry date]]&lt;&gt;"",CommitmentsTable[[#This Row],[Date Assigned if different from entry date]]+60,IF(CommitmentsTable[[#This Row],[Date record entered]]&lt;&gt;"",CommitmentsTable[[#This Row],[Date record entered]]+60,""))</f>
        <v/>
      </c>
      <c r="M410" s="214"/>
      <c r="N410" s="214"/>
      <c r="O410" s="236"/>
      <c r="P410" s="214"/>
      <c r="Q410" s="214"/>
      <c r="R410" s="214"/>
      <c r="S410" s="238" t="str">
        <f>IF(CommitmentsTable[[#This Row],[Commitment / deliverable]]="","",IF(CommitmentsTable[[#This Row],[Revised due]]&lt;&gt;"",CommitmentsTable[[#This Row],[Revised due]],CommitmentsTable[[#This Row],[Original due]]))</f>
        <v/>
      </c>
      <c r="T410" s="237" t="str">
        <f>IF(OR(CommitmentsTable[[#This Row],[Commitment / deliverable]]="",CommitmentsTable[[#This Row],[Owner]]=""),"",IF(CommitmentsTable[[#This Row],[Status2]]="","Open",CommitmentsTable[[#This Row],[Status2]]))</f>
        <v/>
      </c>
      <c r="U410" s="237" t="str">
        <f t="shared" ca="1" si="6"/>
        <v/>
      </c>
      <c r="V410" s="233"/>
      <c r="W410" s="63" t="s">
        <v>1377</v>
      </c>
    </row>
    <row r="411" spans="1:23" ht="39">
      <c r="A411" s="213" t="str">
        <f>IF(OR(CommitmentsTable[[#This Row],[Commitment / deliverable]]="",CommitmentsTable[[#This Row],[Immutable Key]]=""),"",SUBSTITUTE(CommitmentsTable[[#This Row],[Immutable Key]],"-K-","-"))</f>
        <v/>
      </c>
      <c r="B411" s="233"/>
      <c r="C411" s="233"/>
      <c r="D411" s="213"/>
      <c r="E411" s="230"/>
      <c r="F411" s="213"/>
      <c r="G411" s="245" t="str">
        <f ca="1">IF(CommitmentsTable[[#This Row],[Commitment / deliverable]]="","",IF(CommitmentsTable[[#This Row],[Date record entered]]="",TODAY(),CommitmentsTable[[#This Row],[Date record entered]]))</f>
        <v/>
      </c>
      <c r="H411" s="245"/>
      <c r="I411" s="245" t="str">
        <f ca="1">IF(CommitmentsTable[[#This Row],[Date Assigned if different from entry date]]&lt;&gt;"",CommitmentsTable[[#This Row],[Date Assigned if different from entry date]]+90,IF(CommitmentsTable[[#This Row],[Date record entered]]&lt;&gt;"",CommitmentsTable[[#This Row],[Date record entered]]+90,""))</f>
        <v/>
      </c>
      <c r="J411" s="245" t="str">
        <f ca="1">IF(CommitmentsTable[[#This Row],[Date Assigned if different from entry date]]&lt;&gt;"",CommitmentsTable[[#This Row],[Date Assigned if different from entry date]]+30,IF(CommitmentsTable[[#This Row],[Date record entered]]&lt;&gt;"",CommitmentsTable[[#This Row],[Date record entered]]+30,""))</f>
        <v/>
      </c>
      <c r="K411" s="245"/>
      <c r="L411" s="245" t="str">
        <f ca="1">IF(CommitmentsTable[[#This Row],[Date Assigned if different from entry date]]&lt;&gt;"",CommitmentsTable[[#This Row],[Date Assigned if different from entry date]]+60,IF(CommitmentsTable[[#This Row],[Date record entered]]&lt;&gt;"",CommitmentsTable[[#This Row],[Date record entered]]+60,""))</f>
        <v/>
      </c>
      <c r="M411" s="214"/>
      <c r="N411" s="214"/>
      <c r="O411" s="236"/>
      <c r="P411" s="214"/>
      <c r="Q411" s="214"/>
      <c r="R411" s="214"/>
      <c r="S411" s="238" t="str">
        <f>IF(CommitmentsTable[[#This Row],[Commitment / deliverable]]="","",IF(CommitmentsTable[[#This Row],[Revised due]]&lt;&gt;"",CommitmentsTable[[#This Row],[Revised due]],CommitmentsTable[[#This Row],[Original due]]))</f>
        <v/>
      </c>
      <c r="T411" s="237" t="str">
        <f>IF(OR(CommitmentsTable[[#This Row],[Commitment / deliverable]]="",CommitmentsTable[[#This Row],[Owner]]=""),"",IF(CommitmentsTable[[#This Row],[Status2]]="","Open",CommitmentsTable[[#This Row],[Status2]]))</f>
        <v/>
      </c>
      <c r="U411" s="237" t="str">
        <f t="shared" ca="1" si="6"/>
        <v/>
      </c>
      <c r="V411" s="233"/>
      <c r="W411" s="63" t="s">
        <v>1378</v>
      </c>
    </row>
    <row r="412" spans="1:23" ht="39">
      <c r="A412" s="213" t="str">
        <f>IF(OR(CommitmentsTable[[#This Row],[Commitment / deliverable]]="",CommitmentsTable[[#This Row],[Immutable Key]]=""),"",SUBSTITUTE(CommitmentsTable[[#This Row],[Immutable Key]],"-K-","-"))</f>
        <v/>
      </c>
      <c r="B412" s="233"/>
      <c r="C412" s="233"/>
      <c r="D412" s="213"/>
      <c r="E412" s="230"/>
      <c r="F412" s="213"/>
      <c r="G412" s="245" t="str">
        <f ca="1">IF(CommitmentsTable[[#This Row],[Commitment / deliverable]]="","",IF(CommitmentsTable[[#This Row],[Date record entered]]="",TODAY(),CommitmentsTable[[#This Row],[Date record entered]]))</f>
        <v/>
      </c>
      <c r="H412" s="245"/>
      <c r="I412" s="245" t="str">
        <f ca="1">IF(CommitmentsTable[[#This Row],[Date Assigned if different from entry date]]&lt;&gt;"",CommitmentsTable[[#This Row],[Date Assigned if different from entry date]]+90,IF(CommitmentsTable[[#This Row],[Date record entered]]&lt;&gt;"",CommitmentsTable[[#This Row],[Date record entered]]+90,""))</f>
        <v/>
      </c>
      <c r="J412" s="245" t="str">
        <f ca="1">IF(CommitmentsTable[[#This Row],[Date Assigned if different from entry date]]&lt;&gt;"",CommitmentsTable[[#This Row],[Date Assigned if different from entry date]]+30,IF(CommitmentsTable[[#This Row],[Date record entered]]&lt;&gt;"",CommitmentsTable[[#This Row],[Date record entered]]+30,""))</f>
        <v/>
      </c>
      <c r="K412" s="245"/>
      <c r="L412" s="245" t="str">
        <f ca="1">IF(CommitmentsTable[[#This Row],[Date Assigned if different from entry date]]&lt;&gt;"",CommitmentsTable[[#This Row],[Date Assigned if different from entry date]]+60,IF(CommitmentsTable[[#This Row],[Date record entered]]&lt;&gt;"",CommitmentsTable[[#This Row],[Date record entered]]+60,""))</f>
        <v/>
      </c>
      <c r="M412" s="214"/>
      <c r="N412" s="214"/>
      <c r="O412" s="236"/>
      <c r="P412" s="214"/>
      <c r="Q412" s="214"/>
      <c r="R412" s="214"/>
      <c r="S412" s="238" t="str">
        <f>IF(CommitmentsTable[[#This Row],[Commitment / deliverable]]="","",IF(CommitmentsTable[[#This Row],[Revised due]]&lt;&gt;"",CommitmentsTable[[#This Row],[Revised due]],CommitmentsTable[[#This Row],[Original due]]))</f>
        <v/>
      </c>
      <c r="T412" s="237" t="str">
        <f>IF(OR(CommitmentsTable[[#This Row],[Commitment / deliverable]]="",CommitmentsTable[[#This Row],[Owner]]=""),"",IF(CommitmentsTable[[#This Row],[Status2]]="","Open",CommitmentsTable[[#This Row],[Status2]]))</f>
        <v/>
      </c>
      <c r="U412" s="237" t="str">
        <f t="shared" ca="1" si="6"/>
        <v/>
      </c>
      <c r="V412" s="233"/>
      <c r="W412" s="63" t="s">
        <v>1379</v>
      </c>
    </row>
    <row r="413" spans="1:23" ht="39">
      <c r="A413" s="213" t="str">
        <f>IF(OR(CommitmentsTable[[#This Row],[Commitment / deliverable]]="",CommitmentsTable[[#This Row],[Immutable Key]]=""),"",SUBSTITUTE(CommitmentsTable[[#This Row],[Immutable Key]],"-K-","-"))</f>
        <v/>
      </c>
      <c r="B413" s="233"/>
      <c r="C413" s="233"/>
      <c r="D413" s="213"/>
      <c r="E413" s="230"/>
      <c r="F413" s="213"/>
      <c r="G413" s="245" t="str">
        <f ca="1">IF(CommitmentsTable[[#This Row],[Commitment / deliverable]]="","",IF(CommitmentsTable[[#This Row],[Date record entered]]="",TODAY(),CommitmentsTable[[#This Row],[Date record entered]]))</f>
        <v/>
      </c>
      <c r="H413" s="245"/>
      <c r="I413" s="245" t="str">
        <f ca="1">IF(CommitmentsTable[[#This Row],[Date Assigned if different from entry date]]&lt;&gt;"",CommitmentsTable[[#This Row],[Date Assigned if different from entry date]]+90,IF(CommitmentsTable[[#This Row],[Date record entered]]&lt;&gt;"",CommitmentsTable[[#This Row],[Date record entered]]+90,""))</f>
        <v/>
      </c>
      <c r="J413" s="245" t="str">
        <f ca="1">IF(CommitmentsTable[[#This Row],[Date Assigned if different from entry date]]&lt;&gt;"",CommitmentsTable[[#This Row],[Date Assigned if different from entry date]]+30,IF(CommitmentsTable[[#This Row],[Date record entered]]&lt;&gt;"",CommitmentsTable[[#This Row],[Date record entered]]+30,""))</f>
        <v/>
      </c>
      <c r="K413" s="245"/>
      <c r="L413" s="245" t="str">
        <f ca="1">IF(CommitmentsTable[[#This Row],[Date Assigned if different from entry date]]&lt;&gt;"",CommitmentsTable[[#This Row],[Date Assigned if different from entry date]]+60,IF(CommitmentsTable[[#This Row],[Date record entered]]&lt;&gt;"",CommitmentsTable[[#This Row],[Date record entered]]+60,""))</f>
        <v/>
      </c>
      <c r="M413" s="214"/>
      <c r="N413" s="214"/>
      <c r="O413" s="236"/>
      <c r="P413" s="214"/>
      <c r="Q413" s="214"/>
      <c r="R413" s="214"/>
      <c r="S413" s="238" t="str">
        <f>IF(CommitmentsTable[[#This Row],[Commitment / deliverable]]="","",IF(CommitmentsTable[[#This Row],[Revised due]]&lt;&gt;"",CommitmentsTable[[#This Row],[Revised due]],CommitmentsTable[[#This Row],[Original due]]))</f>
        <v/>
      </c>
      <c r="T413" s="237" t="str">
        <f>IF(OR(CommitmentsTable[[#This Row],[Commitment / deliverable]]="",CommitmentsTable[[#This Row],[Owner]]=""),"",IF(CommitmentsTable[[#This Row],[Status2]]="","Open",CommitmentsTable[[#This Row],[Status2]]))</f>
        <v/>
      </c>
      <c r="U413" s="237" t="str">
        <f t="shared" ca="1" si="6"/>
        <v/>
      </c>
      <c r="V413" s="233"/>
      <c r="W413" s="63" t="s">
        <v>1380</v>
      </c>
    </row>
    <row r="414" spans="1:23" ht="39">
      <c r="A414" s="213" t="str">
        <f>IF(OR(CommitmentsTable[[#This Row],[Commitment / deliverable]]="",CommitmentsTable[[#This Row],[Immutable Key]]=""),"",SUBSTITUTE(CommitmentsTable[[#This Row],[Immutable Key]],"-K-","-"))</f>
        <v/>
      </c>
      <c r="B414" s="233"/>
      <c r="C414" s="233"/>
      <c r="D414" s="213"/>
      <c r="E414" s="230"/>
      <c r="F414" s="213"/>
      <c r="G414" s="245" t="str">
        <f ca="1">IF(CommitmentsTable[[#This Row],[Commitment / deliverable]]="","",IF(CommitmentsTable[[#This Row],[Date record entered]]="",TODAY(),CommitmentsTable[[#This Row],[Date record entered]]))</f>
        <v/>
      </c>
      <c r="H414" s="245"/>
      <c r="I414" s="245" t="str">
        <f ca="1">IF(CommitmentsTable[[#This Row],[Date Assigned if different from entry date]]&lt;&gt;"",CommitmentsTable[[#This Row],[Date Assigned if different from entry date]]+90,IF(CommitmentsTable[[#This Row],[Date record entered]]&lt;&gt;"",CommitmentsTable[[#This Row],[Date record entered]]+90,""))</f>
        <v/>
      </c>
      <c r="J414" s="245" t="str">
        <f ca="1">IF(CommitmentsTable[[#This Row],[Date Assigned if different from entry date]]&lt;&gt;"",CommitmentsTable[[#This Row],[Date Assigned if different from entry date]]+30,IF(CommitmentsTable[[#This Row],[Date record entered]]&lt;&gt;"",CommitmentsTable[[#This Row],[Date record entered]]+30,""))</f>
        <v/>
      </c>
      <c r="K414" s="245"/>
      <c r="L414" s="245" t="str">
        <f ca="1">IF(CommitmentsTable[[#This Row],[Date Assigned if different from entry date]]&lt;&gt;"",CommitmentsTable[[#This Row],[Date Assigned if different from entry date]]+60,IF(CommitmentsTable[[#This Row],[Date record entered]]&lt;&gt;"",CommitmentsTable[[#This Row],[Date record entered]]+60,""))</f>
        <v/>
      </c>
      <c r="M414" s="214"/>
      <c r="N414" s="214"/>
      <c r="O414" s="236"/>
      <c r="P414" s="214"/>
      <c r="Q414" s="214"/>
      <c r="R414" s="214"/>
      <c r="S414" s="238" t="str">
        <f>IF(CommitmentsTable[[#This Row],[Commitment / deliverable]]="","",IF(CommitmentsTable[[#This Row],[Revised due]]&lt;&gt;"",CommitmentsTable[[#This Row],[Revised due]],CommitmentsTable[[#This Row],[Original due]]))</f>
        <v/>
      </c>
      <c r="T414" s="237" t="str">
        <f>IF(OR(CommitmentsTable[[#This Row],[Commitment / deliverable]]="",CommitmentsTable[[#This Row],[Owner]]=""),"",IF(CommitmentsTable[[#This Row],[Status2]]="","Open",CommitmentsTable[[#This Row],[Status2]]))</f>
        <v/>
      </c>
      <c r="U414" s="237" t="str">
        <f t="shared" ca="1" si="6"/>
        <v/>
      </c>
      <c r="V414" s="233"/>
      <c r="W414" s="63" t="s">
        <v>1381</v>
      </c>
    </row>
    <row r="415" spans="1:23" ht="39">
      <c r="A415" s="213" t="str">
        <f>IF(OR(CommitmentsTable[[#This Row],[Commitment / deliverable]]="",CommitmentsTable[[#This Row],[Immutable Key]]=""),"",SUBSTITUTE(CommitmentsTable[[#This Row],[Immutable Key]],"-K-","-"))</f>
        <v/>
      </c>
      <c r="B415" s="233"/>
      <c r="C415" s="233"/>
      <c r="D415" s="213"/>
      <c r="E415" s="230"/>
      <c r="F415" s="213"/>
      <c r="G415" s="245" t="str">
        <f ca="1">IF(CommitmentsTable[[#This Row],[Commitment / deliverable]]="","",IF(CommitmentsTable[[#This Row],[Date record entered]]="",TODAY(),CommitmentsTable[[#This Row],[Date record entered]]))</f>
        <v/>
      </c>
      <c r="H415" s="245"/>
      <c r="I415" s="245" t="str">
        <f ca="1">IF(CommitmentsTable[[#This Row],[Date Assigned if different from entry date]]&lt;&gt;"",CommitmentsTable[[#This Row],[Date Assigned if different from entry date]]+90,IF(CommitmentsTable[[#This Row],[Date record entered]]&lt;&gt;"",CommitmentsTable[[#This Row],[Date record entered]]+90,""))</f>
        <v/>
      </c>
      <c r="J415" s="245" t="str">
        <f ca="1">IF(CommitmentsTable[[#This Row],[Date Assigned if different from entry date]]&lt;&gt;"",CommitmentsTable[[#This Row],[Date Assigned if different from entry date]]+30,IF(CommitmentsTable[[#This Row],[Date record entered]]&lt;&gt;"",CommitmentsTable[[#This Row],[Date record entered]]+30,""))</f>
        <v/>
      </c>
      <c r="K415" s="245"/>
      <c r="L415" s="245" t="str">
        <f ca="1">IF(CommitmentsTable[[#This Row],[Date Assigned if different from entry date]]&lt;&gt;"",CommitmentsTable[[#This Row],[Date Assigned if different from entry date]]+60,IF(CommitmentsTable[[#This Row],[Date record entered]]&lt;&gt;"",CommitmentsTable[[#This Row],[Date record entered]]+60,""))</f>
        <v/>
      </c>
      <c r="M415" s="214"/>
      <c r="N415" s="214"/>
      <c r="O415" s="236"/>
      <c r="P415" s="214"/>
      <c r="Q415" s="214"/>
      <c r="R415" s="214"/>
      <c r="S415" s="238" t="str">
        <f>IF(CommitmentsTable[[#This Row],[Commitment / deliverable]]="","",IF(CommitmentsTable[[#This Row],[Revised due]]&lt;&gt;"",CommitmentsTable[[#This Row],[Revised due]],CommitmentsTable[[#This Row],[Original due]]))</f>
        <v/>
      </c>
      <c r="T415" s="237" t="str">
        <f>IF(OR(CommitmentsTable[[#This Row],[Commitment / deliverable]]="",CommitmentsTable[[#This Row],[Owner]]=""),"",IF(CommitmentsTable[[#This Row],[Status2]]="","Open",CommitmentsTable[[#This Row],[Status2]]))</f>
        <v/>
      </c>
      <c r="U415" s="237" t="str">
        <f t="shared" ca="1" si="6"/>
        <v/>
      </c>
      <c r="V415" s="233"/>
      <c r="W415" s="63" t="s">
        <v>1382</v>
      </c>
    </row>
    <row r="416" spans="1:23" ht="39">
      <c r="A416" s="213" t="str">
        <f>IF(OR(CommitmentsTable[[#This Row],[Commitment / deliverable]]="",CommitmentsTable[[#This Row],[Immutable Key]]=""),"",SUBSTITUTE(CommitmentsTable[[#This Row],[Immutable Key]],"-K-","-"))</f>
        <v/>
      </c>
      <c r="B416" s="233"/>
      <c r="C416" s="233"/>
      <c r="D416" s="213"/>
      <c r="E416" s="230"/>
      <c r="F416" s="213"/>
      <c r="G416" s="245" t="str">
        <f ca="1">IF(CommitmentsTable[[#This Row],[Commitment / deliverable]]="","",IF(CommitmentsTable[[#This Row],[Date record entered]]="",TODAY(),CommitmentsTable[[#This Row],[Date record entered]]))</f>
        <v/>
      </c>
      <c r="H416" s="245"/>
      <c r="I416" s="245" t="str">
        <f ca="1">IF(CommitmentsTable[[#This Row],[Date Assigned if different from entry date]]&lt;&gt;"",CommitmentsTable[[#This Row],[Date Assigned if different from entry date]]+90,IF(CommitmentsTable[[#This Row],[Date record entered]]&lt;&gt;"",CommitmentsTable[[#This Row],[Date record entered]]+90,""))</f>
        <v/>
      </c>
      <c r="J416" s="245" t="str">
        <f ca="1">IF(CommitmentsTable[[#This Row],[Date Assigned if different from entry date]]&lt;&gt;"",CommitmentsTable[[#This Row],[Date Assigned if different from entry date]]+30,IF(CommitmentsTable[[#This Row],[Date record entered]]&lt;&gt;"",CommitmentsTable[[#This Row],[Date record entered]]+30,""))</f>
        <v/>
      </c>
      <c r="K416" s="245"/>
      <c r="L416" s="245" t="str">
        <f ca="1">IF(CommitmentsTable[[#This Row],[Date Assigned if different from entry date]]&lt;&gt;"",CommitmentsTable[[#This Row],[Date Assigned if different from entry date]]+60,IF(CommitmentsTable[[#This Row],[Date record entered]]&lt;&gt;"",CommitmentsTable[[#This Row],[Date record entered]]+60,""))</f>
        <v/>
      </c>
      <c r="M416" s="214"/>
      <c r="N416" s="214"/>
      <c r="O416" s="236"/>
      <c r="P416" s="214"/>
      <c r="Q416" s="214"/>
      <c r="R416" s="214"/>
      <c r="S416" s="238" t="str">
        <f>IF(CommitmentsTable[[#This Row],[Commitment / deliverable]]="","",IF(CommitmentsTable[[#This Row],[Revised due]]&lt;&gt;"",CommitmentsTable[[#This Row],[Revised due]],CommitmentsTable[[#This Row],[Original due]]))</f>
        <v/>
      </c>
      <c r="T416" s="237" t="str">
        <f>IF(OR(CommitmentsTable[[#This Row],[Commitment / deliverable]]="",CommitmentsTable[[#This Row],[Owner]]=""),"",IF(CommitmentsTable[[#This Row],[Status2]]="","Open",CommitmentsTable[[#This Row],[Status2]]))</f>
        <v/>
      </c>
      <c r="U416" s="237" t="str">
        <f t="shared" ca="1" si="6"/>
        <v/>
      </c>
      <c r="V416" s="233"/>
      <c r="W416" s="63" t="s">
        <v>1383</v>
      </c>
    </row>
    <row r="417" spans="1:23" ht="39">
      <c r="A417" s="213" t="str">
        <f>IF(OR(CommitmentsTable[[#This Row],[Commitment / deliverable]]="",CommitmentsTable[[#This Row],[Immutable Key]]=""),"",SUBSTITUTE(CommitmentsTable[[#This Row],[Immutable Key]],"-K-","-"))</f>
        <v/>
      </c>
      <c r="B417" s="233"/>
      <c r="C417" s="233"/>
      <c r="D417" s="213"/>
      <c r="E417" s="230"/>
      <c r="F417" s="213"/>
      <c r="G417" s="245" t="str">
        <f ca="1">IF(CommitmentsTable[[#This Row],[Commitment / deliverable]]="","",IF(CommitmentsTable[[#This Row],[Date record entered]]="",TODAY(),CommitmentsTable[[#This Row],[Date record entered]]))</f>
        <v/>
      </c>
      <c r="H417" s="245"/>
      <c r="I417" s="245" t="str">
        <f ca="1">IF(CommitmentsTable[[#This Row],[Date Assigned if different from entry date]]&lt;&gt;"",CommitmentsTable[[#This Row],[Date Assigned if different from entry date]]+90,IF(CommitmentsTable[[#This Row],[Date record entered]]&lt;&gt;"",CommitmentsTable[[#This Row],[Date record entered]]+90,""))</f>
        <v/>
      </c>
      <c r="J417" s="245" t="str">
        <f ca="1">IF(CommitmentsTable[[#This Row],[Date Assigned if different from entry date]]&lt;&gt;"",CommitmentsTable[[#This Row],[Date Assigned if different from entry date]]+30,IF(CommitmentsTable[[#This Row],[Date record entered]]&lt;&gt;"",CommitmentsTable[[#This Row],[Date record entered]]+30,""))</f>
        <v/>
      </c>
      <c r="K417" s="245"/>
      <c r="L417" s="245" t="str">
        <f ca="1">IF(CommitmentsTable[[#This Row],[Date Assigned if different from entry date]]&lt;&gt;"",CommitmentsTable[[#This Row],[Date Assigned if different from entry date]]+60,IF(CommitmentsTable[[#This Row],[Date record entered]]&lt;&gt;"",CommitmentsTable[[#This Row],[Date record entered]]+60,""))</f>
        <v/>
      </c>
      <c r="M417" s="214"/>
      <c r="N417" s="214"/>
      <c r="O417" s="236"/>
      <c r="P417" s="214"/>
      <c r="Q417" s="214"/>
      <c r="R417" s="214"/>
      <c r="S417" s="238" t="str">
        <f>IF(CommitmentsTable[[#This Row],[Commitment / deliverable]]="","",IF(CommitmentsTable[[#This Row],[Revised due]]&lt;&gt;"",CommitmentsTable[[#This Row],[Revised due]],CommitmentsTable[[#This Row],[Original due]]))</f>
        <v/>
      </c>
      <c r="T417" s="237" t="str">
        <f>IF(OR(CommitmentsTable[[#This Row],[Commitment / deliverable]]="",CommitmentsTable[[#This Row],[Owner]]=""),"",IF(CommitmentsTable[[#This Row],[Status2]]="","Open",CommitmentsTable[[#This Row],[Status2]]))</f>
        <v/>
      </c>
      <c r="U417" s="237" t="str">
        <f t="shared" ca="1" si="6"/>
        <v/>
      </c>
      <c r="V417" s="233"/>
      <c r="W417" s="63" t="s">
        <v>1384</v>
      </c>
    </row>
    <row r="418" spans="1:23" ht="39">
      <c r="A418" s="213" t="str">
        <f>IF(OR(CommitmentsTable[[#This Row],[Commitment / deliverable]]="",CommitmentsTable[[#This Row],[Immutable Key]]=""),"",SUBSTITUTE(CommitmentsTable[[#This Row],[Immutable Key]],"-K-","-"))</f>
        <v/>
      </c>
      <c r="B418" s="233"/>
      <c r="C418" s="233"/>
      <c r="D418" s="213"/>
      <c r="E418" s="230"/>
      <c r="F418" s="213"/>
      <c r="G418" s="245" t="str">
        <f ca="1">IF(CommitmentsTable[[#This Row],[Commitment / deliverable]]="","",IF(CommitmentsTable[[#This Row],[Date record entered]]="",TODAY(),CommitmentsTable[[#This Row],[Date record entered]]))</f>
        <v/>
      </c>
      <c r="H418" s="245"/>
      <c r="I418" s="245" t="str">
        <f ca="1">IF(CommitmentsTable[[#This Row],[Date Assigned if different from entry date]]&lt;&gt;"",CommitmentsTable[[#This Row],[Date Assigned if different from entry date]]+90,IF(CommitmentsTable[[#This Row],[Date record entered]]&lt;&gt;"",CommitmentsTable[[#This Row],[Date record entered]]+90,""))</f>
        <v/>
      </c>
      <c r="J418" s="245" t="str">
        <f ca="1">IF(CommitmentsTable[[#This Row],[Date Assigned if different from entry date]]&lt;&gt;"",CommitmentsTable[[#This Row],[Date Assigned if different from entry date]]+30,IF(CommitmentsTable[[#This Row],[Date record entered]]&lt;&gt;"",CommitmentsTable[[#This Row],[Date record entered]]+30,""))</f>
        <v/>
      </c>
      <c r="K418" s="245"/>
      <c r="L418" s="245" t="str">
        <f ca="1">IF(CommitmentsTable[[#This Row],[Date Assigned if different from entry date]]&lt;&gt;"",CommitmentsTable[[#This Row],[Date Assigned if different from entry date]]+60,IF(CommitmentsTable[[#This Row],[Date record entered]]&lt;&gt;"",CommitmentsTable[[#This Row],[Date record entered]]+60,""))</f>
        <v/>
      </c>
      <c r="M418" s="214"/>
      <c r="N418" s="214"/>
      <c r="O418" s="236"/>
      <c r="P418" s="214"/>
      <c r="Q418" s="214"/>
      <c r="R418" s="214"/>
      <c r="S418" s="238" t="str">
        <f>IF(CommitmentsTable[[#This Row],[Commitment / deliverable]]="","",IF(CommitmentsTable[[#This Row],[Revised due]]&lt;&gt;"",CommitmentsTable[[#This Row],[Revised due]],CommitmentsTable[[#This Row],[Original due]]))</f>
        <v/>
      </c>
      <c r="T418" s="237" t="str">
        <f>IF(OR(CommitmentsTable[[#This Row],[Commitment / deliverable]]="",CommitmentsTable[[#This Row],[Owner]]=""),"",IF(CommitmentsTable[[#This Row],[Status2]]="","Open",CommitmentsTable[[#This Row],[Status2]]))</f>
        <v/>
      </c>
      <c r="U418" s="237" t="str">
        <f t="shared" ca="1" si="6"/>
        <v/>
      </c>
      <c r="V418" s="233"/>
      <c r="W418" s="63" t="s">
        <v>1385</v>
      </c>
    </row>
    <row r="419" spans="1:23" ht="39">
      <c r="A419" s="213" t="str">
        <f>IF(OR(CommitmentsTable[[#This Row],[Commitment / deliverable]]="",CommitmentsTable[[#This Row],[Immutable Key]]=""),"",SUBSTITUTE(CommitmentsTable[[#This Row],[Immutable Key]],"-K-","-"))</f>
        <v/>
      </c>
      <c r="B419" s="233"/>
      <c r="C419" s="233"/>
      <c r="D419" s="213"/>
      <c r="E419" s="230"/>
      <c r="F419" s="213"/>
      <c r="G419" s="245" t="str">
        <f ca="1">IF(CommitmentsTable[[#This Row],[Commitment / deliverable]]="","",IF(CommitmentsTable[[#This Row],[Date record entered]]="",TODAY(),CommitmentsTable[[#This Row],[Date record entered]]))</f>
        <v/>
      </c>
      <c r="H419" s="245"/>
      <c r="I419" s="245" t="str">
        <f ca="1">IF(CommitmentsTable[[#This Row],[Date Assigned if different from entry date]]&lt;&gt;"",CommitmentsTable[[#This Row],[Date Assigned if different from entry date]]+90,IF(CommitmentsTable[[#This Row],[Date record entered]]&lt;&gt;"",CommitmentsTable[[#This Row],[Date record entered]]+90,""))</f>
        <v/>
      </c>
      <c r="J419" s="245" t="str">
        <f ca="1">IF(CommitmentsTable[[#This Row],[Date Assigned if different from entry date]]&lt;&gt;"",CommitmentsTable[[#This Row],[Date Assigned if different from entry date]]+30,IF(CommitmentsTable[[#This Row],[Date record entered]]&lt;&gt;"",CommitmentsTable[[#This Row],[Date record entered]]+30,""))</f>
        <v/>
      </c>
      <c r="K419" s="245"/>
      <c r="L419" s="245" t="str">
        <f ca="1">IF(CommitmentsTable[[#This Row],[Date Assigned if different from entry date]]&lt;&gt;"",CommitmentsTable[[#This Row],[Date Assigned if different from entry date]]+60,IF(CommitmentsTable[[#This Row],[Date record entered]]&lt;&gt;"",CommitmentsTable[[#This Row],[Date record entered]]+60,""))</f>
        <v/>
      </c>
      <c r="M419" s="214"/>
      <c r="N419" s="214"/>
      <c r="O419" s="236"/>
      <c r="P419" s="214"/>
      <c r="Q419" s="214"/>
      <c r="R419" s="214"/>
      <c r="S419" s="238" t="str">
        <f>IF(CommitmentsTable[[#This Row],[Commitment / deliverable]]="","",IF(CommitmentsTable[[#This Row],[Revised due]]&lt;&gt;"",CommitmentsTable[[#This Row],[Revised due]],CommitmentsTable[[#This Row],[Original due]]))</f>
        <v/>
      </c>
      <c r="T419" s="237" t="str">
        <f>IF(OR(CommitmentsTable[[#This Row],[Commitment / deliverable]]="",CommitmentsTable[[#This Row],[Owner]]=""),"",IF(CommitmentsTable[[#This Row],[Status2]]="","Open",CommitmentsTable[[#This Row],[Status2]]))</f>
        <v/>
      </c>
      <c r="U419" s="237" t="str">
        <f t="shared" ca="1" si="6"/>
        <v/>
      </c>
      <c r="V419" s="233"/>
      <c r="W419" s="63" t="s">
        <v>1386</v>
      </c>
    </row>
    <row r="420" spans="1:23" ht="39">
      <c r="A420" s="213" t="str">
        <f>IF(OR(CommitmentsTable[[#This Row],[Commitment / deliverable]]="",CommitmentsTable[[#This Row],[Immutable Key]]=""),"",SUBSTITUTE(CommitmentsTable[[#This Row],[Immutable Key]],"-K-","-"))</f>
        <v/>
      </c>
      <c r="B420" s="233"/>
      <c r="C420" s="233"/>
      <c r="D420" s="213"/>
      <c r="E420" s="230"/>
      <c r="F420" s="213"/>
      <c r="G420" s="245" t="str">
        <f ca="1">IF(CommitmentsTable[[#This Row],[Commitment / deliverable]]="","",IF(CommitmentsTable[[#This Row],[Date record entered]]="",TODAY(),CommitmentsTable[[#This Row],[Date record entered]]))</f>
        <v/>
      </c>
      <c r="H420" s="245"/>
      <c r="I420" s="245" t="str">
        <f ca="1">IF(CommitmentsTable[[#This Row],[Date Assigned if different from entry date]]&lt;&gt;"",CommitmentsTable[[#This Row],[Date Assigned if different from entry date]]+90,IF(CommitmentsTable[[#This Row],[Date record entered]]&lt;&gt;"",CommitmentsTable[[#This Row],[Date record entered]]+90,""))</f>
        <v/>
      </c>
      <c r="J420" s="245" t="str">
        <f ca="1">IF(CommitmentsTable[[#This Row],[Date Assigned if different from entry date]]&lt;&gt;"",CommitmentsTable[[#This Row],[Date Assigned if different from entry date]]+30,IF(CommitmentsTable[[#This Row],[Date record entered]]&lt;&gt;"",CommitmentsTable[[#This Row],[Date record entered]]+30,""))</f>
        <v/>
      </c>
      <c r="K420" s="245"/>
      <c r="L420" s="245" t="str">
        <f ca="1">IF(CommitmentsTable[[#This Row],[Date Assigned if different from entry date]]&lt;&gt;"",CommitmentsTable[[#This Row],[Date Assigned if different from entry date]]+60,IF(CommitmentsTable[[#This Row],[Date record entered]]&lt;&gt;"",CommitmentsTable[[#This Row],[Date record entered]]+60,""))</f>
        <v/>
      </c>
      <c r="M420" s="214"/>
      <c r="N420" s="214"/>
      <c r="O420" s="236"/>
      <c r="P420" s="214"/>
      <c r="Q420" s="214"/>
      <c r="R420" s="214"/>
      <c r="S420" s="238" t="str">
        <f>IF(CommitmentsTable[[#This Row],[Commitment / deliverable]]="","",IF(CommitmentsTable[[#This Row],[Revised due]]&lt;&gt;"",CommitmentsTable[[#This Row],[Revised due]],CommitmentsTable[[#This Row],[Original due]]))</f>
        <v/>
      </c>
      <c r="T420" s="237" t="str">
        <f>IF(OR(CommitmentsTable[[#This Row],[Commitment / deliverable]]="",CommitmentsTable[[#This Row],[Owner]]=""),"",IF(CommitmentsTable[[#This Row],[Status2]]="","Open",CommitmentsTable[[#This Row],[Status2]]))</f>
        <v/>
      </c>
      <c r="U420" s="237" t="str">
        <f t="shared" ca="1" si="6"/>
        <v/>
      </c>
      <c r="V420" s="233"/>
      <c r="W420" s="63" t="s">
        <v>1387</v>
      </c>
    </row>
    <row r="421" spans="1:23" ht="39">
      <c r="A421" s="213" t="str">
        <f>IF(OR(CommitmentsTable[[#This Row],[Commitment / deliverable]]="",CommitmentsTable[[#This Row],[Immutable Key]]=""),"",SUBSTITUTE(CommitmentsTable[[#This Row],[Immutable Key]],"-K-","-"))</f>
        <v/>
      </c>
      <c r="B421" s="233"/>
      <c r="C421" s="233"/>
      <c r="D421" s="213"/>
      <c r="E421" s="230"/>
      <c r="F421" s="213"/>
      <c r="G421" s="245" t="str">
        <f ca="1">IF(CommitmentsTable[[#This Row],[Commitment / deliverable]]="","",IF(CommitmentsTable[[#This Row],[Date record entered]]="",TODAY(),CommitmentsTable[[#This Row],[Date record entered]]))</f>
        <v/>
      </c>
      <c r="H421" s="245"/>
      <c r="I421" s="245" t="str">
        <f ca="1">IF(CommitmentsTable[[#This Row],[Date Assigned if different from entry date]]&lt;&gt;"",CommitmentsTable[[#This Row],[Date Assigned if different from entry date]]+90,IF(CommitmentsTable[[#This Row],[Date record entered]]&lt;&gt;"",CommitmentsTable[[#This Row],[Date record entered]]+90,""))</f>
        <v/>
      </c>
      <c r="J421" s="245" t="str">
        <f ca="1">IF(CommitmentsTable[[#This Row],[Date Assigned if different from entry date]]&lt;&gt;"",CommitmentsTable[[#This Row],[Date Assigned if different from entry date]]+30,IF(CommitmentsTable[[#This Row],[Date record entered]]&lt;&gt;"",CommitmentsTable[[#This Row],[Date record entered]]+30,""))</f>
        <v/>
      </c>
      <c r="K421" s="245"/>
      <c r="L421" s="245" t="str">
        <f ca="1">IF(CommitmentsTable[[#This Row],[Date Assigned if different from entry date]]&lt;&gt;"",CommitmentsTable[[#This Row],[Date Assigned if different from entry date]]+60,IF(CommitmentsTable[[#This Row],[Date record entered]]&lt;&gt;"",CommitmentsTable[[#This Row],[Date record entered]]+60,""))</f>
        <v/>
      </c>
      <c r="M421" s="214"/>
      <c r="N421" s="214"/>
      <c r="O421" s="236"/>
      <c r="P421" s="214"/>
      <c r="Q421" s="214"/>
      <c r="R421" s="214"/>
      <c r="S421" s="238" t="str">
        <f>IF(CommitmentsTable[[#This Row],[Commitment / deliverable]]="","",IF(CommitmentsTable[[#This Row],[Revised due]]&lt;&gt;"",CommitmentsTable[[#This Row],[Revised due]],CommitmentsTable[[#This Row],[Original due]]))</f>
        <v/>
      </c>
      <c r="T421" s="237" t="str">
        <f>IF(OR(CommitmentsTable[[#This Row],[Commitment / deliverable]]="",CommitmentsTable[[#This Row],[Owner]]=""),"",IF(CommitmentsTable[[#This Row],[Status2]]="","Open",CommitmentsTable[[#This Row],[Status2]]))</f>
        <v/>
      </c>
      <c r="U421" s="237" t="str">
        <f t="shared" ca="1" si="6"/>
        <v/>
      </c>
      <c r="V421" s="233"/>
      <c r="W421" s="63" t="s">
        <v>1388</v>
      </c>
    </row>
    <row r="422" spans="1:23" ht="39">
      <c r="A422" s="213" t="str">
        <f>IF(OR(CommitmentsTable[[#This Row],[Commitment / deliverable]]="",CommitmentsTable[[#This Row],[Immutable Key]]=""),"",SUBSTITUTE(CommitmentsTable[[#This Row],[Immutable Key]],"-K-","-"))</f>
        <v/>
      </c>
      <c r="B422" s="233"/>
      <c r="C422" s="233"/>
      <c r="D422" s="213"/>
      <c r="E422" s="230"/>
      <c r="F422" s="213"/>
      <c r="G422" s="245" t="str">
        <f ca="1">IF(CommitmentsTable[[#This Row],[Commitment / deliverable]]="","",IF(CommitmentsTable[[#This Row],[Date record entered]]="",TODAY(),CommitmentsTable[[#This Row],[Date record entered]]))</f>
        <v/>
      </c>
      <c r="H422" s="245"/>
      <c r="I422" s="245" t="str">
        <f ca="1">IF(CommitmentsTable[[#This Row],[Date Assigned if different from entry date]]&lt;&gt;"",CommitmentsTable[[#This Row],[Date Assigned if different from entry date]]+90,IF(CommitmentsTable[[#This Row],[Date record entered]]&lt;&gt;"",CommitmentsTable[[#This Row],[Date record entered]]+90,""))</f>
        <v/>
      </c>
      <c r="J422" s="245" t="str">
        <f ca="1">IF(CommitmentsTable[[#This Row],[Date Assigned if different from entry date]]&lt;&gt;"",CommitmentsTable[[#This Row],[Date Assigned if different from entry date]]+30,IF(CommitmentsTable[[#This Row],[Date record entered]]&lt;&gt;"",CommitmentsTable[[#This Row],[Date record entered]]+30,""))</f>
        <v/>
      </c>
      <c r="K422" s="245"/>
      <c r="L422" s="245" t="str">
        <f ca="1">IF(CommitmentsTable[[#This Row],[Date Assigned if different from entry date]]&lt;&gt;"",CommitmentsTable[[#This Row],[Date Assigned if different from entry date]]+60,IF(CommitmentsTable[[#This Row],[Date record entered]]&lt;&gt;"",CommitmentsTable[[#This Row],[Date record entered]]+60,""))</f>
        <v/>
      </c>
      <c r="M422" s="214"/>
      <c r="N422" s="214"/>
      <c r="O422" s="236"/>
      <c r="P422" s="214"/>
      <c r="Q422" s="214"/>
      <c r="R422" s="214"/>
      <c r="S422" s="238" t="str">
        <f>IF(CommitmentsTable[[#This Row],[Commitment / deliverable]]="","",IF(CommitmentsTable[[#This Row],[Revised due]]&lt;&gt;"",CommitmentsTable[[#This Row],[Revised due]],CommitmentsTable[[#This Row],[Original due]]))</f>
        <v/>
      </c>
      <c r="T422" s="237" t="str">
        <f>IF(OR(CommitmentsTable[[#This Row],[Commitment / deliverable]]="",CommitmentsTable[[#This Row],[Owner]]=""),"",IF(CommitmentsTable[[#This Row],[Status2]]="","Open",CommitmentsTable[[#This Row],[Status2]]))</f>
        <v/>
      </c>
      <c r="U422" s="237" t="str">
        <f t="shared" ca="1" si="6"/>
        <v/>
      </c>
      <c r="V422" s="233"/>
      <c r="W422" s="63" t="s">
        <v>1389</v>
      </c>
    </row>
    <row r="423" spans="1:23" ht="39">
      <c r="A423" s="213" t="str">
        <f>IF(OR(CommitmentsTable[[#This Row],[Commitment / deliverable]]="",CommitmentsTable[[#This Row],[Immutable Key]]=""),"",SUBSTITUTE(CommitmentsTable[[#This Row],[Immutable Key]],"-K-","-"))</f>
        <v/>
      </c>
      <c r="B423" s="233"/>
      <c r="C423" s="233"/>
      <c r="D423" s="213"/>
      <c r="E423" s="230"/>
      <c r="F423" s="213"/>
      <c r="G423" s="245" t="str">
        <f ca="1">IF(CommitmentsTable[[#This Row],[Commitment / deliverable]]="","",IF(CommitmentsTable[[#This Row],[Date record entered]]="",TODAY(),CommitmentsTable[[#This Row],[Date record entered]]))</f>
        <v/>
      </c>
      <c r="H423" s="245"/>
      <c r="I423" s="245" t="str">
        <f ca="1">IF(CommitmentsTable[[#This Row],[Date Assigned if different from entry date]]&lt;&gt;"",CommitmentsTable[[#This Row],[Date Assigned if different from entry date]]+90,IF(CommitmentsTable[[#This Row],[Date record entered]]&lt;&gt;"",CommitmentsTable[[#This Row],[Date record entered]]+90,""))</f>
        <v/>
      </c>
      <c r="J423" s="245" t="str">
        <f ca="1">IF(CommitmentsTable[[#This Row],[Date Assigned if different from entry date]]&lt;&gt;"",CommitmentsTable[[#This Row],[Date Assigned if different from entry date]]+30,IF(CommitmentsTable[[#This Row],[Date record entered]]&lt;&gt;"",CommitmentsTable[[#This Row],[Date record entered]]+30,""))</f>
        <v/>
      </c>
      <c r="K423" s="245"/>
      <c r="L423" s="245" t="str">
        <f ca="1">IF(CommitmentsTable[[#This Row],[Date Assigned if different from entry date]]&lt;&gt;"",CommitmentsTable[[#This Row],[Date Assigned if different from entry date]]+60,IF(CommitmentsTable[[#This Row],[Date record entered]]&lt;&gt;"",CommitmentsTable[[#This Row],[Date record entered]]+60,""))</f>
        <v/>
      </c>
      <c r="M423" s="214"/>
      <c r="N423" s="214"/>
      <c r="O423" s="236"/>
      <c r="P423" s="214"/>
      <c r="Q423" s="214"/>
      <c r="R423" s="214"/>
      <c r="S423" s="238" t="str">
        <f>IF(CommitmentsTable[[#This Row],[Commitment / deliverable]]="","",IF(CommitmentsTable[[#This Row],[Revised due]]&lt;&gt;"",CommitmentsTable[[#This Row],[Revised due]],CommitmentsTable[[#This Row],[Original due]]))</f>
        <v/>
      </c>
      <c r="T423" s="237" t="str">
        <f>IF(OR(CommitmentsTable[[#This Row],[Commitment / deliverable]]="",CommitmentsTable[[#This Row],[Owner]]=""),"",IF(CommitmentsTable[[#This Row],[Status2]]="","Open",CommitmentsTable[[#This Row],[Status2]]))</f>
        <v/>
      </c>
      <c r="U423" s="237" t="str">
        <f t="shared" ca="1" si="6"/>
        <v/>
      </c>
      <c r="V423" s="233"/>
      <c r="W423" s="63" t="s">
        <v>1390</v>
      </c>
    </row>
    <row r="424" spans="1:23" ht="39">
      <c r="A424" s="213" t="str">
        <f>IF(OR(CommitmentsTable[[#This Row],[Commitment / deliverable]]="",CommitmentsTable[[#This Row],[Immutable Key]]=""),"",SUBSTITUTE(CommitmentsTable[[#This Row],[Immutable Key]],"-K-","-"))</f>
        <v/>
      </c>
      <c r="B424" s="233"/>
      <c r="C424" s="233"/>
      <c r="D424" s="213"/>
      <c r="E424" s="230"/>
      <c r="F424" s="213"/>
      <c r="G424" s="245" t="str">
        <f ca="1">IF(CommitmentsTable[[#This Row],[Commitment / deliverable]]="","",IF(CommitmentsTable[[#This Row],[Date record entered]]="",TODAY(),CommitmentsTable[[#This Row],[Date record entered]]))</f>
        <v/>
      </c>
      <c r="H424" s="245"/>
      <c r="I424" s="245" t="str">
        <f ca="1">IF(CommitmentsTable[[#This Row],[Date Assigned if different from entry date]]&lt;&gt;"",CommitmentsTable[[#This Row],[Date Assigned if different from entry date]]+90,IF(CommitmentsTable[[#This Row],[Date record entered]]&lt;&gt;"",CommitmentsTable[[#This Row],[Date record entered]]+90,""))</f>
        <v/>
      </c>
      <c r="J424" s="245" t="str">
        <f ca="1">IF(CommitmentsTable[[#This Row],[Date Assigned if different from entry date]]&lt;&gt;"",CommitmentsTable[[#This Row],[Date Assigned if different from entry date]]+30,IF(CommitmentsTable[[#This Row],[Date record entered]]&lt;&gt;"",CommitmentsTable[[#This Row],[Date record entered]]+30,""))</f>
        <v/>
      </c>
      <c r="K424" s="245"/>
      <c r="L424" s="245" t="str">
        <f ca="1">IF(CommitmentsTable[[#This Row],[Date Assigned if different from entry date]]&lt;&gt;"",CommitmentsTable[[#This Row],[Date Assigned if different from entry date]]+60,IF(CommitmentsTable[[#This Row],[Date record entered]]&lt;&gt;"",CommitmentsTable[[#This Row],[Date record entered]]+60,""))</f>
        <v/>
      </c>
      <c r="M424" s="214"/>
      <c r="N424" s="214"/>
      <c r="O424" s="236"/>
      <c r="P424" s="214"/>
      <c r="Q424" s="214"/>
      <c r="R424" s="214"/>
      <c r="S424" s="238" t="str">
        <f>IF(CommitmentsTable[[#This Row],[Commitment / deliverable]]="","",IF(CommitmentsTable[[#This Row],[Revised due]]&lt;&gt;"",CommitmentsTable[[#This Row],[Revised due]],CommitmentsTable[[#This Row],[Original due]]))</f>
        <v/>
      </c>
      <c r="T424" s="237" t="str">
        <f>IF(OR(CommitmentsTable[[#This Row],[Commitment / deliverable]]="",CommitmentsTable[[#This Row],[Owner]]=""),"",IF(CommitmentsTable[[#This Row],[Status2]]="","Open",CommitmentsTable[[#This Row],[Status2]]))</f>
        <v/>
      </c>
      <c r="U424" s="237" t="str">
        <f t="shared" ca="1" si="6"/>
        <v/>
      </c>
      <c r="V424" s="233"/>
      <c r="W424" s="63" t="s">
        <v>1391</v>
      </c>
    </row>
    <row r="425" spans="1:23" ht="39">
      <c r="A425" s="213" t="str">
        <f>IF(OR(CommitmentsTable[[#This Row],[Commitment / deliverable]]="",CommitmentsTable[[#This Row],[Immutable Key]]=""),"",SUBSTITUTE(CommitmentsTable[[#This Row],[Immutable Key]],"-K-","-"))</f>
        <v/>
      </c>
      <c r="B425" s="233"/>
      <c r="C425" s="233"/>
      <c r="D425" s="213"/>
      <c r="E425" s="230"/>
      <c r="F425" s="213"/>
      <c r="G425" s="245" t="str">
        <f ca="1">IF(CommitmentsTable[[#This Row],[Commitment / deliverable]]="","",IF(CommitmentsTable[[#This Row],[Date record entered]]="",TODAY(),CommitmentsTable[[#This Row],[Date record entered]]))</f>
        <v/>
      </c>
      <c r="H425" s="245"/>
      <c r="I425" s="245" t="str">
        <f ca="1">IF(CommitmentsTable[[#This Row],[Date Assigned if different from entry date]]&lt;&gt;"",CommitmentsTable[[#This Row],[Date Assigned if different from entry date]]+90,IF(CommitmentsTable[[#This Row],[Date record entered]]&lt;&gt;"",CommitmentsTable[[#This Row],[Date record entered]]+90,""))</f>
        <v/>
      </c>
      <c r="J425" s="245" t="str">
        <f ca="1">IF(CommitmentsTable[[#This Row],[Date Assigned if different from entry date]]&lt;&gt;"",CommitmentsTable[[#This Row],[Date Assigned if different from entry date]]+30,IF(CommitmentsTable[[#This Row],[Date record entered]]&lt;&gt;"",CommitmentsTable[[#This Row],[Date record entered]]+30,""))</f>
        <v/>
      </c>
      <c r="K425" s="245"/>
      <c r="L425" s="245" t="str">
        <f ca="1">IF(CommitmentsTable[[#This Row],[Date Assigned if different from entry date]]&lt;&gt;"",CommitmentsTable[[#This Row],[Date Assigned if different from entry date]]+60,IF(CommitmentsTable[[#This Row],[Date record entered]]&lt;&gt;"",CommitmentsTable[[#This Row],[Date record entered]]+60,""))</f>
        <v/>
      </c>
      <c r="M425" s="214"/>
      <c r="N425" s="214"/>
      <c r="O425" s="236"/>
      <c r="P425" s="214"/>
      <c r="Q425" s="214"/>
      <c r="R425" s="214"/>
      <c r="S425" s="238" t="str">
        <f>IF(CommitmentsTable[[#This Row],[Commitment / deliverable]]="","",IF(CommitmentsTable[[#This Row],[Revised due]]&lt;&gt;"",CommitmentsTable[[#This Row],[Revised due]],CommitmentsTable[[#This Row],[Original due]]))</f>
        <v/>
      </c>
      <c r="T425" s="237" t="str">
        <f>IF(OR(CommitmentsTable[[#This Row],[Commitment / deliverable]]="",CommitmentsTable[[#This Row],[Owner]]=""),"",IF(CommitmentsTable[[#This Row],[Status2]]="","Open",CommitmentsTable[[#This Row],[Status2]]))</f>
        <v/>
      </c>
      <c r="U425" s="237" t="str">
        <f t="shared" ca="1" si="6"/>
        <v/>
      </c>
      <c r="V425" s="233"/>
      <c r="W425" s="63" t="s">
        <v>1392</v>
      </c>
    </row>
    <row r="426" spans="1:23" ht="39">
      <c r="A426" s="213" t="str">
        <f>IF(OR(CommitmentsTable[[#This Row],[Commitment / deliverable]]="",CommitmentsTable[[#This Row],[Immutable Key]]=""),"",SUBSTITUTE(CommitmentsTable[[#This Row],[Immutable Key]],"-K-","-"))</f>
        <v/>
      </c>
      <c r="B426" s="233"/>
      <c r="C426" s="233"/>
      <c r="D426" s="213"/>
      <c r="E426" s="230"/>
      <c r="F426" s="213"/>
      <c r="G426" s="245" t="str">
        <f ca="1">IF(CommitmentsTable[[#This Row],[Commitment / deliverable]]="","",IF(CommitmentsTable[[#This Row],[Date record entered]]="",TODAY(),CommitmentsTable[[#This Row],[Date record entered]]))</f>
        <v/>
      </c>
      <c r="H426" s="245"/>
      <c r="I426" s="245" t="str">
        <f ca="1">IF(CommitmentsTable[[#This Row],[Date Assigned if different from entry date]]&lt;&gt;"",CommitmentsTable[[#This Row],[Date Assigned if different from entry date]]+90,IF(CommitmentsTable[[#This Row],[Date record entered]]&lt;&gt;"",CommitmentsTable[[#This Row],[Date record entered]]+90,""))</f>
        <v/>
      </c>
      <c r="J426" s="245" t="str">
        <f ca="1">IF(CommitmentsTable[[#This Row],[Date Assigned if different from entry date]]&lt;&gt;"",CommitmentsTable[[#This Row],[Date Assigned if different from entry date]]+30,IF(CommitmentsTable[[#This Row],[Date record entered]]&lt;&gt;"",CommitmentsTable[[#This Row],[Date record entered]]+30,""))</f>
        <v/>
      </c>
      <c r="K426" s="245"/>
      <c r="L426" s="245" t="str">
        <f ca="1">IF(CommitmentsTable[[#This Row],[Date Assigned if different from entry date]]&lt;&gt;"",CommitmentsTable[[#This Row],[Date Assigned if different from entry date]]+60,IF(CommitmentsTable[[#This Row],[Date record entered]]&lt;&gt;"",CommitmentsTable[[#This Row],[Date record entered]]+60,""))</f>
        <v/>
      </c>
      <c r="M426" s="214"/>
      <c r="N426" s="214"/>
      <c r="O426" s="236"/>
      <c r="P426" s="214"/>
      <c r="Q426" s="214"/>
      <c r="R426" s="214"/>
      <c r="S426" s="238" t="str">
        <f>IF(CommitmentsTable[[#This Row],[Commitment / deliverable]]="","",IF(CommitmentsTable[[#This Row],[Revised due]]&lt;&gt;"",CommitmentsTable[[#This Row],[Revised due]],CommitmentsTable[[#This Row],[Original due]]))</f>
        <v/>
      </c>
      <c r="T426" s="237" t="str">
        <f>IF(OR(CommitmentsTable[[#This Row],[Commitment / deliverable]]="",CommitmentsTable[[#This Row],[Owner]]=""),"",IF(CommitmentsTable[[#This Row],[Status2]]="","Open",CommitmentsTable[[#This Row],[Status2]]))</f>
        <v/>
      </c>
      <c r="U426" s="237" t="str">
        <f t="shared" ca="1" si="6"/>
        <v/>
      </c>
      <c r="V426" s="233"/>
      <c r="W426" s="63" t="s">
        <v>1393</v>
      </c>
    </row>
    <row r="427" spans="1:23" ht="39">
      <c r="A427" s="213" t="str">
        <f>IF(OR(CommitmentsTable[[#This Row],[Commitment / deliverable]]="",CommitmentsTable[[#This Row],[Immutable Key]]=""),"",SUBSTITUTE(CommitmentsTable[[#This Row],[Immutable Key]],"-K-","-"))</f>
        <v/>
      </c>
      <c r="B427" s="233"/>
      <c r="C427" s="233"/>
      <c r="D427" s="213"/>
      <c r="E427" s="230"/>
      <c r="F427" s="213"/>
      <c r="G427" s="245" t="str">
        <f ca="1">IF(CommitmentsTable[[#This Row],[Commitment / deliverable]]="","",IF(CommitmentsTable[[#This Row],[Date record entered]]="",TODAY(),CommitmentsTable[[#This Row],[Date record entered]]))</f>
        <v/>
      </c>
      <c r="H427" s="245"/>
      <c r="I427" s="245" t="str">
        <f ca="1">IF(CommitmentsTable[[#This Row],[Date Assigned if different from entry date]]&lt;&gt;"",CommitmentsTable[[#This Row],[Date Assigned if different from entry date]]+90,IF(CommitmentsTable[[#This Row],[Date record entered]]&lt;&gt;"",CommitmentsTable[[#This Row],[Date record entered]]+90,""))</f>
        <v/>
      </c>
      <c r="J427" s="245" t="str">
        <f ca="1">IF(CommitmentsTable[[#This Row],[Date Assigned if different from entry date]]&lt;&gt;"",CommitmentsTable[[#This Row],[Date Assigned if different from entry date]]+30,IF(CommitmentsTable[[#This Row],[Date record entered]]&lt;&gt;"",CommitmentsTable[[#This Row],[Date record entered]]+30,""))</f>
        <v/>
      </c>
      <c r="K427" s="245"/>
      <c r="L427" s="245" t="str">
        <f ca="1">IF(CommitmentsTable[[#This Row],[Date Assigned if different from entry date]]&lt;&gt;"",CommitmentsTable[[#This Row],[Date Assigned if different from entry date]]+60,IF(CommitmentsTable[[#This Row],[Date record entered]]&lt;&gt;"",CommitmentsTable[[#This Row],[Date record entered]]+60,""))</f>
        <v/>
      </c>
      <c r="M427" s="214"/>
      <c r="N427" s="214"/>
      <c r="O427" s="236"/>
      <c r="P427" s="214"/>
      <c r="Q427" s="214"/>
      <c r="R427" s="214"/>
      <c r="S427" s="238" t="str">
        <f>IF(CommitmentsTable[[#This Row],[Commitment / deliverable]]="","",IF(CommitmentsTable[[#This Row],[Revised due]]&lt;&gt;"",CommitmentsTable[[#This Row],[Revised due]],CommitmentsTable[[#This Row],[Original due]]))</f>
        <v/>
      </c>
      <c r="T427" s="237" t="str">
        <f>IF(OR(CommitmentsTable[[#This Row],[Commitment / deliverable]]="",CommitmentsTable[[#This Row],[Owner]]=""),"",IF(CommitmentsTable[[#This Row],[Status2]]="","Open",CommitmentsTable[[#This Row],[Status2]]))</f>
        <v/>
      </c>
      <c r="U427" s="237" t="str">
        <f t="shared" ca="1" si="6"/>
        <v/>
      </c>
      <c r="V427" s="233"/>
      <c r="W427" s="63" t="s">
        <v>1394</v>
      </c>
    </row>
    <row r="428" spans="1:23" ht="39">
      <c r="A428" s="213" t="str">
        <f>IF(OR(CommitmentsTable[[#This Row],[Commitment / deliverable]]="",CommitmentsTable[[#This Row],[Immutable Key]]=""),"",SUBSTITUTE(CommitmentsTable[[#This Row],[Immutable Key]],"-K-","-"))</f>
        <v/>
      </c>
      <c r="B428" s="233"/>
      <c r="C428" s="233"/>
      <c r="D428" s="213"/>
      <c r="E428" s="230"/>
      <c r="F428" s="213"/>
      <c r="G428" s="245" t="str">
        <f ca="1">IF(CommitmentsTable[[#This Row],[Commitment / deliverable]]="","",IF(CommitmentsTable[[#This Row],[Date record entered]]="",TODAY(),CommitmentsTable[[#This Row],[Date record entered]]))</f>
        <v/>
      </c>
      <c r="H428" s="245"/>
      <c r="I428" s="245" t="str">
        <f ca="1">IF(CommitmentsTable[[#This Row],[Date Assigned if different from entry date]]&lt;&gt;"",CommitmentsTable[[#This Row],[Date Assigned if different from entry date]]+90,IF(CommitmentsTable[[#This Row],[Date record entered]]&lt;&gt;"",CommitmentsTable[[#This Row],[Date record entered]]+90,""))</f>
        <v/>
      </c>
      <c r="J428" s="245" t="str">
        <f ca="1">IF(CommitmentsTable[[#This Row],[Date Assigned if different from entry date]]&lt;&gt;"",CommitmentsTable[[#This Row],[Date Assigned if different from entry date]]+30,IF(CommitmentsTable[[#This Row],[Date record entered]]&lt;&gt;"",CommitmentsTable[[#This Row],[Date record entered]]+30,""))</f>
        <v/>
      </c>
      <c r="K428" s="245"/>
      <c r="L428" s="245" t="str">
        <f ca="1">IF(CommitmentsTable[[#This Row],[Date Assigned if different from entry date]]&lt;&gt;"",CommitmentsTable[[#This Row],[Date Assigned if different from entry date]]+60,IF(CommitmentsTable[[#This Row],[Date record entered]]&lt;&gt;"",CommitmentsTable[[#This Row],[Date record entered]]+60,""))</f>
        <v/>
      </c>
      <c r="M428" s="214"/>
      <c r="N428" s="214"/>
      <c r="O428" s="236"/>
      <c r="P428" s="214"/>
      <c r="Q428" s="214"/>
      <c r="R428" s="214"/>
      <c r="S428" s="238" t="str">
        <f>IF(CommitmentsTable[[#This Row],[Commitment / deliverable]]="","",IF(CommitmentsTable[[#This Row],[Revised due]]&lt;&gt;"",CommitmentsTable[[#This Row],[Revised due]],CommitmentsTable[[#This Row],[Original due]]))</f>
        <v/>
      </c>
      <c r="T428" s="237" t="str">
        <f>IF(OR(CommitmentsTable[[#This Row],[Commitment / deliverable]]="",CommitmentsTable[[#This Row],[Owner]]=""),"",IF(CommitmentsTable[[#This Row],[Status2]]="","Open",CommitmentsTable[[#This Row],[Status2]]))</f>
        <v/>
      </c>
      <c r="U428" s="237" t="str">
        <f t="shared" ca="1" si="6"/>
        <v/>
      </c>
      <c r="V428" s="233"/>
      <c r="W428" s="63" t="s">
        <v>1395</v>
      </c>
    </row>
    <row r="429" spans="1:23" ht="39">
      <c r="A429" s="213" t="str">
        <f>IF(OR(CommitmentsTable[[#This Row],[Commitment / deliverable]]="",CommitmentsTable[[#This Row],[Immutable Key]]=""),"",SUBSTITUTE(CommitmentsTable[[#This Row],[Immutable Key]],"-K-","-"))</f>
        <v/>
      </c>
      <c r="B429" s="233"/>
      <c r="C429" s="233"/>
      <c r="D429" s="213"/>
      <c r="E429" s="230"/>
      <c r="F429" s="213"/>
      <c r="G429" s="245" t="str">
        <f ca="1">IF(CommitmentsTable[[#This Row],[Commitment / deliverable]]="","",IF(CommitmentsTable[[#This Row],[Date record entered]]="",TODAY(),CommitmentsTable[[#This Row],[Date record entered]]))</f>
        <v/>
      </c>
      <c r="H429" s="245"/>
      <c r="I429" s="245" t="str">
        <f ca="1">IF(CommitmentsTable[[#This Row],[Date Assigned if different from entry date]]&lt;&gt;"",CommitmentsTable[[#This Row],[Date Assigned if different from entry date]]+90,IF(CommitmentsTable[[#This Row],[Date record entered]]&lt;&gt;"",CommitmentsTable[[#This Row],[Date record entered]]+90,""))</f>
        <v/>
      </c>
      <c r="J429" s="245" t="str">
        <f ca="1">IF(CommitmentsTable[[#This Row],[Date Assigned if different from entry date]]&lt;&gt;"",CommitmentsTable[[#This Row],[Date Assigned if different from entry date]]+30,IF(CommitmentsTable[[#This Row],[Date record entered]]&lt;&gt;"",CommitmentsTable[[#This Row],[Date record entered]]+30,""))</f>
        <v/>
      </c>
      <c r="K429" s="245"/>
      <c r="L429" s="245" t="str">
        <f ca="1">IF(CommitmentsTable[[#This Row],[Date Assigned if different from entry date]]&lt;&gt;"",CommitmentsTable[[#This Row],[Date Assigned if different from entry date]]+60,IF(CommitmentsTable[[#This Row],[Date record entered]]&lt;&gt;"",CommitmentsTable[[#This Row],[Date record entered]]+60,""))</f>
        <v/>
      </c>
      <c r="M429" s="214"/>
      <c r="N429" s="214"/>
      <c r="O429" s="236"/>
      <c r="P429" s="214"/>
      <c r="Q429" s="214"/>
      <c r="R429" s="214"/>
      <c r="S429" s="238" t="str">
        <f>IF(CommitmentsTable[[#This Row],[Commitment / deliverable]]="","",IF(CommitmentsTable[[#This Row],[Revised due]]&lt;&gt;"",CommitmentsTable[[#This Row],[Revised due]],CommitmentsTable[[#This Row],[Original due]]))</f>
        <v/>
      </c>
      <c r="T429" s="237" t="str">
        <f>IF(OR(CommitmentsTable[[#This Row],[Commitment / deliverable]]="",CommitmentsTable[[#This Row],[Owner]]=""),"",IF(CommitmentsTable[[#This Row],[Status2]]="","Open",CommitmentsTable[[#This Row],[Status2]]))</f>
        <v/>
      </c>
      <c r="U429" s="237" t="str">
        <f t="shared" ca="1" si="6"/>
        <v/>
      </c>
      <c r="V429" s="233"/>
      <c r="W429" s="63" t="s">
        <v>1396</v>
      </c>
    </row>
    <row r="430" spans="1:23" ht="39">
      <c r="A430" s="213" t="str">
        <f>IF(OR(CommitmentsTable[[#This Row],[Commitment / deliverable]]="",CommitmentsTable[[#This Row],[Immutable Key]]=""),"",SUBSTITUTE(CommitmentsTable[[#This Row],[Immutable Key]],"-K-","-"))</f>
        <v/>
      </c>
      <c r="B430" s="233"/>
      <c r="C430" s="233"/>
      <c r="D430" s="213"/>
      <c r="E430" s="230"/>
      <c r="F430" s="213"/>
      <c r="G430" s="245" t="str">
        <f ca="1">IF(CommitmentsTable[[#This Row],[Commitment / deliverable]]="","",IF(CommitmentsTable[[#This Row],[Date record entered]]="",TODAY(),CommitmentsTable[[#This Row],[Date record entered]]))</f>
        <v/>
      </c>
      <c r="H430" s="245"/>
      <c r="I430" s="245" t="str">
        <f ca="1">IF(CommitmentsTable[[#This Row],[Date Assigned if different from entry date]]&lt;&gt;"",CommitmentsTable[[#This Row],[Date Assigned if different from entry date]]+90,IF(CommitmentsTable[[#This Row],[Date record entered]]&lt;&gt;"",CommitmentsTable[[#This Row],[Date record entered]]+90,""))</f>
        <v/>
      </c>
      <c r="J430" s="245" t="str">
        <f ca="1">IF(CommitmentsTable[[#This Row],[Date Assigned if different from entry date]]&lt;&gt;"",CommitmentsTable[[#This Row],[Date Assigned if different from entry date]]+30,IF(CommitmentsTable[[#This Row],[Date record entered]]&lt;&gt;"",CommitmentsTable[[#This Row],[Date record entered]]+30,""))</f>
        <v/>
      </c>
      <c r="K430" s="245"/>
      <c r="L430" s="245" t="str">
        <f ca="1">IF(CommitmentsTable[[#This Row],[Date Assigned if different from entry date]]&lt;&gt;"",CommitmentsTable[[#This Row],[Date Assigned if different from entry date]]+60,IF(CommitmentsTable[[#This Row],[Date record entered]]&lt;&gt;"",CommitmentsTable[[#This Row],[Date record entered]]+60,""))</f>
        <v/>
      </c>
      <c r="M430" s="214"/>
      <c r="N430" s="214"/>
      <c r="O430" s="236"/>
      <c r="P430" s="214"/>
      <c r="Q430" s="214"/>
      <c r="R430" s="214"/>
      <c r="S430" s="238" t="str">
        <f>IF(CommitmentsTable[[#This Row],[Commitment / deliverable]]="","",IF(CommitmentsTable[[#This Row],[Revised due]]&lt;&gt;"",CommitmentsTable[[#This Row],[Revised due]],CommitmentsTable[[#This Row],[Original due]]))</f>
        <v/>
      </c>
      <c r="T430" s="237" t="str">
        <f>IF(OR(CommitmentsTable[[#This Row],[Commitment / deliverable]]="",CommitmentsTable[[#This Row],[Owner]]=""),"",IF(CommitmentsTable[[#This Row],[Status2]]="","Open",CommitmentsTable[[#This Row],[Status2]]))</f>
        <v/>
      </c>
      <c r="U430" s="237" t="str">
        <f t="shared" ca="1" si="6"/>
        <v/>
      </c>
      <c r="V430" s="233"/>
      <c r="W430" s="63" t="s">
        <v>1397</v>
      </c>
    </row>
    <row r="431" spans="1:23" ht="39">
      <c r="A431" s="213" t="str">
        <f>IF(OR(CommitmentsTable[[#This Row],[Commitment / deliverable]]="",CommitmentsTable[[#This Row],[Immutable Key]]=""),"",SUBSTITUTE(CommitmentsTable[[#This Row],[Immutable Key]],"-K-","-"))</f>
        <v/>
      </c>
      <c r="B431" s="233"/>
      <c r="C431" s="233"/>
      <c r="D431" s="213"/>
      <c r="E431" s="230"/>
      <c r="F431" s="213"/>
      <c r="G431" s="245" t="str">
        <f ca="1">IF(CommitmentsTable[[#This Row],[Commitment / deliverable]]="","",IF(CommitmentsTable[[#This Row],[Date record entered]]="",TODAY(),CommitmentsTable[[#This Row],[Date record entered]]))</f>
        <v/>
      </c>
      <c r="H431" s="245"/>
      <c r="I431" s="245" t="str">
        <f ca="1">IF(CommitmentsTable[[#This Row],[Date Assigned if different from entry date]]&lt;&gt;"",CommitmentsTable[[#This Row],[Date Assigned if different from entry date]]+90,IF(CommitmentsTable[[#This Row],[Date record entered]]&lt;&gt;"",CommitmentsTable[[#This Row],[Date record entered]]+90,""))</f>
        <v/>
      </c>
      <c r="J431" s="245" t="str">
        <f ca="1">IF(CommitmentsTable[[#This Row],[Date Assigned if different from entry date]]&lt;&gt;"",CommitmentsTable[[#This Row],[Date Assigned if different from entry date]]+30,IF(CommitmentsTable[[#This Row],[Date record entered]]&lt;&gt;"",CommitmentsTable[[#This Row],[Date record entered]]+30,""))</f>
        <v/>
      </c>
      <c r="K431" s="245"/>
      <c r="L431" s="245" t="str">
        <f ca="1">IF(CommitmentsTable[[#This Row],[Date Assigned if different from entry date]]&lt;&gt;"",CommitmentsTable[[#This Row],[Date Assigned if different from entry date]]+60,IF(CommitmentsTable[[#This Row],[Date record entered]]&lt;&gt;"",CommitmentsTable[[#This Row],[Date record entered]]+60,""))</f>
        <v/>
      </c>
      <c r="M431" s="214"/>
      <c r="N431" s="214"/>
      <c r="O431" s="236"/>
      <c r="P431" s="214"/>
      <c r="Q431" s="214"/>
      <c r="R431" s="214"/>
      <c r="S431" s="238" t="str">
        <f>IF(CommitmentsTable[[#This Row],[Commitment / deliverable]]="","",IF(CommitmentsTable[[#This Row],[Revised due]]&lt;&gt;"",CommitmentsTable[[#This Row],[Revised due]],CommitmentsTable[[#This Row],[Original due]]))</f>
        <v/>
      </c>
      <c r="T431" s="237" t="str">
        <f>IF(OR(CommitmentsTable[[#This Row],[Commitment / deliverable]]="",CommitmentsTable[[#This Row],[Owner]]=""),"",IF(CommitmentsTable[[#This Row],[Status2]]="","Open",CommitmentsTable[[#This Row],[Status2]]))</f>
        <v/>
      </c>
      <c r="U431" s="237" t="str">
        <f t="shared" ca="1" si="6"/>
        <v/>
      </c>
      <c r="V431" s="233"/>
      <c r="W431" s="63" t="s">
        <v>1398</v>
      </c>
    </row>
    <row r="432" spans="1:23" ht="39">
      <c r="A432" s="213" t="str">
        <f>IF(OR(CommitmentsTable[[#This Row],[Commitment / deliverable]]="",CommitmentsTable[[#This Row],[Immutable Key]]=""),"",SUBSTITUTE(CommitmentsTable[[#This Row],[Immutable Key]],"-K-","-"))</f>
        <v/>
      </c>
      <c r="B432" s="233"/>
      <c r="C432" s="233"/>
      <c r="D432" s="213"/>
      <c r="E432" s="230"/>
      <c r="F432" s="213"/>
      <c r="G432" s="245" t="str">
        <f ca="1">IF(CommitmentsTable[[#This Row],[Commitment / deliverable]]="","",IF(CommitmentsTable[[#This Row],[Date record entered]]="",TODAY(),CommitmentsTable[[#This Row],[Date record entered]]))</f>
        <v/>
      </c>
      <c r="H432" s="245"/>
      <c r="I432" s="245" t="str">
        <f ca="1">IF(CommitmentsTable[[#This Row],[Date Assigned if different from entry date]]&lt;&gt;"",CommitmentsTable[[#This Row],[Date Assigned if different from entry date]]+90,IF(CommitmentsTable[[#This Row],[Date record entered]]&lt;&gt;"",CommitmentsTable[[#This Row],[Date record entered]]+90,""))</f>
        <v/>
      </c>
      <c r="J432" s="245" t="str">
        <f ca="1">IF(CommitmentsTable[[#This Row],[Date Assigned if different from entry date]]&lt;&gt;"",CommitmentsTable[[#This Row],[Date Assigned if different from entry date]]+30,IF(CommitmentsTable[[#This Row],[Date record entered]]&lt;&gt;"",CommitmentsTable[[#This Row],[Date record entered]]+30,""))</f>
        <v/>
      </c>
      <c r="K432" s="245"/>
      <c r="L432" s="245" t="str">
        <f ca="1">IF(CommitmentsTable[[#This Row],[Date Assigned if different from entry date]]&lt;&gt;"",CommitmentsTable[[#This Row],[Date Assigned if different from entry date]]+60,IF(CommitmentsTable[[#This Row],[Date record entered]]&lt;&gt;"",CommitmentsTable[[#This Row],[Date record entered]]+60,""))</f>
        <v/>
      </c>
      <c r="M432" s="214"/>
      <c r="N432" s="214"/>
      <c r="O432" s="236"/>
      <c r="P432" s="214"/>
      <c r="Q432" s="214"/>
      <c r="R432" s="214"/>
      <c r="S432" s="238" t="str">
        <f>IF(CommitmentsTable[[#This Row],[Commitment / deliverable]]="","",IF(CommitmentsTable[[#This Row],[Revised due]]&lt;&gt;"",CommitmentsTable[[#This Row],[Revised due]],CommitmentsTable[[#This Row],[Original due]]))</f>
        <v/>
      </c>
      <c r="T432" s="237" t="str">
        <f>IF(OR(CommitmentsTable[[#This Row],[Commitment / deliverable]]="",CommitmentsTable[[#This Row],[Owner]]=""),"",IF(CommitmentsTable[[#This Row],[Status2]]="","Open",CommitmentsTable[[#This Row],[Status2]]))</f>
        <v/>
      </c>
      <c r="U432" s="237" t="str">
        <f t="shared" ca="1" si="6"/>
        <v/>
      </c>
      <c r="V432" s="233"/>
      <c r="W432" s="63" t="s">
        <v>1399</v>
      </c>
    </row>
    <row r="433" spans="1:23" ht="39">
      <c r="A433" s="213" t="str">
        <f>IF(OR(CommitmentsTable[[#This Row],[Commitment / deliverable]]="",CommitmentsTable[[#This Row],[Immutable Key]]=""),"",SUBSTITUTE(CommitmentsTable[[#This Row],[Immutable Key]],"-K-","-"))</f>
        <v/>
      </c>
      <c r="B433" s="233"/>
      <c r="C433" s="233"/>
      <c r="D433" s="213"/>
      <c r="E433" s="230"/>
      <c r="F433" s="213"/>
      <c r="G433" s="245" t="str">
        <f ca="1">IF(CommitmentsTable[[#This Row],[Commitment / deliverable]]="","",IF(CommitmentsTable[[#This Row],[Date record entered]]="",TODAY(),CommitmentsTable[[#This Row],[Date record entered]]))</f>
        <v/>
      </c>
      <c r="H433" s="245"/>
      <c r="I433" s="245" t="str">
        <f ca="1">IF(CommitmentsTable[[#This Row],[Date Assigned if different from entry date]]&lt;&gt;"",CommitmentsTable[[#This Row],[Date Assigned if different from entry date]]+90,IF(CommitmentsTable[[#This Row],[Date record entered]]&lt;&gt;"",CommitmentsTable[[#This Row],[Date record entered]]+90,""))</f>
        <v/>
      </c>
      <c r="J433" s="245" t="str">
        <f ca="1">IF(CommitmentsTable[[#This Row],[Date Assigned if different from entry date]]&lt;&gt;"",CommitmentsTable[[#This Row],[Date Assigned if different from entry date]]+30,IF(CommitmentsTable[[#This Row],[Date record entered]]&lt;&gt;"",CommitmentsTable[[#This Row],[Date record entered]]+30,""))</f>
        <v/>
      </c>
      <c r="K433" s="245"/>
      <c r="L433" s="245" t="str">
        <f ca="1">IF(CommitmentsTable[[#This Row],[Date Assigned if different from entry date]]&lt;&gt;"",CommitmentsTable[[#This Row],[Date Assigned if different from entry date]]+60,IF(CommitmentsTable[[#This Row],[Date record entered]]&lt;&gt;"",CommitmentsTable[[#This Row],[Date record entered]]+60,""))</f>
        <v/>
      </c>
      <c r="M433" s="214"/>
      <c r="N433" s="214"/>
      <c r="O433" s="236"/>
      <c r="P433" s="214"/>
      <c r="Q433" s="214"/>
      <c r="R433" s="214"/>
      <c r="S433" s="238" t="str">
        <f>IF(CommitmentsTable[[#This Row],[Commitment / deliverable]]="","",IF(CommitmentsTable[[#This Row],[Revised due]]&lt;&gt;"",CommitmentsTable[[#This Row],[Revised due]],CommitmentsTable[[#This Row],[Original due]]))</f>
        <v/>
      </c>
      <c r="T433" s="237" t="str">
        <f>IF(OR(CommitmentsTable[[#This Row],[Commitment / deliverable]]="",CommitmentsTable[[#This Row],[Owner]]=""),"",IF(CommitmentsTable[[#This Row],[Status2]]="","Open",CommitmentsTable[[#This Row],[Status2]]))</f>
        <v/>
      </c>
      <c r="U433" s="237" t="str">
        <f t="shared" ca="1" si="6"/>
        <v/>
      </c>
      <c r="V433" s="233"/>
      <c r="W433" s="63" t="s">
        <v>1400</v>
      </c>
    </row>
    <row r="434" spans="1:23" ht="39">
      <c r="A434" s="213" t="str">
        <f>IF(OR(CommitmentsTable[[#This Row],[Commitment / deliverable]]="",CommitmentsTable[[#This Row],[Immutable Key]]=""),"",SUBSTITUTE(CommitmentsTable[[#This Row],[Immutable Key]],"-K-","-"))</f>
        <v/>
      </c>
      <c r="B434" s="233"/>
      <c r="C434" s="233"/>
      <c r="D434" s="213"/>
      <c r="E434" s="230"/>
      <c r="F434" s="213"/>
      <c r="G434" s="245" t="str">
        <f ca="1">IF(CommitmentsTable[[#This Row],[Commitment / deliverable]]="","",IF(CommitmentsTable[[#This Row],[Date record entered]]="",TODAY(),CommitmentsTable[[#This Row],[Date record entered]]))</f>
        <v/>
      </c>
      <c r="H434" s="245"/>
      <c r="I434" s="245" t="str">
        <f ca="1">IF(CommitmentsTable[[#This Row],[Date Assigned if different from entry date]]&lt;&gt;"",CommitmentsTable[[#This Row],[Date Assigned if different from entry date]]+90,IF(CommitmentsTable[[#This Row],[Date record entered]]&lt;&gt;"",CommitmentsTable[[#This Row],[Date record entered]]+90,""))</f>
        <v/>
      </c>
      <c r="J434" s="245" t="str">
        <f ca="1">IF(CommitmentsTable[[#This Row],[Date Assigned if different from entry date]]&lt;&gt;"",CommitmentsTable[[#This Row],[Date Assigned if different from entry date]]+30,IF(CommitmentsTable[[#This Row],[Date record entered]]&lt;&gt;"",CommitmentsTable[[#This Row],[Date record entered]]+30,""))</f>
        <v/>
      </c>
      <c r="K434" s="245"/>
      <c r="L434" s="245" t="str">
        <f ca="1">IF(CommitmentsTable[[#This Row],[Date Assigned if different from entry date]]&lt;&gt;"",CommitmentsTable[[#This Row],[Date Assigned if different from entry date]]+60,IF(CommitmentsTable[[#This Row],[Date record entered]]&lt;&gt;"",CommitmentsTable[[#This Row],[Date record entered]]+60,""))</f>
        <v/>
      </c>
      <c r="M434" s="214"/>
      <c r="N434" s="214"/>
      <c r="O434" s="236"/>
      <c r="P434" s="214"/>
      <c r="Q434" s="214"/>
      <c r="R434" s="214"/>
      <c r="S434" s="238" t="str">
        <f>IF(CommitmentsTable[[#This Row],[Commitment / deliverable]]="","",IF(CommitmentsTable[[#This Row],[Revised due]]&lt;&gt;"",CommitmentsTable[[#This Row],[Revised due]],CommitmentsTable[[#This Row],[Original due]]))</f>
        <v/>
      </c>
      <c r="T434" s="237" t="str">
        <f>IF(OR(CommitmentsTable[[#This Row],[Commitment / deliverable]]="",CommitmentsTable[[#This Row],[Owner]]=""),"",IF(CommitmentsTable[[#This Row],[Status2]]="","Open",CommitmentsTable[[#This Row],[Status2]]))</f>
        <v/>
      </c>
      <c r="U434" s="237" t="str">
        <f t="shared" ca="1" si="6"/>
        <v/>
      </c>
      <c r="V434" s="233"/>
      <c r="W434" s="63" t="s">
        <v>1401</v>
      </c>
    </row>
    <row r="435" spans="1:23" ht="39">
      <c r="A435" s="213" t="str">
        <f>IF(OR(CommitmentsTable[[#This Row],[Commitment / deliverable]]="",CommitmentsTable[[#This Row],[Immutable Key]]=""),"",SUBSTITUTE(CommitmentsTable[[#This Row],[Immutable Key]],"-K-","-"))</f>
        <v/>
      </c>
      <c r="B435" s="233"/>
      <c r="C435" s="233"/>
      <c r="D435" s="213"/>
      <c r="E435" s="230"/>
      <c r="F435" s="213"/>
      <c r="G435" s="245" t="str">
        <f ca="1">IF(CommitmentsTable[[#This Row],[Commitment / deliverable]]="","",IF(CommitmentsTable[[#This Row],[Date record entered]]="",TODAY(),CommitmentsTable[[#This Row],[Date record entered]]))</f>
        <v/>
      </c>
      <c r="H435" s="245"/>
      <c r="I435" s="245" t="str">
        <f ca="1">IF(CommitmentsTable[[#This Row],[Date Assigned if different from entry date]]&lt;&gt;"",CommitmentsTable[[#This Row],[Date Assigned if different from entry date]]+90,IF(CommitmentsTable[[#This Row],[Date record entered]]&lt;&gt;"",CommitmentsTable[[#This Row],[Date record entered]]+90,""))</f>
        <v/>
      </c>
      <c r="J435" s="245" t="str">
        <f ca="1">IF(CommitmentsTable[[#This Row],[Date Assigned if different from entry date]]&lt;&gt;"",CommitmentsTable[[#This Row],[Date Assigned if different from entry date]]+30,IF(CommitmentsTable[[#This Row],[Date record entered]]&lt;&gt;"",CommitmentsTable[[#This Row],[Date record entered]]+30,""))</f>
        <v/>
      </c>
      <c r="K435" s="245"/>
      <c r="L435" s="245" t="str">
        <f ca="1">IF(CommitmentsTable[[#This Row],[Date Assigned if different from entry date]]&lt;&gt;"",CommitmentsTable[[#This Row],[Date Assigned if different from entry date]]+60,IF(CommitmentsTable[[#This Row],[Date record entered]]&lt;&gt;"",CommitmentsTable[[#This Row],[Date record entered]]+60,""))</f>
        <v/>
      </c>
      <c r="M435" s="214"/>
      <c r="N435" s="214"/>
      <c r="O435" s="236"/>
      <c r="P435" s="214"/>
      <c r="Q435" s="214"/>
      <c r="R435" s="214"/>
      <c r="S435" s="238" t="str">
        <f>IF(CommitmentsTable[[#This Row],[Commitment / deliverable]]="","",IF(CommitmentsTable[[#This Row],[Revised due]]&lt;&gt;"",CommitmentsTable[[#This Row],[Revised due]],CommitmentsTable[[#This Row],[Original due]]))</f>
        <v/>
      </c>
      <c r="T435" s="237" t="str">
        <f>IF(OR(CommitmentsTable[[#This Row],[Commitment / deliverable]]="",CommitmentsTable[[#This Row],[Owner]]=""),"",IF(CommitmentsTable[[#This Row],[Status2]]="","Open",CommitmentsTable[[#This Row],[Status2]]))</f>
        <v/>
      </c>
      <c r="U435" s="237" t="str">
        <f t="shared" ca="1" si="6"/>
        <v/>
      </c>
      <c r="V435" s="233"/>
      <c r="W435" s="63" t="s">
        <v>1402</v>
      </c>
    </row>
    <row r="436" spans="1:23" ht="39">
      <c r="A436" s="213" t="str">
        <f>IF(OR(CommitmentsTable[[#This Row],[Commitment / deliverable]]="",CommitmentsTable[[#This Row],[Immutable Key]]=""),"",SUBSTITUTE(CommitmentsTable[[#This Row],[Immutable Key]],"-K-","-"))</f>
        <v/>
      </c>
      <c r="B436" s="233"/>
      <c r="C436" s="233"/>
      <c r="D436" s="213"/>
      <c r="E436" s="230"/>
      <c r="F436" s="213"/>
      <c r="G436" s="245" t="str">
        <f ca="1">IF(CommitmentsTable[[#This Row],[Commitment / deliverable]]="","",IF(CommitmentsTable[[#This Row],[Date record entered]]="",TODAY(),CommitmentsTable[[#This Row],[Date record entered]]))</f>
        <v/>
      </c>
      <c r="H436" s="245"/>
      <c r="I436" s="245" t="str">
        <f ca="1">IF(CommitmentsTable[[#This Row],[Date Assigned if different from entry date]]&lt;&gt;"",CommitmentsTable[[#This Row],[Date Assigned if different from entry date]]+90,IF(CommitmentsTable[[#This Row],[Date record entered]]&lt;&gt;"",CommitmentsTable[[#This Row],[Date record entered]]+90,""))</f>
        <v/>
      </c>
      <c r="J436" s="245" t="str">
        <f ca="1">IF(CommitmentsTable[[#This Row],[Date Assigned if different from entry date]]&lt;&gt;"",CommitmentsTable[[#This Row],[Date Assigned if different from entry date]]+30,IF(CommitmentsTable[[#This Row],[Date record entered]]&lt;&gt;"",CommitmentsTable[[#This Row],[Date record entered]]+30,""))</f>
        <v/>
      </c>
      <c r="K436" s="245"/>
      <c r="L436" s="245" t="str">
        <f ca="1">IF(CommitmentsTable[[#This Row],[Date Assigned if different from entry date]]&lt;&gt;"",CommitmentsTable[[#This Row],[Date Assigned if different from entry date]]+60,IF(CommitmentsTable[[#This Row],[Date record entered]]&lt;&gt;"",CommitmentsTable[[#This Row],[Date record entered]]+60,""))</f>
        <v/>
      </c>
      <c r="M436" s="214"/>
      <c r="N436" s="214"/>
      <c r="O436" s="236"/>
      <c r="P436" s="214"/>
      <c r="Q436" s="214"/>
      <c r="R436" s="214"/>
      <c r="S436" s="238" t="str">
        <f>IF(CommitmentsTable[[#This Row],[Commitment / deliverable]]="","",IF(CommitmentsTable[[#This Row],[Revised due]]&lt;&gt;"",CommitmentsTable[[#This Row],[Revised due]],CommitmentsTable[[#This Row],[Original due]]))</f>
        <v/>
      </c>
      <c r="T436" s="237" t="str">
        <f>IF(OR(CommitmentsTable[[#This Row],[Commitment / deliverable]]="",CommitmentsTable[[#This Row],[Owner]]=""),"",IF(CommitmentsTable[[#This Row],[Status2]]="","Open",CommitmentsTable[[#This Row],[Status2]]))</f>
        <v/>
      </c>
      <c r="U436" s="237" t="str">
        <f t="shared" ca="1" si="6"/>
        <v/>
      </c>
      <c r="V436" s="233"/>
      <c r="W436" s="63" t="s">
        <v>1403</v>
      </c>
    </row>
    <row r="437" spans="1:23" ht="39">
      <c r="A437" s="213" t="str">
        <f>IF(OR(CommitmentsTable[[#This Row],[Commitment / deliverable]]="",CommitmentsTable[[#This Row],[Immutable Key]]=""),"",SUBSTITUTE(CommitmentsTable[[#This Row],[Immutable Key]],"-K-","-"))</f>
        <v/>
      </c>
      <c r="B437" s="233"/>
      <c r="C437" s="233"/>
      <c r="D437" s="213"/>
      <c r="E437" s="230"/>
      <c r="F437" s="213"/>
      <c r="G437" s="245" t="str">
        <f ca="1">IF(CommitmentsTable[[#This Row],[Commitment / deliverable]]="","",IF(CommitmentsTable[[#This Row],[Date record entered]]="",TODAY(),CommitmentsTable[[#This Row],[Date record entered]]))</f>
        <v/>
      </c>
      <c r="H437" s="245"/>
      <c r="I437" s="245" t="str">
        <f ca="1">IF(CommitmentsTable[[#This Row],[Date Assigned if different from entry date]]&lt;&gt;"",CommitmentsTable[[#This Row],[Date Assigned if different from entry date]]+90,IF(CommitmentsTable[[#This Row],[Date record entered]]&lt;&gt;"",CommitmentsTable[[#This Row],[Date record entered]]+90,""))</f>
        <v/>
      </c>
      <c r="J437" s="245" t="str">
        <f ca="1">IF(CommitmentsTable[[#This Row],[Date Assigned if different from entry date]]&lt;&gt;"",CommitmentsTable[[#This Row],[Date Assigned if different from entry date]]+30,IF(CommitmentsTable[[#This Row],[Date record entered]]&lt;&gt;"",CommitmentsTable[[#This Row],[Date record entered]]+30,""))</f>
        <v/>
      </c>
      <c r="K437" s="245"/>
      <c r="L437" s="245" t="str">
        <f ca="1">IF(CommitmentsTable[[#This Row],[Date Assigned if different from entry date]]&lt;&gt;"",CommitmentsTable[[#This Row],[Date Assigned if different from entry date]]+60,IF(CommitmentsTable[[#This Row],[Date record entered]]&lt;&gt;"",CommitmentsTable[[#This Row],[Date record entered]]+60,""))</f>
        <v/>
      </c>
      <c r="M437" s="214"/>
      <c r="N437" s="214"/>
      <c r="O437" s="236"/>
      <c r="P437" s="214"/>
      <c r="Q437" s="214"/>
      <c r="R437" s="214"/>
      <c r="S437" s="238" t="str">
        <f>IF(CommitmentsTable[[#This Row],[Commitment / deliverable]]="","",IF(CommitmentsTable[[#This Row],[Revised due]]&lt;&gt;"",CommitmentsTable[[#This Row],[Revised due]],CommitmentsTable[[#This Row],[Original due]]))</f>
        <v/>
      </c>
      <c r="T437" s="237" t="str">
        <f>IF(OR(CommitmentsTable[[#This Row],[Commitment / deliverable]]="",CommitmentsTable[[#This Row],[Owner]]=""),"",IF(CommitmentsTable[[#This Row],[Status2]]="","Open",CommitmentsTable[[#This Row],[Status2]]))</f>
        <v/>
      </c>
      <c r="U437" s="237" t="str">
        <f t="shared" ca="1" si="6"/>
        <v/>
      </c>
      <c r="V437" s="233"/>
      <c r="W437" s="63" t="s">
        <v>1404</v>
      </c>
    </row>
    <row r="438" spans="1:23" ht="39">
      <c r="A438" s="213" t="str">
        <f>IF(OR(CommitmentsTable[[#This Row],[Commitment / deliverable]]="",CommitmentsTable[[#This Row],[Immutable Key]]=""),"",SUBSTITUTE(CommitmentsTable[[#This Row],[Immutable Key]],"-K-","-"))</f>
        <v/>
      </c>
      <c r="B438" s="233"/>
      <c r="C438" s="233"/>
      <c r="D438" s="213"/>
      <c r="E438" s="230"/>
      <c r="F438" s="213"/>
      <c r="G438" s="245" t="str">
        <f ca="1">IF(CommitmentsTable[[#This Row],[Commitment / deliverable]]="","",IF(CommitmentsTable[[#This Row],[Date record entered]]="",TODAY(),CommitmentsTable[[#This Row],[Date record entered]]))</f>
        <v/>
      </c>
      <c r="H438" s="245"/>
      <c r="I438" s="245" t="str">
        <f ca="1">IF(CommitmentsTable[[#This Row],[Date Assigned if different from entry date]]&lt;&gt;"",CommitmentsTable[[#This Row],[Date Assigned if different from entry date]]+90,IF(CommitmentsTable[[#This Row],[Date record entered]]&lt;&gt;"",CommitmentsTable[[#This Row],[Date record entered]]+90,""))</f>
        <v/>
      </c>
      <c r="J438" s="245" t="str">
        <f ca="1">IF(CommitmentsTable[[#This Row],[Date Assigned if different from entry date]]&lt;&gt;"",CommitmentsTable[[#This Row],[Date Assigned if different from entry date]]+30,IF(CommitmentsTable[[#This Row],[Date record entered]]&lt;&gt;"",CommitmentsTable[[#This Row],[Date record entered]]+30,""))</f>
        <v/>
      </c>
      <c r="K438" s="245"/>
      <c r="L438" s="245" t="str">
        <f ca="1">IF(CommitmentsTable[[#This Row],[Date Assigned if different from entry date]]&lt;&gt;"",CommitmentsTable[[#This Row],[Date Assigned if different from entry date]]+60,IF(CommitmentsTable[[#This Row],[Date record entered]]&lt;&gt;"",CommitmentsTable[[#This Row],[Date record entered]]+60,""))</f>
        <v/>
      </c>
      <c r="M438" s="214"/>
      <c r="N438" s="214"/>
      <c r="O438" s="236"/>
      <c r="P438" s="214"/>
      <c r="Q438" s="214"/>
      <c r="R438" s="214"/>
      <c r="S438" s="238" t="str">
        <f>IF(CommitmentsTable[[#This Row],[Commitment / deliverable]]="","",IF(CommitmentsTable[[#This Row],[Revised due]]&lt;&gt;"",CommitmentsTable[[#This Row],[Revised due]],CommitmentsTable[[#This Row],[Original due]]))</f>
        <v/>
      </c>
      <c r="T438" s="237" t="str">
        <f>IF(OR(CommitmentsTable[[#This Row],[Commitment / deliverable]]="",CommitmentsTable[[#This Row],[Owner]]=""),"",IF(CommitmentsTable[[#This Row],[Status2]]="","Open",CommitmentsTable[[#This Row],[Status2]]))</f>
        <v/>
      </c>
      <c r="U438" s="237" t="str">
        <f t="shared" ca="1" si="6"/>
        <v/>
      </c>
      <c r="V438" s="233"/>
      <c r="W438" s="63" t="s">
        <v>1405</v>
      </c>
    </row>
    <row r="439" spans="1:23" ht="39">
      <c r="A439" s="213" t="str">
        <f>IF(OR(CommitmentsTable[[#This Row],[Commitment / deliverable]]="",CommitmentsTable[[#This Row],[Immutable Key]]=""),"",SUBSTITUTE(CommitmentsTable[[#This Row],[Immutable Key]],"-K-","-"))</f>
        <v/>
      </c>
      <c r="B439" s="233"/>
      <c r="C439" s="233"/>
      <c r="D439" s="213"/>
      <c r="E439" s="230"/>
      <c r="F439" s="213"/>
      <c r="G439" s="245" t="str">
        <f ca="1">IF(CommitmentsTable[[#This Row],[Commitment / deliverable]]="","",IF(CommitmentsTable[[#This Row],[Date record entered]]="",TODAY(),CommitmentsTable[[#This Row],[Date record entered]]))</f>
        <v/>
      </c>
      <c r="H439" s="245"/>
      <c r="I439" s="245" t="str">
        <f ca="1">IF(CommitmentsTable[[#This Row],[Date Assigned if different from entry date]]&lt;&gt;"",CommitmentsTable[[#This Row],[Date Assigned if different from entry date]]+90,IF(CommitmentsTable[[#This Row],[Date record entered]]&lt;&gt;"",CommitmentsTable[[#This Row],[Date record entered]]+90,""))</f>
        <v/>
      </c>
      <c r="J439" s="245" t="str">
        <f ca="1">IF(CommitmentsTable[[#This Row],[Date Assigned if different from entry date]]&lt;&gt;"",CommitmentsTable[[#This Row],[Date Assigned if different from entry date]]+30,IF(CommitmentsTable[[#This Row],[Date record entered]]&lt;&gt;"",CommitmentsTable[[#This Row],[Date record entered]]+30,""))</f>
        <v/>
      </c>
      <c r="K439" s="245"/>
      <c r="L439" s="245" t="str">
        <f ca="1">IF(CommitmentsTable[[#This Row],[Date Assigned if different from entry date]]&lt;&gt;"",CommitmentsTable[[#This Row],[Date Assigned if different from entry date]]+60,IF(CommitmentsTable[[#This Row],[Date record entered]]&lt;&gt;"",CommitmentsTable[[#This Row],[Date record entered]]+60,""))</f>
        <v/>
      </c>
      <c r="M439" s="214"/>
      <c r="N439" s="214"/>
      <c r="O439" s="236"/>
      <c r="P439" s="214"/>
      <c r="Q439" s="214"/>
      <c r="R439" s="214"/>
      <c r="S439" s="238" t="str">
        <f>IF(CommitmentsTable[[#This Row],[Commitment / deliverable]]="","",IF(CommitmentsTable[[#This Row],[Revised due]]&lt;&gt;"",CommitmentsTable[[#This Row],[Revised due]],CommitmentsTable[[#This Row],[Original due]]))</f>
        <v/>
      </c>
      <c r="T439" s="237" t="str">
        <f>IF(OR(CommitmentsTable[[#This Row],[Commitment / deliverable]]="",CommitmentsTable[[#This Row],[Owner]]=""),"",IF(CommitmentsTable[[#This Row],[Status2]]="","Open",CommitmentsTable[[#This Row],[Status2]]))</f>
        <v/>
      </c>
      <c r="U439" s="237" t="str">
        <f t="shared" ca="1" si="6"/>
        <v/>
      </c>
      <c r="V439" s="233"/>
      <c r="W439" s="63" t="s">
        <v>1406</v>
      </c>
    </row>
    <row r="440" spans="1:23" ht="39">
      <c r="A440" s="213" t="str">
        <f>IF(OR(CommitmentsTable[[#This Row],[Commitment / deliverable]]="",CommitmentsTable[[#This Row],[Immutable Key]]=""),"",SUBSTITUTE(CommitmentsTable[[#This Row],[Immutable Key]],"-K-","-"))</f>
        <v/>
      </c>
      <c r="B440" s="233"/>
      <c r="C440" s="233"/>
      <c r="D440" s="213"/>
      <c r="E440" s="230"/>
      <c r="F440" s="213"/>
      <c r="G440" s="245" t="str">
        <f ca="1">IF(CommitmentsTable[[#This Row],[Commitment / deliverable]]="","",IF(CommitmentsTable[[#This Row],[Date record entered]]="",TODAY(),CommitmentsTable[[#This Row],[Date record entered]]))</f>
        <v/>
      </c>
      <c r="H440" s="245"/>
      <c r="I440" s="245" t="str">
        <f ca="1">IF(CommitmentsTable[[#This Row],[Date Assigned if different from entry date]]&lt;&gt;"",CommitmentsTable[[#This Row],[Date Assigned if different from entry date]]+90,IF(CommitmentsTable[[#This Row],[Date record entered]]&lt;&gt;"",CommitmentsTable[[#This Row],[Date record entered]]+90,""))</f>
        <v/>
      </c>
      <c r="J440" s="245" t="str">
        <f ca="1">IF(CommitmentsTable[[#This Row],[Date Assigned if different from entry date]]&lt;&gt;"",CommitmentsTable[[#This Row],[Date Assigned if different from entry date]]+30,IF(CommitmentsTable[[#This Row],[Date record entered]]&lt;&gt;"",CommitmentsTable[[#This Row],[Date record entered]]+30,""))</f>
        <v/>
      </c>
      <c r="K440" s="245"/>
      <c r="L440" s="245" t="str">
        <f ca="1">IF(CommitmentsTable[[#This Row],[Date Assigned if different from entry date]]&lt;&gt;"",CommitmentsTable[[#This Row],[Date Assigned if different from entry date]]+60,IF(CommitmentsTable[[#This Row],[Date record entered]]&lt;&gt;"",CommitmentsTable[[#This Row],[Date record entered]]+60,""))</f>
        <v/>
      </c>
      <c r="M440" s="214"/>
      <c r="N440" s="214"/>
      <c r="O440" s="236"/>
      <c r="P440" s="214"/>
      <c r="Q440" s="214"/>
      <c r="R440" s="214"/>
      <c r="S440" s="238" t="str">
        <f>IF(CommitmentsTable[[#This Row],[Commitment / deliverable]]="","",IF(CommitmentsTable[[#This Row],[Revised due]]&lt;&gt;"",CommitmentsTable[[#This Row],[Revised due]],CommitmentsTable[[#This Row],[Original due]]))</f>
        <v/>
      </c>
      <c r="T440" s="237" t="str">
        <f>IF(OR(CommitmentsTable[[#This Row],[Commitment / deliverable]]="",CommitmentsTable[[#This Row],[Owner]]=""),"",IF(CommitmentsTable[[#This Row],[Status2]]="","Open",CommitmentsTable[[#This Row],[Status2]]))</f>
        <v/>
      </c>
      <c r="U440" s="237" t="str">
        <f t="shared" ca="1" si="6"/>
        <v/>
      </c>
      <c r="V440" s="233"/>
      <c r="W440" s="63" t="s">
        <v>1407</v>
      </c>
    </row>
    <row r="441" spans="1:23" ht="39">
      <c r="A441" s="213" t="str">
        <f>IF(OR(CommitmentsTable[[#This Row],[Commitment / deliverable]]="",CommitmentsTable[[#This Row],[Immutable Key]]=""),"",SUBSTITUTE(CommitmentsTable[[#This Row],[Immutable Key]],"-K-","-"))</f>
        <v/>
      </c>
      <c r="B441" s="233"/>
      <c r="C441" s="233"/>
      <c r="D441" s="213"/>
      <c r="E441" s="230"/>
      <c r="F441" s="213"/>
      <c r="G441" s="245" t="str">
        <f ca="1">IF(CommitmentsTable[[#This Row],[Commitment / deliverable]]="","",IF(CommitmentsTable[[#This Row],[Date record entered]]="",TODAY(),CommitmentsTable[[#This Row],[Date record entered]]))</f>
        <v/>
      </c>
      <c r="H441" s="245"/>
      <c r="I441" s="245" t="str">
        <f ca="1">IF(CommitmentsTable[[#This Row],[Date Assigned if different from entry date]]&lt;&gt;"",CommitmentsTable[[#This Row],[Date Assigned if different from entry date]]+90,IF(CommitmentsTable[[#This Row],[Date record entered]]&lt;&gt;"",CommitmentsTable[[#This Row],[Date record entered]]+90,""))</f>
        <v/>
      </c>
      <c r="J441" s="245" t="str">
        <f ca="1">IF(CommitmentsTable[[#This Row],[Date Assigned if different from entry date]]&lt;&gt;"",CommitmentsTable[[#This Row],[Date Assigned if different from entry date]]+30,IF(CommitmentsTable[[#This Row],[Date record entered]]&lt;&gt;"",CommitmentsTable[[#This Row],[Date record entered]]+30,""))</f>
        <v/>
      </c>
      <c r="K441" s="245"/>
      <c r="L441" s="245" t="str">
        <f ca="1">IF(CommitmentsTable[[#This Row],[Date Assigned if different from entry date]]&lt;&gt;"",CommitmentsTable[[#This Row],[Date Assigned if different from entry date]]+60,IF(CommitmentsTable[[#This Row],[Date record entered]]&lt;&gt;"",CommitmentsTable[[#This Row],[Date record entered]]+60,""))</f>
        <v/>
      </c>
      <c r="M441" s="214"/>
      <c r="N441" s="214"/>
      <c r="O441" s="236"/>
      <c r="P441" s="214"/>
      <c r="Q441" s="214"/>
      <c r="R441" s="214"/>
      <c r="S441" s="238" t="str">
        <f>IF(CommitmentsTable[[#This Row],[Commitment / deliverable]]="","",IF(CommitmentsTable[[#This Row],[Revised due]]&lt;&gt;"",CommitmentsTable[[#This Row],[Revised due]],CommitmentsTable[[#This Row],[Original due]]))</f>
        <v/>
      </c>
      <c r="T441" s="237" t="str">
        <f>IF(OR(CommitmentsTable[[#This Row],[Commitment / deliverable]]="",CommitmentsTable[[#This Row],[Owner]]=""),"",IF(CommitmentsTable[[#This Row],[Status2]]="","Open",CommitmentsTable[[#This Row],[Status2]]))</f>
        <v/>
      </c>
      <c r="U441" s="237" t="str">
        <f t="shared" ca="1" si="6"/>
        <v/>
      </c>
      <c r="V441" s="233"/>
      <c r="W441" s="63" t="s">
        <v>1408</v>
      </c>
    </row>
    <row r="442" spans="1:23" ht="39">
      <c r="A442" s="213" t="str">
        <f>IF(OR(CommitmentsTable[[#This Row],[Commitment / deliverable]]="",CommitmentsTable[[#This Row],[Immutable Key]]=""),"",SUBSTITUTE(CommitmentsTable[[#This Row],[Immutable Key]],"-K-","-"))</f>
        <v/>
      </c>
      <c r="B442" s="233"/>
      <c r="C442" s="233"/>
      <c r="D442" s="213"/>
      <c r="E442" s="230"/>
      <c r="F442" s="213"/>
      <c r="G442" s="245" t="str">
        <f ca="1">IF(CommitmentsTable[[#This Row],[Commitment / deliverable]]="","",IF(CommitmentsTable[[#This Row],[Date record entered]]="",TODAY(),CommitmentsTable[[#This Row],[Date record entered]]))</f>
        <v/>
      </c>
      <c r="H442" s="245"/>
      <c r="I442" s="245" t="str">
        <f ca="1">IF(CommitmentsTable[[#This Row],[Date Assigned if different from entry date]]&lt;&gt;"",CommitmentsTable[[#This Row],[Date Assigned if different from entry date]]+90,IF(CommitmentsTable[[#This Row],[Date record entered]]&lt;&gt;"",CommitmentsTable[[#This Row],[Date record entered]]+90,""))</f>
        <v/>
      </c>
      <c r="J442" s="245" t="str">
        <f ca="1">IF(CommitmentsTable[[#This Row],[Date Assigned if different from entry date]]&lt;&gt;"",CommitmentsTable[[#This Row],[Date Assigned if different from entry date]]+30,IF(CommitmentsTable[[#This Row],[Date record entered]]&lt;&gt;"",CommitmentsTable[[#This Row],[Date record entered]]+30,""))</f>
        <v/>
      </c>
      <c r="K442" s="245"/>
      <c r="L442" s="245" t="str">
        <f ca="1">IF(CommitmentsTable[[#This Row],[Date Assigned if different from entry date]]&lt;&gt;"",CommitmentsTable[[#This Row],[Date Assigned if different from entry date]]+60,IF(CommitmentsTable[[#This Row],[Date record entered]]&lt;&gt;"",CommitmentsTable[[#This Row],[Date record entered]]+60,""))</f>
        <v/>
      </c>
      <c r="M442" s="214"/>
      <c r="N442" s="214"/>
      <c r="O442" s="236"/>
      <c r="P442" s="214"/>
      <c r="Q442" s="214"/>
      <c r="R442" s="214"/>
      <c r="S442" s="238" t="str">
        <f>IF(CommitmentsTable[[#This Row],[Commitment / deliverable]]="","",IF(CommitmentsTable[[#This Row],[Revised due]]&lt;&gt;"",CommitmentsTable[[#This Row],[Revised due]],CommitmentsTable[[#This Row],[Original due]]))</f>
        <v/>
      </c>
      <c r="T442" s="237" t="str">
        <f>IF(OR(CommitmentsTable[[#This Row],[Commitment / deliverable]]="",CommitmentsTable[[#This Row],[Owner]]=""),"",IF(CommitmentsTable[[#This Row],[Status2]]="","Open",CommitmentsTable[[#This Row],[Status2]]))</f>
        <v/>
      </c>
      <c r="U442" s="237" t="str">
        <f t="shared" ca="1" si="6"/>
        <v/>
      </c>
      <c r="V442" s="233"/>
      <c r="W442" s="63" t="s">
        <v>1409</v>
      </c>
    </row>
    <row r="443" spans="1:23" ht="39">
      <c r="A443" s="213" t="str">
        <f>IF(OR(CommitmentsTable[[#This Row],[Commitment / deliverable]]="",CommitmentsTable[[#This Row],[Immutable Key]]=""),"",SUBSTITUTE(CommitmentsTable[[#This Row],[Immutable Key]],"-K-","-"))</f>
        <v/>
      </c>
      <c r="B443" s="233"/>
      <c r="C443" s="233"/>
      <c r="D443" s="213"/>
      <c r="E443" s="230"/>
      <c r="F443" s="213"/>
      <c r="G443" s="245" t="str">
        <f ca="1">IF(CommitmentsTable[[#This Row],[Commitment / deliverable]]="","",IF(CommitmentsTable[[#This Row],[Date record entered]]="",TODAY(),CommitmentsTable[[#This Row],[Date record entered]]))</f>
        <v/>
      </c>
      <c r="H443" s="245"/>
      <c r="I443" s="245" t="str">
        <f ca="1">IF(CommitmentsTable[[#This Row],[Date Assigned if different from entry date]]&lt;&gt;"",CommitmentsTable[[#This Row],[Date Assigned if different from entry date]]+90,IF(CommitmentsTable[[#This Row],[Date record entered]]&lt;&gt;"",CommitmentsTable[[#This Row],[Date record entered]]+90,""))</f>
        <v/>
      </c>
      <c r="J443" s="245" t="str">
        <f ca="1">IF(CommitmentsTable[[#This Row],[Date Assigned if different from entry date]]&lt;&gt;"",CommitmentsTable[[#This Row],[Date Assigned if different from entry date]]+30,IF(CommitmentsTable[[#This Row],[Date record entered]]&lt;&gt;"",CommitmentsTable[[#This Row],[Date record entered]]+30,""))</f>
        <v/>
      </c>
      <c r="K443" s="245"/>
      <c r="L443" s="245" t="str">
        <f ca="1">IF(CommitmentsTable[[#This Row],[Date Assigned if different from entry date]]&lt;&gt;"",CommitmentsTable[[#This Row],[Date Assigned if different from entry date]]+60,IF(CommitmentsTable[[#This Row],[Date record entered]]&lt;&gt;"",CommitmentsTable[[#This Row],[Date record entered]]+60,""))</f>
        <v/>
      </c>
      <c r="M443" s="214"/>
      <c r="N443" s="214"/>
      <c r="O443" s="236"/>
      <c r="P443" s="214"/>
      <c r="Q443" s="214"/>
      <c r="R443" s="214"/>
      <c r="S443" s="238" t="str">
        <f>IF(CommitmentsTable[[#This Row],[Commitment / deliverable]]="","",IF(CommitmentsTable[[#This Row],[Revised due]]&lt;&gt;"",CommitmentsTable[[#This Row],[Revised due]],CommitmentsTable[[#This Row],[Original due]]))</f>
        <v/>
      </c>
      <c r="T443" s="237" t="str">
        <f>IF(OR(CommitmentsTable[[#This Row],[Commitment / deliverable]]="",CommitmentsTable[[#This Row],[Owner]]=""),"",IF(CommitmentsTable[[#This Row],[Status2]]="","Open",CommitmentsTable[[#This Row],[Status2]]))</f>
        <v/>
      </c>
      <c r="U443" s="237" t="str">
        <f t="shared" ca="1" si="6"/>
        <v/>
      </c>
      <c r="V443" s="233"/>
      <c r="W443" s="63" t="s">
        <v>1410</v>
      </c>
    </row>
    <row r="444" spans="1:23" ht="39">
      <c r="A444" s="213" t="str">
        <f>IF(OR(CommitmentsTable[[#This Row],[Commitment / deliverable]]="",CommitmentsTable[[#This Row],[Immutable Key]]=""),"",SUBSTITUTE(CommitmentsTable[[#This Row],[Immutable Key]],"-K-","-"))</f>
        <v/>
      </c>
      <c r="B444" s="233"/>
      <c r="C444" s="233"/>
      <c r="D444" s="213"/>
      <c r="E444" s="230"/>
      <c r="F444" s="213"/>
      <c r="G444" s="245" t="str">
        <f ca="1">IF(CommitmentsTable[[#This Row],[Commitment / deliverable]]="","",IF(CommitmentsTable[[#This Row],[Date record entered]]="",TODAY(),CommitmentsTable[[#This Row],[Date record entered]]))</f>
        <v/>
      </c>
      <c r="H444" s="245"/>
      <c r="I444" s="245" t="str">
        <f ca="1">IF(CommitmentsTable[[#This Row],[Date Assigned if different from entry date]]&lt;&gt;"",CommitmentsTable[[#This Row],[Date Assigned if different from entry date]]+90,IF(CommitmentsTable[[#This Row],[Date record entered]]&lt;&gt;"",CommitmentsTable[[#This Row],[Date record entered]]+90,""))</f>
        <v/>
      </c>
      <c r="J444" s="245" t="str">
        <f ca="1">IF(CommitmentsTable[[#This Row],[Date Assigned if different from entry date]]&lt;&gt;"",CommitmentsTable[[#This Row],[Date Assigned if different from entry date]]+30,IF(CommitmentsTable[[#This Row],[Date record entered]]&lt;&gt;"",CommitmentsTable[[#This Row],[Date record entered]]+30,""))</f>
        <v/>
      </c>
      <c r="K444" s="245"/>
      <c r="L444" s="245" t="str">
        <f ca="1">IF(CommitmentsTable[[#This Row],[Date Assigned if different from entry date]]&lt;&gt;"",CommitmentsTable[[#This Row],[Date Assigned if different from entry date]]+60,IF(CommitmentsTable[[#This Row],[Date record entered]]&lt;&gt;"",CommitmentsTable[[#This Row],[Date record entered]]+60,""))</f>
        <v/>
      </c>
      <c r="M444" s="214"/>
      <c r="N444" s="214"/>
      <c r="O444" s="236"/>
      <c r="P444" s="214"/>
      <c r="Q444" s="214"/>
      <c r="R444" s="214"/>
      <c r="S444" s="238" t="str">
        <f>IF(CommitmentsTable[[#This Row],[Commitment / deliverable]]="","",IF(CommitmentsTable[[#This Row],[Revised due]]&lt;&gt;"",CommitmentsTable[[#This Row],[Revised due]],CommitmentsTable[[#This Row],[Original due]]))</f>
        <v/>
      </c>
      <c r="T444" s="237" t="str">
        <f>IF(OR(CommitmentsTable[[#This Row],[Commitment / deliverable]]="",CommitmentsTable[[#This Row],[Owner]]=""),"",IF(CommitmentsTable[[#This Row],[Status2]]="","Open",CommitmentsTable[[#This Row],[Status2]]))</f>
        <v/>
      </c>
      <c r="U444" s="237" t="str">
        <f t="shared" ca="1" si="6"/>
        <v/>
      </c>
      <c r="V444" s="233"/>
      <c r="W444" s="63" t="s">
        <v>1411</v>
      </c>
    </row>
    <row r="445" spans="1:23" ht="39">
      <c r="A445" s="213" t="str">
        <f>IF(OR(CommitmentsTable[[#This Row],[Commitment / deliverable]]="",CommitmentsTable[[#This Row],[Immutable Key]]=""),"",SUBSTITUTE(CommitmentsTable[[#This Row],[Immutable Key]],"-K-","-"))</f>
        <v/>
      </c>
      <c r="B445" s="233"/>
      <c r="C445" s="233"/>
      <c r="D445" s="213"/>
      <c r="E445" s="230"/>
      <c r="F445" s="213"/>
      <c r="G445" s="245" t="str">
        <f ca="1">IF(CommitmentsTable[[#This Row],[Commitment / deliverable]]="","",IF(CommitmentsTable[[#This Row],[Date record entered]]="",TODAY(),CommitmentsTable[[#This Row],[Date record entered]]))</f>
        <v/>
      </c>
      <c r="H445" s="245"/>
      <c r="I445" s="245" t="str">
        <f ca="1">IF(CommitmentsTable[[#This Row],[Date Assigned if different from entry date]]&lt;&gt;"",CommitmentsTable[[#This Row],[Date Assigned if different from entry date]]+90,IF(CommitmentsTable[[#This Row],[Date record entered]]&lt;&gt;"",CommitmentsTable[[#This Row],[Date record entered]]+90,""))</f>
        <v/>
      </c>
      <c r="J445" s="245" t="str">
        <f ca="1">IF(CommitmentsTable[[#This Row],[Date Assigned if different from entry date]]&lt;&gt;"",CommitmentsTable[[#This Row],[Date Assigned if different from entry date]]+30,IF(CommitmentsTable[[#This Row],[Date record entered]]&lt;&gt;"",CommitmentsTable[[#This Row],[Date record entered]]+30,""))</f>
        <v/>
      </c>
      <c r="K445" s="245"/>
      <c r="L445" s="245" t="str">
        <f ca="1">IF(CommitmentsTable[[#This Row],[Date Assigned if different from entry date]]&lt;&gt;"",CommitmentsTable[[#This Row],[Date Assigned if different from entry date]]+60,IF(CommitmentsTable[[#This Row],[Date record entered]]&lt;&gt;"",CommitmentsTable[[#This Row],[Date record entered]]+60,""))</f>
        <v/>
      </c>
      <c r="M445" s="214"/>
      <c r="N445" s="214"/>
      <c r="O445" s="236"/>
      <c r="P445" s="214"/>
      <c r="Q445" s="214"/>
      <c r="R445" s="214"/>
      <c r="S445" s="238" t="str">
        <f>IF(CommitmentsTable[[#This Row],[Commitment / deliverable]]="","",IF(CommitmentsTable[[#This Row],[Revised due]]&lt;&gt;"",CommitmentsTable[[#This Row],[Revised due]],CommitmentsTable[[#This Row],[Original due]]))</f>
        <v/>
      </c>
      <c r="T445" s="237" t="str">
        <f>IF(OR(CommitmentsTable[[#This Row],[Commitment / deliverable]]="",CommitmentsTable[[#This Row],[Owner]]=""),"",IF(CommitmentsTable[[#This Row],[Status2]]="","Open",CommitmentsTable[[#This Row],[Status2]]))</f>
        <v/>
      </c>
      <c r="U445" s="237" t="str">
        <f t="shared" ca="1" si="6"/>
        <v/>
      </c>
      <c r="V445" s="233"/>
      <c r="W445" s="63" t="s">
        <v>1412</v>
      </c>
    </row>
    <row r="446" spans="1:23" ht="39">
      <c r="A446" s="213" t="str">
        <f>IF(OR(CommitmentsTable[[#This Row],[Commitment / deliverable]]="",CommitmentsTable[[#This Row],[Immutable Key]]=""),"",SUBSTITUTE(CommitmentsTable[[#This Row],[Immutable Key]],"-K-","-"))</f>
        <v/>
      </c>
      <c r="B446" s="233"/>
      <c r="C446" s="233"/>
      <c r="D446" s="213"/>
      <c r="E446" s="230"/>
      <c r="F446" s="213"/>
      <c r="G446" s="245" t="str">
        <f ca="1">IF(CommitmentsTable[[#This Row],[Commitment / deliverable]]="","",IF(CommitmentsTable[[#This Row],[Date record entered]]="",TODAY(),CommitmentsTable[[#This Row],[Date record entered]]))</f>
        <v/>
      </c>
      <c r="H446" s="245"/>
      <c r="I446" s="245" t="str">
        <f ca="1">IF(CommitmentsTable[[#This Row],[Date Assigned if different from entry date]]&lt;&gt;"",CommitmentsTable[[#This Row],[Date Assigned if different from entry date]]+90,IF(CommitmentsTable[[#This Row],[Date record entered]]&lt;&gt;"",CommitmentsTable[[#This Row],[Date record entered]]+90,""))</f>
        <v/>
      </c>
      <c r="J446" s="245" t="str">
        <f ca="1">IF(CommitmentsTable[[#This Row],[Date Assigned if different from entry date]]&lt;&gt;"",CommitmentsTable[[#This Row],[Date Assigned if different from entry date]]+30,IF(CommitmentsTable[[#This Row],[Date record entered]]&lt;&gt;"",CommitmentsTable[[#This Row],[Date record entered]]+30,""))</f>
        <v/>
      </c>
      <c r="K446" s="245"/>
      <c r="L446" s="245" t="str">
        <f ca="1">IF(CommitmentsTable[[#This Row],[Date Assigned if different from entry date]]&lt;&gt;"",CommitmentsTable[[#This Row],[Date Assigned if different from entry date]]+60,IF(CommitmentsTable[[#This Row],[Date record entered]]&lt;&gt;"",CommitmentsTable[[#This Row],[Date record entered]]+60,""))</f>
        <v/>
      </c>
      <c r="M446" s="214"/>
      <c r="N446" s="214"/>
      <c r="O446" s="236"/>
      <c r="P446" s="214"/>
      <c r="Q446" s="214"/>
      <c r="R446" s="214"/>
      <c r="S446" s="238" t="str">
        <f>IF(CommitmentsTable[[#This Row],[Commitment / deliverable]]="","",IF(CommitmentsTable[[#This Row],[Revised due]]&lt;&gt;"",CommitmentsTable[[#This Row],[Revised due]],CommitmentsTable[[#This Row],[Original due]]))</f>
        <v/>
      </c>
      <c r="T446" s="237" t="str">
        <f>IF(OR(CommitmentsTable[[#This Row],[Commitment / deliverable]]="",CommitmentsTable[[#This Row],[Owner]]=""),"",IF(CommitmentsTable[[#This Row],[Status2]]="","Open",CommitmentsTable[[#This Row],[Status2]]))</f>
        <v/>
      </c>
      <c r="U446" s="237" t="str">
        <f t="shared" ca="1" si="6"/>
        <v/>
      </c>
      <c r="V446" s="233"/>
      <c r="W446" s="63" t="s">
        <v>1413</v>
      </c>
    </row>
    <row r="447" spans="1:23" ht="39">
      <c r="A447" s="213" t="str">
        <f>IF(OR(CommitmentsTable[[#This Row],[Commitment / deliverable]]="",CommitmentsTable[[#This Row],[Immutable Key]]=""),"",SUBSTITUTE(CommitmentsTable[[#This Row],[Immutable Key]],"-K-","-"))</f>
        <v/>
      </c>
      <c r="B447" s="233"/>
      <c r="C447" s="233"/>
      <c r="D447" s="213"/>
      <c r="E447" s="230"/>
      <c r="F447" s="213"/>
      <c r="G447" s="245" t="str">
        <f ca="1">IF(CommitmentsTable[[#This Row],[Commitment / deliverable]]="","",IF(CommitmentsTable[[#This Row],[Date record entered]]="",TODAY(),CommitmentsTable[[#This Row],[Date record entered]]))</f>
        <v/>
      </c>
      <c r="H447" s="245"/>
      <c r="I447" s="245" t="str">
        <f ca="1">IF(CommitmentsTable[[#This Row],[Date Assigned if different from entry date]]&lt;&gt;"",CommitmentsTable[[#This Row],[Date Assigned if different from entry date]]+90,IF(CommitmentsTable[[#This Row],[Date record entered]]&lt;&gt;"",CommitmentsTable[[#This Row],[Date record entered]]+90,""))</f>
        <v/>
      </c>
      <c r="J447" s="245" t="str">
        <f ca="1">IF(CommitmentsTable[[#This Row],[Date Assigned if different from entry date]]&lt;&gt;"",CommitmentsTable[[#This Row],[Date Assigned if different from entry date]]+30,IF(CommitmentsTable[[#This Row],[Date record entered]]&lt;&gt;"",CommitmentsTable[[#This Row],[Date record entered]]+30,""))</f>
        <v/>
      </c>
      <c r="K447" s="245"/>
      <c r="L447" s="245" t="str">
        <f ca="1">IF(CommitmentsTable[[#This Row],[Date Assigned if different from entry date]]&lt;&gt;"",CommitmentsTable[[#This Row],[Date Assigned if different from entry date]]+60,IF(CommitmentsTable[[#This Row],[Date record entered]]&lt;&gt;"",CommitmentsTable[[#This Row],[Date record entered]]+60,""))</f>
        <v/>
      </c>
      <c r="M447" s="214"/>
      <c r="N447" s="214"/>
      <c r="O447" s="236"/>
      <c r="P447" s="214"/>
      <c r="Q447" s="214"/>
      <c r="R447" s="214"/>
      <c r="S447" s="238" t="str">
        <f>IF(CommitmentsTable[[#This Row],[Commitment / deliverable]]="","",IF(CommitmentsTable[[#This Row],[Revised due]]&lt;&gt;"",CommitmentsTable[[#This Row],[Revised due]],CommitmentsTable[[#This Row],[Original due]]))</f>
        <v/>
      </c>
      <c r="T447" s="237" t="str">
        <f>IF(OR(CommitmentsTable[[#This Row],[Commitment / deliverable]]="",CommitmentsTable[[#This Row],[Owner]]=""),"",IF(CommitmentsTable[[#This Row],[Status2]]="","Open",CommitmentsTable[[#This Row],[Status2]]))</f>
        <v/>
      </c>
      <c r="U447" s="237" t="str">
        <f t="shared" ca="1" si="6"/>
        <v/>
      </c>
      <c r="V447" s="233"/>
      <c r="W447" s="63" t="s">
        <v>1414</v>
      </c>
    </row>
    <row r="448" spans="1:23" ht="39">
      <c r="A448" s="213" t="str">
        <f>IF(OR(CommitmentsTable[[#This Row],[Commitment / deliverable]]="",CommitmentsTable[[#This Row],[Immutable Key]]=""),"",SUBSTITUTE(CommitmentsTable[[#This Row],[Immutable Key]],"-K-","-"))</f>
        <v/>
      </c>
      <c r="B448" s="233"/>
      <c r="C448" s="233"/>
      <c r="D448" s="213"/>
      <c r="E448" s="230"/>
      <c r="F448" s="213"/>
      <c r="G448" s="245" t="str">
        <f ca="1">IF(CommitmentsTable[[#This Row],[Commitment / deliverable]]="","",IF(CommitmentsTable[[#This Row],[Date record entered]]="",TODAY(),CommitmentsTable[[#This Row],[Date record entered]]))</f>
        <v/>
      </c>
      <c r="H448" s="245"/>
      <c r="I448" s="245" t="str">
        <f ca="1">IF(CommitmentsTable[[#This Row],[Date Assigned if different from entry date]]&lt;&gt;"",CommitmentsTable[[#This Row],[Date Assigned if different from entry date]]+90,IF(CommitmentsTable[[#This Row],[Date record entered]]&lt;&gt;"",CommitmentsTable[[#This Row],[Date record entered]]+90,""))</f>
        <v/>
      </c>
      <c r="J448" s="245" t="str">
        <f ca="1">IF(CommitmentsTable[[#This Row],[Date Assigned if different from entry date]]&lt;&gt;"",CommitmentsTable[[#This Row],[Date Assigned if different from entry date]]+30,IF(CommitmentsTable[[#This Row],[Date record entered]]&lt;&gt;"",CommitmentsTable[[#This Row],[Date record entered]]+30,""))</f>
        <v/>
      </c>
      <c r="K448" s="245"/>
      <c r="L448" s="245" t="str">
        <f ca="1">IF(CommitmentsTable[[#This Row],[Date Assigned if different from entry date]]&lt;&gt;"",CommitmentsTable[[#This Row],[Date Assigned if different from entry date]]+60,IF(CommitmentsTable[[#This Row],[Date record entered]]&lt;&gt;"",CommitmentsTable[[#This Row],[Date record entered]]+60,""))</f>
        <v/>
      </c>
      <c r="M448" s="214"/>
      <c r="N448" s="214"/>
      <c r="O448" s="236"/>
      <c r="P448" s="214"/>
      <c r="Q448" s="214"/>
      <c r="R448" s="214"/>
      <c r="S448" s="238" t="str">
        <f>IF(CommitmentsTable[[#This Row],[Commitment / deliverable]]="","",IF(CommitmentsTable[[#This Row],[Revised due]]&lt;&gt;"",CommitmentsTable[[#This Row],[Revised due]],CommitmentsTable[[#This Row],[Original due]]))</f>
        <v/>
      </c>
      <c r="T448" s="237" t="str">
        <f>IF(OR(CommitmentsTable[[#This Row],[Commitment / deliverable]]="",CommitmentsTable[[#This Row],[Owner]]=""),"",IF(CommitmentsTable[[#This Row],[Status2]]="","Open",CommitmentsTable[[#This Row],[Status2]]))</f>
        <v/>
      </c>
      <c r="U448" s="237" t="str">
        <f t="shared" ca="1" si="6"/>
        <v/>
      </c>
      <c r="V448" s="233"/>
      <c r="W448" s="63" t="s">
        <v>1415</v>
      </c>
    </row>
    <row r="449" spans="1:23" ht="39">
      <c r="A449" s="213" t="str">
        <f>IF(OR(CommitmentsTable[[#This Row],[Commitment / deliverable]]="",CommitmentsTable[[#This Row],[Immutable Key]]=""),"",SUBSTITUTE(CommitmentsTable[[#This Row],[Immutable Key]],"-K-","-"))</f>
        <v/>
      </c>
      <c r="B449" s="233"/>
      <c r="C449" s="233"/>
      <c r="D449" s="213"/>
      <c r="E449" s="230"/>
      <c r="F449" s="213"/>
      <c r="G449" s="245" t="str">
        <f ca="1">IF(CommitmentsTable[[#This Row],[Commitment / deliverable]]="","",IF(CommitmentsTable[[#This Row],[Date record entered]]="",TODAY(),CommitmentsTable[[#This Row],[Date record entered]]))</f>
        <v/>
      </c>
      <c r="H449" s="245"/>
      <c r="I449" s="245" t="str">
        <f ca="1">IF(CommitmentsTable[[#This Row],[Date Assigned if different from entry date]]&lt;&gt;"",CommitmentsTable[[#This Row],[Date Assigned if different from entry date]]+90,IF(CommitmentsTable[[#This Row],[Date record entered]]&lt;&gt;"",CommitmentsTable[[#This Row],[Date record entered]]+90,""))</f>
        <v/>
      </c>
      <c r="J449" s="245" t="str">
        <f ca="1">IF(CommitmentsTable[[#This Row],[Date Assigned if different from entry date]]&lt;&gt;"",CommitmentsTable[[#This Row],[Date Assigned if different from entry date]]+30,IF(CommitmentsTable[[#This Row],[Date record entered]]&lt;&gt;"",CommitmentsTable[[#This Row],[Date record entered]]+30,""))</f>
        <v/>
      </c>
      <c r="K449" s="245"/>
      <c r="L449" s="245" t="str">
        <f ca="1">IF(CommitmentsTable[[#This Row],[Date Assigned if different from entry date]]&lt;&gt;"",CommitmentsTable[[#This Row],[Date Assigned if different from entry date]]+60,IF(CommitmentsTable[[#This Row],[Date record entered]]&lt;&gt;"",CommitmentsTable[[#This Row],[Date record entered]]+60,""))</f>
        <v/>
      </c>
      <c r="M449" s="214"/>
      <c r="N449" s="214"/>
      <c r="O449" s="236"/>
      <c r="P449" s="214"/>
      <c r="Q449" s="214"/>
      <c r="R449" s="214"/>
      <c r="S449" s="238" t="str">
        <f>IF(CommitmentsTable[[#This Row],[Commitment / deliverable]]="","",IF(CommitmentsTable[[#This Row],[Revised due]]&lt;&gt;"",CommitmentsTable[[#This Row],[Revised due]],CommitmentsTable[[#This Row],[Original due]]))</f>
        <v/>
      </c>
      <c r="T449" s="237" t="str">
        <f>IF(OR(CommitmentsTable[[#This Row],[Commitment / deliverable]]="",CommitmentsTable[[#This Row],[Owner]]=""),"",IF(CommitmentsTable[[#This Row],[Status2]]="","Open",CommitmentsTable[[#This Row],[Status2]]))</f>
        <v/>
      </c>
      <c r="U449" s="237" t="str">
        <f t="shared" ca="1" si="6"/>
        <v/>
      </c>
      <c r="V449" s="233"/>
      <c r="W449" s="63" t="s">
        <v>1416</v>
      </c>
    </row>
    <row r="450" spans="1:23" ht="39">
      <c r="A450" s="213" t="str">
        <f>IF(OR(CommitmentsTable[[#This Row],[Commitment / deliverable]]="",CommitmentsTable[[#This Row],[Immutable Key]]=""),"",SUBSTITUTE(CommitmentsTable[[#This Row],[Immutable Key]],"-K-","-"))</f>
        <v/>
      </c>
      <c r="B450" s="233"/>
      <c r="C450" s="233"/>
      <c r="D450" s="213"/>
      <c r="E450" s="230"/>
      <c r="F450" s="213"/>
      <c r="G450" s="245" t="str">
        <f ca="1">IF(CommitmentsTable[[#This Row],[Commitment / deliverable]]="","",IF(CommitmentsTable[[#This Row],[Date record entered]]="",TODAY(),CommitmentsTable[[#This Row],[Date record entered]]))</f>
        <v/>
      </c>
      <c r="H450" s="245"/>
      <c r="I450" s="245" t="str">
        <f ca="1">IF(CommitmentsTable[[#This Row],[Date Assigned if different from entry date]]&lt;&gt;"",CommitmentsTable[[#This Row],[Date Assigned if different from entry date]]+90,IF(CommitmentsTable[[#This Row],[Date record entered]]&lt;&gt;"",CommitmentsTable[[#This Row],[Date record entered]]+90,""))</f>
        <v/>
      </c>
      <c r="J450" s="245" t="str">
        <f ca="1">IF(CommitmentsTable[[#This Row],[Date Assigned if different from entry date]]&lt;&gt;"",CommitmentsTable[[#This Row],[Date Assigned if different from entry date]]+30,IF(CommitmentsTable[[#This Row],[Date record entered]]&lt;&gt;"",CommitmentsTable[[#This Row],[Date record entered]]+30,""))</f>
        <v/>
      </c>
      <c r="K450" s="245"/>
      <c r="L450" s="245" t="str">
        <f ca="1">IF(CommitmentsTable[[#This Row],[Date Assigned if different from entry date]]&lt;&gt;"",CommitmentsTable[[#This Row],[Date Assigned if different from entry date]]+60,IF(CommitmentsTable[[#This Row],[Date record entered]]&lt;&gt;"",CommitmentsTable[[#This Row],[Date record entered]]+60,""))</f>
        <v/>
      </c>
      <c r="M450" s="214"/>
      <c r="N450" s="214"/>
      <c r="O450" s="236"/>
      <c r="P450" s="214"/>
      <c r="Q450" s="214"/>
      <c r="R450" s="214"/>
      <c r="S450" s="238" t="str">
        <f>IF(CommitmentsTable[[#This Row],[Commitment / deliverable]]="","",IF(CommitmentsTable[[#This Row],[Revised due]]&lt;&gt;"",CommitmentsTable[[#This Row],[Revised due]],CommitmentsTable[[#This Row],[Original due]]))</f>
        <v/>
      </c>
      <c r="T450" s="237" t="str">
        <f>IF(OR(CommitmentsTable[[#This Row],[Commitment / deliverable]]="",CommitmentsTable[[#This Row],[Owner]]=""),"",IF(CommitmentsTable[[#This Row],[Status2]]="","Open",CommitmentsTable[[#This Row],[Status2]]))</f>
        <v/>
      </c>
      <c r="U450" s="237" t="str">
        <f t="shared" ca="1" si="6"/>
        <v/>
      </c>
      <c r="V450" s="233"/>
      <c r="W450" s="63" t="s">
        <v>1417</v>
      </c>
    </row>
    <row r="451" spans="1:23" ht="39">
      <c r="A451" s="213" t="str">
        <f>IF(OR(CommitmentsTable[[#This Row],[Commitment / deliverable]]="",CommitmentsTable[[#This Row],[Immutable Key]]=""),"",SUBSTITUTE(CommitmentsTable[[#This Row],[Immutable Key]],"-K-","-"))</f>
        <v/>
      </c>
      <c r="B451" s="233"/>
      <c r="C451" s="233"/>
      <c r="D451" s="213"/>
      <c r="E451" s="230"/>
      <c r="F451" s="213"/>
      <c r="G451" s="245" t="str">
        <f ca="1">IF(CommitmentsTable[[#This Row],[Commitment / deliverable]]="","",IF(CommitmentsTable[[#This Row],[Date record entered]]="",TODAY(),CommitmentsTable[[#This Row],[Date record entered]]))</f>
        <v/>
      </c>
      <c r="H451" s="245"/>
      <c r="I451" s="245" t="str">
        <f ca="1">IF(CommitmentsTable[[#This Row],[Date Assigned if different from entry date]]&lt;&gt;"",CommitmentsTable[[#This Row],[Date Assigned if different from entry date]]+90,IF(CommitmentsTable[[#This Row],[Date record entered]]&lt;&gt;"",CommitmentsTable[[#This Row],[Date record entered]]+90,""))</f>
        <v/>
      </c>
      <c r="J451" s="245" t="str">
        <f ca="1">IF(CommitmentsTable[[#This Row],[Date Assigned if different from entry date]]&lt;&gt;"",CommitmentsTable[[#This Row],[Date Assigned if different from entry date]]+30,IF(CommitmentsTable[[#This Row],[Date record entered]]&lt;&gt;"",CommitmentsTable[[#This Row],[Date record entered]]+30,""))</f>
        <v/>
      </c>
      <c r="K451" s="245"/>
      <c r="L451" s="245" t="str">
        <f ca="1">IF(CommitmentsTable[[#This Row],[Date Assigned if different from entry date]]&lt;&gt;"",CommitmentsTable[[#This Row],[Date Assigned if different from entry date]]+60,IF(CommitmentsTable[[#This Row],[Date record entered]]&lt;&gt;"",CommitmentsTable[[#This Row],[Date record entered]]+60,""))</f>
        <v/>
      </c>
      <c r="M451" s="214"/>
      <c r="N451" s="214"/>
      <c r="O451" s="236"/>
      <c r="P451" s="214"/>
      <c r="Q451" s="214"/>
      <c r="R451" s="214"/>
      <c r="S451" s="238" t="str">
        <f>IF(CommitmentsTable[[#This Row],[Commitment / deliverable]]="","",IF(CommitmentsTable[[#This Row],[Revised due]]&lt;&gt;"",CommitmentsTable[[#This Row],[Revised due]],CommitmentsTable[[#This Row],[Original due]]))</f>
        <v/>
      </c>
      <c r="T451" s="237" t="str">
        <f>IF(OR(CommitmentsTable[[#This Row],[Commitment / deliverable]]="",CommitmentsTable[[#This Row],[Owner]]=""),"",IF(CommitmentsTable[[#This Row],[Status2]]="","Open",CommitmentsTable[[#This Row],[Status2]]))</f>
        <v/>
      </c>
      <c r="U451" s="237" t="str">
        <f t="shared" ca="1" si="6"/>
        <v/>
      </c>
      <c r="V451" s="233"/>
      <c r="W451" s="63" t="s">
        <v>1418</v>
      </c>
    </row>
    <row r="452" spans="1:23" ht="39">
      <c r="A452" s="213" t="str">
        <f>IF(OR(CommitmentsTable[[#This Row],[Commitment / deliverable]]="",CommitmentsTable[[#This Row],[Immutable Key]]=""),"",SUBSTITUTE(CommitmentsTable[[#This Row],[Immutable Key]],"-K-","-"))</f>
        <v/>
      </c>
      <c r="B452" s="233"/>
      <c r="C452" s="233"/>
      <c r="D452" s="213"/>
      <c r="E452" s="230"/>
      <c r="F452" s="213"/>
      <c r="G452" s="245" t="str">
        <f ca="1">IF(CommitmentsTable[[#This Row],[Commitment / deliverable]]="","",IF(CommitmentsTable[[#This Row],[Date record entered]]="",TODAY(),CommitmentsTable[[#This Row],[Date record entered]]))</f>
        <v/>
      </c>
      <c r="H452" s="245"/>
      <c r="I452" s="245" t="str">
        <f ca="1">IF(CommitmentsTable[[#This Row],[Date Assigned if different from entry date]]&lt;&gt;"",CommitmentsTable[[#This Row],[Date Assigned if different from entry date]]+90,IF(CommitmentsTable[[#This Row],[Date record entered]]&lt;&gt;"",CommitmentsTable[[#This Row],[Date record entered]]+90,""))</f>
        <v/>
      </c>
      <c r="J452" s="245" t="str">
        <f ca="1">IF(CommitmentsTable[[#This Row],[Date Assigned if different from entry date]]&lt;&gt;"",CommitmentsTable[[#This Row],[Date Assigned if different from entry date]]+30,IF(CommitmentsTable[[#This Row],[Date record entered]]&lt;&gt;"",CommitmentsTable[[#This Row],[Date record entered]]+30,""))</f>
        <v/>
      </c>
      <c r="K452" s="245"/>
      <c r="L452" s="245" t="str">
        <f ca="1">IF(CommitmentsTable[[#This Row],[Date Assigned if different from entry date]]&lt;&gt;"",CommitmentsTable[[#This Row],[Date Assigned if different from entry date]]+60,IF(CommitmentsTable[[#This Row],[Date record entered]]&lt;&gt;"",CommitmentsTable[[#This Row],[Date record entered]]+60,""))</f>
        <v/>
      </c>
      <c r="M452" s="214"/>
      <c r="N452" s="214"/>
      <c r="O452" s="236"/>
      <c r="P452" s="214"/>
      <c r="Q452" s="214"/>
      <c r="R452" s="214"/>
      <c r="S452" s="238" t="str">
        <f>IF(CommitmentsTable[[#This Row],[Commitment / deliverable]]="","",IF(CommitmentsTable[[#This Row],[Revised due]]&lt;&gt;"",CommitmentsTable[[#This Row],[Revised due]],CommitmentsTable[[#This Row],[Original due]]))</f>
        <v/>
      </c>
      <c r="T452" s="237" t="str">
        <f>IF(OR(CommitmentsTable[[#This Row],[Commitment / deliverable]]="",CommitmentsTable[[#This Row],[Owner]]=""),"",IF(CommitmentsTable[[#This Row],[Status2]]="","Open",CommitmentsTable[[#This Row],[Status2]]))</f>
        <v/>
      </c>
      <c r="U452" s="237" t="str">
        <f t="shared" ca="1" si="6"/>
        <v/>
      </c>
      <c r="V452" s="233"/>
      <c r="W452" s="63" t="s">
        <v>1419</v>
      </c>
    </row>
    <row r="453" spans="1:23" ht="39">
      <c r="A453" s="213" t="str">
        <f>IF(OR(CommitmentsTable[[#This Row],[Commitment / deliverable]]="",CommitmentsTable[[#This Row],[Immutable Key]]=""),"",SUBSTITUTE(CommitmentsTable[[#This Row],[Immutable Key]],"-K-","-"))</f>
        <v/>
      </c>
      <c r="B453" s="233"/>
      <c r="C453" s="233"/>
      <c r="D453" s="213"/>
      <c r="E453" s="230"/>
      <c r="F453" s="213"/>
      <c r="G453" s="245" t="str">
        <f ca="1">IF(CommitmentsTable[[#This Row],[Commitment / deliverable]]="","",IF(CommitmentsTable[[#This Row],[Date record entered]]="",TODAY(),CommitmentsTable[[#This Row],[Date record entered]]))</f>
        <v/>
      </c>
      <c r="H453" s="245"/>
      <c r="I453" s="245" t="str">
        <f ca="1">IF(CommitmentsTable[[#This Row],[Date Assigned if different from entry date]]&lt;&gt;"",CommitmentsTable[[#This Row],[Date Assigned if different from entry date]]+90,IF(CommitmentsTable[[#This Row],[Date record entered]]&lt;&gt;"",CommitmentsTable[[#This Row],[Date record entered]]+90,""))</f>
        <v/>
      </c>
      <c r="J453" s="245" t="str">
        <f ca="1">IF(CommitmentsTable[[#This Row],[Date Assigned if different from entry date]]&lt;&gt;"",CommitmentsTable[[#This Row],[Date Assigned if different from entry date]]+30,IF(CommitmentsTable[[#This Row],[Date record entered]]&lt;&gt;"",CommitmentsTable[[#This Row],[Date record entered]]+30,""))</f>
        <v/>
      </c>
      <c r="K453" s="245"/>
      <c r="L453" s="245" t="str">
        <f ca="1">IF(CommitmentsTable[[#This Row],[Date Assigned if different from entry date]]&lt;&gt;"",CommitmentsTable[[#This Row],[Date Assigned if different from entry date]]+60,IF(CommitmentsTable[[#This Row],[Date record entered]]&lt;&gt;"",CommitmentsTable[[#This Row],[Date record entered]]+60,""))</f>
        <v/>
      </c>
      <c r="M453" s="214"/>
      <c r="N453" s="214"/>
      <c r="O453" s="236"/>
      <c r="P453" s="214"/>
      <c r="Q453" s="214"/>
      <c r="R453" s="214"/>
      <c r="S453" s="238" t="str">
        <f>IF(CommitmentsTable[[#This Row],[Commitment / deliverable]]="","",IF(CommitmentsTable[[#This Row],[Revised due]]&lt;&gt;"",CommitmentsTable[[#This Row],[Revised due]],CommitmentsTable[[#This Row],[Original due]]))</f>
        <v/>
      </c>
      <c r="T453" s="237" t="str">
        <f>IF(OR(CommitmentsTable[[#This Row],[Commitment / deliverable]]="",CommitmentsTable[[#This Row],[Owner]]=""),"",IF(CommitmentsTable[[#This Row],[Status2]]="","Open",CommitmentsTable[[#This Row],[Status2]]))</f>
        <v/>
      </c>
      <c r="U453" s="237" t="str">
        <f t="shared" ca="1" si="6"/>
        <v/>
      </c>
      <c r="V453" s="233"/>
      <c r="W453" s="63" t="s">
        <v>1420</v>
      </c>
    </row>
    <row r="454" spans="1:23" ht="39">
      <c r="A454" s="213" t="str">
        <f>IF(OR(CommitmentsTable[[#This Row],[Commitment / deliverable]]="",CommitmentsTable[[#This Row],[Immutable Key]]=""),"",SUBSTITUTE(CommitmentsTable[[#This Row],[Immutable Key]],"-K-","-"))</f>
        <v/>
      </c>
      <c r="B454" s="233"/>
      <c r="C454" s="233"/>
      <c r="D454" s="213"/>
      <c r="E454" s="230"/>
      <c r="F454" s="213"/>
      <c r="G454" s="245" t="str">
        <f ca="1">IF(CommitmentsTable[[#This Row],[Commitment / deliverable]]="","",IF(CommitmentsTable[[#This Row],[Date record entered]]="",TODAY(),CommitmentsTable[[#This Row],[Date record entered]]))</f>
        <v/>
      </c>
      <c r="H454" s="245"/>
      <c r="I454" s="245" t="str">
        <f ca="1">IF(CommitmentsTable[[#This Row],[Date Assigned if different from entry date]]&lt;&gt;"",CommitmentsTable[[#This Row],[Date Assigned if different from entry date]]+90,IF(CommitmentsTable[[#This Row],[Date record entered]]&lt;&gt;"",CommitmentsTable[[#This Row],[Date record entered]]+90,""))</f>
        <v/>
      </c>
      <c r="J454" s="245" t="str">
        <f ca="1">IF(CommitmentsTable[[#This Row],[Date Assigned if different from entry date]]&lt;&gt;"",CommitmentsTable[[#This Row],[Date Assigned if different from entry date]]+30,IF(CommitmentsTable[[#This Row],[Date record entered]]&lt;&gt;"",CommitmentsTable[[#This Row],[Date record entered]]+30,""))</f>
        <v/>
      </c>
      <c r="K454" s="245"/>
      <c r="L454" s="245" t="str">
        <f ca="1">IF(CommitmentsTable[[#This Row],[Date Assigned if different from entry date]]&lt;&gt;"",CommitmentsTable[[#This Row],[Date Assigned if different from entry date]]+60,IF(CommitmentsTable[[#This Row],[Date record entered]]&lt;&gt;"",CommitmentsTable[[#This Row],[Date record entered]]+60,""))</f>
        <v/>
      </c>
      <c r="M454" s="214"/>
      <c r="N454" s="214"/>
      <c r="O454" s="236"/>
      <c r="P454" s="214"/>
      <c r="Q454" s="214"/>
      <c r="R454" s="214"/>
      <c r="S454" s="238" t="str">
        <f>IF(CommitmentsTable[[#This Row],[Commitment / deliverable]]="","",IF(CommitmentsTable[[#This Row],[Revised due]]&lt;&gt;"",CommitmentsTable[[#This Row],[Revised due]],CommitmentsTable[[#This Row],[Original due]]))</f>
        <v/>
      </c>
      <c r="T454" s="237" t="str">
        <f>IF(OR(CommitmentsTable[[#This Row],[Commitment / deliverable]]="",CommitmentsTable[[#This Row],[Owner]]=""),"",IF(CommitmentsTable[[#This Row],[Status2]]="","Open",CommitmentsTable[[#This Row],[Status2]]))</f>
        <v/>
      </c>
      <c r="U454" s="237" t="str">
        <f t="shared" ca="1" si="6"/>
        <v/>
      </c>
      <c r="V454" s="233"/>
      <c r="W454" s="63" t="s">
        <v>1421</v>
      </c>
    </row>
    <row r="455" spans="1:23" ht="39">
      <c r="A455" s="213" t="str">
        <f>IF(OR(CommitmentsTable[[#This Row],[Commitment / deliverable]]="",CommitmentsTable[[#This Row],[Immutable Key]]=""),"",SUBSTITUTE(CommitmentsTable[[#This Row],[Immutable Key]],"-K-","-"))</f>
        <v/>
      </c>
      <c r="B455" s="233"/>
      <c r="C455" s="233"/>
      <c r="D455" s="213"/>
      <c r="E455" s="230"/>
      <c r="F455" s="213"/>
      <c r="G455" s="245" t="str">
        <f ca="1">IF(CommitmentsTable[[#This Row],[Commitment / deliverable]]="","",IF(CommitmentsTable[[#This Row],[Date record entered]]="",TODAY(),CommitmentsTable[[#This Row],[Date record entered]]))</f>
        <v/>
      </c>
      <c r="H455" s="245"/>
      <c r="I455" s="245" t="str">
        <f ca="1">IF(CommitmentsTable[[#This Row],[Date Assigned if different from entry date]]&lt;&gt;"",CommitmentsTable[[#This Row],[Date Assigned if different from entry date]]+90,IF(CommitmentsTable[[#This Row],[Date record entered]]&lt;&gt;"",CommitmentsTable[[#This Row],[Date record entered]]+90,""))</f>
        <v/>
      </c>
      <c r="J455" s="245" t="str">
        <f ca="1">IF(CommitmentsTable[[#This Row],[Date Assigned if different from entry date]]&lt;&gt;"",CommitmentsTable[[#This Row],[Date Assigned if different from entry date]]+30,IF(CommitmentsTable[[#This Row],[Date record entered]]&lt;&gt;"",CommitmentsTable[[#This Row],[Date record entered]]+30,""))</f>
        <v/>
      </c>
      <c r="K455" s="245"/>
      <c r="L455" s="245" t="str">
        <f ca="1">IF(CommitmentsTable[[#This Row],[Date Assigned if different from entry date]]&lt;&gt;"",CommitmentsTable[[#This Row],[Date Assigned if different from entry date]]+60,IF(CommitmentsTable[[#This Row],[Date record entered]]&lt;&gt;"",CommitmentsTable[[#This Row],[Date record entered]]+60,""))</f>
        <v/>
      </c>
      <c r="M455" s="214"/>
      <c r="N455" s="214"/>
      <c r="O455" s="236"/>
      <c r="P455" s="214"/>
      <c r="Q455" s="214"/>
      <c r="R455" s="214"/>
      <c r="S455" s="238" t="str">
        <f>IF(CommitmentsTable[[#This Row],[Commitment / deliverable]]="","",IF(CommitmentsTable[[#This Row],[Revised due]]&lt;&gt;"",CommitmentsTable[[#This Row],[Revised due]],CommitmentsTable[[#This Row],[Original due]]))</f>
        <v/>
      </c>
      <c r="T455" s="237" t="str">
        <f>IF(OR(CommitmentsTable[[#This Row],[Commitment / deliverable]]="",CommitmentsTable[[#This Row],[Owner]]=""),"",IF(CommitmentsTable[[#This Row],[Status2]]="","Open",CommitmentsTable[[#This Row],[Status2]]))</f>
        <v/>
      </c>
      <c r="U455" s="237" t="str">
        <f t="shared" ca="1" si="6"/>
        <v/>
      </c>
      <c r="V455" s="233"/>
      <c r="W455" s="63" t="s">
        <v>1422</v>
      </c>
    </row>
    <row r="456" spans="1:23" ht="39">
      <c r="A456" s="213" t="str">
        <f>IF(OR(CommitmentsTable[[#This Row],[Commitment / deliverable]]="",CommitmentsTable[[#This Row],[Immutable Key]]=""),"",SUBSTITUTE(CommitmentsTable[[#This Row],[Immutable Key]],"-K-","-"))</f>
        <v/>
      </c>
      <c r="B456" s="233"/>
      <c r="C456" s="233"/>
      <c r="D456" s="213"/>
      <c r="E456" s="230"/>
      <c r="F456" s="213"/>
      <c r="G456" s="245" t="str">
        <f ca="1">IF(CommitmentsTable[[#This Row],[Commitment / deliverable]]="","",IF(CommitmentsTable[[#This Row],[Date record entered]]="",TODAY(),CommitmentsTable[[#This Row],[Date record entered]]))</f>
        <v/>
      </c>
      <c r="H456" s="245"/>
      <c r="I456" s="245" t="str">
        <f ca="1">IF(CommitmentsTable[[#This Row],[Date Assigned if different from entry date]]&lt;&gt;"",CommitmentsTable[[#This Row],[Date Assigned if different from entry date]]+90,IF(CommitmentsTable[[#This Row],[Date record entered]]&lt;&gt;"",CommitmentsTable[[#This Row],[Date record entered]]+90,""))</f>
        <v/>
      </c>
      <c r="J456" s="245" t="str">
        <f ca="1">IF(CommitmentsTable[[#This Row],[Date Assigned if different from entry date]]&lt;&gt;"",CommitmentsTable[[#This Row],[Date Assigned if different from entry date]]+30,IF(CommitmentsTable[[#This Row],[Date record entered]]&lt;&gt;"",CommitmentsTable[[#This Row],[Date record entered]]+30,""))</f>
        <v/>
      </c>
      <c r="K456" s="245"/>
      <c r="L456" s="245" t="str">
        <f ca="1">IF(CommitmentsTable[[#This Row],[Date Assigned if different from entry date]]&lt;&gt;"",CommitmentsTable[[#This Row],[Date Assigned if different from entry date]]+60,IF(CommitmentsTable[[#This Row],[Date record entered]]&lt;&gt;"",CommitmentsTable[[#This Row],[Date record entered]]+60,""))</f>
        <v/>
      </c>
      <c r="M456" s="214"/>
      <c r="N456" s="214"/>
      <c r="O456" s="236"/>
      <c r="P456" s="214"/>
      <c r="Q456" s="214"/>
      <c r="R456" s="214"/>
      <c r="S456" s="238" t="str">
        <f>IF(CommitmentsTable[[#This Row],[Commitment / deliverable]]="","",IF(CommitmentsTable[[#This Row],[Revised due]]&lt;&gt;"",CommitmentsTable[[#This Row],[Revised due]],CommitmentsTable[[#This Row],[Original due]]))</f>
        <v/>
      </c>
      <c r="T456" s="237" t="str">
        <f>IF(OR(CommitmentsTable[[#This Row],[Commitment / deliverable]]="",CommitmentsTable[[#This Row],[Owner]]=""),"",IF(CommitmentsTable[[#This Row],[Status2]]="","Open",CommitmentsTable[[#This Row],[Status2]]))</f>
        <v/>
      </c>
      <c r="U456" s="237" t="str">
        <f t="shared" ca="1" si="6"/>
        <v/>
      </c>
      <c r="V456" s="233"/>
      <c r="W456" s="63" t="s">
        <v>1423</v>
      </c>
    </row>
    <row r="457" spans="1:23" ht="39">
      <c r="A457" s="213" t="str">
        <f>IF(OR(CommitmentsTable[[#This Row],[Commitment / deliverable]]="",CommitmentsTable[[#This Row],[Immutable Key]]=""),"",SUBSTITUTE(CommitmentsTable[[#This Row],[Immutable Key]],"-K-","-"))</f>
        <v/>
      </c>
      <c r="B457" s="233"/>
      <c r="C457" s="233"/>
      <c r="D457" s="213"/>
      <c r="E457" s="230"/>
      <c r="F457" s="213"/>
      <c r="G457" s="245" t="str">
        <f ca="1">IF(CommitmentsTable[[#This Row],[Commitment / deliverable]]="","",IF(CommitmentsTable[[#This Row],[Date record entered]]="",TODAY(),CommitmentsTable[[#This Row],[Date record entered]]))</f>
        <v/>
      </c>
      <c r="H457" s="245"/>
      <c r="I457" s="245" t="str">
        <f ca="1">IF(CommitmentsTable[[#This Row],[Date Assigned if different from entry date]]&lt;&gt;"",CommitmentsTable[[#This Row],[Date Assigned if different from entry date]]+90,IF(CommitmentsTable[[#This Row],[Date record entered]]&lt;&gt;"",CommitmentsTable[[#This Row],[Date record entered]]+90,""))</f>
        <v/>
      </c>
      <c r="J457" s="245" t="str">
        <f ca="1">IF(CommitmentsTable[[#This Row],[Date Assigned if different from entry date]]&lt;&gt;"",CommitmentsTable[[#This Row],[Date Assigned if different from entry date]]+30,IF(CommitmentsTable[[#This Row],[Date record entered]]&lt;&gt;"",CommitmentsTable[[#This Row],[Date record entered]]+30,""))</f>
        <v/>
      </c>
      <c r="K457" s="245"/>
      <c r="L457" s="245" t="str">
        <f ca="1">IF(CommitmentsTable[[#This Row],[Date Assigned if different from entry date]]&lt;&gt;"",CommitmentsTable[[#This Row],[Date Assigned if different from entry date]]+60,IF(CommitmentsTable[[#This Row],[Date record entered]]&lt;&gt;"",CommitmentsTable[[#This Row],[Date record entered]]+60,""))</f>
        <v/>
      </c>
      <c r="M457" s="214"/>
      <c r="N457" s="214"/>
      <c r="O457" s="236"/>
      <c r="P457" s="214"/>
      <c r="Q457" s="214"/>
      <c r="R457" s="214"/>
      <c r="S457" s="238" t="str">
        <f>IF(CommitmentsTable[[#This Row],[Commitment / deliverable]]="","",IF(CommitmentsTable[[#This Row],[Revised due]]&lt;&gt;"",CommitmentsTable[[#This Row],[Revised due]],CommitmentsTable[[#This Row],[Original due]]))</f>
        <v/>
      </c>
      <c r="T457" s="237" t="str">
        <f>IF(OR(CommitmentsTable[[#This Row],[Commitment / deliverable]]="",CommitmentsTable[[#This Row],[Owner]]=""),"",IF(CommitmentsTable[[#This Row],[Status2]]="","Open",CommitmentsTable[[#This Row],[Status2]]))</f>
        <v/>
      </c>
      <c r="U457" s="237" t="str">
        <f t="shared" ca="1" si="6"/>
        <v/>
      </c>
      <c r="V457" s="233"/>
      <c r="W457" s="63" t="s">
        <v>1424</v>
      </c>
    </row>
    <row r="458" spans="1:23" ht="39">
      <c r="A458" s="213" t="str">
        <f>IF(OR(CommitmentsTable[[#This Row],[Commitment / deliverable]]="",CommitmentsTable[[#This Row],[Immutable Key]]=""),"",SUBSTITUTE(CommitmentsTable[[#This Row],[Immutable Key]],"-K-","-"))</f>
        <v/>
      </c>
      <c r="B458" s="233"/>
      <c r="C458" s="233"/>
      <c r="D458" s="213"/>
      <c r="E458" s="230"/>
      <c r="F458" s="213"/>
      <c r="G458" s="245" t="str">
        <f ca="1">IF(CommitmentsTable[[#This Row],[Commitment / deliverable]]="","",IF(CommitmentsTable[[#This Row],[Date record entered]]="",TODAY(),CommitmentsTable[[#This Row],[Date record entered]]))</f>
        <v/>
      </c>
      <c r="H458" s="245"/>
      <c r="I458" s="245" t="str">
        <f ca="1">IF(CommitmentsTable[[#This Row],[Date Assigned if different from entry date]]&lt;&gt;"",CommitmentsTable[[#This Row],[Date Assigned if different from entry date]]+90,IF(CommitmentsTable[[#This Row],[Date record entered]]&lt;&gt;"",CommitmentsTable[[#This Row],[Date record entered]]+90,""))</f>
        <v/>
      </c>
      <c r="J458" s="245" t="str">
        <f ca="1">IF(CommitmentsTable[[#This Row],[Date Assigned if different from entry date]]&lt;&gt;"",CommitmentsTable[[#This Row],[Date Assigned if different from entry date]]+30,IF(CommitmentsTable[[#This Row],[Date record entered]]&lt;&gt;"",CommitmentsTable[[#This Row],[Date record entered]]+30,""))</f>
        <v/>
      </c>
      <c r="K458" s="245"/>
      <c r="L458" s="245" t="str">
        <f ca="1">IF(CommitmentsTable[[#This Row],[Date Assigned if different from entry date]]&lt;&gt;"",CommitmentsTable[[#This Row],[Date Assigned if different from entry date]]+60,IF(CommitmentsTable[[#This Row],[Date record entered]]&lt;&gt;"",CommitmentsTable[[#This Row],[Date record entered]]+60,""))</f>
        <v/>
      </c>
      <c r="M458" s="214"/>
      <c r="N458" s="214"/>
      <c r="O458" s="236"/>
      <c r="P458" s="214"/>
      <c r="Q458" s="214"/>
      <c r="R458" s="214"/>
      <c r="S458" s="238" t="str">
        <f>IF(CommitmentsTable[[#This Row],[Commitment / deliverable]]="","",IF(CommitmentsTable[[#This Row],[Revised due]]&lt;&gt;"",CommitmentsTable[[#This Row],[Revised due]],CommitmentsTable[[#This Row],[Original due]]))</f>
        <v/>
      </c>
      <c r="T458" s="237" t="str">
        <f>IF(OR(CommitmentsTable[[#This Row],[Commitment / deliverable]]="",CommitmentsTable[[#This Row],[Owner]]=""),"",IF(CommitmentsTable[[#This Row],[Status2]]="","Open",CommitmentsTable[[#This Row],[Status2]]))</f>
        <v/>
      </c>
      <c r="U458" s="237" t="str">
        <f t="shared" ca="1" si="6"/>
        <v/>
      </c>
      <c r="V458" s="233"/>
      <c r="W458" s="63" t="s">
        <v>1425</v>
      </c>
    </row>
    <row r="459" spans="1:23" ht="39">
      <c r="A459" s="213" t="str">
        <f>IF(OR(CommitmentsTable[[#This Row],[Commitment / deliverable]]="",CommitmentsTable[[#This Row],[Immutable Key]]=""),"",SUBSTITUTE(CommitmentsTable[[#This Row],[Immutable Key]],"-K-","-"))</f>
        <v/>
      </c>
      <c r="B459" s="233"/>
      <c r="C459" s="233"/>
      <c r="D459" s="213"/>
      <c r="E459" s="230"/>
      <c r="F459" s="213"/>
      <c r="G459" s="245" t="str">
        <f ca="1">IF(CommitmentsTable[[#This Row],[Commitment / deliverable]]="","",IF(CommitmentsTable[[#This Row],[Date record entered]]="",TODAY(),CommitmentsTable[[#This Row],[Date record entered]]))</f>
        <v/>
      </c>
      <c r="H459" s="245"/>
      <c r="I459" s="245" t="str">
        <f ca="1">IF(CommitmentsTable[[#This Row],[Date Assigned if different from entry date]]&lt;&gt;"",CommitmentsTable[[#This Row],[Date Assigned if different from entry date]]+90,IF(CommitmentsTable[[#This Row],[Date record entered]]&lt;&gt;"",CommitmentsTable[[#This Row],[Date record entered]]+90,""))</f>
        <v/>
      </c>
      <c r="J459" s="245" t="str">
        <f ca="1">IF(CommitmentsTable[[#This Row],[Date Assigned if different from entry date]]&lt;&gt;"",CommitmentsTable[[#This Row],[Date Assigned if different from entry date]]+30,IF(CommitmentsTable[[#This Row],[Date record entered]]&lt;&gt;"",CommitmentsTable[[#This Row],[Date record entered]]+30,""))</f>
        <v/>
      </c>
      <c r="K459" s="245"/>
      <c r="L459" s="245" t="str">
        <f ca="1">IF(CommitmentsTable[[#This Row],[Date Assigned if different from entry date]]&lt;&gt;"",CommitmentsTable[[#This Row],[Date Assigned if different from entry date]]+60,IF(CommitmentsTable[[#This Row],[Date record entered]]&lt;&gt;"",CommitmentsTable[[#This Row],[Date record entered]]+60,""))</f>
        <v/>
      </c>
      <c r="M459" s="214"/>
      <c r="N459" s="214"/>
      <c r="O459" s="236"/>
      <c r="P459" s="214"/>
      <c r="Q459" s="214"/>
      <c r="R459" s="214"/>
      <c r="S459" s="238" t="str">
        <f>IF(CommitmentsTable[[#This Row],[Commitment / deliverable]]="","",IF(CommitmentsTable[[#This Row],[Revised due]]&lt;&gt;"",CommitmentsTable[[#This Row],[Revised due]],CommitmentsTable[[#This Row],[Original due]]))</f>
        <v/>
      </c>
      <c r="T459" s="237" t="str">
        <f>IF(OR(CommitmentsTable[[#This Row],[Commitment / deliverable]]="",CommitmentsTable[[#This Row],[Owner]]=""),"",IF(CommitmentsTable[[#This Row],[Status2]]="","Open",CommitmentsTable[[#This Row],[Status2]]))</f>
        <v/>
      </c>
      <c r="U459" s="237" t="str">
        <f t="shared" ca="1" si="6"/>
        <v/>
      </c>
      <c r="V459" s="233"/>
      <c r="W459" s="63" t="s">
        <v>1426</v>
      </c>
    </row>
    <row r="460" spans="1:23" ht="39">
      <c r="A460" s="213" t="str">
        <f>IF(OR(CommitmentsTable[[#This Row],[Commitment / deliverable]]="",CommitmentsTable[[#This Row],[Immutable Key]]=""),"",SUBSTITUTE(CommitmentsTable[[#This Row],[Immutable Key]],"-K-","-"))</f>
        <v/>
      </c>
      <c r="B460" s="233"/>
      <c r="C460" s="233"/>
      <c r="D460" s="213"/>
      <c r="E460" s="230"/>
      <c r="F460" s="213"/>
      <c r="G460" s="245" t="str">
        <f ca="1">IF(CommitmentsTable[[#This Row],[Commitment / deliverable]]="","",IF(CommitmentsTable[[#This Row],[Date record entered]]="",TODAY(),CommitmentsTable[[#This Row],[Date record entered]]))</f>
        <v/>
      </c>
      <c r="H460" s="245"/>
      <c r="I460" s="245" t="str">
        <f ca="1">IF(CommitmentsTable[[#This Row],[Date Assigned if different from entry date]]&lt;&gt;"",CommitmentsTable[[#This Row],[Date Assigned if different from entry date]]+90,IF(CommitmentsTable[[#This Row],[Date record entered]]&lt;&gt;"",CommitmentsTable[[#This Row],[Date record entered]]+90,""))</f>
        <v/>
      </c>
      <c r="J460" s="245" t="str">
        <f ca="1">IF(CommitmentsTable[[#This Row],[Date Assigned if different from entry date]]&lt;&gt;"",CommitmentsTable[[#This Row],[Date Assigned if different from entry date]]+30,IF(CommitmentsTable[[#This Row],[Date record entered]]&lt;&gt;"",CommitmentsTable[[#This Row],[Date record entered]]+30,""))</f>
        <v/>
      </c>
      <c r="K460" s="245"/>
      <c r="L460" s="245" t="str">
        <f ca="1">IF(CommitmentsTable[[#This Row],[Date Assigned if different from entry date]]&lt;&gt;"",CommitmentsTable[[#This Row],[Date Assigned if different from entry date]]+60,IF(CommitmentsTable[[#This Row],[Date record entered]]&lt;&gt;"",CommitmentsTable[[#This Row],[Date record entered]]+60,""))</f>
        <v/>
      </c>
      <c r="M460" s="214"/>
      <c r="N460" s="214"/>
      <c r="O460" s="236"/>
      <c r="P460" s="214"/>
      <c r="Q460" s="214"/>
      <c r="R460" s="214"/>
      <c r="S460" s="238" t="str">
        <f>IF(CommitmentsTable[[#This Row],[Commitment / deliverable]]="","",IF(CommitmentsTable[[#This Row],[Revised due]]&lt;&gt;"",CommitmentsTable[[#This Row],[Revised due]],CommitmentsTable[[#This Row],[Original due]]))</f>
        <v/>
      </c>
      <c r="T460" s="237" t="str">
        <f>IF(OR(CommitmentsTable[[#This Row],[Commitment / deliverable]]="",CommitmentsTable[[#This Row],[Owner]]=""),"",IF(CommitmentsTable[[#This Row],[Status2]]="","Open",CommitmentsTable[[#This Row],[Status2]]))</f>
        <v/>
      </c>
      <c r="U460" s="237" t="str">
        <f t="shared" ca="1" si="6"/>
        <v/>
      </c>
      <c r="V460" s="233"/>
      <c r="W460" s="63" t="s">
        <v>1427</v>
      </c>
    </row>
    <row r="461" spans="1:23" ht="39">
      <c r="A461" s="213" t="str">
        <f>IF(OR(CommitmentsTable[[#This Row],[Commitment / deliverable]]="",CommitmentsTable[[#This Row],[Immutable Key]]=""),"",SUBSTITUTE(CommitmentsTable[[#This Row],[Immutable Key]],"-K-","-"))</f>
        <v/>
      </c>
      <c r="B461" s="233"/>
      <c r="C461" s="233"/>
      <c r="D461" s="213"/>
      <c r="E461" s="230"/>
      <c r="F461" s="213"/>
      <c r="G461" s="245" t="str">
        <f ca="1">IF(CommitmentsTable[[#This Row],[Commitment / deliverable]]="","",IF(CommitmentsTable[[#This Row],[Date record entered]]="",TODAY(),CommitmentsTable[[#This Row],[Date record entered]]))</f>
        <v/>
      </c>
      <c r="H461" s="245"/>
      <c r="I461" s="245" t="str">
        <f ca="1">IF(CommitmentsTable[[#This Row],[Date Assigned if different from entry date]]&lt;&gt;"",CommitmentsTable[[#This Row],[Date Assigned if different from entry date]]+90,IF(CommitmentsTable[[#This Row],[Date record entered]]&lt;&gt;"",CommitmentsTable[[#This Row],[Date record entered]]+90,""))</f>
        <v/>
      </c>
      <c r="J461" s="245" t="str">
        <f ca="1">IF(CommitmentsTable[[#This Row],[Date Assigned if different from entry date]]&lt;&gt;"",CommitmentsTable[[#This Row],[Date Assigned if different from entry date]]+30,IF(CommitmentsTable[[#This Row],[Date record entered]]&lt;&gt;"",CommitmentsTable[[#This Row],[Date record entered]]+30,""))</f>
        <v/>
      </c>
      <c r="K461" s="245"/>
      <c r="L461" s="245" t="str">
        <f ca="1">IF(CommitmentsTable[[#This Row],[Date Assigned if different from entry date]]&lt;&gt;"",CommitmentsTable[[#This Row],[Date Assigned if different from entry date]]+60,IF(CommitmentsTable[[#This Row],[Date record entered]]&lt;&gt;"",CommitmentsTable[[#This Row],[Date record entered]]+60,""))</f>
        <v/>
      </c>
      <c r="M461" s="214"/>
      <c r="N461" s="214"/>
      <c r="O461" s="236"/>
      <c r="P461" s="214"/>
      <c r="Q461" s="214"/>
      <c r="R461" s="214"/>
      <c r="S461" s="238" t="str">
        <f>IF(CommitmentsTable[[#This Row],[Commitment / deliverable]]="","",IF(CommitmentsTable[[#This Row],[Revised due]]&lt;&gt;"",CommitmentsTable[[#This Row],[Revised due]],CommitmentsTable[[#This Row],[Original due]]))</f>
        <v/>
      </c>
      <c r="T461" s="237" t="str">
        <f>IF(OR(CommitmentsTable[[#This Row],[Commitment / deliverable]]="",CommitmentsTable[[#This Row],[Owner]]=""),"",IF(CommitmentsTable[[#This Row],[Status2]]="","Open",CommitmentsTable[[#This Row],[Status2]]))</f>
        <v/>
      </c>
      <c r="U461" s="237" t="str">
        <f t="shared" ref="U461:U524" ca="1" si="7">IF(B461="","",IF(T461="Closed","",IF(OR(T461="Slipped",T461="At risk",AND(S461&lt;&gt;"",S461&lt;TODAY())),"Slipped / at risk",IF(G461=TODAY(),"New today",IF(S461=TODAY()+1,"Due tomorrow","")))))</f>
        <v/>
      </c>
      <c r="V461" s="233"/>
      <c r="W461" s="63" t="s">
        <v>1428</v>
      </c>
    </row>
    <row r="462" spans="1:23" ht="39">
      <c r="A462" s="213" t="str">
        <f>IF(OR(CommitmentsTable[[#This Row],[Commitment / deliverable]]="",CommitmentsTable[[#This Row],[Immutable Key]]=""),"",SUBSTITUTE(CommitmentsTable[[#This Row],[Immutable Key]],"-K-","-"))</f>
        <v/>
      </c>
      <c r="B462" s="233"/>
      <c r="C462" s="233"/>
      <c r="D462" s="213"/>
      <c r="E462" s="230"/>
      <c r="F462" s="213"/>
      <c r="G462" s="245" t="str">
        <f ca="1">IF(CommitmentsTable[[#This Row],[Commitment / deliverable]]="","",IF(CommitmentsTable[[#This Row],[Date record entered]]="",TODAY(),CommitmentsTable[[#This Row],[Date record entered]]))</f>
        <v/>
      </c>
      <c r="H462" s="245"/>
      <c r="I462" s="245" t="str">
        <f ca="1">IF(CommitmentsTable[[#This Row],[Date Assigned if different from entry date]]&lt;&gt;"",CommitmentsTable[[#This Row],[Date Assigned if different from entry date]]+90,IF(CommitmentsTable[[#This Row],[Date record entered]]&lt;&gt;"",CommitmentsTable[[#This Row],[Date record entered]]+90,""))</f>
        <v/>
      </c>
      <c r="J462" s="245" t="str">
        <f ca="1">IF(CommitmentsTable[[#This Row],[Date Assigned if different from entry date]]&lt;&gt;"",CommitmentsTable[[#This Row],[Date Assigned if different from entry date]]+30,IF(CommitmentsTable[[#This Row],[Date record entered]]&lt;&gt;"",CommitmentsTable[[#This Row],[Date record entered]]+30,""))</f>
        <v/>
      </c>
      <c r="K462" s="245"/>
      <c r="L462" s="245" t="str">
        <f ca="1">IF(CommitmentsTable[[#This Row],[Date Assigned if different from entry date]]&lt;&gt;"",CommitmentsTable[[#This Row],[Date Assigned if different from entry date]]+60,IF(CommitmentsTable[[#This Row],[Date record entered]]&lt;&gt;"",CommitmentsTable[[#This Row],[Date record entered]]+60,""))</f>
        <v/>
      </c>
      <c r="M462" s="214"/>
      <c r="N462" s="214"/>
      <c r="O462" s="236"/>
      <c r="P462" s="214"/>
      <c r="Q462" s="214"/>
      <c r="R462" s="214"/>
      <c r="S462" s="238" t="str">
        <f>IF(CommitmentsTable[[#This Row],[Commitment / deliverable]]="","",IF(CommitmentsTable[[#This Row],[Revised due]]&lt;&gt;"",CommitmentsTable[[#This Row],[Revised due]],CommitmentsTable[[#This Row],[Original due]]))</f>
        <v/>
      </c>
      <c r="T462" s="237" t="str">
        <f>IF(OR(CommitmentsTable[[#This Row],[Commitment / deliverable]]="",CommitmentsTable[[#This Row],[Owner]]=""),"",IF(CommitmentsTable[[#This Row],[Status2]]="","Open",CommitmentsTable[[#This Row],[Status2]]))</f>
        <v/>
      </c>
      <c r="U462" s="237" t="str">
        <f t="shared" ca="1" si="7"/>
        <v/>
      </c>
      <c r="V462" s="233"/>
      <c r="W462" s="63" t="s">
        <v>1429</v>
      </c>
    </row>
    <row r="463" spans="1:23" ht="39">
      <c r="A463" s="213" t="str">
        <f>IF(OR(CommitmentsTable[[#This Row],[Commitment / deliverable]]="",CommitmentsTable[[#This Row],[Immutable Key]]=""),"",SUBSTITUTE(CommitmentsTable[[#This Row],[Immutable Key]],"-K-","-"))</f>
        <v/>
      </c>
      <c r="B463" s="233"/>
      <c r="C463" s="233"/>
      <c r="D463" s="213"/>
      <c r="E463" s="230"/>
      <c r="F463" s="213"/>
      <c r="G463" s="245" t="str">
        <f ca="1">IF(CommitmentsTable[[#This Row],[Commitment / deliverable]]="","",IF(CommitmentsTable[[#This Row],[Date record entered]]="",TODAY(),CommitmentsTable[[#This Row],[Date record entered]]))</f>
        <v/>
      </c>
      <c r="H463" s="245"/>
      <c r="I463" s="245" t="str">
        <f ca="1">IF(CommitmentsTable[[#This Row],[Date Assigned if different from entry date]]&lt;&gt;"",CommitmentsTable[[#This Row],[Date Assigned if different from entry date]]+90,IF(CommitmentsTable[[#This Row],[Date record entered]]&lt;&gt;"",CommitmentsTable[[#This Row],[Date record entered]]+90,""))</f>
        <v/>
      </c>
      <c r="J463" s="245" t="str">
        <f ca="1">IF(CommitmentsTable[[#This Row],[Date Assigned if different from entry date]]&lt;&gt;"",CommitmentsTable[[#This Row],[Date Assigned if different from entry date]]+30,IF(CommitmentsTable[[#This Row],[Date record entered]]&lt;&gt;"",CommitmentsTable[[#This Row],[Date record entered]]+30,""))</f>
        <v/>
      </c>
      <c r="K463" s="245"/>
      <c r="L463" s="245" t="str">
        <f ca="1">IF(CommitmentsTable[[#This Row],[Date Assigned if different from entry date]]&lt;&gt;"",CommitmentsTable[[#This Row],[Date Assigned if different from entry date]]+60,IF(CommitmentsTable[[#This Row],[Date record entered]]&lt;&gt;"",CommitmentsTable[[#This Row],[Date record entered]]+60,""))</f>
        <v/>
      </c>
      <c r="M463" s="214"/>
      <c r="N463" s="214"/>
      <c r="O463" s="236"/>
      <c r="P463" s="214"/>
      <c r="Q463" s="214"/>
      <c r="R463" s="214"/>
      <c r="S463" s="238" t="str">
        <f>IF(CommitmentsTable[[#This Row],[Commitment / deliverable]]="","",IF(CommitmentsTable[[#This Row],[Revised due]]&lt;&gt;"",CommitmentsTable[[#This Row],[Revised due]],CommitmentsTable[[#This Row],[Original due]]))</f>
        <v/>
      </c>
      <c r="T463" s="237" t="str">
        <f>IF(OR(CommitmentsTable[[#This Row],[Commitment / deliverable]]="",CommitmentsTable[[#This Row],[Owner]]=""),"",IF(CommitmentsTable[[#This Row],[Status2]]="","Open",CommitmentsTable[[#This Row],[Status2]]))</f>
        <v/>
      </c>
      <c r="U463" s="237" t="str">
        <f t="shared" ca="1" si="7"/>
        <v/>
      </c>
      <c r="V463" s="233"/>
      <c r="W463" s="63" t="s">
        <v>1430</v>
      </c>
    </row>
    <row r="464" spans="1:23" ht="39">
      <c r="A464" s="213" t="str">
        <f>IF(OR(CommitmentsTable[[#This Row],[Commitment / deliverable]]="",CommitmentsTable[[#This Row],[Immutable Key]]=""),"",SUBSTITUTE(CommitmentsTable[[#This Row],[Immutable Key]],"-K-","-"))</f>
        <v/>
      </c>
      <c r="B464" s="233"/>
      <c r="C464" s="233"/>
      <c r="D464" s="213"/>
      <c r="E464" s="230"/>
      <c r="F464" s="213"/>
      <c r="G464" s="245" t="str">
        <f ca="1">IF(CommitmentsTable[[#This Row],[Commitment / deliverable]]="","",IF(CommitmentsTable[[#This Row],[Date record entered]]="",TODAY(),CommitmentsTable[[#This Row],[Date record entered]]))</f>
        <v/>
      </c>
      <c r="H464" s="245"/>
      <c r="I464" s="245" t="str">
        <f ca="1">IF(CommitmentsTable[[#This Row],[Date Assigned if different from entry date]]&lt;&gt;"",CommitmentsTable[[#This Row],[Date Assigned if different from entry date]]+90,IF(CommitmentsTable[[#This Row],[Date record entered]]&lt;&gt;"",CommitmentsTable[[#This Row],[Date record entered]]+90,""))</f>
        <v/>
      </c>
      <c r="J464" s="245" t="str">
        <f ca="1">IF(CommitmentsTable[[#This Row],[Date Assigned if different from entry date]]&lt;&gt;"",CommitmentsTable[[#This Row],[Date Assigned if different from entry date]]+30,IF(CommitmentsTable[[#This Row],[Date record entered]]&lt;&gt;"",CommitmentsTable[[#This Row],[Date record entered]]+30,""))</f>
        <v/>
      </c>
      <c r="K464" s="245"/>
      <c r="L464" s="245" t="str">
        <f ca="1">IF(CommitmentsTable[[#This Row],[Date Assigned if different from entry date]]&lt;&gt;"",CommitmentsTable[[#This Row],[Date Assigned if different from entry date]]+60,IF(CommitmentsTable[[#This Row],[Date record entered]]&lt;&gt;"",CommitmentsTable[[#This Row],[Date record entered]]+60,""))</f>
        <v/>
      </c>
      <c r="M464" s="214"/>
      <c r="N464" s="214"/>
      <c r="O464" s="236"/>
      <c r="P464" s="214"/>
      <c r="Q464" s="214"/>
      <c r="R464" s="214"/>
      <c r="S464" s="238" t="str">
        <f>IF(CommitmentsTable[[#This Row],[Commitment / deliverable]]="","",IF(CommitmentsTable[[#This Row],[Revised due]]&lt;&gt;"",CommitmentsTable[[#This Row],[Revised due]],CommitmentsTable[[#This Row],[Original due]]))</f>
        <v/>
      </c>
      <c r="T464" s="237" t="str">
        <f>IF(OR(CommitmentsTable[[#This Row],[Commitment / deliverable]]="",CommitmentsTable[[#This Row],[Owner]]=""),"",IF(CommitmentsTable[[#This Row],[Status2]]="","Open",CommitmentsTable[[#This Row],[Status2]]))</f>
        <v/>
      </c>
      <c r="U464" s="237" t="str">
        <f t="shared" ca="1" si="7"/>
        <v/>
      </c>
      <c r="V464" s="233"/>
      <c r="W464" s="63" t="s">
        <v>1431</v>
      </c>
    </row>
    <row r="465" spans="1:23" ht="39">
      <c r="A465" s="213" t="str">
        <f>IF(OR(CommitmentsTable[[#This Row],[Commitment / deliverable]]="",CommitmentsTable[[#This Row],[Immutable Key]]=""),"",SUBSTITUTE(CommitmentsTable[[#This Row],[Immutable Key]],"-K-","-"))</f>
        <v/>
      </c>
      <c r="B465" s="233"/>
      <c r="C465" s="233"/>
      <c r="D465" s="213"/>
      <c r="E465" s="230"/>
      <c r="F465" s="213"/>
      <c r="G465" s="245" t="str">
        <f ca="1">IF(CommitmentsTable[[#This Row],[Commitment / deliverable]]="","",IF(CommitmentsTable[[#This Row],[Date record entered]]="",TODAY(),CommitmentsTable[[#This Row],[Date record entered]]))</f>
        <v/>
      </c>
      <c r="H465" s="245"/>
      <c r="I465" s="245" t="str">
        <f ca="1">IF(CommitmentsTable[[#This Row],[Date Assigned if different from entry date]]&lt;&gt;"",CommitmentsTable[[#This Row],[Date Assigned if different from entry date]]+90,IF(CommitmentsTable[[#This Row],[Date record entered]]&lt;&gt;"",CommitmentsTable[[#This Row],[Date record entered]]+90,""))</f>
        <v/>
      </c>
      <c r="J465" s="245" t="str">
        <f ca="1">IF(CommitmentsTable[[#This Row],[Date Assigned if different from entry date]]&lt;&gt;"",CommitmentsTable[[#This Row],[Date Assigned if different from entry date]]+30,IF(CommitmentsTable[[#This Row],[Date record entered]]&lt;&gt;"",CommitmentsTable[[#This Row],[Date record entered]]+30,""))</f>
        <v/>
      </c>
      <c r="K465" s="245"/>
      <c r="L465" s="245" t="str">
        <f ca="1">IF(CommitmentsTable[[#This Row],[Date Assigned if different from entry date]]&lt;&gt;"",CommitmentsTable[[#This Row],[Date Assigned if different from entry date]]+60,IF(CommitmentsTable[[#This Row],[Date record entered]]&lt;&gt;"",CommitmentsTable[[#This Row],[Date record entered]]+60,""))</f>
        <v/>
      </c>
      <c r="M465" s="214"/>
      <c r="N465" s="214"/>
      <c r="O465" s="236"/>
      <c r="P465" s="214"/>
      <c r="Q465" s="214"/>
      <c r="R465" s="214"/>
      <c r="S465" s="238" t="str">
        <f>IF(CommitmentsTable[[#This Row],[Commitment / deliverable]]="","",IF(CommitmentsTable[[#This Row],[Revised due]]&lt;&gt;"",CommitmentsTable[[#This Row],[Revised due]],CommitmentsTable[[#This Row],[Original due]]))</f>
        <v/>
      </c>
      <c r="T465" s="237" t="str">
        <f>IF(OR(CommitmentsTable[[#This Row],[Commitment / deliverable]]="",CommitmentsTable[[#This Row],[Owner]]=""),"",IF(CommitmentsTable[[#This Row],[Status2]]="","Open",CommitmentsTable[[#This Row],[Status2]]))</f>
        <v/>
      </c>
      <c r="U465" s="237" t="str">
        <f t="shared" ca="1" si="7"/>
        <v/>
      </c>
      <c r="V465" s="233"/>
      <c r="W465" s="63" t="s">
        <v>1432</v>
      </c>
    </row>
    <row r="466" spans="1:23" ht="39">
      <c r="A466" s="213" t="str">
        <f>IF(OR(CommitmentsTable[[#This Row],[Commitment / deliverable]]="",CommitmentsTable[[#This Row],[Immutable Key]]=""),"",SUBSTITUTE(CommitmentsTable[[#This Row],[Immutable Key]],"-K-","-"))</f>
        <v/>
      </c>
      <c r="B466" s="233"/>
      <c r="C466" s="233"/>
      <c r="D466" s="213"/>
      <c r="E466" s="230"/>
      <c r="F466" s="213"/>
      <c r="G466" s="245" t="str">
        <f ca="1">IF(CommitmentsTable[[#This Row],[Commitment / deliverable]]="","",IF(CommitmentsTable[[#This Row],[Date record entered]]="",TODAY(),CommitmentsTable[[#This Row],[Date record entered]]))</f>
        <v/>
      </c>
      <c r="H466" s="245"/>
      <c r="I466" s="245" t="str">
        <f ca="1">IF(CommitmentsTable[[#This Row],[Date Assigned if different from entry date]]&lt;&gt;"",CommitmentsTable[[#This Row],[Date Assigned if different from entry date]]+90,IF(CommitmentsTable[[#This Row],[Date record entered]]&lt;&gt;"",CommitmentsTable[[#This Row],[Date record entered]]+90,""))</f>
        <v/>
      </c>
      <c r="J466" s="245" t="str">
        <f ca="1">IF(CommitmentsTable[[#This Row],[Date Assigned if different from entry date]]&lt;&gt;"",CommitmentsTable[[#This Row],[Date Assigned if different from entry date]]+30,IF(CommitmentsTable[[#This Row],[Date record entered]]&lt;&gt;"",CommitmentsTable[[#This Row],[Date record entered]]+30,""))</f>
        <v/>
      </c>
      <c r="K466" s="245"/>
      <c r="L466" s="245" t="str">
        <f ca="1">IF(CommitmentsTable[[#This Row],[Date Assigned if different from entry date]]&lt;&gt;"",CommitmentsTable[[#This Row],[Date Assigned if different from entry date]]+60,IF(CommitmentsTable[[#This Row],[Date record entered]]&lt;&gt;"",CommitmentsTable[[#This Row],[Date record entered]]+60,""))</f>
        <v/>
      </c>
      <c r="M466" s="214"/>
      <c r="N466" s="214"/>
      <c r="O466" s="236"/>
      <c r="P466" s="214"/>
      <c r="Q466" s="214"/>
      <c r="R466" s="214"/>
      <c r="S466" s="238" t="str">
        <f>IF(CommitmentsTable[[#This Row],[Commitment / deliverable]]="","",IF(CommitmentsTable[[#This Row],[Revised due]]&lt;&gt;"",CommitmentsTable[[#This Row],[Revised due]],CommitmentsTable[[#This Row],[Original due]]))</f>
        <v/>
      </c>
      <c r="T466" s="237" t="str">
        <f>IF(OR(CommitmentsTable[[#This Row],[Commitment / deliverable]]="",CommitmentsTable[[#This Row],[Owner]]=""),"",IF(CommitmentsTable[[#This Row],[Status2]]="","Open",CommitmentsTable[[#This Row],[Status2]]))</f>
        <v/>
      </c>
      <c r="U466" s="237" t="str">
        <f t="shared" ca="1" si="7"/>
        <v/>
      </c>
      <c r="V466" s="233"/>
      <c r="W466" s="63" t="s">
        <v>1433</v>
      </c>
    </row>
    <row r="467" spans="1:23" ht="39">
      <c r="A467" s="213" t="str">
        <f>IF(OR(CommitmentsTable[[#This Row],[Commitment / deliverable]]="",CommitmentsTable[[#This Row],[Immutable Key]]=""),"",SUBSTITUTE(CommitmentsTable[[#This Row],[Immutable Key]],"-K-","-"))</f>
        <v/>
      </c>
      <c r="B467" s="233"/>
      <c r="C467" s="233"/>
      <c r="D467" s="213"/>
      <c r="E467" s="230"/>
      <c r="F467" s="213"/>
      <c r="G467" s="245" t="str">
        <f ca="1">IF(CommitmentsTable[[#This Row],[Commitment / deliverable]]="","",IF(CommitmentsTable[[#This Row],[Date record entered]]="",TODAY(),CommitmentsTable[[#This Row],[Date record entered]]))</f>
        <v/>
      </c>
      <c r="H467" s="245"/>
      <c r="I467" s="245" t="str">
        <f ca="1">IF(CommitmentsTable[[#This Row],[Date Assigned if different from entry date]]&lt;&gt;"",CommitmentsTable[[#This Row],[Date Assigned if different from entry date]]+90,IF(CommitmentsTable[[#This Row],[Date record entered]]&lt;&gt;"",CommitmentsTable[[#This Row],[Date record entered]]+90,""))</f>
        <v/>
      </c>
      <c r="J467" s="245" t="str">
        <f ca="1">IF(CommitmentsTable[[#This Row],[Date Assigned if different from entry date]]&lt;&gt;"",CommitmentsTable[[#This Row],[Date Assigned if different from entry date]]+30,IF(CommitmentsTable[[#This Row],[Date record entered]]&lt;&gt;"",CommitmentsTable[[#This Row],[Date record entered]]+30,""))</f>
        <v/>
      </c>
      <c r="K467" s="245"/>
      <c r="L467" s="245" t="str">
        <f ca="1">IF(CommitmentsTable[[#This Row],[Date Assigned if different from entry date]]&lt;&gt;"",CommitmentsTable[[#This Row],[Date Assigned if different from entry date]]+60,IF(CommitmentsTable[[#This Row],[Date record entered]]&lt;&gt;"",CommitmentsTable[[#This Row],[Date record entered]]+60,""))</f>
        <v/>
      </c>
      <c r="M467" s="214"/>
      <c r="N467" s="214"/>
      <c r="O467" s="236"/>
      <c r="P467" s="214"/>
      <c r="Q467" s="214"/>
      <c r="R467" s="214"/>
      <c r="S467" s="238" t="str">
        <f>IF(CommitmentsTable[[#This Row],[Commitment / deliverable]]="","",IF(CommitmentsTable[[#This Row],[Revised due]]&lt;&gt;"",CommitmentsTable[[#This Row],[Revised due]],CommitmentsTable[[#This Row],[Original due]]))</f>
        <v/>
      </c>
      <c r="T467" s="237" t="str">
        <f>IF(OR(CommitmentsTable[[#This Row],[Commitment / deliverable]]="",CommitmentsTable[[#This Row],[Owner]]=""),"",IF(CommitmentsTable[[#This Row],[Status2]]="","Open",CommitmentsTable[[#This Row],[Status2]]))</f>
        <v/>
      </c>
      <c r="U467" s="237" t="str">
        <f t="shared" ca="1" si="7"/>
        <v/>
      </c>
      <c r="V467" s="233"/>
      <c r="W467" s="63" t="s">
        <v>1434</v>
      </c>
    </row>
    <row r="468" spans="1:23" ht="39">
      <c r="A468" s="213" t="str">
        <f>IF(OR(CommitmentsTable[[#This Row],[Commitment / deliverable]]="",CommitmentsTable[[#This Row],[Immutable Key]]=""),"",SUBSTITUTE(CommitmentsTable[[#This Row],[Immutable Key]],"-K-","-"))</f>
        <v/>
      </c>
      <c r="B468" s="233"/>
      <c r="C468" s="233"/>
      <c r="D468" s="213"/>
      <c r="E468" s="230"/>
      <c r="F468" s="213"/>
      <c r="G468" s="245" t="str">
        <f ca="1">IF(CommitmentsTable[[#This Row],[Commitment / deliverable]]="","",IF(CommitmentsTable[[#This Row],[Date record entered]]="",TODAY(),CommitmentsTable[[#This Row],[Date record entered]]))</f>
        <v/>
      </c>
      <c r="H468" s="245"/>
      <c r="I468" s="245" t="str">
        <f ca="1">IF(CommitmentsTable[[#This Row],[Date Assigned if different from entry date]]&lt;&gt;"",CommitmentsTable[[#This Row],[Date Assigned if different from entry date]]+90,IF(CommitmentsTable[[#This Row],[Date record entered]]&lt;&gt;"",CommitmentsTable[[#This Row],[Date record entered]]+90,""))</f>
        <v/>
      </c>
      <c r="J468" s="245" t="str">
        <f ca="1">IF(CommitmentsTable[[#This Row],[Date Assigned if different from entry date]]&lt;&gt;"",CommitmentsTable[[#This Row],[Date Assigned if different from entry date]]+30,IF(CommitmentsTable[[#This Row],[Date record entered]]&lt;&gt;"",CommitmentsTable[[#This Row],[Date record entered]]+30,""))</f>
        <v/>
      </c>
      <c r="K468" s="245"/>
      <c r="L468" s="245" t="str">
        <f ca="1">IF(CommitmentsTable[[#This Row],[Date Assigned if different from entry date]]&lt;&gt;"",CommitmentsTable[[#This Row],[Date Assigned if different from entry date]]+60,IF(CommitmentsTable[[#This Row],[Date record entered]]&lt;&gt;"",CommitmentsTable[[#This Row],[Date record entered]]+60,""))</f>
        <v/>
      </c>
      <c r="M468" s="214"/>
      <c r="N468" s="214"/>
      <c r="O468" s="236"/>
      <c r="P468" s="214"/>
      <c r="Q468" s="214"/>
      <c r="R468" s="214"/>
      <c r="S468" s="238" t="str">
        <f>IF(CommitmentsTable[[#This Row],[Commitment / deliverable]]="","",IF(CommitmentsTable[[#This Row],[Revised due]]&lt;&gt;"",CommitmentsTable[[#This Row],[Revised due]],CommitmentsTable[[#This Row],[Original due]]))</f>
        <v/>
      </c>
      <c r="T468" s="237" t="str">
        <f>IF(OR(CommitmentsTable[[#This Row],[Commitment / deliverable]]="",CommitmentsTable[[#This Row],[Owner]]=""),"",IF(CommitmentsTable[[#This Row],[Status2]]="","Open",CommitmentsTable[[#This Row],[Status2]]))</f>
        <v/>
      </c>
      <c r="U468" s="237" t="str">
        <f t="shared" ca="1" si="7"/>
        <v/>
      </c>
      <c r="V468" s="233"/>
      <c r="W468" s="63" t="s">
        <v>1435</v>
      </c>
    </row>
    <row r="469" spans="1:23" ht="39">
      <c r="A469" s="213" t="str">
        <f>IF(OR(CommitmentsTable[[#This Row],[Commitment / deliverable]]="",CommitmentsTable[[#This Row],[Immutable Key]]=""),"",SUBSTITUTE(CommitmentsTable[[#This Row],[Immutable Key]],"-K-","-"))</f>
        <v/>
      </c>
      <c r="B469" s="233"/>
      <c r="C469" s="233"/>
      <c r="D469" s="213"/>
      <c r="E469" s="230"/>
      <c r="F469" s="213"/>
      <c r="G469" s="245" t="str">
        <f ca="1">IF(CommitmentsTable[[#This Row],[Commitment / deliverable]]="","",IF(CommitmentsTable[[#This Row],[Date record entered]]="",TODAY(),CommitmentsTable[[#This Row],[Date record entered]]))</f>
        <v/>
      </c>
      <c r="H469" s="245"/>
      <c r="I469" s="245" t="str">
        <f ca="1">IF(CommitmentsTable[[#This Row],[Date Assigned if different from entry date]]&lt;&gt;"",CommitmentsTable[[#This Row],[Date Assigned if different from entry date]]+90,IF(CommitmentsTable[[#This Row],[Date record entered]]&lt;&gt;"",CommitmentsTable[[#This Row],[Date record entered]]+90,""))</f>
        <v/>
      </c>
      <c r="J469" s="245" t="str">
        <f ca="1">IF(CommitmentsTable[[#This Row],[Date Assigned if different from entry date]]&lt;&gt;"",CommitmentsTable[[#This Row],[Date Assigned if different from entry date]]+30,IF(CommitmentsTable[[#This Row],[Date record entered]]&lt;&gt;"",CommitmentsTable[[#This Row],[Date record entered]]+30,""))</f>
        <v/>
      </c>
      <c r="K469" s="245"/>
      <c r="L469" s="245" t="str">
        <f ca="1">IF(CommitmentsTable[[#This Row],[Date Assigned if different from entry date]]&lt;&gt;"",CommitmentsTable[[#This Row],[Date Assigned if different from entry date]]+60,IF(CommitmentsTable[[#This Row],[Date record entered]]&lt;&gt;"",CommitmentsTable[[#This Row],[Date record entered]]+60,""))</f>
        <v/>
      </c>
      <c r="M469" s="214"/>
      <c r="N469" s="214"/>
      <c r="O469" s="236"/>
      <c r="P469" s="214"/>
      <c r="Q469" s="214"/>
      <c r="R469" s="214"/>
      <c r="S469" s="238" t="str">
        <f>IF(CommitmentsTable[[#This Row],[Commitment / deliverable]]="","",IF(CommitmentsTable[[#This Row],[Revised due]]&lt;&gt;"",CommitmentsTable[[#This Row],[Revised due]],CommitmentsTable[[#This Row],[Original due]]))</f>
        <v/>
      </c>
      <c r="T469" s="237" t="str">
        <f>IF(OR(CommitmentsTable[[#This Row],[Commitment / deliverable]]="",CommitmentsTable[[#This Row],[Owner]]=""),"",IF(CommitmentsTable[[#This Row],[Status2]]="","Open",CommitmentsTable[[#This Row],[Status2]]))</f>
        <v/>
      </c>
      <c r="U469" s="237" t="str">
        <f t="shared" ca="1" si="7"/>
        <v/>
      </c>
      <c r="V469" s="233"/>
      <c r="W469" s="63" t="s">
        <v>1436</v>
      </c>
    </row>
    <row r="470" spans="1:23" ht="39">
      <c r="A470" s="213" t="str">
        <f>IF(OR(CommitmentsTable[[#This Row],[Commitment / deliverable]]="",CommitmentsTable[[#This Row],[Immutable Key]]=""),"",SUBSTITUTE(CommitmentsTable[[#This Row],[Immutable Key]],"-K-","-"))</f>
        <v/>
      </c>
      <c r="B470" s="233"/>
      <c r="C470" s="233"/>
      <c r="D470" s="213"/>
      <c r="E470" s="230"/>
      <c r="F470" s="213"/>
      <c r="G470" s="245" t="str">
        <f ca="1">IF(CommitmentsTable[[#This Row],[Commitment / deliverable]]="","",IF(CommitmentsTable[[#This Row],[Date record entered]]="",TODAY(),CommitmentsTable[[#This Row],[Date record entered]]))</f>
        <v/>
      </c>
      <c r="H470" s="245"/>
      <c r="I470" s="245" t="str">
        <f ca="1">IF(CommitmentsTable[[#This Row],[Date Assigned if different from entry date]]&lt;&gt;"",CommitmentsTable[[#This Row],[Date Assigned if different from entry date]]+90,IF(CommitmentsTable[[#This Row],[Date record entered]]&lt;&gt;"",CommitmentsTable[[#This Row],[Date record entered]]+90,""))</f>
        <v/>
      </c>
      <c r="J470" s="245" t="str">
        <f ca="1">IF(CommitmentsTable[[#This Row],[Date Assigned if different from entry date]]&lt;&gt;"",CommitmentsTable[[#This Row],[Date Assigned if different from entry date]]+30,IF(CommitmentsTable[[#This Row],[Date record entered]]&lt;&gt;"",CommitmentsTable[[#This Row],[Date record entered]]+30,""))</f>
        <v/>
      </c>
      <c r="K470" s="245"/>
      <c r="L470" s="245" t="str">
        <f ca="1">IF(CommitmentsTable[[#This Row],[Date Assigned if different from entry date]]&lt;&gt;"",CommitmentsTable[[#This Row],[Date Assigned if different from entry date]]+60,IF(CommitmentsTable[[#This Row],[Date record entered]]&lt;&gt;"",CommitmentsTable[[#This Row],[Date record entered]]+60,""))</f>
        <v/>
      </c>
      <c r="M470" s="214"/>
      <c r="N470" s="214"/>
      <c r="O470" s="236"/>
      <c r="P470" s="214"/>
      <c r="Q470" s="214"/>
      <c r="R470" s="214"/>
      <c r="S470" s="238" t="str">
        <f>IF(CommitmentsTable[[#This Row],[Commitment / deliverable]]="","",IF(CommitmentsTable[[#This Row],[Revised due]]&lt;&gt;"",CommitmentsTable[[#This Row],[Revised due]],CommitmentsTable[[#This Row],[Original due]]))</f>
        <v/>
      </c>
      <c r="T470" s="237" t="str">
        <f>IF(OR(CommitmentsTable[[#This Row],[Commitment / deliverable]]="",CommitmentsTable[[#This Row],[Owner]]=""),"",IF(CommitmentsTable[[#This Row],[Status2]]="","Open",CommitmentsTable[[#This Row],[Status2]]))</f>
        <v/>
      </c>
      <c r="U470" s="237" t="str">
        <f t="shared" ca="1" si="7"/>
        <v/>
      </c>
      <c r="V470" s="233"/>
      <c r="W470" s="63" t="s">
        <v>1437</v>
      </c>
    </row>
    <row r="471" spans="1:23" ht="39">
      <c r="A471" s="213" t="str">
        <f>IF(OR(CommitmentsTable[[#This Row],[Commitment / deliverable]]="",CommitmentsTable[[#This Row],[Immutable Key]]=""),"",SUBSTITUTE(CommitmentsTable[[#This Row],[Immutable Key]],"-K-","-"))</f>
        <v/>
      </c>
      <c r="B471" s="233"/>
      <c r="C471" s="233"/>
      <c r="D471" s="213"/>
      <c r="E471" s="230"/>
      <c r="F471" s="213"/>
      <c r="G471" s="245" t="str">
        <f ca="1">IF(CommitmentsTable[[#This Row],[Commitment / deliverable]]="","",IF(CommitmentsTable[[#This Row],[Date record entered]]="",TODAY(),CommitmentsTable[[#This Row],[Date record entered]]))</f>
        <v/>
      </c>
      <c r="H471" s="245"/>
      <c r="I471" s="245" t="str">
        <f ca="1">IF(CommitmentsTable[[#This Row],[Date Assigned if different from entry date]]&lt;&gt;"",CommitmentsTable[[#This Row],[Date Assigned if different from entry date]]+90,IF(CommitmentsTable[[#This Row],[Date record entered]]&lt;&gt;"",CommitmentsTable[[#This Row],[Date record entered]]+90,""))</f>
        <v/>
      </c>
      <c r="J471" s="245" t="str">
        <f ca="1">IF(CommitmentsTable[[#This Row],[Date Assigned if different from entry date]]&lt;&gt;"",CommitmentsTable[[#This Row],[Date Assigned if different from entry date]]+30,IF(CommitmentsTable[[#This Row],[Date record entered]]&lt;&gt;"",CommitmentsTable[[#This Row],[Date record entered]]+30,""))</f>
        <v/>
      </c>
      <c r="K471" s="245"/>
      <c r="L471" s="245" t="str">
        <f ca="1">IF(CommitmentsTable[[#This Row],[Date Assigned if different from entry date]]&lt;&gt;"",CommitmentsTable[[#This Row],[Date Assigned if different from entry date]]+60,IF(CommitmentsTable[[#This Row],[Date record entered]]&lt;&gt;"",CommitmentsTable[[#This Row],[Date record entered]]+60,""))</f>
        <v/>
      </c>
      <c r="M471" s="214"/>
      <c r="N471" s="214"/>
      <c r="O471" s="236"/>
      <c r="P471" s="214"/>
      <c r="Q471" s="214"/>
      <c r="R471" s="214"/>
      <c r="S471" s="238" t="str">
        <f>IF(CommitmentsTable[[#This Row],[Commitment / deliverable]]="","",IF(CommitmentsTable[[#This Row],[Revised due]]&lt;&gt;"",CommitmentsTable[[#This Row],[Revised due]],CommitmentsTable[[#This Row],[Original due]]))</f>
        <v/>
      </c>
      <c r="T471" s="237" t="str">
        <f>IF(OR(CommitmentsTable[[#This Row],[Commitment / deliverable]]="",CommitmentsTable[[#This Row],[Owner]]=""),"",IF(CommitmentsTable[[#This Row],[Status2]]="","Open",CommitmentsTable[[#This Row],[Status2]]))</f>
        <v/>
      </c>
      <c r="U471" s="237" t="str">
        <f t="shared" ca="1" si="7"/>
        <v/>
      </c>
      <c r="V471" s="233"/>
      <c r="W471" s="63" t="s">
        <v>1438</v>
      </c>
    </row>
    <row r="472" spans="1:23" ht="39">
      <c r="A472" s="213" t="str">
        <f>IF(OR(CommitmentsTable[[#This Row],[Commitment / deliverable]]="",CommitmentsTable[[#This Row],[Immutable Key]]=""),"",SUBSTITUTE(CommitmentsTable[[#This Row],[Immutable Key]],"-K-","-"))</f>
        <v/>
      </c>
      <c r="B472" s="233"/>
      <c r="C472" s="233"/>
      <c r="D472" s="213"/>
      <c r="E472" s="230"/>
      <c r="F472" s="213"/>
      <c r="G472" s="245" t="str">
        <f ca="1">IF(CommitmentsTable[[#This Row],[Commitment / deliverable]]="","",IF(CommitmentsTable[[#This Row],[Date record entered]]="",TODAY(),CommitmentsTable[[#This Row],[Date record entered]]))</f>
        <v/>
      </c>
      <c r="H472" s="245"/>
      <c r="I472" s="245" t="str">
        <f ca="1">IF(CommitmentsTable[[#This Row],[Date Assigned if different from entry date]]&lt;&gt;"",CommitmentsTable[[#This Row],[Date Assigned if different from entry date]]+90,IF(CommitmentsTable[[#This Row],[Date record entered]]&lt;&gt;"",CommitmentsTable[[#This Row],[Date record entered]]+90,""))</f>
        <v/>
      </c>
      <c r="J472" s="245" t="str">
        <f ca="1">IF(CommitmentsTable[[#This Row],[Date Assigned if different from entry date]]&lt;&gt;"",CommitmentsTable[[#This Row],[Date Assigned if different from entry date]]+30,IF(CommitmentsTable[[#This Row],[Date record entered]]&lt;&gt;"",CommitmentsTable[[#This Row],[Date record entered]]+30,""))</f>
        <v/>
      </c>
      <c r="K472" s="245"/>
      <c r="L472" s="245" t="str">
        <f ca="1">IF(CommitmentsTable[[#This Row],[Date Assigned if different from entry date]]&lt;&gt;"",CommitmentsTable[[#This Row],[Date Assigned if different from entry date]]+60,IF(CommitmentsTable[[#This Row],[Date record entered]]&lt;&gt;"",CommitmentsTable[[#This Row],[Date record entered]]+60,""))</f>
        <v/>
      </c>
      <c r="M472" s="214"/>
      <c r="N472" s="214"/>
      <c r="O472" s="236"/>
      <c r="P472" s="214"/>
      <c r="Q472" s="214"/>
      <c r="R472" s="214"/>
      <c r="S472" s="238" t="str">
        <f>IF(CommitmentsTable[[#This Row],[Commitment / deliverable]]="","",IF(CommitmentsTable[[#This Row],[Revised due]]&lt;&gt;"",CommitmentsTable[[#This Row],[Revised due]],CommitmentsTable[[#This Row],[Original due]]))</f>
        <v/>
      </c>
      <c r="T472" s="237" t="str">
        <f>IF(OR(CommitmentsTable[[#This Row],[Commitment / deliverable]]="",CommitmentsTable[[#This Row],[Owner]]=""),"",IF(CommitmentsTable[[#This Row],[Status2]]="","Open",CommitmentsTable[[#This Row],[Status2]]))</f>
        <v/>
      </c>
      <c r="U472" s="237" t="str">
        <f t="shared" ca="1" si="7"/>
        <v/>
      </c>
      <c r="V472" s="233"/>
      <c r="W472" s="63" t="s">
        <v>1439</v>
      </c>
    </row>
    <row r="473" spans="1:23" ht="39">
      <c r="A473" s="213" t="str">
        <f>IF(OR(CommitmentsTable[[#This Row],[Commitment / deliverable]]="",CommitmentsTable[[#This Row],[Immutable Key]]=""),"",SUBSTITUTE(CommitmentsTable[[#This Row],[Immutable Key]],"-K-","-"))</f>
        <v/>
      </c>
      <c r="B473" s="233"/>
      <c r="C473" s="233"/>
      <c r="D473" s="213"/>
      <c r="E473" s="230"/>
      <c r="F473" s="213"/>
      <c r="G473" s="245" t="str">
        <f ca="1">IF(CommitmentsTable[[#This Row],[Commitment / deliverable]]="","",IF(CommitmentsTable[[#This Row],[Date record entered]]="",TODAY(),CommitmentsTable[[#This Row],[Date record entered]]))</f>
        <v/>
      </c>
      <c r="H473" s="245"/>
      <c r="I473" s="245" t="str">
        <f ca="1">IF(CommitmentsTable[[#This Row],[Date Assigned if different from entry date]]&lt;&gt;"",CommitmentsTable[[#This Row],[Date Assigned if different from entry date]]+90,IF(CommitmentsTable[[#This Row],[Date record entered]]&lt;&gt;"",CommitmentsTable[[#This Row],[Date record entered]]+90,""))</f>
        <v/>
      </c>
      <c r="J473" s="245" t="str">
        <f ca="1">IF(CommitmentsTable[[#This Row],[Date Assigned if different from entry date]]&lt;&gt;"",CommitmentsTable[[#This Row],[Date Assigned if different from entry date]]+30,IF(CommitmentsTable[[#This Row],[Date record entered]]&lt;&gt;"",CommitmentsTable[[#This Row],[Date record entered]]+30,""))</f>
        <v/>
      </c>
      <c r="K473" s="245"/>
      <c r="L473" s="245" t="str">
        <f ca="1">IF(CommitmentsTable[[#This Row],[Date Assigned if different from entry date]]&lt;&gt;"",CommitmentsTable[[#This Row],[Date Assigned if different from entry date]]+60,IF(CommitmentsTable[[#This Row],[Date record entered]]&lt;&gt;"",CommitmentsTable[[#This Row],[Date record entered]]+60,""))</f>
        <v/>
      </c>
      <c r="M473" s="214"/>
      <c r="N473" s="214"/>
      <c r="O473" s="236"/>
      <c r="P473" s="214"/>
      <c r="Q473" s="214"/>
      <c r="R473" s="214"/>
      <c r="S473" s="238" t="str">
        <f>IF(CommitmentsTable[[#This Row],[Commitment / deliverable]]="","",IF(CommitmentsTable[[#This Row],[Revised due]]&lt;&gt;"",CommitmentsTable[[#This Row],[Revised due]],CommitmentsTable[[#This Row],[Original due]]))</f>
        <v/>
      </c>
      <c r="T473" s="237" t="str">
        <f>IF(OR(CommitmentsTable[[#This Row],[Commitment / deliverable]]="",CommitmentsTable[[#This Row],[Owner]]=""),"",IF(CommitmentsTable[[#This Row],[Status2]]="","Open",CommitmentsTable[[#This Row],[Status2]]))</f>
        <v/>
      </c>
      <c r="U473" s="237" t="str">
        <f t="shared" ca="1" si="7"/>
        <v/>
      </c>
      <c r="V473" s="233"/>
      <c r="W473" s="63" t="s">
        <v>1440</v>
      </c>
    </row>
    <row r="474" spans="1:23" ht="39">
      <c r="A474" s="213" t="str">
        <f>IF(OR(CommitmentsTable[[#This Row],[Commitment / deliverable]]="",CommitmentsTable[[#This Row],[Immutable Key]]=""),"",SUBSTITUTE(CommitmentsTable[[#This Row],[Immutable Key]],"-K-","-"))</f>
        <v/>
      </c>
      <c r="B474" s="233"/>
      <c r="C474" s="233"/>
      <c r="D474" s="213"/>
      <c r="E474" s="230"/>
      <c r="F474" s="213"/>
      <c r="G474" s="245" t="str">
        <f ca="1">IF(CommitmentsTable[[#This Row],[Commitment / deliverable]]="","",IF(CommitmentsTable[[#This Row],[Date record entered]]="",TODAY(),CommitmentsTable[[#This Row],[Date record entered]]))</f>
        <v/>
      </c>
      <c r="H474" s="245"/>
      <c r="I474" s="245" t="str">
        <f ca="1">IF(CommitmentsTable[[#This Row],[Date Assigned if different from entry date]]&lt;&gt;"",CommitmentsTable[[#This Row],[Date Assigned if different from entry date]]+90,IF(CommitmentsTable[[#This Row],[Date record entered]]&lt;&gt;"",CommitmentsTable[[#This Row],[Date record entered]]+90,""))</f>
        <v/>
      </c>
      <c r="J474" s="245" t="str">
        <f ca="1">IF(CommitmentsTable[[#This Row],[Date Assigned if different from entry date]]&lt;&gt;"",CommitmentsTable[[#This Row],[Date Assigned if different from entry date]]+30,IF(CommitmentsTable[[#This Row],[Date record entered]]&lt;&gt;"",CommitmentsTable[[#This Row],[Date record entered]]+30,""))</f>
        <v/>
      </c>
      <c r="K474" s="245"/>
      <c r="L474" s="245" t="str">
        <f ca="1">IF(CommitmentsTable[[#This Row],[Date Assigned if different from entry date]]&lt;&gt;"",CommitmentsTable[[#This Row],[Date Assigned if different from entry date]]+60,IF(CommitmentsTable[[#This Row],[Date record entered]]&lt;&gt;"",CommitmentsTable[[#This Row],[Date record entered]]+60,""))</f>
        <v/>
      </c>
      <c r="M474" s="214"/>
      <c r="N474" s="214"/>
      <c r="O474" s="236"/>
      <c r="P474" s="214"/>
      <c r="Q474" s="214"/>
      <c r="R474" s="214"/>
      <c r="S474" s="238" t="str">
        <f>IF(CommitmentsTable[[#This Row],[Commitment / deliverable]]="","",IF(CommitmentsTable[[#This Row],[Revised due]]&lt;&gt;"",CommitmentsTable[[#This Row],[Revised due]],CommitmentsTable[[#This Row],[Original due]]))</f>
        <v/>
      </c>
      <c r="T474" s="237" t="str">
        <f>IF(OR(CommitmentsTable[[#This Row],[Commitment / deliverable]]="",CommitmentsTable[[#This Row],[Owner]]=""),"",IF(CommitmentsTable[[#This Row],[Status2]]="","Open",CommitmentsTable[[#This Row],[Status2]]))</f>
        <v/>
      </c>
      <c r="U474" s="237" t="str">
        <f t="shared" ca="1" si="7"/>
        <v/>
      </c>
      <c r="V474" s="233"/>
      <c r="W474" s="63" t="s">
        <v>1441</v>
      </c>
    </row>
    <row r="475" spans="1:23" ht="39">
      <c r="A475" s="213" t="str">
        <f>IF(OR(CommitmentsTable[[#This Row],[Commitment / deliverable]]="",CommitmentsTable[[#This Row],[Immutable Key]]=""),"",SUBSTITUTE(CommitmentsTable[[#This Row],[Immutable Key]],"-K-","-"))</f>
        <v/>
      </c>
      <c r="B475" s="233"/>
      <c r="C475" s="233"/>
      <c r="D475" s="213"/>
      <c r="E475" s="230"/>
      <c r="F475" s="213"/>
      <c r="G475" s="245" t="str">
        <f ca="1">IF(CommitmentsTable[[#This Row],[Commitment / deliverable]]="","",IF(CommitmentsTable[[#This Row],[Date record entered]]="",TODAY(),CommitmentsTable[[#This Row],[Date record entered]]))</f>
        <v/>
      </c>
      <c r="H475" s="245"/>
      <c r="I475" s="245" t="str">
        <f ca="1">IF(CommitmentsTable[[#This Row],[Date Assigned if different from entry date]]&lt;&gt;"",CommitmentsTable[[#This Row],[Date Assigned if different from entry date]]+90,IF(CommitmentsTable[[#This Row],[Date record entered]]&lt;&gt;"",CommitmentsTable[[#This Row],[Date record entered]]+90,""))</f>
        <v/>
      </c>
      <c r="J475" s="245" t="str">
        <f ca="1">IF(CommitmentsTable[[#This Row],[Date Assigned if different from entry date]]&lt;&gt;"",CommitmentsTable[[#This Row],[Date Assigned if different from entry date]]+30,IF(CommitmentsTable[[#This Row],[Date record entered]]&lt;&gt;"",CommitmentsTable[[#This Row],[Date record entered]]+30,""))</f>
        <v/>
      </c>
      <c r="K475" s="245"/>
      <c r="L475" s="245" t="str">
        <f ca="1">IF(CommitmentsTable[[#This Row],[Date Assigned if different from entry date]]&lt;&gt;"",CommitmentsTable[[#This Row],[Date Assigned if different from entry date]]+60,IF(CommitmentsTable[[#This Row],[Date record entered]]&lt;&gt;"",CommitmentsTable[[#This Row],[Date record entered]]+60,""))</f>
        <v/>
      </c>
      <c r="M475" s="214"/>
      <c r="N475" s="214"/>
      <c r="O475" s="236"/>
      <c r="P475" s="214"/>
      <c r="Q475" s="214"/>
      <c r="R475" s="214"/>
      <c r="S475" s="238" t="str">
        <f>IF(CommitmentsTable[[#This Row],[Commitment / deliverable]]="","",IF(CommitmentsTable[[#This Row],[Revised due]]&lt;&gt;"",CommitmentsTable[[#This Row],[Revised due]],CommitmentsTable[[#This Row],[Original due]]))</f>
        <v/>
      </c>
      <c r="T475" s="237" t="str">
        <f>IF(OR(CommitmentsTable[[#This Row],[Commitment / deliverable]]="",CommitmentsTable[[#This Row],[Owner]]=""),"",IF(CommitmentsTable[[#This Row],[Status2]]="","Open",CommitmentsTable[[#This Row],[Status2]]))</f>
        <v/>
      </c>
      <c r="U475" s="237" t="str">
        <f t="shared" ca="1" si="7"/>
        <v/>
      </c>
      <c r="V475" s="233"/>
      <c r="W475" s="63" t="s">
        <v>1442</v>
      </c>
    </row>
    <row r="476" spans="1:23" ht="39">
      <c r="A476" s="213" t="str">
        <f>IF(OR(CommitmentsTable[[#This Row],[Commitment / deliverable]]="",CommitmentsTable[[#This Row],[Immutable Key]]=""),"",SUBSTITUTE(CommitmentsTable[[#This Row],[Immutable Key]],"-K-","-"))</f>
        <v/>
      </c>
      <c r="B476" s="233"/>
      <c r="C476" s="233"/>
      <c r="D476" s="213"/>
      <c r="E476" s="230"/>
      <c r="F476" s="213"/>
      <c r="G476" s="245" t="str">
        <f ca="1">IF(CommitmentsTable[[#This Row],[Commitment / deliverable]]="","",IF(CommitmentsTable[[#This Row],[Date record entered]]="",TODAY(),CommitmentsTable[[#This Row],[Date record entered]]))</f>
        <v/>
      </c>
      <c r="H476" s="245"/>
      <c r="I476" s="245" t="str">
        <f ca="1">IF(CommitmentsTable[[#This Row],[Date Assigned if different from entry date]]&lt;&gt;"",CommitmentsTable[[#This Row],[Date Assigned if different from entry date]]+90,IF(CommitmentsTable[[#This Row],[Date record entered]]&lt;&gt;"",CommitmentsTable[[#This Row],[Date record entered]]+90,""))</f>
        <v/>
      </c>
      <c r="J476" s="245" t="str">
        <f ca="1">IF(CommitmentsTable[[#This Row],[Date Assigned if different from entry date]]&lt;&gt;"",CommitmentsTable[[#This Row],[Date Assigned if different from entry date]]+30,IF(CommitmentsTable[[#This Row],[Date record entered]]&lt;&gt;"",CommitmentsTable[[#This Row],[Date record entered]]+30,""))</f>
        <v/>
      </c>
      <c r="K476" s="245"/>
      <c r="L476" s="245" t="str">
        <f ca="1">IF(CommitmentsTable[[#This Row],[Date Assigned if different from entry date]]&lt;&gt;"",CommitmentsTable[[#This Row],[Date Assigned if different from entry date]]+60,IF(CommitmentsTable[[#This Row],[Date record entered]]&lt;&gt;"",CommitmentsTable[[#This Row],[Date record entered]]+60,""))</f>
        <v/>
      </c>
      <c r="M476" s="214"/>
      <c r="N476" s="214"/>
      <c r="O476" s="236"/>
      <c r="P476" s="214"/>
      <c r="Q476" s="214"/>
      <c r="R476" s="214"/>
      <c r="S476" s="238" t="str">
        <f>IF(CommitmentsTable[[#This Row],[Commitment / deliverable]]="","",IF(CommitmentsTable[[#This Row],[Revised due]]&lt;&gt;"",CommitmentsTable[[#This Row],[Revised due]],CommitmentsTable[[#This Row],[Original due]]))</f>
        <v/>
      </c>
      <c r="T476" s="237" t="str">
        <f>IF(OR(CommitmentsTable[[#This Row],[Commitment / deliverable]]="",CommitmentsTable[[#This Row],[Owner]]=""),"",IF(CommitmentsTable[[#This Row],[Status2]]="","Open",CommitmentsTable[[#This Row],[Status2]]))</f>
        <v/>
      </c>
      <c r="U476" s="237" t="str">
        <f t="shared" ca="1" si="7"/>
        <v/>
      </c>
      <c r="V476" s="233"/>
      <c r="W476" s="63" t="s">
        <v>1443</v>
      </c>
    </row>
    <row r="477" spans="1:23" ht="39">
      <c r="A477" s="213" t="str">
        <f>IF(OR(CommitmentsTable[[#This Row],[Commitment / deliverable]]="",CommitmentsTable[[#This Row],[Immutable Key]]=""),"",SUBSTITUTE(CommitmentsTable[[#This Row],[Immutable Key]],"-K-","-"))</f>
        <v/>
      </c>
      <c r="B477" s="233"/>
      <c r="C477" s="233"/>
      <c r="D477" s="213"/>
      <c r="E477" s="230"/>
      <c r="F477" s="213"/>
      <c r="G477" s="245" t="str">
        <f ca="1">IF(CommitmentsTable[[#This Row],[Commitment / deliverable]]="","",IF(CommitmentsTable[[#This Row],[Date record entered]]="",TODAY(),CommitmentsTable[[#This Row],[Date record entered]]))</f>
        <v/>
      </c>
      <c r="H477" s="245"/>
      <c r="I477" s="245" t="str">
        <f ca="1">IF(CommitmentsTable[[#This Row],[Date Assigned if different from entry date]]&lt;&gt;"",CommitmentsTable[[#This Row],[Date Assigned if different from entry date]]+90,IF(CommitmentsTable[[#This Row],[Date record entered]]&lt;&gt;"",CommitmentsTable[[#This Row],[Date record entered]]+90,""))</f>
        <v/>
      </c>
      <c r="J477" s="245" t="str">
        <f ca="1">IF(CommitmentsTable[[#This Row],[Date Assigned if different from entry date]]&lt;&gt;"",CommitmentsTable[[#This Row],[Date Assigned if different from entry date]]+30,IF(CommitmentsTable[[#This Row],[Date record entered]]&lt;&gt;"",CommitmentsTable[[#This Row],[Date record entered]]+30,""))</f>
        <v/>
      </c>
      <c r="K477" s="245"/>
      <c r="L477" s="245" t="str">
        <f ca="1">IF(CommitmentsTable[[#This Row],[Date Assigned if different from entry date]]&lt;&gt;"",CommitmentsTable[[#This Row],[Date Assigned if different from entry date]]+60,IF(CommitmentsTable[[#This Row],[Date record entered]]&lt;&gt;"",CommitmentsTable[[#This Row],[Date record entered]]+60,""))</f>
        <v/>
      </c>
      <c r="M477" s="214"/>
      <c r="N477" s="214"/>
      <c r="O477" s="236"/>
      <c r="P477" s="214"/>
      <c r="Q477" s="214"/>
      <c r="R477" s="214"/>
      <c r="S477" s="238" t="str">
        <f>IF(CommitmentsTable[[#This Row],[Commitment / deliverable]]="","",IF(CommitmentsTable[[#This Row],[Revised due]]&lt;&gt;"",CommitmentsTable[[#This Row],[Revised due]],CommitmentsTable[[#This Row],[Original due]]))</f>
        <v/>
      </c>
      <c r="T477" s="237" t="str">
        <f>IF(OR(CommitmentsTable[[#This Row],[Commitment / deliverable]]="",CommitmentsTable[[#This Row],[Owner]]=""),"",IF(CommitmentsTable[[#This Row],[Status2]]="","Open",CommitmentsTable[[#This Row],[Status2]]))</f>
        <v/>
      </c>
      <c r="U477" s="237" t="str">
        <f t="shared" ca="1" si="7"/>
        <v/>
      </c>
      <c r="V477" s="233"/>
      <c r="W477" s="63" t="s">
        <v>1444</v>
      </c>
    </row>
    <row r="478" spans="1:23" ht="39">
      <c r="A478" s="213" t="str">
        <f>IF(OR(CommitmentsTable[[#This Row],[Commitment / deliverable]]="",CommitmentsTable[[#This Row],[Immutable Key]]=""),"",SUBSTITUTE(CommitmentsTable[[#This Row],[Immutable Key]],"-K-","-"))</f>
        <v/>
      </c>
      <c r="B478" s="233"/>
      <c r="C478" s="233"/>
      <c r="D478" s="213"/>
      <c r="E478" s="230"/>
      <c r="F478" s="213"/>
      <c r="G478" s="245" t="str">
        <f ca="1">IF(CommitmentsTable[[#This Row],[Commitment / deliverable]]="","",IF(CommitmentsTable[[#This Row],[Date record entered]]="",TODAY(),CommitmentsTable[[#This Row],[Date record entered]]))</f>
        <v/>
      </c>
      <c r="H478" s="245"/>
      <c r="I478" s="245" t="str">
        <f ca="1">IF(CommitmentsTable[[#This Row],[Date Assigned if different from entry date]]&lt;&gt;"",CommitmentsTable[[#This Row],[Date Assigned if different from entry date]]+90,IF(CommitmentsTable[[#This Row],[Date record entered]]&lt;&gt;"",CommitmentsTable[[#This Row],[Date record entered]]+90,""))</f>
        <v/>
      </c>
      <c r="J478" s="245" t="str">
        <f ca="1">IF(CommitmentsTable[[#This Row],[Date Assigned if different from entry date]]&lt;&gt;"",CommitmentsTable[[#This Row],[Date Assigned if different from entry date]]+30,IF(CommitmentsTable[[#This Row],[Date record entered]]&lt;&gt;"",CommitmentsTable[[#This Row],[Date record entered]]+30,""))</f>
        <v/>
      </c>
      <c r="K478" s="245"/>
      <c r="L478" s="245" t="str">
        <f ca="1">IF(CommitmentsTable[[#This Row],[Date Assigned if different from entry date]]&lt;&gt;"",CommitmentsTable[[#This Row],[Date Assigned if different from entry date]]+60,IF(CommitmentsTable[[#This Row],[Date record entered]]&lt;&gt;"",CommitmentsTable[[#This Row],[Date record entered]]+60,""))</f>
        <v/>
      </c>
      <c r="M478" s="214"/>
      <c r="N478" s="214"/>
      <c r="O478" s="236"/>
      <c r="P478" s="214"/>
      <c r="Q478" s="214"/>
      <c r="R478" s="214"/>
      <c r="S478" s="238" t="str">
        <f>IF(CommitmentsTable[[#This Row],[Commitment / deliverable]]="","",IF(CommitmentsTable[[#This Row],[Revised due]]&lt;&gt;"",CommitmentsTable[[#This Row],[Revised due]],CommitmentsTable[[#This Row],[Original due]]))</f>
        <v/>
      </c>
      <c r="T478" s="237" t="str">
        <f>IF(OR(CommitmentsTable[[#This Row],[Commitment / deliverable]]="",CommitmentsTable[[#This Row],[Owner]]=""),"",IF(CommitmentsTable[[#This Row],[Status2]]="","Open",CommitmentsTable[[#This Row],[Status2]]))</f>
        <v/>
      </c>
      <c r="U478" s="237" t="str">
        <f t="shared" ca="1" si="7"/>
        <v/>
      </c>
      <c r="V478" s="233"/>
      <c r="W478" s="63" t="s">
        <v>1445</v>
      </c>
    </row>
    <row r="479" spans="1:23" ht="39">
      <c r="A479" s="213" t="str">
        <f>IF(OR(CommitmentsTable[[#This Row],[Commitment / deliverable]]="",CommitmentsTable[[#This Row],[Immutable Key]]=""),"",SUBSTITUTE(CommitmentsTable[[#This Row],[Immutable Key]],"-K-","-"))</f>
        <v/>
      </c>
      <c r="B479" s="233"/>
      <c r="C479" s="233"/>
      <c r="D479" s="213"/>
      <c r="E479" s="230"/>
      <c r="F479" s="213"/>
      <c r="G479" s="245" t="str">
        <f ca="1">IF(CommitmentsTable[[#This Row],[Commitment / deliverable]]="","",IF(CommitmentsTable[[#This Row],[Date record entered]]="",TODAY(),CommitmentsTable[[#This Row],[Date record entered]]))</f>
        <v/>
      </c>
      <c r="H479" s="245"/>
      <c r="I479" s="245" t="str">
        <f ca="1">IF(CommitmentsTable[[#This Row],[Date Assigned if different from entry date]]&lt;&gt;"",CommitmentsTable[[#This Row],[Date Assigned if different from entry date]]+90,IF(CommitmentsTable[[#This Row],[Date record entered]]&lt;&gt;"",CommitmentsTable[[#This Row],[Date record entered]]+90,""))</f>
        <v/>
      </c>
      <c r="J479" s="245" t="str">
        <f ca="1">IF(CommitmentsTable[[#This Row],[Date Assigned if different from entry date]]&lt;&gt;"",CommitmentsTable[[#This Row],[Date Assigned if different from entry date]]+30,IF(CommitmentsTable[[#This Row],[Date record entered]]&lt;&gt;"",CommitmentsTable[[#This Row],[Date record entered]]+30,""))</f>
        <v/>
      </c>
      <c r="K479" s="245"/>
      <c r="L479" s="245" t="str">
        <f ca="1">IF(CommitmentsTable[[#This Row],[Date Assigned if different from entry date]]&lt;&gt;"",CommitmentsTable[[#This Row],[Date Assigned if different from entry date]]+60,IF(CommitmentsTable[[#This Row],[Date record entered]]&lt;&gt;"",CommitmentsTable[[#This Row],[Date record entered]]+60,""))</f>
        <v/>
      </c>
      <c r="M479" s="214"/>
      <c r="N479" s="214"/>
      <c r="O479" s="236"/>
      <c r="P479" s="214"/>
      <c r="Q479" s="214"/>
      <c r="R479" s="214"/>
      <c r="S479" s="238" t="str">
        <f>IF(CommitmentsTable[[#This Row],[Commitment / deliverable]]="","",IF(CommitmentsTable[[#This Row],[Revised due]]&lt;&gt;"",CommitmentsTable[[#This Row],[Revised due]],CommitmentsTable[[#This Row],[Original due]]))</f>
        <v/>
      </c>
      <c r="T479" s="237" t="str">
        <f>IF(OR(CommitmentsTable[[#This Row],[Commitment / deliverable]]="",CommitmentsTable[[#This Row],[Owner]]=""),"",IF(CommitmentsTable[[#This Row],[Status2]]="","Open",CommitmentsTable[[#This Row],[Status2]]))</f>
        <v/>
      </c>
      <c r="U479" s="237" t="str">
        <f t="shared" ca="1" si="7"/>
        <v/>
      </c>
      <c r="V479" s="233"/>
      <c r="W479" s="63" t="s">
        <v>1446</v>
      </c>
    </row>
    <row r="480" spans="1:23" ht="39">
      <c r="A480" s="213" t="str">
        <f>IF(OR(CommitmentsTable[[#This Row],[Commitment / deliverable]]="",CommitmentsTable[[#This Row],[Immutable Key]]=""),"",SUBSTITUTE(CommitmentsTable[[#This Row],[Immutable Key]],"-K-","-"))</f>
        <v/>
      </c>
      <c r="B480" s="233"/>
      <c r="C480" s="233"/>
      <c r="D480" s="213"/>
      <c r="E480" s="230"/>
      <c r="F480" s="213"/>
      <c r="G480" s="245" t="str">
        <f ca="1">IF(CommitmentsTable[[#This Row],[Commitment / deliverable]]="","",IF(CommitmentsTable[[#This Row],[Date record entered]]="",TODAY(),CommitmentsTable[[#This Row],[Date record entered]]))</f>
        <v/>
      </c>
      <c r="H480" s="245"/>
      <c r="I480" s="245" t="str">
        <f ca="1">IF(CommitmentsTable[[#This Row],[Date Assigned if different from entry date]]&lt;&gt;"",CommitmentsTable[[#This Row],[Date Assigned if different from entry date]]+90,IF(CommitmentsTable[[#This Row],[Date record entered]]&lt;&gt;"",CommitmentsTable[[#This Row],[Date record entered]]+90,""))</f>
        <v/>
      </c>
      <c r="J480" s="245" t="str">
        <f ca="1">IF(CommitmentsTable[[#This Row],[Date Assigned if different from entry date]]&lt;&gt;"",CommitmentsTable[[#This Row],[Date Assigned if different from entry date]]+30,IF(CommitmentsTable[[#This Row],[Date record entered]]&lt;&gt;"",CommitmentsTable[[#This Row],[Date record entered]]+30,""))</f>
        <v/>
      </c>
      <c r="K480" s="245"/>
      <c r="L480" s="245" t="str">
        <f ca="1">IF(CommitmentsTable[[#This Row],[Date Assigned if different from entry date]]&lt;&gt;"",CommitmentsTable[[#This Row],[Date Assigned if different from entry date]]+60,IF(CommitmentsTable[[#This Row],[Date record entered]]&lt;&gt;"",CommitmentsTable[[#This Row],[Date record entered]]+60,""))</f>
        <v/>
      </c>
      <c r="M480" s="214"/>
      <c r="N480" s="214"/>
      <c r="O480" s="236"/>
      <c r="P480" s="214"/>
      <c r="Q480" s="214"/>
      <c r="R480" s="214"/>
      <c r="S480" s="238" t="str">
        <f>IF(CommitmentsTable[[#This Row],[Commitment / deliverable]]="","",IF(CommitmentsTable[[#This Row],[Revised due]]&lt;&gt;"",CommitmentsTable[[#This Row],[Revised due]],CommitmentsTable[[#This Row],[Original due]]))</f>
        <v/>
      </c>
      <c r="T480" s="237" t="str">
        <f>IF(OR(CommitmentsTable[[#This Row],[Commitment / deliverable]]="",CommitmentsTable[[#This Row],[Owner]]=""),"",IF(CommitmentsTable[[#This Row],[Status2]]="","Open",CommitmentsTable[[#This Row],[Status2]]))</f>
        <v/>
      </c>
      <c r="U480" s="237" t="str">
        <f t="shared" ca="1" si="7"/>
        <v/>
      </c>
      <c r="V480" s="233"/>
      <c r="W480" s="63" t="s">
        <v>1447</v>
      </c>
    </row>
    <row r="481" spans="1:23" ht="39">
      <c r="A481" s="213" t="str">
        <f>IF(OR(CommitmentsTable[[#This Row],[Commitment / deliverable]]="",CommitmentsTable[[#This Row],[Immutable Key]]=""),"",SUBSTITUTE(CommitmentsTable[[#This Row],[Immutable Key]],"-K-","-"))</f>
        <v/>
      </c>
      <c r="B481" s="233"/>
      <c r="C481" s="233"/>
      <c r="D481" s="213"/>
      <c r="E481" s="230"/>
      <c r="F481" s="213"/>
      <c r="G481" s="245" t="str">
        <f ca="1">IF(CommitmentsTable[[#This Row],[Commitment / deliverable]]="","",IF(CommitmentsTable[[#This Row],[Date record entered]]="",TODAY(),CommitmentsTable[[#This Row],[Date record entered]]))</f>
        <v/>
      </c>
      <c r="H481" s="245"/>
      <c r="I481" s="245" t="str">
        <f ca="1">IF(CommitmentsTable[[#This Row],[Date Assigned if different from entry date]]&lt;&gt;"",CommitmentsTable[[#This Row],[Date Assigned if different from entry date]]+90,IF(CommitmentsTable[[#This Row],[Date record entered]]&lt;&gt;"",CommitmentsTable[[#This Row],[Date record entered]]+90,""))</f>
        <v/>
      </c>
      <c r="J481" s="245" t="str">
        <f ca="1">IF(CommitmentsTable[[#This Row],[Date Assigned if different from entry date]]&lt;&gt;"",CommitmentsTable[[#This Row],[Date Assigned if different from entry date]]+30,IF(CommitmentsTable[[#This Row],[Date record entered]]&lt;&gt;"",CommitmentsTable[[#This Row],[Date record entered]]+30,""))</f>
        <v/>
      </c>
      <c r="K481" s="245"/>
      <c r="L481" s="245" t="str">
        <f ca="1">IF(CommitmentsTable[[#This Row],[Date Assigned if different from entry date]]&lt;&gt;"",CommitmentsTable[[#This Row],[Date Assigned if different from entry date]]+60,IF(CommitmentsTable[[#This Row],[Date record entered]]&lt;&gt;"",CommitmentsTable[[#This Row],[Date record entered]]+60,""))</f>
        <v/>
      </c>
      <c r="M481" s="214"/>
      <c r="N481" s="214"/>
      <c r="O481" s="236"/>
      <c r="P481" s="214"/>
      <c r="Q481" s="214"/>
      <c r="R481" s="214"/>
      <c r="S481" s="238" t="str">
        <f>IF(CommitmentsTable[[#This Row],[Commitment / deliverable]]="","",IF(CommitmentsTable[[#This Row],[Revised due]]&lt;&gt;"",CommitmentsTable[[#This Row],[Revised due]],CommitmentsTable[[#This Row],[Original due]]))</f>
        <v/>
      </c>
      <c r="T481" s="237" t="str">
        <f>IF(OR(CommitmentsTable[[#This Row],[Commitment / deliverable]]="",CommitmentsTable[[#This Row],[Owner]]=""),"",IF(CommitmentsTable[[#This Row],[Status2]]="","Open",CommitmentsTable[[#This Row],[Status2]]))</f>
        <v/>
      </c>
      <c r="U481" s="237" t="str">
        <f t="shared" ca="1" si="7"/>
        <v/>
      </c>
      <c r="V481" s="233"/>
      <c r="W481" s="63" t="s">
        <v>1448</v>
      </c>
    </row>
    <row r="482" spans="1:23" ht="39">
      <c r="A482" s="213" t="str">
        <f>IF(OR(CommitmentsTable[[#This Row],[Commitment / deliverable]]="",CommitmentsTable[[#This Row],[Immutable Key]]=""),"",SUBSTITUTE(CommitmentsTable[[#This Row],[Immutable Key]],"-K-","-"))</f>
        <v/>
      </c>
      <c r="B482" s="233"/>
      <c r="C482" s="233"/>
      <c r="D482" s="213"/>
      <c r="E482" s="230"/>
      <c r="F482" s="213"/>
      <c r="G482" s="245" t="str">
        <f ca="1">IF(CommitmentsTable[[#This Row],[Commitment / deliverable]]="","",IF(CommitmentsTable[[#This Row],[Date record entered]]="",TODAY(),CommitmentsTable[[#This Row],[Date record entered]]))</f>
        <v/>
      </c>
      <c r="H482" s="245"/>
      <c r="I482" s="245" t="str">
        <f ca="1">IF(CommitmentsTable[[#This Row],[Date Assigned if different from entry date]]&lt;&gt;"",CommitmentsTable[[#This Row],[Date Assigned if different from entry date]]+90,IF(CommitmentsTable[[#This Row],[Date record entered]]&lt;&gt;"",CommitmentsTable[[#This Row],[Date record entered]]+90,""))</f>
        <v/>
      </c>
      <c r="J482" s="245" t="str">
        <f ca="1">IF(CommitmentsTable[[#This Row],[Date Assigned if different from entry date]]&lt;&gt;"",CommitmentsTable[[#This Row],[Date Assigned if different from entry date]]+30,IF(CommitmentsTable[[#This Row],[Date record entered]]&lt;&gt;"",CommitmentsTable[[#This Row],[Date record entered]]+30,""))</f>
        <v/>
      </c>
      <c r="K482" s="245"/>
      <c r="L482" s="245" t="str">
        <f ca="1">IF(CommitmentsTable[[#This Row],[Date Assigned if different from entry date]]&lt;&gt;"",CommitmentsTable[[#This Row],[Date Assigned if different from entry date]]+60,IF(CommitmentsTable[[#This Row],[Date record entered]]&lt;&gt;"",CommitmentsTable[[#This Row],[Date record entered]]+60,""))</f>
        <v/>
      </c>
      <c r="M482" s="214"/>
      <c r="N482" s="214"/>
      <c r="O482" s="236"/>
      <c r="P482" s="214"/>
      <c r="Q482" s="214"/>
      <c r="R482" s="214"/>
      <c r="S482" s="238" t="str">
        <f>IF(CommitmentsTable[[#This Row],[Commitment / deliverable]]="","",IF(CommitmentsTable[[#This Row],[Revised due]]&lt;&gt;"",CommitmentsTable[[#This Row],[Revised due]],CommitmentsTable[[#This Row],[Original due]]))</f>
        <v/>
      </c>
      <c r="T482" s="237" t="str">
        <f>IF(OR(CommitmentsTable[[#This Row],[Commitment / deliverable]]="",CommitmentsTable[[#This Row],[Owner]]=""),"",IF(CommitmentsTable[[#This Row],[Status2]]="","Open",CommitmentsTable[[#This Row],[Status2]]))</f>
        <v/>
      </c>
      <c r="U482" s="237" t="str">
        <f t="shared" ca="1" si="7"/>
        <v/>
      </c>
      <c r="V482" s="233"/>
      <c r="W482" s="63" t="s">
        <v>1449</v>
      </c>
    </row>
    <row r="483" spans="1:23" ht="39">
      <c r="A483" s="213" t="str">
        <f>IF(OR(CommitmentsTable[[#This Row],[Commitment / deliverable]]="",CommitmentsTable[[#This Row],[Immutable Key]]=""),"",SUBSTITUTE(CommitmentsTable[[#This Row],[Immutable Key]],"-K-","-"))</f>
        <v/>
      </c>
      <c r="B483" s="233"/>
      <c r="C483" s="233"/>
      <c r="D483" s="213"/>
      <c r="E483" s="230"/>
      <c r="F483" s="213"/>
      <c r="G483" s="245" t="str">
        <f ca="1">IF(CommitmentsTable[[#This Row],[Commitment / deliverable]]="","",IF(CommitmentsTable[[#This Row],[Date record entered]]="",TODAY(),CommitmentsTable[[#This Row],[Date record entered]]))</f>
        <v/>
      </c>
      <c r="H483" s="245"/>
      <c r="I483" s="245" t="str">
        <f ca="1">IF(CommitmentsTable[[#This Row],[Date Assigned if different from entry date]]&lt;&gt;"",CommitmentsTable[[#This Row],[Date Assigned if different from entry date]]+90,IF(CommitmentsTable[[#This Row],[Date record entered]]&lt;&gt;"",CommitmentsTable[[#This Row],[Date record entered]]+90,""))</f>
        <v/>
      </c>
      <c r="J483" s="245" t="str">
        <f ca="1">IF(CommitmentsTable[[#This Row],[Date Assigned if different from entry date]]&lt;&gt;"",CommitmentsTable[[#This Row],[Date Assigned if different from entry date]]+30,IF(CommitmentsTable[[#This Row],[Date record entered]]&lt;&gt;"",CommitmentsTable[[#This Row],[Date record entered]]+30,""))</f>
        <v/>
      </c>
      <c r="K483" s="245"/>
      <c r="L483" s="245" t="str">
        <f ca="1">IF(CommitmentsTable[[#This Row],[Date Assigned if different from entry date]]&lt;&gt;"",CommitmentsTable[[#This Row],[Date Assigned if different from entry date]]+60,IF(CommitmentsTable[[#This Row],[Date record entered]]&lt;&gt;"",CommitmentsTable[[#This Row],[Date record entered]]+60,""))</f>
        <v/>
      </c>
      <c r="M483" s="214"/>
      <c r="N483" s="214"/>
      <c r="O483" s="236"/>
      <c r="P483" s="214"/>
      <c r="Q483" s="214"/>
      <c r="R483" s="214"/>
      <c r="S483" s="238" t="str">
        <f>IF(CommitmentsTable[[#This Row],[Commitment / deliverable]]="","",IF(CommitmentsTable[[#This Row],[Revised due]]&lt;&gt;"",CommitmentsTable[[#This Row],[Revised due]],CommitmentsTable[[#This Row],[Original due]]))</f>
        <v/>
      </c>
      <c r="T483" s="237" t="str">
        <f>IF(OR(CommitmentsTable[[#This Row],[Commitment / deliverable]]="",CommitmentsTable[[#This Row],[Owner]]=""),"",IF(CommitmentsTable[[#This Row],[Status2]]="","Open",CommitmentsTable[[#This Row],[Status2]]))</f>
        <v/>
      </c>
      <c r="U483" s="237" t="str">
        <f t="shared" ca="1" si="7"/>
        <v/>
      </c>
      <c r="V483" s="233"/>
      <c r="W483" s="63" t="s">
        <v>1450</v>
      </c>
    </row>
    <row r="484" spans="1:23" ht="39">
      <c r="A484" s="213" t="str">
        <f>IF(OR(CommitmentsTable[[#This Row],[Commitment / deliverable]]="",CommitmentsTable[[#This Row],[Immutable Key]]=""),"",SUBSTITUTE(CommitmentsTable[[#This Row],[Immutable Key]],"-K-","-"))</f>
        <v/>
      </c>
      <c r="B484" s="233"/>
      <c r="C484" s="233"/>
      <c r="D484" s="213"/>
      <c r="E484" s="230"/>
      <c r="F484" s="213"/>
      <c r="G484" s="245" t="str">
        <f ca="1">IF(CommitmentsTable[[#This Row],[Commitment / deliverable]]="","",IF(CommitmentsTable[[#This Row],[Date record entered]]="",TODAY(),CommitmentsTable[[#This Row],[Date record entered]]))</f>
        <v/>
      </c>
      <c r="H484" s="245"/>
      <c r="I484" s="245" t="str">
        <f ca="1">IF(CommitmentsTable[[#This Row],[Date Assigned if different from entry date]]&lt;&gt;"",CommitmentsTable[[#This Row],[Date Assigned if different from entry date]]+90,IF(CommitmentsTable[[#This Row],[Date record entered]]&lt;&gt;"",CommitmentsTable[[#This Row],[Date record entered]]+90,""))</f>
        <v/>
      </c>
      <c r="J484" s="245" t="str">
        <f ca="1">IF(CommitmentsTable[[#This Row],[Date Assigned if different from entry date]]&lt;&gt;"",CommitmentsTable[[#This Row],[Date Assigned if different from entry date]]+30,IF(CommitmentsTable[[#This Row],[Date record entered]]&lt;&gt;"",CommitmentsTable[[#This Row],[Date record entered]]+30,""))</f>
        <v/>
      </c>
      <c r="K484" s="245"/>
      <c r="L484" s="245" t="str">
        <f ca="1">IF(CommitmentsTable[[#This Row],[Date Assigned if different from entry date]]&lt;&gt;"",CommitmentsTable[[#This Row],[Date Assigned if different from entry date]]+60,IF(CommitmentsTable[[#This Row],[Date record entered]]&lt;&gt;"",CommitmentsTable[[#This Row],[Date record entered]]+60,""))</f>
        <v/>
      </c>
      <c r="M484" s="214"/>
      <c r="N484" s="214"/>
      <c r="O484" s="236"/>
      <c r="P484" s="214"/>
      <c r="Q484" s="214"/>
      <c r="R484" s="214"/>
      <c r="S484" s="238" t="str">
        <f>IF(CommitmentsTable[[#This Row],[Commitment / deliverable]]="","",IF(CommitmentsTable[[#This Row],[Revised due]]&lt;&gt;"",CommitmentsTable[[#This Row],[Revised due]],CommitmentsTable[[#This Row],[Original due]]))</f>
        <v/>
      </c>
      <c r="T484" s="237" t="str">
        <f>IF(OR(CommitmentsTable[[#This Row],[Commitment / deliverable]]="",CommitmentsTable[[#This Row],[Owner]]=""),"",IF(CommitmentsTable[[#This Row],[Status2]]="","Open",CommitmentsTable[[#This Row],[Status2]]))</f>
        <v/>
      </c>
      <c r="U484" s="237" t="str">
        <f t="shared" ca="1" si="7"/>
        <v/>
      </c>
      <c r="V484" s="233"/>
      <c r="W484" s="63" t="s">
        <v>1451</v>
      </c>
    </row>
    <row r="485" spans="1:23" ht="39">
      <c r="A485" s="213" t="str">
        <f>IF(OR(CommitmentsTable[[#This Row],[Commitment / deliverable]]="",CommitmentsTable[[#This Row],[Immutable Key]]=""),"",SUBSTITUTE(CommitmentsTable[[#This Row],[Immutable Key]],"-K-","-"))</f>
        <v/>
      </c>
      <c r="B485" s="233"/>
      <c r="C485" s="233"/>
      <c r="D485" s="213"/>
      <c r="E485" s="230"/>
      <c r="F485" s="213"/>
      <c r="G485" s="245" t="str">
        <f ca="1">IF(CommitmentsTable[[#This Row],[Commitment / deliverable]]="","",IF(CommitmentsTable[[#This Row],[Date record entered]]="",TODAY(),CommitmentsTable[[#This Row],[Date record entered]]))</f>
        <v/>
      </c>
      <c r="H485" s="245"/>
      <c r="I485" s="245" t="str">
        <f ca="1">IF(CommitmentsTable[[#This Row],[Date Assigned if different from entry date]]&lt;&gt;"",CommitmentsTable[[#This Row],[Date Assigned if different from entry date]]+90,IF(CommitmentsTable[[#This Row],[Date record entered]]&lt;&gt;"",CommitmentsTable[[#This Row],[Date record entered]]+90,""))</f>
        <v/>
      </c>
      <c r="J485" s="245" t="str">
        <f ca="1">IF(CommitmentsTable[[#This Row],[Date Assigned if different from entry date]]&lt;&gt;"",CommitmentsTable[[#This Row],[Date Assigned if different from entry date]]+30,IF(CommitmentsTable[[#This Row],[Date record entered]]&lt;&gt;"",CommitmentsTable[[#This Row],[Date record entered]]+30,""))</f>
        <v/>
      </c>
      <c r="K485" s="245"/>
      <c r="L485" s="245" t="str">
        <f ca="1">IF(CommitmentsTable[[#This Row],[Date Assigned if different from entry date]]&lt;&gt;"",CommitmentsTable[[#This Row],[Date Assigned if different from entry date]]+60,IF(CommitmentsTable[[#This Row],[Date record entered]]&lt;&gt;"",CommitmentsTable[[#This Row],[Date record entered]]+60,""))</f>
        <v/>
      </c>
      <c r="M485" s="214"/>
      <c r="N485" s="214"/>
      <c r="O485" s="236"/>
      <c r="P485" s="214"/>
      <c r="Q485" s="214"/>
      <c r="R485" s="214"/>
      <c r="S485" s="238" t="str">
        <f>IF(CommitmentsTable[[#This Row],[Commitment / deliverable]]="","",IF(CommitmentsTable[[#This Row],[Revised due]]&lt;&gt;"",CommitmentsTable[[#This Row],[Revised due]],CommitmentsTable[[#This Row],[Original due]]))</f>
        <v/>
      </c>
      <c r="T485" s="237" t="str">
        <f>IF(OR(CommitmentsTable[[#This Row],[Commitment / deliverable]]="",CommitmentsTable[[#This Row],[Owner]]=""),"",IF(CommitmentsTable[[#This Row],[Status2]]="","Open",CommitmentsTable[[#This Row],[Status2]]))</f>
        <v/>
      </c>
      <c r="U485" s="237" t="str">
        <f t="shared" ca="1" si="7"/>
        <v/>
      </c>
      <c r="V485" s="233"/>
      <c r="W485" s="63" t="s">
        <v>1452</v>
      </c>
    </row>
    <row r="486" spans="1:23" ht="39">
      <c r="A486" s="213" t="str">
        <f>IF(OR(CommitmentsTable[[#This Row],[Commitment / deliverable]]="",CommitmentsTable[[#This Row],[Immutable Key]]=""),"",SUBSTITUTE(CommitmentsTable[[#This Row],[Immutable Key]],"-K-","-"))</f>
        <v/>
      </c>
      <c r="B486" s="233"/>
      <c r="C486" s="233"/>
      <c r="D486" s="213"/>
      <c r="E486" s="230"/>
      <c r="F486" s="213"/>
      <c r="G486" s="245" t="str">
        <f ca="1">IF(CommitmentsTable[[#This Row],[Commitment / deliverable]]="","",IF(CommitmentsTable[[#This Row],[Date record entered]]="",TODAY(),CommitmentsTable[[#This Row],[Date record entered]]))</f>
        <v/>
      </c>
      <c r="H486" s="245"/>
      <c r="I486" s="245" t="str">
        <f ca="1">IF(CommitmentsTable[[#This Row],[Date Assigned if different from entry date]]&lt;&gt;"",CommitmentsTable[[#This Row],[Date Assigned if different from entry date]]+90,IF(CommitmentsTable[[#This Row],[Date record entered]]&lt;&gt;"",CommitmentsTable[[#This Row],[Date record entered]]+90,""))</f>
        <v/>
      </c>
      <c r="J486" s="245" t="str">
        <f ca="1">IF(CommitmentsTable[[#This Row],[Date Assigned if different from entry date]]&lt;&gt;"",CommitmentsTable[[#This Row],[Date Assigned if different from entry date]]+30,IF(CommitmentsTable[[#This Row],[Date record entered]]&lt;&gt;"",CommitmentsTable[[#This Row],[Date record entered]]+30,""))</f>
        <v/>
      </c>
      <c r="K486" s="245"/>
      <c r="L486" s="245" t="str">
        <f ca="1">IF(CommitmentsTable[[#This Row],[Date Assigned if different from entry date]]&lt;&gt;"",CommitmentsTable[[#This Row],[Date Assigned if different from entry date]]+60,IF(CommitmentsTable[[#This Row],[Date record entered]]&lt;&gt;"",CommitmentsTable[[#This Row],[Date record entered]]+60,""))</f>
        <v/>
      </c>
      <c r="M486" s="214"/>
      <c r="N486" s="214"/>
      <c r="O486" s="236"/>
      <c r="P486" s="214"/>
      <c r="Q486" s="214"/>
      <c r="R486" s="214"/>
      <c r="S486" s="238" t="str">
        <f>IF(CommitmentsTable[[#This Row],[Commitment / deliverable]]="","",IF(CommitmentsTable[[#This Row],[Revised due]]&lt;&gt;"",CommitmentsTable[[#This Row],[Revised due]],CommitmentsTable[[#This Row],[Original due]]))</f>
        <v/>
      </c>
      <c r="T486" s="237" t="str">
        <f>IF(OR(CommitmentsTable[[#This Row],[Commitment / deliverable]]="",CommitmentsTable[[#This Row],[Owner]]=""),"",IF(CommitmentsTable[[#This Row],[Status2]]="","Open",CommitmentsTable[[#This Row],[Status2]]))</f>
        <v/>
      </c>
      <c r="U486" s="237" t="str">
        <f t="shared" ca="1" si="7"/>
        <v/>
      </c>
      <c r="V486" s="233"/>
      <c r="W486" s="63" t="s">
        <v>1453</v>
      </c>
    </row>
    <row r="487" spans="1:23" ht="39">
      <c r="A487" s="213" t="str">
        <f>IF(OR(CommitmentsTable[[#This Row],[Commitment / deliverable]]="",CommitmentsTable[[#This Row],[Immutable Key]]=""),"",SUBSTITUTE(CommitmentsTable[[#This Row],[Immutable Key]],"-K-","-"))</f>
        <v/>
      </c>
      <c r="B487" s="233"/>
      <c r="C487" s="233"/>
      <c r="D487" s="213"/>
      <c r="E487" s="230"/>
      <c r="F487" s="213"/>
      <c r="G487" s="245" t="str">
        <f ca="1">IF(CommitmentsTable[[#This Row],[Commitment / deliverable]]="","",IF(CommitmentsTable[[#This Row],[Date record entered]]="",TODAY(),CommitmentsTable[[#This Row],[Date record entered]]))</f>
        <v/>
      </c>
      <c r="H487" s="245"/>
      <c r="I487" s="245" t="str">
        <f ca="1">IF(CommitmentsTable[[#This Row],[Date Assigned if different from entry date]]&lt;&gt;"",CommitmentsTable[[#This Row],[Date Assigned if different from entry date]]+90,IF(CommitmentsTable[[#This Row],[Date record entered]]&lt;&gt;"",CommitmentsTable[[#This Row],[Date record entered]]+90,""))</f>
        <v/>
      </c>
      <c r="J487" s="245" t="str">
        <f ca="1">IF(CommitmentsTable[[#This Row],[Date Assigned if different from entry date]]&lt;&gt;"",CommitmentsTable[[#This Row],[Date Assigned if different from entry date]]+30,IF(CommitmentsTable[[#This Row],[Date record entered]]&lt;&gt;"",CommitmentsTable[[#This Row],[Date record entered]]+30,""))</f>
        <v/>
      </c>
      <c r="K487" s="245"/>
      <c r="L487" s="245" t="str">
        <f ca="1">IF(CommitmentsTable[[#This Row],[Date Assigned if different from entry date]]&lt;&gt;"",CommitmentsTable[[#This Row],[Date Assigned if different from entry date]]+60,IF(CommitmentsTable[[#This Row],[Date record entered]]&lt;&gt;"",CommitmentsTable[[#This Row],[Date record entered]]+60,""))</f>
        <v/>
      </c>
      <c r="M487" s="214"/>
      <c r="N487" s="214"/>
      <c r="O487" s="236"/>
      <c r="P487" s="214"/>
      <c r="Q487" s="214"/>
      <c r="R487" s="214"/>
      <c r="S487" s="238" t="str">
        <f>IF(CommitmentsTable[[#This Row],[Commitment / deliverable]]="","",IF(CommitmentsTable[[#This Row],[Revised due]]&lt;&gt;"",CommitmentsTable[[#This Row],[Revised due]],CommitmentsTable[[#This Row],[Original due]]))</f>
        <v/>
      </c>
      <c r="T487" s="237" t="str">
        <f>IF(OR(CommitmentsTable[[#This Row],[Commitment / deliverable]]="",CommitmentsTable[[#This Row],[Owner]]=""),"",IF(CommitmentsTable[[#This Row],[Status2]]="","Open",CommitmentsTable[[#This Row],[Status2]]))</f>
        <v/>
      </c>
      <c r="U487" s="237" t="str">
        <f t="shared" ca="1" si="7"/>
        <v/>
      </c>
      <c r="V487" s="233"/>
      <c r="W487" s="63" t="s">
        <v>1454</v>
      </c>
    </row>
    <row r="488" spans="1:23" ht="39">
      <c r="A488" s="213" t="str">
        <f>IF(OR(CommitmentsTable[[#This Row],[Commitment / deliverable]]="",CommitmentsTable[[#This Row],[Immutable Key]]=""),"",SUBSTITUTE(CommitmentsTable[[#This Row],[Immutable Key]],"-K-","-"))</f>
        <v/>
      </c>
      <c r="B488" s="233"/>
      <c r="C488" s="233"/>
      <c r="D488" s="213"/>
      <c r="E488" s="230"/>
      <c r="F488" s="213"/>
      <c r="G488" s="245" t="str">
        <f ca="1">IF(CommitmentsTable[[#This Row],[Commitment / deliverable]]="","",IF(CommitmentsTable[[#This Row],[Date record entered]]="",TODAY(),CommitmentsTable[[#This Row],[Date record entered]]))</f>
        <v/>
      </c>
      <c r="H488" s="245"/>
      <c r="I488" s="245" t="str">
        <f ca="1">IF(CommitmentsTable[[#This Row],[Date Assigned if different from entry date]]&lt;&gt;"",CommitmentsTable[[#This Row],[Date Assigned if different from entry date]]+90,IF(CommitmentsTable[[#This Row],[Date record entered]]&lt;&gt;"",CommitmentsTable[[#This Row],[Date record entered]]+90,""))</f>
        <v/>
      </c>
      <c r="J488" s="245" t="str">
        <f ca="1">IF(CommitmentsTable[[#This Row],[Date Assigned if different from entry date]]&lt;&gt;"",CommitmentsTable[[#This Row],[Date Assigned if different from entry date]]+30,IF(CommitmentsTable[[#This Row],[Date record entered]]&lt;&gt;"",CommitmentsTable[[#This Row],[Date record entered]]+30,""))</f>
        <v/>
      </c>
      <c r="K488" s="245"/>
      <c r="L488" s="245" t="str">
        <f ca="1">IF(CommitmentsTable[[#This Row],[Date Assigned if different from entry date]]&lt;&gt;"",CommitmentsTable[[#This Row],[Date Assigned if different from entry date]]+60,IF(CommitmentsTable[[#This Row],[Date record entered]]&lt;&gt;"",CommitmentsTable[[#This Row],[Date record entered]]+60,""))</f>
        <v/>
      </c>
      <c r="M488" s="214"/>
      <c r="N488" s="214"/>
      <c r="O488" s="236"/>
      <c r="P488" s="214"/>
      <c r="Q488" s="214"/>
      <c r="R488" s="214"/>
      <c r="S488" s="238" t="str">
        <f>IF(CommitmentsTable[[#This Row],[Commitment / deliverable]]="","",IF(CommitmentsTable[[#This Row],[Revised due]]&lt;&gt;"",CommitmentsTable[[#This Row],[Revised due]],CommitmentsTable[[#This Row],[Original due]]))</f>
        <v/>
      </c>
      <c r="T488" s="237" t="str">
        <f>IF(OR(CommitmentsTable[[#This Row],[Commitment / deliverable]]="",CommitmentsTable[[#This Row],[Owner]]=""),"",IF(CommitmentsTable[[#This Row],[Status2]]="","Open",CommitmentsTable[[#This Row],[Status2]]))</f>
        <v/>
      </c>
      <c r="U488" s="237" t="str">
        <f t="shared" ca="1" si="7"/>
        <v/>
      </c>
      <c r="V488" s="233"/>
      <c r="W488" s="63" t="s">
        <v>1455</v>
      </c>
    </row>
    <row r="489" spans="1:23" ht="39">
      <c r="A489" s="213" t="str">
        <f>IF(OR(CommitmentsTable[[#This Row],[Commitment / deliverable]]="",CommitmentsTable[[#This Row],[Immutable Key]]=""),"",SUBSTITUTE(CommitmentsTable[[#This Row],[Immutable Key]],"-K-","-"))</f>
        <v/>
      </c>
      <c r="B489" s="233"/>
      <c r="C489" s="233"/>
      <c r="D489" s="213"/>
      <c r="E489" s="230"/>
      <c r="F489" s="213"/>
      <c r="G489" s="245" t="str">
        <f ca="1">IF(CommitmentsTable[[#This Row],[Commitment / deliverable]]="","",IF(CommitmentsTable[[#This Row],[Date record entered]]="",TODAY(),CommitmentsTable[[#This Row],[Date record entered]]))</f>
        <v/>
      </c>
      <c r="H489" s="245"/>
      <c r="I489" s="245" t="str">
        <f ca="1">IF(CommitmentsTable[[#This Row],[Date Assigned if different from entry date]]&lt;&gt;"",CommitmentsTable[[#This Row],[Date Assigned if different from entry date]]+90,IF(CommitmentsTable[[#This Row],[Date record entered]]&lt;&gt;"",CommitmentsTable[[#This Row],[Date record entered]]+90,""))</f>
        <v/>
      </c>
      <c r="J489" s="245" t="str">
        <f ca="1">IF(CommitmentsTable[[#This Row],[Date Assigned if different from entry date]]&lt;&gt;"",CommitmentsTable[[#This Row],[Date Assigned if different from entry date]]+30,IF(CommitmentsTable[[#This Row],[Date record entered]]&lt;&gt;"",CommitmentsTable[[#This Row],[Date record entered]]+30,""))</f>
        <v/>
      </c>
      <c r="K489" s="245"/>
      <c r="L489" s="245" t="str">
        <f ca="1">IF(CommitmentsTable[[#This Row],[Date Assigned if different from entry date]]&lt;&gt;"",CommitmentsTable[[#This Row],[Date Assigned if different from entry date]]+60,IF(CommitmentsTable[[#This Row],[Date record entered]]&lt;&gt;"",CommitmentsTable[[#This Row],[Date record entered]]+60,""))</f>
        <v/>
      </c>
      <c r="M489" s="214"/>
      <c r="N489" s="214"/>
      <c r="O489" s="236"/>
      <c r="P489" s="214"/>
      <c r="Q489" s="214"/>
      <c r="R489" s="214"/>
      <c r="S489" s="238" t="str">
        <f>IF(CommitmentsTable[[#This Row],[Commitment / deliverable]]="","",IF(CommitmentsTable[[#This Row],[Revised due]]&lt;&gt;"",CommitmentsTable[[#This Row],[Revised due]],CommitmentsTable[[#This Row],[Original due]]))</f>
        <v/>
      </c>
      <c r="T489" s="237" t="str">
        <f>IF(OR(CommitmentsTable[[#This Row],[Commitment / deliverable]]="",CommitmentsTable[[#This Row],[Owner]]=""),"",IF(CommitmentsTable[[#This Row],[Status2]]="","Open",CommitmentsTable[[#This Row],[Status2]]))</f>
        <v/>
      </c>
      <c r="U489" s="237" t="str">
        <f t="shared" ca="1" si="7"/>
        <v/>
      </c>
      <c r="V489" s="233"/>
      <c r="W489" s="63" t="s">
        <v>1456</v>
      </c>
    </row>
    <row r="490" spans="1:23" ht="39">
      <c r="A490" s="213" t="str">
        <f>IF(OR(CommitmentsTable[[#This Row],[Commitment / deliverable]]="",CommitmentsTable[[#This Row],[Immutable Key]]=""),"",SUBSTITUTE(CommitmentsTable[[#This Row],[Immutable Key]],"-K-","-"))</f>
        <v/>
      </c>
      <c r="B490" s="233"/>
      <c r="C490" s="233"/>
      <c r="D490" s="213"/>
      <c r="E490" s="230"/>
      <c r="F490" s="213"/>
      <c r="G490" s="245" t="str">
        <f ca="1">IF(CommitmentsTable[[#This Row],[Commitment / deliverable]]="","",IF(CommitmentsTable[[#This Row],[Date record entered]]="",TODAY(),CommitmentsTable[[#This Row],[Date record entered]]))</f>
        <v/>
      </c>
      <c r="H490" s="245"/>
      <c r="I490" s="245" t="str">
        <f ca="1">IF(CommitmentsTable[[#This Row],[Date Assigned if different from entry date]]&lt;&gt;"",CommitmentsTable[[#This Row],[Date Assigned if different from entry date]]+90,IF(CommitmentsTable[[#This Row],[Date record entered]]&lt;&gt;"",CommitmentsTable[[#This Row],[Date record entered]]+90,""))</f>
        <v/>
      </c>
      <c r="J490" s="245" t="str">
        <f ca="1">IF(CommitmentsTable[[#This Row],[Date Assigned if different from entry date]]&lt;&gt;"",CommitmentsTable[[#This Row],[Date Assigned if different from entry date]]+30,IF(CommitmentsTable[[#This Row],[Date record entered]]&lt;&gt;"",CommitmentsTable[[#This Row],[Date record entered]]+30,""))</f>
        <v/>
      </c>
      <c r="K490" s="245"/>
      <c r="L490" s="245" t="str">
        <f ca="1">IF(CommitmentsTable[[#This Row],[Date Assigned if different from entry date]]&lt;&gt;"",CommitmentsTable[[#This Row],[Date Assigned if different from entry date]]+60,IF(CommitmentsTable[[#This Row],[Date record entered]]&lt;&gt;"",CommitmentsTable[[#This Row],[Date record entered]]+60,""))</f>
        <v/>
      </c>
      <c r="M490" s="214"/>
      <c r="N490" s="214"/>
      <c r="O490" s="236"/>
      <c r="P490" s="214"/>
      <c r="Q490" s="214"/>
      <c r="R490" s="214"/>
      <c r="S490" s="238" t="str">
        <f>IF(CommitmentsTable[[#This Row],[Commitment / deliverable]]="","",IF(CommitmentsTable[[#This Row],[Revised due]]&lt;&gt;"",CommitmentsTable[[#This Row],[Revised due]],CommitmentsTable[[#This Row],[Original due]]))</f>
        <v/>
      </c>
      <c r="T490" s="237" t="str">
        <f>IF(OR(CommitmentsTable[[#This Row],[Commitment / deliverable]]="",CommitmentsTable[[#This Row],[Owner]]=""),"",IF(CommitmentsTable[[#This Row],[Status2]]="","Open",CommitmentsTable[[#This Row],[Status2]]))</f>
        <v/>
      </c>
      <c r="U490" s="237" t="str">
        <f t="shared" ca="1" si="7"/>
        <v/>
      </c>
      <c r="V490" s="233"/>
      <c r="W490" s="63" t="s">
        <v>1457</v>
      </c>
    </row>
    <row r="491" spans="1:23" ht="39">
      <c r="A491" s="213" t="str">
        <f>IF(OR(CommitmentsTable[[#This Row],[Commitment / deliverable]]="",CommitmentsTable[[#This Row],[Immutable Key]]=""),"",SUBSTITUTE(CommitmentsTable[[#This Row],[Immutable Key]],"-K-","-"))</f>
        <v/>
      </c>
      <c r="B491" s="233"/>
      <c r="C491" s="233"/>
      <c r="D491" s="213"/>
      <c r="E491" s="230"/>
      <c r="F491" s="213"/>
      <c r="G491" s="245" t="str">
        <f ca="1">IF(CommitmentsTable[[#This Row],[Commitment / deliverable]]="","",IF(CommitmentsTable[[#This Row],[Date record entered]]="",TODAY(),CommitmentsTable[[#This Row],[Date record entered]]))</f>
        <v/>
      </c>
      <c r="H491" s="245"/>
      <c r="I491" s="245" t="str">
        <f ca="1">IF(CommitmentsTable[[#This Row],[Date Assigned if different from entry date]]&lt;&gt;"",CommitmentsTable[[#This Row],[Date Assigned if different from entry date]]+90,IF(CommitmentsTable[[#This Row],[Date record entered]]&lt;&gt;"",CommitmentsTable[[#This Row],[Date record entered]]+90,""))</f>
        <v/>
      </c>
      <c r="J491" s="245" t="str">
        <f ca="1">IF(CommitmentsTable[[#This Row],[Date Assigned if different from entry date]]&lt;&gt;"",CommitmentsTable[[#This Row],[Date Assigned if different from entry date]]+30,IF(CommitmentsTable[[#This Row],[Date record entered]]&lt;&gt;"",CommitmentsTable[[#This Row],[Date record entered]]+30,""))</f>
        <v/>
      </c>
      <c r="K491" s="245"/>
      <c r="L491" s="245" t="str">
        <f ca="1">IF(CommitmentsTable[[#This Row],[Date Assigned if different from entry date]]&lt;&gt;"",CommitmentsTable[[#This Row],[Date Assigned if different from entry date]]+60,IF(CommitmentsTable[[#This Row],[Date record entered]]&lt;&gt;"",CommitmentsTable[[#This Row],[Date record entered]]+60,""))</f>
        <v/>
      </c>
      <c r="M491" s="214"/>
      <c r="N491" s="214"/>
      <c r="O491" s="236"/>
      <c r="P491" s="214"/>
      <c r="Q491" s="214"/>
      <c r="R491" s="214"/>
      <c r="S491" s="238" t="str">
        <f>IF(CommitmentsTable[[#This Row],[Commitment / deliverable]]="","",IF(CommitmentsTable[[#This Row],[Revised due]]&lt;&gt;"",CommitmentsTable[[#This Row],[Revised due]],CommitmentsTable[[#This Row],[Original due]]))</f>
        <v/>
      </c>
      <c r="T491" s="237" t="str">
        <f>IF(OR(CommitmentsTable[[#This Row],[Commitment / deliverable]]="",CommitmentsTable[[#This Row],[Owner]]=""),"",IF(CommitmentsTable[[#This Row],[Status2]]="","Open",CommitmentsTable[[#This Row],[Status2]]))</f>
        <v/>
      </c>
      <c r="U491" s="237" t="str">
        <f t="shared" ca="1" si="7"/>
        <v/>
      </c>
      <c r="V491" s="233"/>
      <c r="W491" s="63" t="s">
        <v>1458</v>
      </c>
    </row>
    <row r="492" spans="1:23" ht="39">
      <c r="A492" s="213" t="str">
        <f>IF(OR(CommitmentsTable[[#This Row],[Commitment / deliverable]]="",CommitmentsTable[[#This Row],[Immutable Key]]=""),"",SUBSTITUTE(CommitmentsTable[[#This Row],[Immutable Key]],"-K-","-"))</f>
        <v/>
      </c>
      <c r="B492" s="233"/>
      <c r="C492" s="233"/>
      <c r="D492" s="213"/>
      <c r="E492" s="230"/>
      <c r="F492" s="213"/>
      <c r="G492" s="245" t="str">
        <f ca="1">IF(CommitmentsTable[[#This Row],[Commitment / deliverable]]="","",IF(CommitmentsTable[[#This Row],[Date record entered]]="",TODAY(),CommitmentsTable[[#This Row],[Date record entered]]))</f>
        <v/>
      </c>
      <c r="H492" s="245"/>
      <c r="I492" s="245" t="str">
        <f ca="1">IF(CommitmentsTable[[#This Row],[Date Assigned if different from entry date]]&lt;&gt;"",CommitmentsTable[[#This Row],[Date Assigned if different from entry date]]+90,IF(CommitmentsTable[[#This Row],[Date record entered]]&lt;&gt;"",CommitmentsTable[[#This Row],[Date record entered]]+90,""))</f>
        <v/>
      </c>
      <c r="J492" s="245" t="str">
        <f ca="1">IF(CommitmentsTable[[#This Row],[Date Assigned if different from entry date]]&lt;&gt;"",CommitmentsTable[[#This Row],[Date Assigned if different from entry date]]+30,IF(CommitmentsTable[[#This Row],[Date record entered]]&lt;&gt;"",CommitmentsTable[[#This Row],[Date record entered]]+30,""))</f>
        <v/>
      </c>
      <c r="K492" s="245"/>
      <c r="L492" s="245" t="str">
        <f ca="1">IF(CommitmentsTable[[#This Row],[Date Assigned if different from entry date]]&lt;&gt;"",CommitmentsTable[[#This Row],[Date Assigned if different from entry date]]+60,IF(CommitmentsTable[[#This Row],[Date record entered]]&lt;&gt;"",CommitmentsTable[[#This Row],[Date record entered]]+60,""))</f>
        <v/>
      </c>
      <c r="M492" s="214"/>
      <c r="N492" s="214"/>
      <c r="O492" s="236"/>
      <c r="P492" s="214"/>
      <c r="Q492" s="214"/>
      <c r="R492" s="214"/>
      <c r="S492" s="238" t="str">
        <f>IF(CommitmentsTable[[#This Row],[Commitment / deliverable]]="","",IF(CommitmentsTable[[#This Row],[Revised due]]&lt;&gt;"",CommitmentsTable[[#This Row],[Revised due]],CommitmentsTable[[#This Row],[Original due]]))</f>
        <v/>
      </c>
      <c r="T492" s="237" t="str">
        <f>IF(OR(CommitmentsTable[[#This Row],[Commitment / deliverable]]="",CommitmentsTable[[#This Row],[Owner]]=""),"",IF(CommitmentsTable[[#This Row],[Status2]]="","Open",CommitmentsTable[[#This Row],[Status2]]))</f>
        <v/>
      </c>
      <c r="U492" s="237" t="str">
        <f t="shared" ca="1" si="7"/>
        <v/>
      </c>
      <c r="V492" s="233"/>
      <c r="W492" s="63" t="s">
        <v>1459</v>
      </c>
    </row>
    <row r="493" spans="1:23" ht="39">
      <c r="A493" s="213" t="str">
        <f>IF(OR(CommitmentsTable[[#This Row],[Commitment / deliverable]]="",CommitmentsTable[[#This Row],[Immutable Key]]=""),"",SUBSTITUTE(CommitmentsTable[[#This Row],[Immutable Key]],"-K-","-"))</f>
        <v/>
      </c>
      <c r="B493" s="233"/>
      <c r="C493" s="233"/>
      <c r="D493" s="213"/>
      <c r="E493" s="230"/>
      <c r="F493" s="213"/>
      <c r="G493" s="245" t="str">
        <f ca="1">IF(CommitmentsTable[[#This Row],[Commitment / deliverable]]="","",IF(CommitmentsTable[[#This Row],[Date record entered]]="",TODAY(),CommitmentsTable[[#This Row],[Date record entered]]))</f>
        <v/>
      </c>
      <c r="H493" s="245"/>
      <c r="I493" s="245" t="str">
        <f ca="1">IF(CommitmentsTable[[#This Row],[Date Assigned if different from entry date]]&lt;&gt;"",CommitmentsTable[[#This Row],[Date Assigned if different from entry date]]+90,IF(CommitmentsTable[[#This Row],[Date record entered]]&lt;&gt;"",CommitmentsTable[[#This Row],[Date record entered]]+90,""))</f>
        <v/>
      </c>
      <c r="J493" s="245" t="str">
        <f ca="1">IF(CommitmentsTable[[#This Row],[Date Assigned if different from entry date]]&lt;&gt;"",CommitmentsTable[[#This Row],[Date Assigned if different from entry date]]+30,IF(CommitmentsTable[[#This Row],[Date record entered]]&lt;&gt;"",CommitmentsTable[[#This Row],[Date record entered]]+30,""))</f>
        <v/>
      </c>
      <c r="K493" s="245"/>
      <c r="L493" s="245" t="str">
        <f ca="1">IF(CommitmentsTable[[#This Row],[Date Assigned if different from entry date]]&lt;&gt;"",CommitmentsTable[[#This Row],[Date Assigned if different from entry date]]+60,IF(CommitmentsTable[[#This Row],[Date record entered]]&lt;&gt;"",CommitmentsTable[[#This Row],[Date record entered]]+60,""))</f>
        <v/>
      </c>
      <c r="M493" s="214"/>
      <c r="N493" s="214"/>
      <c r="O493" s="236"/>
      <c r="P493" s="214"/>
      <c r="Q493" s="214"/>
      <c r="R493" s="214"/>
      <c r="S493" s="238" t="str">
        <f>IF(CommitmentsTable[[#This Row],[Commitment / deliverable]]="","",IF(CommitmentsTable[[#This Row],[Revised due]]&lt;&gt;"",CommitmentsTable[[#This Row],[Revised due]],CommitmentsTable[[#This Row],[Original due]]))</f>
        <v/>
      </c>
      <c r="T493" s="237" t="str">
        <f>IF(OR(CommitmentsTable[[#This Row],[Commitment / deliverable]]="",CommitmentsTable[[#This Row],[Owner]]=""),"",IF(CommitmentsTable[[#This Row],[Status2]]="","Open",CommitmentsTable[[#This Row],[Status2]]))</f>
        <v/>
      </c>
      <c r="U493" s="237" t="str">
        <f t="shared" ca="1" si="7"/>
        <v/>
      </c>
      <c r="V493" s="233"/>
      <c r="W493" s="63" t="s">
        <v>1460</v>
      </c>
    </row>
    <row r="494" spans="1:23" ht="39">
      <c r="A494" s="213" t="str">
        <f>IF(OR(CommitmentsTable[[#This Row],[Commitment / deliverable]]="",CommitmentsTable[[#This Row],[Immutable Key]]=""),"",SUBSTITUTE(CommitmentsTable[[#This Row],[Immutable Key]],"-K-","-"))</f>
        <v/>
      </c>
      <c r="B494" s="233"/>
      <c r="C494" s="233"/>
      <c r="D494" s="213"/>
      <c r="E494" s="230"/>
      <c r="F494" s="213"/>
      <c r="G494" s="245" t="str">
        <f ca="1">IF(CommitmentsTable[[#This Row],[Commitment / deliverable]]="","",IF(CommitmentsTable[[#This Row],[Date record entered]]="",TODAY(),CommitmentsTable[[#This Row],[Date record entered]]))</f>
        <v/>
      </c>
      <c r="H494" s="245"/>
      <c r="I494" s="245" t="str">
        <f ca="1">IF(CommitmentsTable[[#This Row],[Date Assigned if different from entry date]]&lt;&gt;"",CommitmentsTable[[#This Row],[Date Assigned if different from entry date]]+90,IF(CommitmentsTable[[#This Row],[Date record entered]]&lt;&gt;"",CommitmentsTable[[#This Row],[Date record entered]]+90,""))</f>
        <v/>
      </c>
      <c r="J494" s="245" t="str">
        <f ca="1">IF(CommitmentsTable[[#This Row],[Date Assigned if different from entry date]]&lt;&gt;"",CommitmentsTable[[#This Row],[Date Assigned if different from entry date]]+30,IF(CommitmentsTable[[#This Row],[Date record entered]]&lt;&gt;"",CommitmentsTable[[#This Row],[Date record entered]]+30,""))</f>
        <v/>
      </c>
      <c r="K494" s="245"/>
      <c r="L494" s="245" t="str">
        <f ca="1">IF(CommitmentsTable[[#This Row],[Date Assigned if different from entry date]]&lt;&gt;"",CommitmentsTable[[#This Row],[Date Assigned if different from entry date]]+60,IF(CommitmentsTable[[#This Row],[Date record entered]]&lt;&gt;"",CommitmentsTable[[#This Row],[Date record entered]]+60,""))</f>
        <v/>
      </c>
      <c r="M494" s="214"/>
      <c r="N494" s="214"/>
      <c r="O494" s="236"/>
      <c r="P494" s="214"/>
      <c r="Q494" s="214"/>
      <c r="R494" s="214"/>
      <c r="S494" s="238" t="str">
        <f>IF(CommitmentsTable[[#This Row],[Commitment / deliverable]]="","",IF(CommitmentsTable[[#This Row],[Revised due]]&lt;&gt;"",CommitmentsTable[[#This Row],[Revised due]],CommitmentsTable[[#This Row],[Original due]]))</f>
        <v/>
      </c>
      <c r="T494" s="237" t="str">
        <f>IF(OR(CommitmentsTable[[#This Row],[Commitment / deliverable]]="",CommitmentsTable[[#This Row],[Owner]]=""),"",IF(CommitmentsTable[[#This Row],[Status2]]="","Open",CommitmentsTable[[#This Row],[Status2]]))</f>
        <v/>
      </c>
      <c r="U494" s="237" t="str">
        <f t="shared" ca="1" si="7"/>
        <v/>
      </c>
      <c r="V494" s="233"/>
      <c r="W494" s="63" t="s">
        <v>1461</v>
      </c>
    </row>
    <row r="495" spans="1:23" ht="39">
      <c r="A495" s="213" t="str">
        <f>IF(OR(CommitmentsTable[[#This Row],[Commitment / deliverable]]="",CommitmentsTable[[#This Row],[Immutable Key]]=""),"",SUBSTITUTE(CommitmentsTable[[#This Row],[Immutable Key]],"-K-","-"))</f>
        <v/>
      </c>
      <c r="B495" s="233"/>
      <c r="C495" s="233"/>
      <c r="D495" s="213"/>
      <c r="E495" s="230"/>
      <c r="F495" s="213"/>
      <c r="G495" s="245" t="str">
        <f ca="1">IF(CommitmentsTable[[#This Row],[Commitment / deliverable]]="","",IF(CommitmentsTable[[#This Row],[Date record entered]]="",TODAY(),CommitmentsTable[[#This Row],[Date record entered]]))</f>
        <v/>
      </c>
      <c r="H495" s="245"/>
      <c r="I495" s="245" t="str">
        <f ca="1">IF(CommitmentsTable[[#This Row],[Date Assigned if different from entry date]]&lt;&gt;"",CommitmentsTable[[#This Row],[Date Assigned if different from entry date]]+90,IF(CommitmentsTable[[#This Row],[Date record entered]]&lt;&gt;"",CommitmentsTable[[#This Row],[Date record entered]]+90,""))</f>
        <v/>
      </c>
      <c r="J495" s="245" t="str">
        <f ca="1">IF(CommitmentsTable[[#This Row],[Date Assigned if different from entry date]]&lt;&gt;"",CommitmentsTable[[#This Row],[Date Assigned if different from entry date]]+30,IF(CommitmentsTable[[#This Row],[Date record entered]]&lt;&gt;"",CommitmentsTable[[#This Row],[Date record entered]]+30,""))</f>
        <v/>
      </c>
      <c r="K495" s="245"/>
      <c r="L495" s="245" t="str">
        <f ca="1">IF(CommitmentsTable[[#This Row],[Date Assigned if different from entry date]]&lt;&gt;"",CommitmentsTable[[#This Row],[Date Assigned if different from entry date]]+60,IF(CommitmentsTable[[#This Row],[Date record entered]]&lt;&gt;"",CommitmentsTable[[#This Row],[Date record entered]]+60,""))</f>
        <v/>
      </c>
      <c r="M495" s="214"/>
      <c r="N495" s="214"/>
      <c r="O495" s="236"/>
      <c r="P495" s="214"/>
      <c r="Q495" s="214"/>
      <c r="R495" s="214"/>
      <c r="S495" s="238" t="str">
        <f>IF(CommitmentsTable[[#This Row],[Commitment / deliverable]]="","",IF(CommitmentsTable[[#This Row],[Revised due]]&lt;&gt;"",CommitmentsTable[[#This Row],[Revised due]],CommitmentsTable[[#This Row],[Original due]]))</f>
        <v/>
      </c>
      <c r="T495" s="237" t="str">
        <f>IF(OR(CommitmentsTable[[#This Row],[Commitment / deliverable]]="",CommitmentsTable[[#This Row],[Owner]]=""),"",IF(CommitmentsTable[[#This Row],[Status2]]="","Open",CommitmentsTable[[#This Row],[Status2]]))</f>
        <v/>
      </c>
      <c r="U495" s="237" t="str">
        <f t="shared" ca="1" si="7"/>
        <v/>
      </c>
      <c r="V495" s="233"/>
      <c r="W495" s="63" t="s">
        <v>1462</v>
      </c>
    </row>
    <row r="496" spans="1:23" ht="39">
      <c r="A496" s="213" t="str">
        <f>IF(OR(CommitmentsTable[[#This Row],[Commitment / deliverable]]="",CommitmentsTable[[#This Row],[Immutable Key]]=""),"",SUBSTITUTE(CommitmentsTable[[#This Row],[Immutable Key]],"-K-","-"))</f>
        <v/>
      </c>
      <c r="B496" s="233"/>
      <c r="C496" s="233"/>
      <c r="D496" s="213"/>
      <c r="E496" s="230"/>
      <c r="F496" s="213"/>
      <c r="G496" s="245" t="str">
        <f ca="1">IF(CommitmentsTable[[#This Row],[Commitment / deliverable]]="","",IF(CommitmentsTable[[#This Row],[Date record entered]]="",TODAY(),CommitmentsTable[[#This Row],[Date record entered]]))</f>
        <v/>
      </c>
      <c r="H496" s="245"/>
      <c r="I496" s="245" t="str">
        <f ca="1">IF(CommitmentsTable[[#This Row],[Date Assigned if different from entry date]]&lt;&gt;"",CommitmentsTable[[#This Row],[Date Assigned if different from entry date]]+90,IF(CommitmentsTable[[#This Row],[Date record entered]]&lt;&gt;"",CommitmentsTable[[#This Row],[Date record entered]]+90,""))</f>
        <v/>
      </c>
      <c r="J496" s="245" t="str">
        <f ca="1">IF(CommitmentsTable[[#This Row],[Date Assigned if different from entry date]]&lt;&gt;"",CommitmentsTable[[#This Row],[Date Assigned if different from entry date]]+30,IF(CommitmentsTable[[#This Row],[Date record entered]]&lt;&gt;"",CommitmentsTable[[#This Row],[Date record entered]]+30,""))</f>
        <v/>
      </c>
      <c r="K496" s="245"/>
      <c r="L496" s="245" t="str">
        <f ca="1">IF(CommitmentsTable[[#This Row],[Date Assigned if different from entry date]]&lt;&gt;"",CommitmentsTable[[#This Row],[Date Assigned if different from entry date]]+60,IF(CommitmentsTable[[#This Row],[Date record entered]]&lt;&gt;"",CommitmentsTable[[#This Row],[Date record entered]]+60,""))</f>
        <v/>
      </c>
      <c r="M496" s="214"/>
      <c r="N496" s="214"/>
      <c r="O496" s="236"/>
      <c r="P496" s="214"/>
      <c r="Q496" s="214"/>
      <c r="R496" s="214"/>
      <c r="S496" s="238" t="str">
        <f>IF(CommitmentsTable[[#This Row],[Commitment / deliverable]]="","",IF(CommitmentsTable[[#This Row],[Revised due]]&lt;&gt;"",CommitmentsTable[[#This Row],[Revised due]],CommitmentsTable[[#This Row],[Original due]]))</f>
        <v/>
      </c>
      <c r="T496" s="237" t="str">
        <f>IF(OR(CommitmentsTable[[#This Row],[Commitment / deliverable]]="",CommitmentsTable[[#This Row],[Owner]]=""),"",IF(CommitmentsTable[[#This Row],[Status2]]="","Open",CommitmentsTable[[#This Row],[Status2]]))</f>
        <v/>
      </c>
      <c r="U496" s="237" t="str">
        <f t="shared" ca="1" si="7"/>
        <v/>
      </c>
      <c r="V496" s="233"/>
      <c r="W496" s="63" t="s">
        <v>1463</v>
      </c>
    </row>
    <row r="497" spans="1:23" ht="39">
      <c r="A497" s="213" t="str">
        <f>IF(OR(CommitmentsTable[[#This Row],[Commitment / deliverable]]="",CommitmentsTable[[#This Row],[Immutable Key]]=""),"",SUBSTITUTE(CommitmentsTable[[#This Row],[Immutable Key]],"-K-","-"))</f>
        <v/>
      </c>
      <c r="B497" s="233"/>
      <c r="C497" s="233"/>
      <c r="D497" s="213"/>
      <c r="E497" s="230"/>
      <c r="F497" s="213"/>
      <c r="G497" s="245" t="str">
        <f ca="1">IF(CommitmentsTable[[#This Row],[Commitment / deliverable]]="","",IF(CommitmentsTable[[#This Row],[Date record entered]]="",TODAY(),CommitmentsTable[[#This Row],[Date record entered]]))</f>
        <v/>
      </c>
      <c r="H497" s="245"/>
      <c r="I497" s="245" t="str">
        <f ca="1">IF(CommitmentsTable[[#This Row],[Date Assigned if different from entry date]]&lt;&gt;"",CommitmentsTable[[#This Row],[Date Assigned if different from entry date]]+90,IF(CommitmentsTable[[#This Row],[Date record entered]]&lt;&gt;"",CommitmentsTable[[#This Row],[Date record entered]]+90,""))</f>
        <v/>
      </c>
      <c r="J497" s="245" t="str">
        <f ca="1">IF(CommitmentsTable[[#This Row],[Date Assigned if different from entry date]]&lt;&gt;"",CommitmentsTable[[#This Row],[Date Assigned if different from entry date]]+30,IF(CommitmentsTable[[#This Row],[Date record entered]]&lt;&gt;"",CommitmentsTable[[#This Row],[Date record entered]]+30,""))</f>
        <v/>
      </c>
      <c r="K497" s="245"/>
      <c r="L497" s="245" t="str">
        <f ca="1">IF(CommitmentsTable[[#This Row],[Date Assigned if different from entry date]]&lt;&gt;"",CommitmentsTable[[#This Row],[Date Assigned if different from entry date]]+60,IF(CommitmentsTable[[#This Row],[Date record entered]]&lt;&gt;"",CommitmentsTable[[#This Row],[Date record entered]]+60,""))</f>
        <v/>
      </c>
      <c r="M497" s="214"/>
      <c r="N497" s="214"/>
      <c r="O497" s="236"/>
      <c r="P497" s="214"/>
      <c r="Q497" s="214"/>
      <c r="R497" s="214"/>
      <c r="S497" s="238" t="str">
        <f>IF(CommitmentsTable[[#This Row],[Commitment / deliverable]]="","",IF(CommitmentsTable[[#This Row],[Revised due]]&lt;&gt;"",CommitmentsTable[[#This Row],[Revised due]],CommitmentsTable[[#This Row],[Original due]]))</f>
        <v/>
      </c>
      <c r="T497" s="237" t="str">
        <f>IF(OR(CommitmentsTable[[#This Row],[Commitment / deliverable]]="",CommitmentsTable[[#This Row],[Owner]]=""),"",IF(CommitmentsTable[[#This Row],[Status2]]="","Open",CommitmentsTable[[#This Row],[Status2]]))</f>
        <v/>
      </c>
      <c r="U497" s="237" t="str">
        <f t="shared" ca="1" si="7"/>
        <v/>
      </c>
      <c r="V497" s="233"/>
      <c r="W497" s="63" t="s">
        <v>1464</v>
      </c>
    </row>
    <row r="498" spans="1:23" ht="39">
      <c r="A498" s="213" t="str">
        <f>IF(OR(CommitmentsTable[[#This Row],[Commitment / deliverable]]="",CommitmentsTable[[#This Row],[Immutable Key]]=""),"",SUBSTITUTE(CommitmentsTable[[#This Row],[Immutable Key]],"-K-","-"))</f>
        <v/>
      </c>
      <c r="B498" s="233"/>
      <c r="C498" s="233"/>
      <c r="D498" s="213"/>
      <c r="E498" s="230"/>
      <c r="F498" s="213"/>
      <c r="G498" s="245" t="str">
        <f ca="1">IF(CommitmentsTable[[#This Row],[Commitment / deliverable]]="","",IF(CommitmentsTable[[#This Row],[Date record entered]]="",TODAY(),CommitmentsTable[[#This Row],[Date record entered]]))</f>
        <v/>
      </c>
      <c r="H498" s="245"/>
      <c r="I498" s="245" t="str">
        <f ca="1">IF(CommitmentsTable[[#This Row],[Date Assigned if different from entry date]]&lt;&gt;"",CommitmentsTable[[#This Row],[Date Assigned if different from entry date]]+90,IF(CommitmentsTable[[#This Row],[Date record entered]]&lt;&gt;"",CommitmentsTable[[#This Row],[Date record entered]]+90,""))</f>
        <v/>
      </c>
      <c r="J498" s="245" t="str">
        <f ca="1">IF(CommitmentsTable[[#This Row],[Date Assigned if different from entry date]]&lt;&gt;"",CommitmentsTable[[#This Row],[Date Assigned if different from entry date]]+30,IF(CommitmentsTable[[#This Row],[Date record entered]]&lt;&gt;"",CommitmentsTable[[#This Row],[Date record entered]]+30,""))</f>
        <v/>
      </c>
      <c r="K498" s="245"/>
      <c r="L498" s="245" t="str">
        <f ca="1">IF(CommitmentsTable[[#This Row],[Date Assigned if different from entry date]]&lt;&gt;"",CommitmentsTable[[#This Row],[Date Assigned if different from entry date]]+60,IF(CommitmentsTable[[#This Row],[Date record entered]]&lt;&gt;"",CommitmentsTable[[#This Row],[Date record entered]]+60,""))</f>
        <v/>
      </c>
      <c r="M498" s="214"/>
      <c r="N498" s="214"/>
      <c r="O498" s="236"/>
      <c r="P498" s="214"/>
      <c r="Q498" s="214"/>
      <c r="R498" s="214"/>
      <c r="S498" s="238" t="str">
        <f>IF(CommitmentsTable[[#This Row],[Commitment / deliverable]]="","",IF(CommitmentsTable[[#This Row],[Revised due]]&lt;&gt;"",CommitmentsTable[[#This Row],[Revised due]],CommitmentsTable[[#This Row],[Original due]]))</f>
        <v/>
      </c>
      <c r="T498" s="237" t="str">
        <f>IF(OR(CommitmentsTable[[#This Row],[Commitment / deliverable]]="",CommitmentsTable[[#This Row],[Owner]]=""),"",IF(CommitmentsTable[[#This Row],[Status2]]="","Open",CommitmentsTable[[#This Row],[Status2]]))</f>
        <v/>
      </c>
      <c r="U498" s="237" t="str">
        <f t="shared" ca="1" si="7"/>
        <v/>
      </c>
      <c r="V498" s="233"/>
      <c r="W498" s="63" t="s">
        <v>1465</v>
      </c>
    </row>
    <row r="499" spans="1:23" ht="39">
      <c r="A499" s="213" t="str">
        <f>IF(OR(CommitmentsTable[[#This Row],[Commitment / deliverable]]="",CommitmentsTable[[#This Row],[Immutable Key]]=""),"",SUBSTITUTE(CommitmentsTable[[#This Row],[Immutable Key]],"-K-","-"))</f>
        <v/>
      </c>
      <c r="B499" s="233"/>
      <c r="C499" s="233"/>
      <c r="D499" s="213"/>
      <c r="E499" s="230"/>
      <c r="F499" s="213"/>
      <c r="G499" s="245" t="str">
        <f ca="1">IF(CommitmentsTable[[#This Row],[Commitment / deliverable]]="","",IF(CommitmentsTable[[#This Row],[Date record entered]]="",TODAY(),CommitmentsTable[[#This Row],[Date record entered]]))</f>
        <v/>
      </c>
      <c r="H499" s="245"/>
      <c r="I499" s="245" t="str">
        <f ca="1">IF(CommitmentsTable[[#This Row],[Date Assigned if different from entry date]]&lt;&gt;"",CommitmentsTable[[#This Row],[Date Assigned if different from entry date]]+90,IF(CommitmentsTable[[#This Row],[Date record entered]]&lt;&gt;"",CommitmentsTable[[#This Row],[Date record entered]]+90,""))</f>
        <v/>
      </c>
      <c r="J499" s="245" t="str">
        <f ca="1">IF(CommitmentsTable[[#This Row],[Date Assigned if different from entry date]]&lt;&gt;"",CommitmentsTable[[#This Row],[Date Assigned if different from entry date]]+30,IF(CommitmentsTable[[#This Row],[Date record entered]]&lt;&gt;"",CommitmentsTable[[#This Row],[Date record entered]]+30,""))</f>
        <v/>
      </c>
      <c r="K499" s="245"/>
      <c r="L499" s="245" t="str">
        <f ca="1">IF(CommitmentsTable[[#This Row],[Date Assigned if different from entry date]]&lt;&gt;"",CommitmentsTable[[#This Row],[Date Assigned if different from entry date]]+60,IF(CommitmentsTable[[#This Row],[Date record entered]]&lt;&gt;"",CommitmentsTable[[#This Row],[Date record entered]]+60,""))</f>
        <v/>
      </c>
      <c r="M499" s="214"/>
      <c r="N499" s="214"/>
      <c r="O499" s="236"/>
      <c r="P499" s="214"/>
      <c r="Q499" s="214"/>
      <c r="R499" s="214"/>
      <c r="S499" s="238" t="str">
        <f>IF(CommitmentsTable[[#This Row],[Commitment / deliverable]]="","",IF(CommitmentsTable[[#This Row],[Revised due]]&lt;&gt;"",CommitmentsTable[[#This Row],[Revised due]],CommitmentsTable[[#This Row],[Original due]]))</f>
        <v/>
      </c>
      <c r="T499" s="237" t="str">
        <f>IF(OR(CommitmentsTable[[#This Row],[Commitment / deliverable]]="",CommitmentsTable[[#This Row],[Owner]]=""),"",IF(CommitmentsTable[[#This Row],[Status2]]="","Open",CommitmentsTable[[#This Row],[Status2]]))</f>
        <v/>
      </c>
      <c r="U499" s="237" t="str">
        <f t="shared" ca="1" si="7"/>
        <v/>
      </c>
      <c r="V499" s="233"/>
      <c r="W499" s="63" t="s">
        <v>1466</v>
      </c>
    </row>
    <row r="500" spans="1:23" ht="39">
      <c r="A500" s="213" t="str">
        <f>IF(OR(CommitmentsTable[[#This Row],[Commitment / deliverable]]="",CommitmentsTable[[#This Row],[Immutable Key]]=""),"",SUBSTITUTE(CommitmentsTable[[#This Row],[Immutable Key]],"-K-","-"))</f>
        <v/>
      </c>
      <c r="B500" s="233"/>
      <c r="C500" s="233"/>
      <c r="D500" s="213"/>
      <c r="E500" s="230"/>
      <c r="F500" s="213"/>
      <c r="G500" s="245" t="str">
        <f ca="1">IF(CommitmentsTable[[#This Row],[Commitment / deliverable]]="","",IF(CommitmentsTable[[#This Row],[Date record entered]]="",TODAY(),CommitmentsTable[[#This Row],[Date record entered]]))</f>
        <v/>
      </c>
      <c r="H500" s="245"/>
      <c r="I500" s="245" t="str">
        <f ca="1">IF(CommitmentsTable[[#This Row],[Date Assigned if different from entry date]]&lt;&gt;"",CommitmentsTable[[#This Row],[Date Assigned if different from entry date]]+90,IF(CommitmentsTable[[#This Row],[Date record entered]]&lt;&gt;"",CommitmentsTable[[#This Row],[Date record entered]]+90,""))</f>
        <v/>
      </c>
      <c r="J500" s="245" t="str">
        <f ca="1">IF(CommitmentsTable[[#This Row],[Date Assigned if different from entry date]]&lt;&gt;"",CommitmentsTable[[#This Row],[Date Assigned if different from entry date]]+30,IF(CommitmentsTable[[#This Row],[Date record entered]]&lt;&gt;"",CommitmentsTable[[#This Row],[Date record entered]]+30,""))</f>
        <v/>
      </c>
      <c r="K500" s="245"/>
      <c r="L500" s="245" t="str">
        <f ca="1">IF(CommitmentsTable[[#This Row],[Date Assigned if different from entry date]]&lt;&gt;"",CommitmentsTable[[#This Row],[Date Assigned if different from entry date]]+60,IF(CommitmentsTable[[#This Row],[Date record entered]]&lt;&gt;"",CommitmentsTable[[#This Row],[Date record entered]]+60,""))</f>
        <v/>
      </c>
      <c r="M500" s="214"/>
      <c r="N500" s="214"/>
      <c r="O500" s="236"/>
      <c r="P500" s="214"/>
      <c r="Q500" s="214"/>
      <c r="R500" s="214"/>
      <c r="S500" s="238" t="str">
        <f>IF(CommitmentsTable[[#This Row],[Commitment / deliverable]]="","",IF(CommitmentsTable[[#This Row],[Revised due]]&lt;&gt;"",CommitmentsTable[[#This Row],[Revised due]],CommitmentsTable[[#This Row],[Original due]]))</f>
        <v/>
      </c>
      <c r="T500" s="237" t="str">
        <f>IF(OR(CommitmentsTable[[#This Row],[Commitment / deliverable]]="",CommitmentsTable[[#This Row],[Owner]]=""),"",IF(CommitmentsTable[[#This Row],[Status2]]="","Open",CommitmentsTable[[#This Row],[Status2]]))</f>
        <v/>
      </c>
      <c r="U500" s="237" t="str">
        <f t="shared" ca="1" si="7"/>
        <v/>
      </c>
      <c r="V500" s="233"/>
      <c r="W500" s="63" t="s">
        <v>1467</v>
      </c>
    </row>
    <row r="501" spans="1:23" ht="39">
      <c r="A501" s="213" t="str">
        <f>IF(OR(CommitmentsTable[[#This Row],[Commitment / deliverable]]="",CommitmentsTable[[#This Row],[Immutable Key]]=""),"",SUBSTITUTE(CommitmentsTable[[#This Row],[Immutable Key]],"-K-","-"))</f>
        <v/>
      </c>
      <c r="B501" s="233"/>
      <c r="C501" s="233"/>
      <c r="D501" s="213"/>
      <c r="E501" s="230"/>
      <c r="F501" s="213"/>
      <c r="G501" s="245" t="str">
        <f ca="1">IF(CommitmentsTable[[#This Row],[Commitment / deliverable]]="","",IF(CommitmentsTable[[#This Row],[Date record entered]]="",TODAY(),CommitmentsTable[[#This Row],[Date record entered]]))</f>
        <v/>
      </c>
      <c r="H501" s="245"/>
      <c r="I501" s="245" t="str">
        <f ca="1">IF(CommitmentsTable[[#This Row],[Date Assigned if different from entry date]]&lt;&gt;"",CommitmentsTable[[#This Row],[Date Assigned if different from entry date]]+90,IF(CommitmentsTable[[#This Row],[Date record entered]]&lt;&gt;"",CommitmentsTable[[#This Row],[Date record entered]]+90,""))</f>
        <v/>
      </c>
      <c r="J501" s="245" t="str">
        <f ca="1">IF(CommitmentsTable[[#This Row],[Date Assigned if different from entry date]]&lt;&gt;"",CommitmentsTable[[#This Row],[Date Assigned if different from entry date]]+30,IF(CommitmentsTable[[#This Row],[Date record entered]]&lt;&gt;"",CommitmentsTable[[#This Row],[Date record entered]]+30,""))</f>
        <v/>
      </c>
      <c r="K501" s="245"/>
      <c r="L501" s="245" t="str">
        <f ca="1">IF(CommitmentsTable[[#This Row],[Date Assigned if different from entry date]]&lt;&gt;"",CommitmentsTable[[#This Row],[Date Assigned if different from entry date]]+60,IF(CommitmentsTable[[#This Row],[Date record entered]]&lt;&gt;"",CommitmentsTable[[#This Row],[Date record entered]]+60,""))</f>
        <v/>
      </c>
      <c r="M501" s="214"/>
      <c r="N501" s="214"/>
      <c r="O501" s="236"/>
      <c r="P501" s="214"/>
      <c r="Q501" s="214"/>
      <c r="R501" s="214"/>
      <c r="S501" s="238" t="str">
        <f>IF(CommitmentsTable[[#This Row],[Commitment / deliverable]]="","",IF(CommitmentsTable[[#This Row],[Revised due]]&lt;&gt;"",CommitmentsTable[[#This Row],[Revised due]],CommitmentsTable[[#This Row],[Original due]]))</f>
        <v/>
      </c>
      <c r="T501" s="237" t="str">
        <f>IF(OR(CommitmentsTable[[#This Row],[Commitment / deliverable]]="",CommitmentsTable[[#This Row],[Owner]]=""),"",IF(CommitmentsTable[[#This Row],[Status2]]="","Open",CommitmentsTable[[#This Row],[Status2]]))</f>
        <v/>
      </c>
      <c r="U501" s="237" t="str">
        <f t="shared" ca="1" si="7"/>
        <v/>
      </c>
      <c r="V501" s="233"/>
      <c r="W501" s="63" t="s">
        <v>1468</v>
      </c>
    </row>
    <row r="502" spans="1:23" ht="39">
      <c r="A502" s="213" t="str">
        <f>IF(OR(CommitmentsTable[[#This Row],[Commitment / deliverable]]="",CommitmentsTable[[#This Row],[Immutable Key]]=""),"",SUBSTITUTE(CommitmentsTable[[#This Row],[Immutable Key]],"-K-","-"))</f>
        <v/>
      </c>
      <c r="B502" s="233"/>
      <c r="C502" s="233"/>
      <c r="D502" s="213"/>
      <c r="E502" s="230"/>
      <c r="F502" s="213"/>
      <c r="G502" s="245" t="str">
        <f ca="1">IF(CommitmentsTable[[#This Row],[Commitment / deliverable]]="","",IF(CommitmentsTable[[#This Row],[Date record entered]]="",TODAY(),CommitmentsTable[[#This Row],[Date record entered]]))</f>
        <v/>
      </c>
      <c r="H502" s="245"/>
      <c r="I502" s="245" t="str">
        <f ca="1">IF(CommitmentsTable[[#This Row],[Date Assigned if different from entry date]]&lt;&gt;"",CommitmentsTable[[#This Row],[Date Assigned if different from entry date]]+90,IF(CommitmentsTable[[#This Row],[Date record entered]]&lt;&gt;"",CommitmentsTable[[#This Row],[Date record entered]]+90,""))</f>
        <v/>
      </c>
      <c r="J502" s="245" t="str">
        <f ca="1">IF(CommitmentsTable[[#This Row],[Date Assigned if different from entry date]]&lt;&gt;"",CommitmentsTable[[#This Row],[Date Assigned if different from entry date]]+30,IF(CommitmentsTable[[#This Row],[Date record entered]]&lt;&gt;"",CommitmentsTable[[#This Row],[Date record entered]]+30,""))</f>
        <v/>
      </c>
      <c r="K502" s="245"/>
      <c r="L502" s="245" t="str">
        <f ca="1">IF(CommitmentsTable[[#This Row],[Date Assigned if different from entry date]]&lt;&gt;"",CommitmentsTable[[#This Row],[Date Assigned if different from entry date]]+60,IF(CommitmentsTable[[#This Row],[Date record entered]]&lt;&gt;"",CommitmentsTable[[#This Row],[Date record entered]]+60,""))</f>
        <v/>
      </c>
      <c r="M502" s="214"/>
      <c r="N502" s="214"/>
      <c r="O502" s="236"/>
      <c r="P502" s="214"/>
      <c r="Q502" s="214"/>
      <c r="R502" s="214"/>
      <c r="S502" s="238" t="str">
        <f>IF(CommitmentsTable[[#This Row],[Commitment / deliverable]]="","",IF(CommitmentsTable[[#This Row],[Revised due]]&lt;&gt;"",CommitmentsTable[[#This Row],[Revised due]],CommitmentsTable[[#This Row],[Original due]]))</f>
        <v/>
      </c>
      <c r="T502" s="237" t="str">
        <f>IF(OR(CommitmentsTable[[#This Row],[Commitment / deliverable]]="",CommitmentsTable[[#This Row],[Owner]]=""),"",IF(CommitmentsTable[[#This Row],[Status2]]="","Open",CommitmentsTable[[#This Row],[Status2]]))</f>
        <v/>
      </c>
      <c r="U502" s="237" t="str">
        <f t="shared" ca="1" si="7"/>
        <v/>
      </c>
      <c r="V502" s="233"/>
      <c r="W502" s="63" t="s">
        <v>1469</v>
      </c>
    </row>
    <row r="503" spans="1:23" ht="39">
      <c r="A503" s="213" t="str">
        <f>IF(OR(CommitmentsTable[[#This Row],[Commitment / deliverable]]="",CommitmentsTable[[#This Row],[Immutable Key]]=""),"",SUBSTITUTE(CommitmentsTable[[#This Row],[Immutable Key]],"-K-","-"))</f>
        <v/>
      </c>
      <c r="B503" s="233"/>
      <c r="C503" s="233"/>
      <c r="D503" s="213"/>
      <c r="E503" s="230"/>
      <c r="F503" s="213"/>
      <c r="G503" s="245" t="str">
        <f ca="1">IF(CommitmentsTable[[#This Row],[Commitment / deliverable]]="","",IF(CommitmentsTable[[#This Row],[Date record entered]]="",TODAY(),CommitmentsTable[[#This Row],[Date record entered]]))</f>
        <v/>
      </c>
      <c r="H503" s="245"/>
      <c r="I503" s="245" t="str">
        <f ca="1">IF(CommitmentsTable[[#This Row],[Date Assigned if different from entry date]]&lt;&gt;"",CommitmentsTable[[#This Row],[Date Assigned if different from entry date]]+90,IF(CommitmentsTable[[#This Row],[Date record entered]]&lt;&gt;"",CommitmentsTable[[#This Row],[Date record entered]]+90,""))</f>
        <v/>
      </c>
      <c r="J503" s="245" t="str">
        <f ca="1">IF(CommitmentsTable[[#This Row],[Date Assigned if different from entry date]]&lt;&gt;"",CommitmentsTable[[#This Row],[Date Assigned if different from entry date]]+30,IF(CommitmentsTable[[#This Row],[Date record entered]]&lt;&gt;"",CommitmentsTable[[#This Row],[Date record entered]]+30,""))</f>
        <v/>
      </c>
      <c r="K503" s="245"/>
      <c r="L503" s="245" t="str">
        <f ca="1">IF(CommitmentsTable[[#This Row],[Date Assigned if different from entry date]]&lt;&gt;"",CommitmentsTable[[#This Row],[Date Assigned if different from entry date]]+60,IF(CommitmentsTable[[#This Row],[Date record entered]]&lt;&gt;"",CommitmentsTable[[#This Row],[Date record entered]]+60,""))</f>
        <v/>
      </c>
      <c r="M503" s="214"/>
      <c r="N503" s="214"/>
      <c r="O503" s="236"/>
      <c r="P503" s="214"/>
      <c r="Q503" s="214"/>
      <c r="R503" s="214"/>
      <c r="S503" s="238" t="str">
        <f>IF(CommitmentsTable[[#This Row],[Commitment / deliverable]]="","",IF(CommitmentsTable[[#This Row],[Revised due]]&lt;&gt;"",CommitmentsTable[[#This Row],[Revised due]],CommitmentsTable[[#This Row],[Original due]]))</f>
        <v/>
      </c>
      <c r="T503" s="237" t="str">
        <f>IF(OR(CommitmentsTable[[#This Row],[Commitment / deliverable]]="",CommitmentsTable[[#This Row],[Owner]]=""),"",IF(CommitmentsTable[[#This Row],[Status2]]="","Open",CommitmentsTable[[#This Row],[Status2]]))</f>
        <v/>
      </c>
      <c r="U503" s="237" t="str">
        <f t="shared" ca="1" si="7"/>
        <v/>
      </c>
      <c r="V503" s="233"/>
      <c r="W503" s="63" t="s">
        <v>1470</v>
      </c>
    </row>
    <row r="504" spans="1:23" ht="39">
      <c r="A504" s="213" t="str">
        <f>IF(OR(CommitmentsTable[[#This Row],[Commitment / deliverable]]="",CommitmentsTable[[#This Row],[Immutable Key]]=""),"",SUBSTITUTE(CommitmentsTable[[#This Row],[Immutable Key]],"-K-","-"))</f>
        <v/>
      </c>
      <c r="B504" s="233"/>
      <c r="C504" s="233"/>
      <c r="D504" s="213"/>
      <c r="E504" s="230"/>
      <c r="F504" s="213"/>
      <c r="G504" s="245" t="str">
        <f ca="1">IF(CommitmentsTable[[#This Row],[Commitment / deliverable]]="","",IF(CommitmentsTable[[#This Row],[Date record entered]]="",TODAY(),CommitmentsTable[[#This Row],[Date record entered]]))</f>
        <v/>
      </c>
      <c r="H504" s="245"/>
      <c r="I504" s="245" t="str">
        <f ca="1">IF(CommitmentsTable[[#This Row],[Date Assigned if different from entry date]]&lt;&gt;"",CommitmentsTable[[#This Row],[Date Assigned if different from entry date]]+90,IF(CommitmentsTable[[#This Row],[Date record entered]]&lt;&gt;"",CommitmentsTable[[#This Row],[Date record entered]]+90,""))</f>
        <v/>
      </c>
      <c r="J504" s="245" t="str">
        <f ca="1">IF(CommitmentsTable[[#This Row],[Date Assigned if different from entry date]]&lt;&gt;"",CommitmentsTable[[#This Row],[Date Assigned if different from entry date]]+30,IF(CommitmentsTable[[#This Row],[Date record entered]]&lt;&gt;"",CommitmentsTable[[#This Row],[Date record entered]]+30,""))</f>
        <v/>
      </c>
      <c r="K504" s="245"/>
      <c r="L504" s="245" t="str">
        <f ca="1">IF(CommitmentsTable[[#This Row],[Date Assigned if different from entry date]]&lt;&gt;"",CommitmentsTable[[#This Row],[Date Assigned if different from entry date]]+60,IF(CommitmentsTable[[#This Row],[Date record entered]]&lt;&gt;"",CommitmentsTable[[#This Row],[Date record entered]]+60,""))</f>
        <v/>
      </c>
      <c r="M504" s="214"/>
      <c r="N504" s="214"/>
      <c r="O504" s="236"/>
      <c r="P504" s="214"/>
      <c r="Q504" s="214"/>
      <c r="R504" s="214"/>
      <c r="S504" s="238" t="str">
        <f>IF(CommitmentsTable[[#This Row],[Commitment / deliverable]]="","",IF(CommitmentsTable[[#This Row],[Revised due]]&lt;&gt;"",CommitmentsTable[[#This Row],[Revised due]],CommitmentsTable[[#This Row],[Original due]]))</f>
        <v/>
      </c>
      <c r="T504" s="237" t="str">
        <f>IF(OR(CommitmentsTable[[#This Row],[Commitment / deliverable]]="",CommitmentsTable[[#This Row],[Owner]]=""),"",IF(CommitmentsTable[[#This Row],[Status2]]="","Open",CommitmentsTable[[#This Row],[Status2]]))</f>
        <v/>
      </c>
      <c r="U504" s="237" t="str">
        <f t="shared" ca="1" si="7"/>
        <v/>
      </c>
      <c r="V504" s="233"/>
      <c r="W504" s="63" t="s">
        <v>1471</v>
      </c>
    </row>
    <row r="505" spans="1:23" ht="39">
      <c r="A505" s="213" t="str">
        <f>IF(OR(CommitmentsTable[[#This Row],[Commitment / deliverable]]="",CommitmentsTable[[#This Row],[Immutable Key]]=""),"",SUBSTITUTE(CommitmentsTable[[#This Row],[Immutable Key]],"-K-","-"))</f>
        <v/>
      </c>
      <c r="B505" s="233"/>
      <c r="C505" s="233"/>
      <c r="D505" s="213"/>
      <c r="E505" s="230"/>
      <c r="F505" s="213"/>
      <c r="G505" s="245" t="str">
        <f ca="1">IF(CommitmentsTable[[#This Row],[Commitment / deliverable]]="","",IF(CommitmentsTable[[#This Row],[Date record entered]]="",TODAY(),CommitmentsTable[[#This Row],[Date record entered]]))</f>
        <v/>
      </c>
      <c r="H505" s="245"/>
      <c r="I505" s="245" t="str">
        <f ca="1">IF(CommitmentsTable[[#This Row],[Date Assigned if different from entry date]]&lt;&gt;"",CommitmentsTable[[#This Row],[Date Assigned if different from entry date]]+90,IF(CommitmentsTable[[#This Row],[Date record entered]]&lt;&gt;"",CommitmentsTable[[#This Row],[Date record entered]]+90,""))</f>
        <v/>
      </c>
      <c r="J505" s="245" t="str">
        <f ca="1">IF(CommitmentsTable[[#This Row],[Date Assigned if different from entry date]]&lt;&gt;"",CommitmentsTable[[#This Row],[Date Assigned if different from entry date]]+30,IF(CommitmentsTable[[#This Row],[Date record entered]]&lt;&gt;"",CommitmentsTable[[#This Row],[Date record entered]]+30,""))</f>
        <v/>
      </c>
      <c r="K505" s="245"/>
      <c r="L505" s="245" t="str">
        <f ca="1">IF(CommitmentsTable[[#This Row],[Date Assigned if different from entry date]]&lt;&gt;"",CommitmentsTable[[#This Row],[Date Assigned if different from entry date]]+60,IF(CommitmentsTable[[#This Row],[Date record entered]]&lt;&gt;"",CommitmentsTable[[#This Row],[Date record entered]]+60,""))</f>
        <v/>
      </c>
      <c r="M505" s="214"/>
      <c r="N505" s="214"/>
      <c r="O505" s="236"/>
      <c r="P505" s="214"/>
      <c r="Q505" s="214"/>
      <c r="R505" s="214"/>
      <c r="S505" s="238" t="str">
        <f>IF(CommitmentsTable[[#This Row],[Commitment / deliverable]]="","",IF(CommitmentsTable[[#This Row],[Revised due]]&lt;&gt;"",CommitmentsTable[[#This Row],[Revised due]],CommitmentsTable[[#This Row],[Original due]]))</f>
        <v/>
      </c>
      <c r="T505" s="237" t="str">
        <f>IF(OR(CommitmentsTable[[#This Row],[Commitment / deliverable]]="",CommitmentsTable[[#This Row],[Owner]]=""),"",IF(CommitmentsTable[[#This Row],[Status2]]="","Open",CommitmentsTable[[#This Row],[Status2]]))</f>
        <v/>
      </c>
      <c r="U505" s="237" t="str">
        <f t="shared" ca="1" si="7"/>
        <v/>
      </c>
      <c r="V505" s="233"/>
      <c r="W505" s="63" t="s">
        <v>1472</v>
      </c>
    </row>
    <row r="506" spans="1:23" ht="39">
      <c r="A506" s="213" t="str">
        <f>IF(OR(CommitmentsTable[[#This Row],[Commitment / deliverable]]="",CommitmentsTable[[#This Row],[Immutable Key]]=""),"",SUBSTITUTE(CommitmentsTable[[#This Row],[Immutable Key]],"-K-","-"))</f>
        <v/>
      </c>
      <c r="B506" s="233"/>
      <c r="C506" s="233"/>
      <c r="D506" s="213"/>
      <c r="E506" s="230"/>
      <c r="F506" s="213"/>
      <c r="G506" s="245" t="str">
        <f ca="1">IF(CommitmentsTable[[#This Row],[Commitment / deliverable]]="","",IF(CommitmentsTable[[#This Row],[Date record entered]]="",TODAY(),CommitmentsTable[[#This Row],[Date record entered]]))</f>
        <v/>
      </c>
      <c r="H506" s="245"/>
      <c r="I506" s="245" t="str">
        <f ca="1">IF(CommitmentsTable[[#This Row],[Date Assigned if different from entry date]]&lt;&gt;"",CommitmentsTable[[#This Row],[Date Assigned if different from entry date]]+90,IF(CommitmentsTable[[#This Row],[Date record entered]]&lt;&gt;"",CommitmentsTable[[#This Row],[Date record entered]]+90,""))</f>
        <v/>
      </c>
      <c r="J506" s="245" t="str">
        <f ca="1">IF(CommitmentsTable[[#This Row],[Date Assigned if different from entry date]]&lt;&gt;"",CommitmentsTable[[#This Row],[Date Assigned if different from entry date]]+30,IF(CommitmentsTable[[#This Row],[Date record entered]]&lt;&gt;"",CommitmentsTable[[#This Row],[Date record entered]]+30,""))</f>
        <v/>
      </c>
      <c r="K506" s="245"/>
      <c r="L506" s="245" t="str">
        <f ca="1">IF(CommitmentsTable[[#This Row],[Date Assigned if different from entry date]]&lt;&gt;"",CommitmentsTable[[#This Row],[Date Assigned if different from entry date]]+60,IF(CommitmentsTable[[#This Row],[Date record entered]]&lt;&gt;"",CommitmentsTable[[#This Row],[Date record entered]]+60,""))</f>
        <v/>
      </c>
      <c r="M506" s="214"/>
      <c r="N506" s="214"/>
      <c r="O506" s="236"/>
      <c r="P506" s="214"/>
      <c r="Q506" s="214"/>
      <c r="R506" s="214"/>
      <c r="S506" s="238" t="str">
        <f>IF(CommitmentsTable[[#This Row],[Commitment / deliverable]]="","",IF(CommitmentsTable[[#This Row],[Revised due]]&lt;&gt;"",CommitmentsTable[[#This Row],[Revised due]],CommitmentsTable[[#This Row],[Original due]]))</f>
        <v/>
      </c>
      <c r="T506" s="237" t="str">
        <f>IF(OR(CommitmentsTable[[#This Row],[Commitment / deliverable]]="",CommitmentsTable[[#This Row],[Owner]]=""),"",IF(CommitmentsTable[[#This Row],[Status2]]="","Open",CommitmentsTable[[#This Row],[Status2]]))</f>
        <v/>
      </c>
      <c r="U506" s="237" t="str">
        <f t="shared" ca="1" si="7"/>
        <v/>
      </c>
      <c r="V506" s="233"/>
      <c r="W506" s="63" t="s">
        <v>1473</v>
      </c>
    </row>
    <row r="507" spans="1:23" ht="39">
      <c r="A507" s="213" t="str">
        <f>IF(OR(CommitmentsTable[[#This Row],[Commitment / deliverable]]="",CommitmentsTable[[#This Row],[Immutable Key]]=""),"",SUBSTITUTE(CommitmentsTable[[#This Row],[Immutable Key]],"-K-","-"))</f>
        <v/>
      </c>
      <c r="B507" s="233"/>
      <c r="C507" s="233"/>
      <c r="D507" s="213"/>
      <c r="E507" s="230"/>
      <c r="F507" s="213"/>
      <c r="G507" s="245" t="str">
        <f ca="1">IF(CommitmentsTable[[#This Row],[Commitment / deliverable]]="","",IF(CommitmentsTable[[#This Row],[Date record entered]]="",TODAY(),CommitmentsTable[[#This Row],[Date record entered]]))</f>
        <v/>
      </c>
      <c r="H507" s="245"/>
      <c r="I507" s="245" t="str">
        <f ca="1">IF(CommitmentsTable[[#This Row],[Date Assigned if different from entry date]]&lt;&gt;"",CommitmentsTable[[#This Row],[Date Assigned if different from entry date]]+90,IF(CommitmentsTable[[#This Row],[Date record entered]]&lt;&gt;"",CommitmentsTable[[#This Row],[Date record entered]]+90,""))</f>
        <v/>
      </c>
      <c r="J507" s="245" t="str">
        <f ca="1">IF(CommitmentsTable[[#This Row],[Date Assigned if different from entry date]]&lt;&gt;"",CommitmentsTable[[#This Row],[Date Assigned if different from entry date]]+30,IF(CommitmentsTable[[#This Row],[Date record entered]]&lt;&gt;"",CommitmentsTable[[#This Row],[Date record entered]]+30,""))</f>
        <v/>
      </c>
      <c r="K507" s="245"/>
      <c r="L507" s="245" t="str">
        <f ca="1">IF(CommitmentsTable[[#This Row],[Date Assigned if different from entry date]]&lt;&gt;"",CommitmentsTable[[#This Row],[Date Assigned if different from entry date]]+60,IF(CommitmentsTable[[#This Row],[Date record entered]]&lt;&gt;"",CommitmentsTable[[#This Row],[Date record entered]]+60,""))</f>
        <v/>
      </c>
      <c r="M507" s="214"/>
      <c r="N507" s="214"/>
      <c r="O507" s="236"/>
      <c r="P507" s="214"/>
      <c r="Q507" s="214"/>
      <c r="R507" s="214"/>
      <c r="S507" s="238" t="str">
        <f>IF(CommitmentsTable[[#This Row],[Commitment / deliverable]]="","",IF(CommitmentsTable[[#This Row],[Revised due]]&lt;&gt;"",CommitmentsTable[[#This Row],[Revised due]],CommitmentsTable[[#This Row],[Original due]]))</f>
        <v/>
      </c>
      <c r="T507" s="237" t="str">
        <f>IF(OR(CommitmentsTable[[#This Row],[Commitment / deliverable]]="",CommitmentsTable[[#This Row],[Owner]]=""),"",IF(CommitmentsTable[[#This Row],[Status2]]="","Open",CommitmentsTable[[#This Row],[Status2]]))</f>
        <v/>
      </c>
      <c r="U507" s="237" t="str">
        <f t="shared" ca="1" si="7"/>
        <v/>
      </c>
      <c r="V507" s="233"/>
      <c r="W507" s="63" t="s">
        <v>1474</v>
      </c>
    </row>
    <row r="508" spans="1:23" ht="39">
      <c r="A508" s="213" t="str">
        <f>IF(OR(CommitmentsTable[[#This Row],[Commitment / deliverable]]="",CommitmentsTable[[#This Row],[Immutable Key]]=""),"",SUBSTITUTE(CommitmentsTable[[#This Row],[Immutable Key]],"-K-","-"))</f>
        <v/>
      </c>
      <c r="B508" s="233"/>
      <c r="C508" s="233"/>
      <c r="D508" s="213"/>
      <c r="E508" s="230"/>
      <c r="F508" s="213"/>
      <c r="G508" s="245" t="str">
        <f ca="1">IF(CommitmentsTable[[#This Row],[Commitment / deliverable]]="","",IF(CommitmentsTable[[#This Row],[Date record entered]]="",TODAY(),CommitmentsTable[[#This Row],[Date record entered]]))</f>
        <v/>
      </c>
      <c r="H508" s="245"/>
      <c r="I508" s="245" t="str">
        <f ca="1">IF(CommitmentsTable[[#This Row],[Date Assigned if different from entry date]]&lt;&gt;"",CommitmentsTable[[#This Row],[Date Assigned if different from entry date]]+90,IF(CommitmentsTable[[#This Row],[Date record entered]]&lt;&gt;"",CommitmentsTable[[#This Row],[Date record entered]]+90,""))</f>
        <v/>
      </c>
      <c r="J508" s="245" t="str">
        <f ca="1">IF(CommitmentsTable[[#This Row],[Date Assigned if different from entry date]]&lt;&gt;"",CommitmentsTable[[#This Row],[Date Assigned if different from entry date]]+30,IF(CommitmentsTable[[#This Row],[Date record entered]]&lt;&gt;"",CommitmentsTable[[#This Row],[Date record entered]]+30,""))</f>
        <v/>
      </c>
      <c r="K508" s="245"/>
      <c r="L508" s="245" t="str">
        <f ca="1">IF(CommitmentsTable[[#This Row],[Date Assigned if different from entry date]]&lt;&gt;"",CommitmentsTable[[#This Row],[Date Assigned if different from entry date]]+60,IF(CommitmentsTable[[#This Row],[Date record entered]]&lt;&gt;"",CommitmentsTable[[#This Row],[Date record entered]]+60,""))</f>
        <v/>
      </c>
      <c r="M508" s="214"/>
      <c r="N508" s="214"/>
      <c r="O508" s="236"/>
      <c r="P508" s="214"/>
      <c r="Q508" s="214"/>
      <c r="R508" s="214"/>
      <c r="S508" s="238" t="str">
        <f>IF(CommitmentsTable[[#This Row],[Commitment / deliverable]]="","",IF(CommitmentsTable[[#This Row],[Revised due]]&lt;&gt;"",CommitmentsTable[[#This Row],[Revised due]],CommitmentsTable[[#This Row],[Original due]]))</f>
        <v/>
      </c>
      <c r="T508" s="237" t="str">
        <f>IF(OR(CommitmentsTable[[#This Row],[Commitment / deliverable]]="",CommitmentsTable[[#This Row],[Owner]]=""),"",IF(CommitmentsTable[[#This Row],[Status2]]="","Open",CommitmentsTable[[#This Row],[Status2]]))</f>
        <v/>
      </c>
      <c r="U508" s="237" t="str">
        <f t="shared" ca="1" si="7"/>
        <v/>
      </c>
      <c r="V508" s="233"/>
      <c r="W508" s="63" t="s">
        <v>1475</v>
      </c>
    </row>
    <row r="509" spans="1:23" ht="39">
      <c r="A509" s="213" t="str">
        <f>IF(OR(CommitmentsTable[[#This Row],[Commitment / deliverable]]="",CommitmentsTable[[#This Row],[Immutable Key]]=""),"",SUBSTITUTE(CommitmentsTable[[#This Row],[Immutable Key]],"-K-","-"))</f>
        <v/>
      </c>
      <c r="B509" s="233"/>
      <c r="C509" s="233"/>
      <c r="D509" s="213"/>
      <c r="E509" s="230"/>
      <c r="F509" s="213"/>
      <c r="G509" s="245" t="str">
        <f ca="1">IF(CommitmentsTable[[#This Row],[Commitment / deliverable]]="","",IF(CommitmentsTable[[#This Row],[Date record entered]]="",TODAY(),CommitmentsTable[[#This Row],[Date record entered]]))</f>
        <v/>
      </c>
      <c r="H509" s="245"/>
      <c r="I509" s="245" t="str">
        <f ca="1">IF(CommitmentsTable[[#This Row],[Date Assigned if different from entry date]]&lt;&gt;"",CommitmentsTable[[#This Row],[Date Assigned if different from entry date]]+90,IF(CommitmentsTable[[#This Row],[Date record entered]]&lt;&gt;"",CommitmentsTable[[#This Row],[Date record entered]]+90,""))</f>
        <v/>
      </c>
      <c r="J509" s="245" t="str">
        <f ca="1">IF(CommitmentsTable[[#This Row],[Date Assigned if different from entry date]]&lt;&gt;"",CommitmentsTable[[#This Row],[Date Assigned if different from entry date]]+30,IF(CommitmentsTable[[#This Row],[Date record entered]]&lt;&gt;"",CommitmentsTable[[#This Row],[Date record entered]]+30,""))</f>
        <v/>
      </c>
      <c r="K509" s="245"/>
      <c r="L509" s="245" t="str">
        <f ca="1">IF(CommitmentsTable[[#This Row],[Date Assigned if different from entry date]]&lt;&gt;"",CommitmentsTable[[#This Row],[Date Assigned if different from entry date]]+60,IF(CommitmentsTable[[#This Row],[Date record entered]]&lt;&gt;"",CommitmentsTable[[#This Row],[Date record entered]]+60,""))</f>
        <v/>
      </c>
      <c r="M509" s="214"/>
      <c r="N509" s="214"/>
      <c r="O509" s="236"/>
      <c r="P509" s="214"/>
      <c r="Q509" s="214"/>
      <c r="R509" s="214"/>
      <c r="S509" s="238" t="str">
        <f>IF(CommitmentsTable[[#This Row],[Commitment / deliverable]]="","",IF(CommitmentsTable[[#This Row],[Revised due]]&lt;&gt;"",CommitmentsTable[[#This Row],[Revised due]],CommitmentsTable[[#This Row],[Original due]]))</f>
        <v/>
      </c>
      <c r="T509" s="237" t="str">
        <f>IF(OR(CommitmentsTable[[#This Row],[Commitment / deliverable]]="",CommitmentsTable[[#This Row],[Owner]]=""),"",IF(CommitmentsTable[[#This Row],[Status2]]="","Open",CommitmentsTable[[#This Row],[Status2]]))</f>
        <v/>
      </c>
      <c r="U509" s="237" t="str">
        <f t="shared" ca="1" si="7"/>
        <v/>
      </c>
      <c r="V509" s="233"/>
      <c r="W509" s="63" t="s">
        <v>1476</v>
      </c>
    </row>
    <row r="510" spans="1:23" ht="39">
      <c r="A510" s="213" t="str">
        <f>IF(OR(CommitmentsTable[[#This Row],[Commitment / deliverable]]="",CommitmentsTable[[#This Row],[Immutable Key]]=""),"",SUBSTITUTE(CommitmentsTable[[#This Row],[Immutable Key]],"-K-","-"))</f>
        <v/>
      </c>
      <c r="B510" s="233"/>
      <c r="C510" s="233"/>
      <c r="D510" s="213"/>
      <c r="E510" s="230"/>
      <c r="F510" s="213"/>
      <c r="G510" s="245" t="str">
        <f ca="1">IF(CommitmentsTable[[#This Row],[Commitment / deliverable]]="","",IF(CommitmentsTable[[#This Row],[Date record entered]]="",TODAY(),CommitmentsTable[[#This Row],[Date record entered]]))</f>
        <v/>
      </c>
      <c r="H510" s="245"/>
      <c r="I510" s="245" t="str">
        <f ca="1">IF(CommitmentsTable[[#This Row],[Date Assigned if different from entry date]]&lt;&gt;"",CommitmentsTable[[#This Row],[Date Assigned if different from entry date]]+90,IF(CommitmentsTable[[#This Row],[Date record entered]]&lt;&gt;"",CommitmentsTable[[#This Row],[Date record entered]]+90,""))</f>
        <v/>
      </c>
      <c r="J510" s="245" t="str">
        <f ca="1">IF(CommitmentsTable[[#This Row],[Date Assigned if different from entry date]]&lt;&gt;"",CommitmentsTable[[#This Row],[Date Assigned if different from entry date]]+30,IF(CommitmentsTable[[#This Row],[Date record entered]]&lt;&gt;"",CommitmentsTable[[#This Row],[Date record entered]]+30,""))</f>
        <v/>
      </c>
      <c r="K510" s="245"/>
      <c r="L510" s="245" t="str">
        <f ca="1">IF(CommitmentsTable[[#This Row],[Date Assigned if different from entry date]]&lt;&gt;"",CommitmentsTable[[#This Row],[Date Assigned if different from entry date]]+60,IF(CommitmentsTable[[#This Row],[Date record entered]]&lt;&gt;"",CommitmentsTable[[#This Row],[Date record entered]]+60,""))</f>
        <v/>
      </c>
      <c r="M510" s="214"/>
      <c r="N510" s="214"/>
      <c r="O510" s="236"/>
      <c r="P510" s="214"/>
      <c r="Q510" s="214"/>
      <c r="R510" s="214"/>
      <c r="S510" s="238" t="str">
        <f>IF(CommitmentsTable[[#This Row],[Commitment / deliverable]]="","",IF(CommitmentsTable[[#This Row],[Revised due]]&lt;&gt;"",CommitmentsTable[[#This Row],[Revised due]],CommitmentsTable[[#This Row],[Original due]]))</f>
        <v/>
      </c>
      <c r="T510" s="237" t="str">
        <f>IF(OR(CommitmentsTable[[#This Row],[Commitment / deliverable]]="",CommitmentsTable[[#This Row],[Owner]]=""),"",IF(CommitmentsTable[[#This Row],[Status2]]="","Open",CommitmentsTable[[#This Row],[Status2]]))</f>
        <v/>
      </c>
      <c r="U510" s="237" t="str">
        <f t="shared" ca="1" si="7"/>
        <v/>
      </c>
      <c r="V510" s="233"/>
      <c r="W510" s="63" t="s">
        <v>1477</v>
      </c>
    </row>
    <row r="511" spans="1:23" ht="39">
      <c r="A511" s="213" t="str">
        <f>IF(OR(CommitmentsTable[[#This Row],[Commitment / deliverable]]="",CommitmentsTable[[#This Row],[Immutable Key]]=""),"",SUBSTITUTE(CommitmentsTable[[#This Row],[Immutable Key]],"-K-","-"))</f>
        <v/>
      </c>
      <c r="B511" s="233"/>
      <c r="C511" s="233"/>
      <c r="D511" s="213"/>
      <c r="E511" s="230"/>
      <c r="F511" s="213"/>
      <c r="G511" s="245" t="str">
        <f ca="1">IF(CommitmentsTable[[#This Row],[Commitment / deliverable]]="","",IF(CommitmentsTable[[#This Row],[Date record entered]]="",TODAY(),CommitmentsTable[[#This Row],[Date record entered]]))</f>
        <v/>
      </c>
      <c r="H511" s="245"/>
      <c r="I511" s="245" t="str">
        <f ca="1">IF(CommitmentsTable[[#This Row],[Date Assigned if different from entry date]]&lt;&gt;"",CommitmentsTable[[#This Row],[Date Assigned if different from entry date]]+90,IF(CommitmentsTable[[#This Row],[Date record entered]]&lt;&gt;"",CommitmentsTable[[#This Row],[Date record entered]]+90,""))</f>
        <v/>
      </c>
      <c r="J511" s="245" t="str">
        <f ca="1">IF(CommitmentsTable[[#This Row],[Date Assigned if different from entry date]]&lt;&gt;"",CommitmentsTable[[#This Row],[Date Assigned if different from entry date]]+30,IF(CommitmentsTable[[#This Row],[Date record entered]]&lt;&gt;"",CommitmentsTable[[#This Row],[Date record entered]]+30,""))</f>
        <v/>
      </c>
      <c r="K511" s="245"/>
      <c r="L511" s="245" t="str">
        <f ca="1">IF(CommitmentsTable[[#This Row],[Date Assigned if different from entry date]]&lt;&gt;"",CommitmentsTable[[#This Row],[Date Assigned if different from entry date]]+60,IF(CommitmentsTable[[#This Row],[Date record entered]]&lt;&gt;"",CommitmentsTable[[#This Row],[Date record entered]]+60,""))</f>
        <v/>
      </c>
      <c r="M511" s="214"/>
      <c r="N511" s="214"/>
      <c r="O511" s="236"/>
      <c r="P511" s="214"/>
      <c r="Q511" s="214"/>
      <c r="R511" s="214"/>
      <c r="S511" s="238" t="str">
        <f>IF(CommitmentsTable[[#This Row],[Commitment / deliverable]]="","",IF(CommitmentsTable[[#This Row],[Revised due]]&lt;&gt;"",CommitmentsTable[[#This Row],[Revised due]],CommitmentsTable[[#This Row],[Original due]]))</f>
        <v/>
      </c>
      <c r="T511" s="237" t="str">
        <f>IF(OR(CommitmentsTable[[#This Row],[Commitment / deliverable]]="",CommitmentsTable[[#This Row],[Owner]]=""),"",IF(CommitmentsTable[[#This Row],[Status2]]="","Open",CommitmentsTable[[#This Row],[Status2]]))</f>
        <v/>
      </c>
      <c r="U511" s="237" t="str">
        <f t="shared" ca="1" si="7"/>
        <v/>
      </c>
      <c r="V511" s="233"/>
      <c r="W511" s="63" t="s">
        <v>1478</v>
      </c>
    </row>
    <row r="512" spans="1:23" ht="39">
      <c r="A512" s="213" t="str">
        <f>IF(OR(CommitmentsTable[[#This Row],[Commitment / deliverable]]="",CommitmentsTable[[#This Row],[Immutable Key]]=""),"",SUBSTITUTE(CommitmentsTable[[#This Row],[Immutable Key]],"-K-","-"))</f>
        <v/>
      </c>
      <c r="B512" s="233"/>
      <c r="C512" s="233"/>
      <c r="D512" s="213"/>
      <c r="E512" s="230"/>
      <c r="F512" s="213"/>
      <c r="G512" s="245" t="str">
        <f ca="1">IF(CommitmentsTable[[#This Row],[Commitment / deliverable]]="","",IF(CommitmentsTable[[#This Row],[Date record entered]]="",TODAY(),CommitmentsTable[[#This Row],[Date record entered]]))</f>
        <v/>
      </c>
      <c r="H512" s="245"/>
      <c r="I512" s="245" t="str">
        <f ca="1">IF(CommitmentsTable[[#This Row],[Date Assigned if different from entry date]]&lt;&gt;"",CommitmentsTable[[#This Row],[Date Assigned if different from entry date]]+90,IF(CommitmentsTable[[#This Row],[Date record entered]]&lt;&gt;"",CommitmentsTable[[#This Row],[Date record entered]]+90,""))</f>
        <v/>
      </c>
      <c r="J512" s="245" t="str">
        <f ca="1">IF(CommitmentsTable[[#This Row],[Date Assigned if different from entry date]]&lt;&gt;"",CommitmentsTable[[#This Row],[Date Assigned if different from entry date]]+30,IF(CommitmentsTable[[#This Row],[Date record entered]]&lt;&gt;"",CommitmentsTable[[#This Row],[Date record entered]]+30,""))</f>
        <v/>
      </c>
      <c r="K512" s="245"/>
      <c r="L512" s="245" t="str">
        <f ca="1">IF(CommitmentsTable[[#This Row],[Date Assigned if different from entry date]]&lt;&gt;"",CommitmentsTable[[#This Row],[Date Assigned if different from entry date]]+60,IF(CommitmentsTable[[#This Row],[Date record entered]]&lt;&gt;"",CommitmentsTable[[#This Row],[Date record entered]]+60,""))</f>
        <v/>
      </c>
      <c r="M512" s="214"/>
      <c r="N512" s="214"/>
      <c r="O512" s="236"/>
      <c r="P512" s="214"/>
      <c r="Q512" s="214"/>
      <c r="R512" s="214"/>
      <c r="S512" s="238" t="str">
        <f>IF(CommitmentsTable[[#This Row],[Commitment / deliverable]]="","",IF(CommitmentsTable[[#This Row],[Revised due]]&lt;&gt;"",CommitmentsTable[[#This Row],[Revised due]],CommitmentsTable[[#This Row],[Original due]]))</f>
        <v/>
      </c>
      <c r="T512" s="237" t="str">
        <f>IF(OR(CommitmentsTable[[#This Row],[Commitment / deliverable]]="",CommitmentsTable[[#This Row],[Owner]]=""),"",IF(CommitmentsTable[[#This Row],[Status2]]="","Open",CommitmentsTable[[#This Row],[Status2]]))</f>
        <v/>
      </c>
      <c r="U512" s="237" t="str">
        <f t="shared" ca="1" si="7"/>
        <v/>
      </c>
      <c r="V512" s="233"/>
      <c r="W512" s="63" t="s">
        <v>1479</v>
      </c>
    </row>
    <row r="513" spans="1:23" ht="14.5">
      <c r="A513" s="213" t="str">
        <f>IF(OR(CommitmentsTable[[#This Row],[Commitment / deliverable]]="",CommitmentsTable[[#This Row],[Immutable Key]]=""),"",SUBSTITUTE(CommitmentsTable[[#This Row],[Immutable Key]],"-K-","-"))</f>
        <v/>
      </c>
      <c r="B513" s="233"/>
      <c r="C513" s="233"/>
      <c r="D513" s="213"/>
      <c r="E513" s="230"/>
      <c r="F513" s="213"/>
      <c r="G513" s="245" t="str">
        <f ca="1">IF(CommitmentsTable[[#This Row],[Commitment / deliverable]]="","",IF(CommitmentsTable[[#This Row],[Date record entered]]="",TODAY(),CommitmentsTable[[#This Row],[Date record entered]]))</f>
        <v/>
      </c>
      <c r="H513" s="245"/>
      <c r="I513" s="245" t="str">
        <f ca="1">IF(CommitmentsTable[[#This Row],[Date Assigned if different from entry date]]&lt;&gt;"",CommitmentsTable[[#This Row],[Date Assigned if different from entry date]]+90,IF(CommitmentsTable[[#This Row],[Date record entered]]&lt;&gt;"",CommitmentsTable[[#This Row],[Date record entered]]+90,""))</f>
        <v/>
      </c>
      <c r="J513" s="245" t="str">
        <f ca="1">IF(CommitmentsTable[[#This Row],[Date Assigned if different from entry date]]&lt;&gt;"",CommitmentsTable[[#This Row],[Date Assigned if different from entry date]]+30,IF(CommitmentsTable[[#This Row],[Date record entered]]&lt;&gt;"",CommitmentsTable[[#This Row],[Date record entered]]+30,""))</f>
        <v/>
      </c>
      <c r="K513" s="245"/>
      <c r="L513" s="245" t="str">
        <f ca="1">IF(CommitmentsTable[[#This Row],[Date Assigned if different from entry date]]&lt;&gt;"",CommitmentsTable[[#This Row],[Date Assigned if different from entry date]]+60,IF(CommitmentsTable[[#This Row],[Date record entered]]&lt;&gt;"",CommitmentsTable[[#This Row],[Date record entered]]+60,""))</f>
        <v/>
      </c>
      <c r="M513" s="214"/>
      <c r="N513" s="214"/>
      <c r="O513" s="236"/>
      <c r="P513" s="214"/>
      <c r="Q513" s="214"/>
      <c r="R513" s="214"/>
      <c r="S513" s="238" t="str">
        <f>IF(CommitmentsTable[[#This Row],[Commitment / deliverable]]="","",IF(CommitmentsTable[[#This Row],[Revised due]]&lt;&gt;"",CommitmentsTable[[#This Row],[Revised due]],CommitmentsTable[[#This Row],[Original due]]))</f>
        <v/>
      </c>
      <c r="T513" s="237" t="str">
        <f>IF(OR(CommitmentsTable[[#This Row],[Commitment / deliverable]]="",CommitmentsTable[[#This Row],[Owner]]=""),"",IF(CommitmentsTable[[#This Row],[Status2]]="","Open",CommitmentsTable[[#This Row],[Status2]]))</f>
        <v/>
      </c>
      <c r="U513" s="237" t="str">
        <f t="shared" ca="1" si="7"/>
        <v/>
      </c>
      <c r="V513" s="233"/>
      <c r="W513" s="63"/>
    </row>
    <row r="514" spans="1:23" ht="14.5">
      <c r="A514" s="213" t="str">
        <f>IF(OR(CommitmentsTable[[#This Row],[Commitment / deliverable]]="",CommitmentsTable[[#This Row],[Immutable Key]]=""),"",SUBSTITUTE(CommitmentsTable[[#This Row],[Immutable Key]],"-K-","-"))</f>
        <v/>
      </c>
      <c r="B514" s="233"/>
      <c r="C514" s="233"/>
      <c r="D514" s="213"/>
      <c r="E514" s="230"/>
      <c r="F514" s="213"/>
      <c r="G514" s="245" t="str">
        <f ca="1">IF(CommitmentsTable[[#This Row],[Commitment / deliverable]]="","",IF(CommitmentsTable[[#This Row],[Date record entered]]="",TODAY(),CommitmentsTable[[#This Row],[Date record entered]]))</f>
        <v/>
      </c>
      <c r="H514" s="245"/>
      <c r="I514" s="245" t="str">
        <f ca="1">IF(CommitmentsTable[[#This Row],[Date Assigned if different from entry date]]&lt;&gt;"",CommitmentsTable[[#This Row],[Date Assigned if different from entry date]]+90,IF(CommitmentsTable[[#This Row],[Date record entered]]&lt;&gt;"",CommitmentsTable[[#This Row],[Date record entered]]+90,""))</f>
        <v/>
      </c>
      <c r="J514" s="245" t="str">
        <f ca="1">IF(CommitmentsTable[[#This Row],[Date Assigned if different from entry date]]&lt;&gt;"",CommitmentsTable[[#This Row],[Date Assigned if different from entry date]]+30,IF(CommitmentsTable[[#This Row],[Date record entered]]&lt;&gt;"",CommitmentsTable[[#This Row],[Date record entered]]+30,""))</f>
        <v/>
      </c>
      <c r="K514" s="245"/>
      <c r="L514" s="245" t="str">
        <f ca="1">IF(CommitmentsTable[[#This Row],[Date Assigned if different from entry date]]&lt;&gt;"",CommitmentsTable[[#This Row],[Date Assigned if different from entry date]]+60,IF(CommitmentsTable[[#This Row],[Date record entered]]&lt;&gt;"",CommitmentsTable[[#This Row],[Date record entered]]+60,""))</f>
        <v/>
      </c>
      <c r="M514" s="214"/>
      <c r="N514" s="214"/>
      <c r="O514" s="236"/>
      <c r="P514" s="214"/>
      <c r="Q514" s="214"/>
      <c r="R514" s="214"/>
      <c r="S514" s="238" t="str">
        <f>IF(CommitmentsTable[[#This Row],[Commitment / deliverable]]="","",IF(CommitmentsTable[[#This Row],[Revised due]]&lt;&gt;"",CommitmentsTable[[#This Row],[Revised due]],CommitmentsTable[[#This Row],[Original due]]))</f>
        <v/>
      </c>
      <c r="T514" s="237" t="str">
        <f>IF(OR(CommitmentsTable[[#This Row],[Commitment / deliverable]]="",CommitmentsTable[[#This Row],[Owner]]=""),"",IF(CommitmentsTable[[#This Row],[Status2]]="","Open",CommitmentsTable[[#This Row],[Status2]]))</f>
        <v/>
      </c>
      <c r="U514" s="237" t="str">
        <f t="shared" ca="1" si="7"/>
        <v/>
      </c>
      <c r="V514" s="233"/>
      <c r="W514" s="63"/>
    </row>
    <row r="515" spans="1:23" ht="14.5">
      <c r="A515" s="213" t="str">
        <f>IF(OR(CommitmentsTable[[#This Row],[Commitment / deliverable]]="",CommitmentsTable[[#This Row],[Immutable Key]]=""),"",SUBSTITUTE(CommitmentsTable[[#This Row],[Immutable Key]],"-K-","-"))</f>
        <v/>
      </c>
      <c r="B515" s="233"/>
      <c r="C515" s="233"/>
      <c r="D515" s="213"/>
      <c r="E515" s="230"/>
      <c r="F515" s="213"/>
      <c r="G515" s="245" t="str">
        <f ca="1">IF(CommitmentsTable[[#This Row],[Commitment / deliverable]]="","",IF(CommitmentsTable[[#This Row],[Date record entered]]="",TODAY(),CommitmentsTable[[#This Row],[Date record entered]]))</f>
        <v/>
      </c>
      <c r="H515" s="245"/>
      <c r="I515" s="245" t="str">
        <f ca="1">IF(CommitmentsTable[[#This Row],[Date Assigned if different from entry date]]&lt;&gt;"",CommitmentsTable[[#This Row],[Date Assigned if different from entry date]]+90,IF(CommitmentsTable[[#This Row],[Date record entered]]&lt;&gt;"",CommitmentsTable[[#This Row],[Date record entered]]+90,""))</f>
        <v/>
      </c>
      <c r="J515" s="245" t="str">
        <f ca="1">IF(CommitmentsTable[[#This Row],[Date Assigned if different from entry date]]&lt;&gt;"",CommitmentsTable[[#This Row],[Date Assigned if different from entry date]]+30,IF(CommitmentsTable[[#This Row],[Date record entered]]&lt;&gt;"",CommitmentsTable[[#This Row],[Date record entered]]+30,""))</f>
        <v/>
      </c>
      <c r="K515" s="245"/>
      <c r="L515" s="245" t="str">
        <f ca="1">IF(CommitmentsTable[[#This Row],[Date Assigned if different from entry date]]&lt;&gt;"",CommitmentsTable[[#This Row],[Date Assigned if different from entry date]]+60,IF(CommitmentsTable[[#This Row],[Date record entered]]&lt;&gt;"",CommitmentsTable[[#This Row],[Date record entered]]+60,""))</f>
        <v/>
      </c>
      <c r="M515" s="214"/>
      <c r="N515" s="214"/>
      <c r="O515" s="236"/>
      <c r="P515" s="214"/>
      <c r="Q515" s="214"/>
      <c r="R515" s="214"/>
      <c r="S515" s="238" t="str">
        <f>IF(CommitmentsTable[[#This Row],[Commitment / deliverable]]="","",IF(CommitmentsTable[[#This Row],[Revised due]]&lt;&gt;"",CommitmentsTable[[#This Row],[Revised due]],CommitmentsTable[[#This Row],[Original due]]))</f>
        <v/>
      </c>
      <c r="T515" s="237" t="str">
        <f>IF(OR(CommitmentsTable[[#This Row],[Commitment / deliverable]]="",CommitmentsTable[[#This Row],[Owner]]=""),"",IF(CommitmentsTable[[#This Row],[Status2]]="","Open",CommitmentsTable[[#This Row],[Status2]]))</f>
        <v/>
      </c>
      <c r="U515" s="237" t="str">
        <f t="shared" ca="1" si="7"/>
        <v/>
      </c>
      <c r="V515" s="233"/>
      <c r="W515" s="63"/>
    </row>
    <row r="516" spans="1:23" ht="14.5">
      <c r="A516" s="213" t="str">
        <f>IF(OR(CommitmentsTable[[#This Row],[Commitment / deliverable]]="",CommitmentsTable[[#This Row],[Immutable Key]]=""),"",SUBSTITUTE(CommitmentsTable[[#This Row],[Immutable Key]],"-K-","-"))</f>
        <v/>
      </c>
      <c r="B516" s="233"/>
      <c r="C516" s="233"/>
      <c r="D516" s="213"/>
      <c r="E516" s="230"/>
      <c r="F516" s="213"/>
      <c r="G516" s="245" t="str">
        <f ca="1">IF(CommitmentsTable[[#This Row],[Commitment / deliverable]]="","",IF(CommitmentsTable[[#This Row],[Date record entered]]="",TODAY(),CommitmentsTable[[#This Row],[Date record entered]]))</f>
        <v/>
      </c>
      <c r="H516" s="245"/>
      <c r="I516" s="245" t="str">
        <f ca="1">IF(CommitmentsTable[[#This Row],[Date Assigned if different from entry date]]&lt;&gt;"",CommitmentsTable[[#This Row],[Date Assigned if different from entry date]]+90,IF(CommitmentsTable[[#This Row],[Date record entered]]&lt;&gt;"",CommitmentsTable[[#This Row],[Date record entered]]+90,""))</f>
        <v/>
      </c>
      <c r="J516" s="245" t="str">
        <f ca="1">IF(CommitmentsTable[[#This Row],[Date Assigned if different from entry date]]&lt;&gt;"",CommitmentsTable[[#This Row],[Date Assigned if different from entry date]]+30,IF(CommitmentsTable[[#This Row],[Date record entered]]&lt;&gt;"",CommitmentsTable[[#This Row],[Date record entered]]+30,""))</f>
        <v/>
      </c>
      <c r="K516" s="245"/>
      <c r="L516" s="245" t="str">
        <f ca="1">IF(CommitmentsTable[[#This Row],[Date Assigned if different from entry date]]&lt;&gt;"",CommitmentsTable[[#This Row],[Date Assigned if different from entry date]]+60,IF(CommitmentsTable[[#This Row],[Date record entered]]&lt;&gt;"",CommitmentsTable[[#This Row],[Date record entered]]+60,""))</f>
        <v/>
      </c>
      <c r="M516" s="214"/>
      <c r="N516" s="214"/>
      <c r="O516" s="236"/>
      <c r="P516" s="214"/>
      <c r="Q516" s="214"/>
      <c r="R516" s="214"/>
      <c r="S516" s="238" t="str">
        <f>IF(CommitmentsTable[[#This Row],[Commitment / deliverable]]="","",IF(CommitmentsTable[[#This Row],[Revised due]]&lt;&gt;"",CommitmentsTable[[#This Row],[Revised due]],CommitmentsTable[[#This Row],[Original due]]))</f>
        <v/>
      </c>
      <c r="T516" s="237" t="str">
        <f>IF(OR(CommitmentsTable[[#This Row],[Commitment / deliverable]]="",CommitmentsTable[[#This Row],[Owner]]=""),"",IF(CommitmentsTable[[#This Row],[Status2]]="","Open",CommitmentsTable[[#This Row],[Status2]]))</f>
        <v/>
      </c>
      <c r="U516" s="237" t="str">
        <f t="shared" ca="1" si="7"/>
        <v/>
      </c>
      <c r="V516" s="233"/>
      <c r="W516" s="63"/>
    </row>
    <row r="517" spans="1:23" ht="14.5">
      <c r="A517" s="213" t="str">
        <f>IF(OR(CommitmentsTable[[#This Row],[Commitment / deliverable]]="",CommitmentsTable[[#This Row],[Immutable Key]]=""),"",SUBSTITUTE(CommitmentsTable[[#This Row],[Immutable Key]],"-K-","-"))</f>
        <v/>
      </c>
      <c r="B517" s="233"/>
      <c r="C517" s="233"/>
      <c r="D517" s="213"/>
      <c r="E517" s="230"/>
      <c r="F517" s="213"/>
      <c r="G517" s="245" t="str">
        <f ca="1">IF(CommitmentsTable[[#This Row],[Commitment / deliverable]]="","",IF(CommitmentsTable[[#This Row],[Date record entered]]="",TODAY(),CommitmentsTable[[#This Row],[Date record entered]]))</f>
        <v/>
      </c>
      <c r="H517" s="245"/>
      <c r="I517" s="245" t="str">
        <f ca="1">IF(CommitmentsTable[[#This Row],[Date Assigned if different from entry date]]&lt;&gt;"",CommitmentsTable[[#This Row],[Date Assigned if different from entry date]]+90,IF(CommitmentsTable[[#This Row],[Date record entered]]&lt;&gt;"",CommitmentsTable[[#This Row],[Date record entered]]+90,""))</f>
        <v/>
      </c>
      <c r="J517" s="245" t="str">
        <f ca="1">IF(CommitmentsTable[[#This Row],[Date Assigned if different from entry date]]&lt;&gt;"",CommitmentsTable[[#This Row],[Date Assigned if different from entry date]]+30,IF(CommitmentsTable[[#This Row],[Date record entered]]&lt;&gt;"",CommitmentsTable[[#This Row],[Date record entered]]+30,""))</f>
        <v/>
      </c>
      <c r="K517" s="245"/>
      <c r="L517" s="245" t="str">
        <f ca="1">IF(CommitmentsTable[[#This Row],[Date Assigned if different from entry date]]&lt;&gt;"",CommitmentsTable[[#This Row],[Date Assigned if different from entry date]]+60,IF(CommitmentsTable[[#This Row],[Date record entered]]&lt;&gt;"",CommitmentsTable[[#This Row],[Date record entered]]+60,""))</f>
        <v/>
      </c>
      <c r="M517" s="214"/>
      <c r="N517" s="214"/>
      <c r="O517" s="236"/>
      <c r="P517" s="214"/>
      <c r="Q517" s="214"/>
      <c r="R517" s="214"/>
      <c r="S517" s="238" t="str">
        <f>IF(CommitmentsTable[[#This Row],[Commitment / deliverable]]="","",IF(CommitmentsTable[[#This Row],[Revised due]]&lt;&gt;"",CommitmentsTable[[#This Row],[Revised due]],CommitmentsTable[[#This Row],[Original due]]))</f>
        <v/>
      </c>
      <c r="T517" s="237" t="str">
        <f>IF(OR(CommitmentsTable[[#This Row],[Commitment / deliverable]]="",CommitmentsTable[[#This Row],[Owner]]=""),"",IF(CommitmentsTable[[#This Row],[Status2]]="","Open",CommitmentsTable[[#This Row],[Status2]]))</f>
        <v/>
      </c>
      <c r="U517" s="237" t="str">
        <f t="shared" ca="1" si="7"/>
        <v/>
      </c>
      <c r="V517" s="233"/>
      <c r="W517" s="63"/>
    </row>
    <row r="518" spans="1:23" ht="14.5">
      <c r="A518" s="213" t="str">
        <f>IF(OR(CommitmentsTable[[#This Row],[Commitment / deliverable]]="",CommitmentsTable[[#This Row],[Immutable Key]]=""),"",SUBSTITUTE(CommitmentsTable[[#This Row],[Immutable Key]],"-K-","-"))</f>
        <v/>
      </c>
      <c r="B518" s="233"/>
      <c r="C518" s="233"/>
      <c r="D518" s="213"/>
      <c r="E518" s="230"/>
      <c r="F518" s="213"/>
      <c r="G518" s="245" t="str">
        <f ca="1">IF(CommitmentsTable[[#This Row],[Commitment / deliverable]]="","",IF(CommitmentsTable[[#This Row],[Date record entered]]="",TODAY(),CommitmentsTable[[#This Row],[Date record entered]]))</f>
        <v/>
      </c>
      <c r="H518" s="245"/>
      <c r="I518" s="245" t="str">
        <f ca="1">IF(CommitmentsTable[[#This Row],[Date Assigned if different from entry date]]&lt;&gt;"",CommitmentsTable[[#This Row],[Date Assigned if different from entry date]]+90,IF(CommitmentsTable[[#This Row],[Date record entered]]&lt;&gt;"",CommitmentsTable[[#This Row],[Date record entered]]+90,""))</f>
        <v/>
      </c>
      <c r="J518" s="245" t="str">
        <f ca="1">IF(CommitmentsTable[[#This Row],[Date Assigned if different from entry date]]&lt;&gt;"",CommitmentsTable[[#This Row],[Date Assigned if different from entry date]]+30,IF(CommitmentsTable[[#This Row],[Date record entered]]&lt;&gt;"",CommitmentsTable[[#This Row],[Date record entered]]+30,""))</f>
        <v/>
      </c>
      <c r="K518" s="245"/>
      <c r="L518" s="245" t="str">
        <f ca="1">IF(CommitmentsTable[[#This Row],[Date Assigned if different from entry date]]&lt;&gt;"",CommitmentsTable[[#This Row],[Date Assigned if different from entry date]]+60,IF(CommitmentsTable[[#This Row],[Date record entered]]&lt;&gt;"",CommitmentsTable[[#This Row],[Date record entered]]+60,""))</f>
        <v/>
      </c>
      <c r="M518" s="214"/>
      <c r="N518" s="214"/>
      <c r="O518" s="236"/>
      <c r="P518" s="214"/>
      <c r="Q518" s="214"/>
      <c r="R518" s="214"/>
      <c r="S518" s="238" t="str">
        <f>IF(CommitmentsTable[[#This Row],[Commitment / deliverable]]="","",IF(CommitmentsTable[[#This Row],[Revised due]]&lt;&gt;"",CommitmentsTable[[#This Row],[Revised due]],CommitmentsTable[[#This Row],[Original due]]))</f>
        <v/>
      </c>
      <c r="T518" s="237" t="str">
        <f>IF(OR(CommitmentsTable[[#This Row],[Commitment / deliverable]]="",CommitmentsTable[[#This Row],[Owner]]=""),"",IF(CommitmentsTable[[#This Row],[Status2]]="","Open",CommitmentsTable[[#This Row],[Status2]]))</f>
        <v/>
      </c>
      <c r="U518" s="237" t="str">
        <f t="shared" ca="1" si="7"/>
        <v/>
      </c>
      <c r="V518" s="233"/>
      <c r="W518" s="63"/>
    </row>
    <row r="519" spans="1:23" ht="14.5">
      <c r="A519" s="213" t="str">
        <f>IF(OR(CommitmentsTable[[#This Row],[Commitment / deliverable]]="",CommitmentsTable[[#This Row],[Immutable Key]]=""),"",SUBSTITUTE(CommitmentsTable[[#This Row],[Immutable Key]],"-K-","-"))</f>
        <v/>
      </c>
      <c r="B519" s="233"/>
      <c r="C519" s="233"/>
      <c r="D519" s="213"/>
      <c r="E519" s="230"/>
      <c r="F519" s="213"/>
      <c r="G519" s="245" t="str">
        <f ca="1">IF(CommitmentsTable[[#This Row],[Commitment / deliverable]]="","",IF(CommitmentsTable[[#This Row],[Date record entered]]="",TODAY(),CommitmentsTable[[#This Row],[Date record entered]]))</f>
        <v/>
      </c>
      <c r="H519" s="245"/>
      <c r="I519" s="245" t="str">
        <f ca="1">IF(CommitmentsTable[[#This Row],[Date Assigned if different from entry date]]&lt;&gt;"",CommitmentsTable[[#This Row],[Date Assigned if different from entry date]]+90,IF(CommitmentsTable[[#This Row],[Date record entered]]&lt;&gt;"",CommitmentsTable[[#This Row],[Date record entered]]+90,""))</f>
        <v/>
      </c>
      <c r="J519" s="245" t="str">
        <f ca="1">IF(CommitmentsTable[[#This Row],[Date Assigned if different from entry date]]&lt;&gt;"",CommitmentsTable[[#This Row],[Date Assigned if different from entry date]]+30,IF(CommitmentsTable[[#This Row],[Date record entered]]&lt;&gt;"",CommitmentsTable[[#This Row],[Date record entered]]+30,""))</f>
        <v/>
      </c>
      <c r="K519" s="245"/>
      <c r="L519" s="245" t="str">
        <f ca="1">IF(CommitmentsTable[[#This Row],[Date Assigned if different from entry date]]&lt;&gt;"",CommitmentsTable[[#This Row],[Date Assigned if different from entry date]]+60,IF(CommitmentsTable[[#This Row],[Date record entered]]&lt;&gt;"",CommitmentsTable[[#This Row],[Date record entered]]+60,""))</f>
        <v/>
      </c>
      <c r="M519" s="214"/>
      <c r="N519" s="214"/>
      <c r="O519" s="236"/>
      <c r="P519" s="214"/>
      <c r="Q519" s="214"/>
      <c r="R519" s="214"/>
      <c r="S519" s="238" t="str">
        <f>IF(CommitmentsTable[[#This Row],[Commitment / deliverable]]="","",IF(CommitmentsTable[[#This Row],[Revised due]]&lt;&gt;"",CommitmentsTable[[#This Row],[Revised due]],CommitmentsTable[[#This Row],[Original due]]))</f>
        <v/>
      </c>
      <c r="T519" s="237" t="str">
        <f>IF(OR(CommitmentsTable[[#This Row],[Commitment / deliverable]]="",CommitmentsTable[[#This Row],[Owner]]=""),"",IF(CommitmentsTable[[#This Row],[Status2]]="","Open",CommitmentsTable[[#This Row],[Status2]]))</f>
        <v/>
      </c>
      <c r="U519" s="237" t="str">
        <f t="shared" ca="1" si="7"/>
        <v/>
      </c>
      <c r="V519" s="233"/>
      <c r="W519" s="63"/>
    </row>
    <row r="520" spans="1:23" ht="14.5">
      <c r="A520" s="213" t="str">
        <f>IF(OR(CommitmentsTable[[#This Row],[Commitment / deliverable]]="",CommitmentsTable[[#This Row],[Immutable Key]]=""),"",SUBSTITUTE(CommitmentsTable[[#This Row],[Immutable Key]],"-K-","-"))</f>
        <v/>
      </c>
      <c r="B520" s="233"/>
      <c r="C520" s="233"/>
      <c r="D520" s="213"/>
      <c r="E520" s="230"/>
      <c r="F520" s="213"/>
      <c r="G520" s="245" t="str">
        <f ca="1">IF(CommitmentsTable[[#This Row],[Commitment / deliverable]]="","",IF(CommitmentsTable[[#This Row],[Date record entered]]="",TODAY(),CommitmentsTable[[#This Row],[Date record entered]]))</f>
        <v/>
      </c>
      <c r="H520" s="245"/>
      <c r="I520" s="245" t="str">
        <f ca="1">IF(CommitmentsTable[[#This Row],[Date Assigned if different from entry date]]&lt;&gt;"",CommitmentsTable[[#This Row],[Date Assigned if different from entry date]]+90,IF(CommitmentsTable[[#This Row],[Date record entered]]&lt;&gt;"",CommitmentsTable[[#This Row],[Date record entered]]+90,""))</f>
        <v/>
      </c>
      <c r="J520" s="245" t="str">
        <f ca="1">IF(CommitmentsTable[[#This Row],[Date Assigned if different from entry date]]&lt;&gt;"",CommitmentsTable[[#This Row],[Date Assigned if different from entry date]]+30,IF(CommitmentsTable[[#This Row],[Date record entered]]&lt;&gt;"",CommitmentsTable[[#This Row],[Date record entered]]+30,""))</f>
        <v/>
      </c>
      <c r="K520" s="245"/>
      <c r="L520" s="245" t="str">
        <f ca="1">IF(CommitmentsTable[[#This Row],[Date Assigned if different from entry date]]&lt;&gt;"",CommitmentsTable[[#This Row],[Date Assigned if different from entry date]]+60,IF(CommitmentsTable[[#This Row],[Date record entered]]&lt;&gt;"",CommitmentsTable[[#This Row],[Date record entered]]+60,""))</f>
        <v/>
      </c>
      <c r="M520" s="214"/>
      <c r="N520" s="214"/>
      <c r="O520" s="236"/>
      <c r="P520" s="214"/>
      <c r="Q520" s="214"/>
      <c r="R520" s="214"/>
      <c r="S520" s="238" t="str">
        <f>IF(CommitmentsTable[[#This Row],[Commitment / deliverable]]="","",IF(CommitmentsTable[[#This Row],[Revised due]]&lt;&gt;"",CommitmentsTable[[#This Row],[Revised due]],CommitmentsTable[[#This Row],[Original due]]))</f>
        <v/>
      </c>
      <c r="T520" s="237" t="str">
        <f>IF(OR(CommitmentsTable[[#This Row],[Commitment / deliverable]]="",CommitmentsTable[[#This Row],[Owner]]=""),"",IF(CommitmentsTable[[#This Row],[Status2]]="","Open",CommitmentsTable[[#This Row],[Status2]]))</f>
        <v/>
      </c>
      <c r="U520" s="237" t="str">
        <f t="shared" ca="1" si="7"/>
        <v/>
      </c>
      <c r="V520" s="233"/>
      <c r="W520" s="63"/>
    </row>
    <row r="521" spans="1:23" ht="14.5">
      <c r="A521" s="213" t="str">
        <f>IF(OR(CommitmentsTable[[#This Row],[Commitment / deliverable]]="",CommitmentsTable[[#This Row],[Immutable Key]]=""),"",SUBSTITUTE(CommitmentsTable[[#This Row],[Immutable Key]],"-K-","-"))</f>
        <v/>
      </c>
      <c r="B521" s="233"/>
      <c r="C521" s="233"/>
      <c r="D521" s="213"/>
      <c r="E521" s="230"/>
      <c r="F521" s="213"/>
      <c r="G521" s="245" t="str">
        <f ca="1">IF(CommitmentsTable[[#This Row],[Commitment / deliverable]]="","",IF(CommitmentsTable[[#This Row],[Date record entered]]="",TODAY(),CommitmentsTable[[#This Row],[Date record entered]]))</f>
        <v/>
      </c>
      <c r="H521" s="245"/>
      <c r="I521" s="245" t="str">
        <f ca="1">IF(CommitmentsTable[[#This Row],[Date Assigned if different from entry date]]&lt;&gt;"",CommitmentsTable[[#This Row],[Date Assigned if different from entry date]]+90,IF(CommitmentsTable[[#This Row],[Date record entered]]&lt;&gt;"",CommitmentsTable[[#This Row],[Date record entered]]+90,""))</f>
        <v/>
      </c>
      <c r="J521" s="245" t="str">
        <f ca="1">IF(CommitmentsTable[[#This Row],[Date Assigned if different from entry date]]&lt;&gt;"",CommitmentsTable[[#This Row],[Date Assigned if different from entry date]]+30,IF(CommitmentsTable[[#This Row],[Date record entered]]&lt;&gt;"",CommitmentsTable[[#This Row],[Date record entered]]+30,""))</f>
        <v/>
      </c>
      <c r="K521" s="245"/>
      <c r="L521" s="245" t="str">
        <f ca="1">IF(CommitmentsTable[[#This Row],[Date Assigned if different from entry date]]&lt;&gt;"",CommitmentsTable[[#This Row],[Date Assigned if different from entry date]]+60,IF(CommitmentsTable[[#This Row],[Date record entered]]&lt;&gt;"",CommitmentsTable[[#This Row],[Date record entered]]+60,""))</f>
        <v/>
      </c>
      <c r="M521" s="214"/>
      <c r="N521" s="214"/>
      <c r="O521" s="236"/>
      <c r="P521" s="214"/>
      <c r="Q521" s="214"/>
      <c r="R521" s="214"/>
      <c r="S521" s="238" t="str">
        <f>IF(CommitmentsTable[[#This Row],[Commitment / deliverable]]="","",IF(CommitmentsTable[[#This Row],[Revised due]]&lt;&gt;"",CommitmentsTable[[#This Row],[Revised due]],CommitmentsTable[[#This Row],[Original due]]))</f>
        <v/>
      </c>
      <c r="T521" s="237" t="str">
        <f>IF(OR(CommitmentsTable[[#This Row],[Commitment / deliverable]]="",CommitmentsTable[[#This Row],[Owner]]=""),"",IF(CommitmentsTable[[#This Row],[Status2]]="","Open",CommitmentsTable[[#This Row],[Status2]]))</f>
        <v/>
      </c>
      <c r="U521" s="237" t="str">
        <f t="shared" ca="1" si="7"/>
        <v/>
      </c>
      <c r="V521" s="233"/>
      <c r="W521" s="63"/>
    </row>
    <row r="522" spans="1:23" ht="14.5">
      <c r="A522" s="213" t="str">
        <f>IF(OR(CommitmentsTable[[#This Row],[Commitment / deliverable]]="",CommitmentsTable[[#This Row],[Immutable Key]]=""),"",SUBSTITUTE(CommitmentsTable[[#This Row],[Immutable Key]],"-K-","-"))</f>
        <v/>
      </c>
      <c r="B522" s="233"/>
      <c r="C522" s="233"/>
      <c r="D522" s="213"/>
      <c r="E522" s="230"/>
      <c r="F522" s="213"/>
      <c r="G522" s="245" t="str">
        <f ca="1">IF(CommitmentsTable[[#This Row],[Commitment / deliverable]]="","",IF(CommitmentsTable[[#This Row],[Date record entered]]="",TODAY(),CommitmentsTable[[#This Row],[Date record entered]]))</f>
        <v/>
      </c>
      <c r="H522" s="245"/>
      <c r="I522" s="245" t="str">
        <f ca="1">IF(CommitmentsTable[[#This Row],[Date Assigned if different from entry date]]&lt;&gt;"",CommitmentsTable[[#This Row],[Date Assigned if different from entry date]]+90,IF(CommitmentsTable[[#This Row],[Date record entered]]&lt;&gt;"",CommitmentsTable[[#This Row],[Date record entered]]+90,""))</f>
        <v/>
      </c>
      <c r="J522" s="245" t="str">
        <f ca="1">IF(CommitmentsTable[[#This Row],[Date Assigned if different from entry date]]&lt;&gt;"",CommitmentsTable[[#This Row],[Date Assigned if different from entry date]]+30,IF(CommitmentsTable[[#This Row],[Date record entered]]&lt;&gt;"",CommitmentsTable[[#This Row],[Date record entered]]+30,""))</f>
        <v/>
      </c>
      <c r="K522" s="245"/>
      <c r="L522" s="245" t="str">
        <f ca="1">IF(CommitmentsTable[[#This Row],[Date Assigned if different from entry date]]&lt;&gt;"",CommitmentsTable[[#This Row],[Date Assigned if different from entry date]]+60,IF(CommitmentsTable[[#This Row],[Date record entered]]&lt;&gt;"",CommitmentsTable[[#This Row],[Date record entered]]+60,""))</f>
        <v/>
      </c>
      <c r="M522" s="214"/>
      <c r="N522" s="214"/>
      <c r="O522" s="236"/>
      <c r="P522" s="214"/>
      <c r="Q522" s="214"/>
      <c r="R522" s="214"/>
      <c r="S522" s="238" t="str">
        <f>IF(CommitmentsTable[[#This Row],[Commitment / deliverable]]="","",IF(CommitmentsTable[[#This Row],[Revised due]]&lt;&gt;"",CommitmentsTable[[#This Row],[Revised due]],CommitmentsTable[[#This Row],[Original due]]))</f>
        <v/>
      </c>
      <c r="T522" s="237" t="str">
        <f>IF(OR(CommitmentsTable[[#This Row],[Commitment / deliverable]]="",CommitmentsTable[[#This Row],[Owner]]=""),"",IF(CommitmentsTable[[#This Row],[Status2]]="","Open",CommitmentsTable[[#This Row],[Status2]]))</f>
        <v/>
      </c>
      <c r="U522" s="237" t="str">
        <f t="shared" ca="1" si="7"/>
        <v/>
      </c>
      <c r="V522" s="233"/>
      <c r="W522" s="63"/>
    </row>
    <row r="523" spans="1:23" ht="14.5">
      <c r="A523" s="213" t="str">
        <f>IF(OR(CommitmentsTable[[#This Row],[Commitment / deliverable]]="",CommitmentsTable[[#This Row],[Immutable Key]]=""),"",SUBSTITUTE(CommitmentsTable[[#This Row],[Immutable Key]],"-K-","-"))</f>
        <v/>
      </c>
      <c r="B523" s="233"/>
      <c r="C523" s="233"/>
      <c r="D523" s="213"/>
      <c r="E523" s="230"/>
      <c r="F523" s="213"/>
      <c r="G523" s="245" t="str">
        <f ca="1">IF(CommitmentsTable[[#This Row],[Commitment / deliverable]]="","",IF(CommitmentsTable[[#This Row],[Date record entered]]="",TODAY(),CommitmentsTable[[#This Row],[Date record entered]]))</f>
        <v/>
      </c>
      <c r="H523" s="245"/>
      <c r="I523" s="245" t="str">
        <f ca="1">IF(CommitmentsTable[[#This Row],[Date Assigned if different from entry date]]&lt;&gt;"",CommitmentsTable[[#This Row],[Date Assigned if different from entry date]]+90,IF(CommitmentsTable[[#This Row],[Date record entered]]&lt;&gt;"",CommitmentsTable[[#This Row],[Date record entered]]+90,""))</f>
        <v/>
      </c>
      <c r="J523" s="245" t="str">
        <f ca="1">IF(CommitmentsTable[[#This Row],[Date Assigned if different from entry date]]&lt;&gt;"",CommitmentsTable[[#This Row],[Date Assigned if different from entry date]]+30,IF(CommitmentsTable[[#This Row],[Date record entered]]&lt;&gt;"",CommitmentsTable[[#This Row],[Date record entered]]+30,""))</f>
        <v/>
      </c>
      <c r="K523" s="245"/>
      <c r="L523" s="245" t="str">
        <f ca="1">IF(CommitmentsTable[[#This Row],[Date Assigned if different from entry date]]&lt;&gt;"",CommitmentsTable[[#This Row],[Date Assigned if different from entry date]]+60,IF(CommitmentsTable[[#This Row],[Date record entered]]&lt;&gt;"",CommitmentsTable[[#This Row],[Date record entered]]+60,""))</f>
        <v/>
      </c>
      <c r="M523" s="214"/>
      <c r="N523" s="214"/>
      <c r="O523" s="236"/>
      <c r="P523" s="214"/>
      <c r="Q523" s="214"/>
      <c r="R523" s="214"/>
      <c r="S523" s="238" t="str">
        <f>IF(CommitmentsTable[[#This Row],[Commitment / deliverable]]="","",IF(CommitmentsTable[[#This Row],[Revised due]]&lt;&gt;"",CommitmentsTable[[#This Row],[Revised due]],CommitmentsTable[[#This Row],[Original due]]))</f>
        <v/>
      </c>
      <c r="T523" s="237" t="str">
        <f>IF(OR(CommitmentsTable[[#This Row],[Commitment / deliverable]]="",CommitmentsTable[[#This Row],[Owner]]=""),"",IF(CommitmentsTable[[#This Row],[Status2]]="","Open",CommitmentsTable[[#This Row],[Status2]]))</f>
        <v/>
      </c>
      <c r="U523" s="237" t="str">
        <f t="shared" ca="1" si="7"/>
        <v/>
      </c>
      <c r="V523" s="233"/>
      <c r="W523" s="63"/>
    </row>
    <row r="524" spans="1:23" ht="14.5">
      <c r="A524" s="213" t="str">
        <f>IF(OR(CommitmentsTable[[#This Row],[Commitment / deliverable]]="",CommitmentsTable[[#This Row],[Immutable Key]]=""),"",SUBSTITUTE(CommitmentsTable[[#This Row],[Immutable Key]],"-K-","-"))</f>
        <v/>
      </c>
      <c r="B524" s="233"/>
      <c r="C524" s="233"/>
      <c r="D524" s="213"/>
      <c r="E524" s="230"/>
      <c r="F524" s="213"/>
      <c r="G524" s="245" t="str">
        <f ca="1">IF(CommitmentsTable[[#This Row],[Commitment / deliverable]]="","",IF(CommitmentsTable[[#This Row],[Date record entered]]="",TODAY(),CommitmentsTable[[#This Row],[Date record entered]]))</f>
        <v/>
      </c>
      <c r="H524" s="245"/>
      <c r="I524" s="245" t="str">
        <f ca="1">IF(CommitmentsTable[[#This Row],[Date Assigned if different from entry date]]&lt;&gt;"",CommitmentsTable[[#This Row],[Date Assigned if different from entry date]]+90,IF(CommitmentsTable[[#This Row],[Date record entered]]&lt;&gt;"",CommitmentsTable[[#This Row],[Date record entered]]+90,""))</f>
        <v/>
      </c>
      <c r="J524" s="245" t="str">
        <f ca="1">IF(CommitmentsTable[[#This Row],[Date Assigned if different from entry date]]&lt;&gt;"",CommitmentsTable[[#This Row],[Date Assigned if different from entry date]]+30,IF(CommitmentsTable[[#This Row],[Date record entered]]&lt;&gt;"",CommitmentsTable[[#This Row],[Date record entered]]+30,""))</f>
        <v/>
      </c>
      <c r="K524" s="245"/>
      <c r="L524" s="245" t="str">
        <f ca="1">IF(CommitmentsTable[[#This Row],[Date Assigned if different from entry date]]&lt;&gt;"",CommitmentsTable[[#This Row],[Date Assigned if different from entry date]]+60,IF(CommitmentsTable[[#This Row],[Date record entered]]&lt;&gt;"",CommitmentsTable[[#This Row],[Date record entered]]+60,""))</f>
        <v/>
      </c>
      <c r="M524" s="214"/>
      <c r="N524" s="214"/>
      <c r="O524" s="236"/>
      <c r="P524" s="214"/>
      <c r="Q524" s="214"/>
      <c r="R524" s="214"/>
      <c r="S524" s="238" t="str">
        <f>IF(CommitmentsTable[[#This Row],[Commitment / deliverable]]="","",IF(CommitmentsTable[[#This Row],[Revised due]]&lt;&gt;"",CommitmentsTable[[#This Row],[Revised due]],CommitmentsTable[[#This Row],[Original due]]))</f>
        <v/>
      </c>
      <c r="T524" s="237" t="str">
        <f>IF(OR(CommitmentsTable[[#This Row],[Commitment / deliverable]]="",CommitmentsTable[[#This Row],[Owner]]=""),"",IF(CommitmentsTable[[#This Row],[Status2]]="","Open",CommitmentsTable[[#This Row],[Status2]]))</f>
        <v/>
      </c>
      <c r="U524" s="237" t="str">
        <f t="shared" ca="1" si="7"/>
        <v/>
      </c>
      <c r="V524" s="233"/>
      <c r="W524" s="63"/>
    </row>
    <row r="525" spans="1:23" ht="14.5">
      <c r="A525" s="213" t="str">
        <f>IF(OR(CommitmentsTable[[#This Row],[Commitment / deliverable]]="",CommitmentsTable[[#This Row],[Immutable Key]]=""),"",SUBSTITUTE(CommitmentsTable[[#This Row],[Immutable Key]],"-K-","-"))</f>
        <v/>
      </c>
      <c r="B525" s="233"/>
      <c r="C525" s="233"/>
      <c r="D525" s="213"/>
      <c r="E525" s="230"/>
      <c r="F525" s="213"/>
      <c r="G525" s="245" t="str">
        <f ca="1">IF(CommitmentsTable[[#This Row],[Commitment / deliverable]]="","",IF(CommitmentsTable[[#This Row],[Date record entered]]="",TODAY(),CommitmentsTable[[#This Row],[Date record entered]]))</f>
        <v/>
      </c>
      <c r="H525" s="245"/>
      <c r="I525" s="245" t="str">
        <f ca="1">IF(CommitmentsTable[[#This Row],[Date Assigned if different from entry date]]&lt;&gt;"",CommitmentsTable[[#This Row],[Date Assigned if different from entry date]]+90,IF(CommitmentsTable[[#This Row],[Date record entered]]&lt;&gt;"",CommitmentsTable[[#This Row],[Date record entered]]+90,""))</f>
        <v/>
      </c>
      <c r="J525" s="245" t="str">
        <f ca="1">IF(CommitmentsTable[[#This Row],[Date Assigned if different from entry date]]&lt;&gt;"",CommitmentsTable[[#This Row],[Date Assigned if different from entry date]]+30,IF(CommitmentsTable[[#This Row],[Date record entered]]&lt;&gt;"",CommitmentsTable[[#This Row],[Date record entered]]+30,""))</f>
        <v/>
      </c>
      <c r="K525" s="245"/>
      <c r="L525" s="245" t="str">
        <f ca="1">IF(CommitmentsTable[[#This Row],[Date Assigned if different from entry date]]&lt;&gt;"",CommitmentsTable[[#This Row],[Date Assigned if different from entry date]]+60,IF(CommitmentsTable[[#This Row],[Date record entered]]&lt;&gt;"",CommitmentsTable[[#This Row],[Date record entered]]+60,""))</f>
        <v/>
      </c>
      <c r="M525" s="214"/>
      <c r="N525" s="214"/>
      <c r="O525" s="236"/>
      <c r="P525" s="214"/>
      <c r="Q525" s="214"/>
      <c r="R525" s="214"/>
      <c r="S525" s="238" t="str">
        <f>IF(CommitmentsTable[[#This Row],[Commitment / deliverable]]="","",IF(CommitmentsTable[[#This Row],[Revised due]]&lt;&gt;"",CommitmentsTable[[#This Row],[Revised due]],CommitmentsTable[[#This Row],[Original due]]))</f>
        <v/>
      </c>
      <c r="T525" s="237" t="str">
        <f>IF(OR(CommitmentsTable[[#This Row],[Commitment / deliverable]]="",CommitmentsTable[[#This Row],[Owner]]=""),"",IF(CommitmentsTable[[#This Row],[Status2]]="","Open",CommitmentsTable[[#This Row],[Status2]]))</f>
        <v/>
      </c>
      <c r="U525" s="237" t="str">
        <f t="shared" ref="U525:U588" ca="1" si="8">IF(B525="","",IF(T525="Closed","",IF(OR(T525="Slipped",T525="At risk",AND(S525&lt;&gt;"",S525&lt;TODAY())),"Slipped / at risk",IF(G525=TODAY(),"New today",IF(S525=TODAY()+1,"Due tomorrow","")))))</f>
        <v/>
      </c>
      <c r="V525" s="233"/>
      <c r="W525" s="63"/>
    </row>
    <row r="526" spans="1:23" ht="14.5">
      <c r="A526" s="213" t="str">
        <f>IF(OR(CommitmentsTable[[#This Row],[Commitment / deliverable]]="",CommitmentsTable[[#This Row],[Immutable Key]]=""),"",SUBSTITUTE(CommitmentsTable[[#This Row],[Immutable Key]],"-K-","-"))</f>
        <v/>
      </c>
      <c r="B526" s="233"/>
      <c r="C526" s="233"/>
      <c r="D526" s="213"/>
      <c r="E526" s="230"/>
      <c r="F526" s="213"/>
      <c r="G526" s="245" t="str">
        <f ca="1">IF(CommitmentsTable[[#This Row],[Commitment / deliverable]]="","",IF(CommitmentsTable[[#This Row],[Date record entered]]="",TODAY(),CommitmentsTable[[#This Row],[Date record entered]]))</f>
        <v/>
      </c>
      <c r="H526" s="245"/>
      <c r="I526" s="245" t="str">
        <f ca="1">IF(CommitmentsTable[[#This Row],[Date Assigned if different from entry date]]&lt;&gt;"",CommitmentsTable[[#This Row],[Date Assigned if different from entry date]]+90,IF(CommitmentsTable[[#This Row],[Date record entered]]&lt;&gt;"",CommitmentsTable[[#This Row],[Date record entered]]+90,""))</f>
        <v/>
      </c>
      <c r="J526" s="245" t="str">
        <f ca="1">IF(CommitmentsTable[[#This Row],[Date Assigned if different from entry date]]&lt;&gt;"",CommitmentsTable[[#This Row],[Date Assigned if different from entry date]]+30,IF(CommitmentsTable[[#This Row],[Date record entered]]&lt;&gt;"",CommitmentsTable[[#This Row],[Date record entered]]+30,""))</f>
        <v/>
      </c>
      <c r="K526" s="245"/>
      <c r="L526" s="245" t="str">
        <f ca="1">IF(CommitmentsTable[[#This Row],[Date Assigned if different from entry date]]&lt;&gt;"",CommitmentsTable[[#This Row],[Date Assigned if different from entry date]]+60,IF(CommitmentsTable[[#This Row],[Date record entered]]&lt;&gt;"",CommitmentsTable[[#This Row],[Date record entered]]+60,""))</f>
        <v/>
      </c>
      <c r="M526" s="214"/>
      <c r="N526" s="214"/>
      <c r="O526" s="236"/>
      <c r="P526" s="214"/>
      <c r="Q526" s="214"/>
      <c r="R526" s="214"/>
      <c r="S526" s="238" t="str">
        <f>IF(CommitmentsTable[[#This Row],[Commitment / deliverable]]="","",IF(CommitmentsTable[[#This Row],[Revised due]]&lt;&gt;"",CommitmentsTable[[#This Row],[Revised due]],CommitmentsTable[[#This Row],[Original due]]))</f>
        <v/>
      </c>
      <c r="T526" s="237" t="str">
        <f>IF(OR(CommitmentsTable[[#This Row],[Commitment / deliverable]]="",CommitmentsTable[[#This Row],[Owner]]=""),"",IF(CommitmentsTable[[#This Row],[Status2]]="","Open",CommitmentsTable[[#This Row],[Status2]]))</f>
        <v/>
      </c>
      <c r="U526" s="237" t="str">
        <f t="shared" ca="1" si="8"/>
        <v/>
      </c>
      <c r="V526" s="233"/>
      <c r="W526" s="63"/>
    </row>
    <row r="527" spans="1:23" ht="14.5">
      <c r="A527" s="213" t="str">
        <f>IF(OR(CommitmentsTable[[#This Row],[Commitment / deliverable]]="",CommitmentsTable[[#This Row],[Immutable Key]]=""),"",SUBSTITUTE(CommitmentsTable[[#This Row],[Immutable Key]],"-K-","-"))</f>
        <v/>
      </c>
      <c r="B527" s="233"/>
      <c r="C527" s="233"/>
      <c r="D527" s="213"/>
      <c r="E527" s="230"/>
      <c r="F527" s="213"/>
      <c r="G527" s="245" t="str">
        <f ca="1">IF(CommitmentsTable[[#This Row],[Commitment / deliverable]]="","",IF(CommitmentsTable[[#This Row],[Date record entered]]="",TODAY(),CommitmentsTable[[#This Row],[Date record entered]]))</f>
        <v/>
      </c>
      <c r="H527" s="245"/>
      <c r="I527" s="245" t="str">
        <f ca="1">IF(CommitmentsTable[[#This Row],[Date Assigned if different from entry date]]&lt;&gt;"",CommitmentsTable[[#This Row],[Date Assigned if different from entry date]]+90,IF(CommitmentsTable[[#This Row],[Date record entered]]&lt;&gt;"",CommitmentsTable[[#This Row],[Date record entered]]+90,""))</f>
        <v/>
      </c>
      <c r="J527" s="245" t="str">
        <f ca="1">IF(CommitmentsTable[[#This Row],[Date Assigned if different from entry date]]&lt;&gt;"",CommitmentsTable[[#This Row],[Date Assigned if different from entry date]]+30,IF(CommitmentsTable[[#This Row],[Date record entered]]&lt;&gt;"",CommitmentsTable[[#This Row],[Date record entered]]+30,""))</f>
        <v/>
      </c>
      <c r="K527" s="245"/>
      <c r="L527" s="245" t="str">
        <f ca="1">IF(CommitmentsTable[[#This Row],[Date Assigned if different from entry date]]&lt;&gt;"",CommitmentsTable[[#This Row],[Date Assigned if different from entry date]]+60,IF(CommitmentsTable[[#This Row],[Date record entered]]&lt;&gt;"",CommitmentsTable[[#This Row],[Date record entered]]+60,""))</f>
        <v/>
      </c>
      <c r="M527" s="214"/>
      <c r="N527" s="214"/>
      <c r="O527" s="236"/>
      <c r="P527" s="214"/>
      <c r="Q527" s="214"/>
      <c r="R527" s="214"/>
      <c r="S527" s="238" t="str">
        <f>IF(CommitmentsTable[[#This Row],[Commitment / deliverable]]="","",IF(CommitmentsTable[[#This Row],[Revised due]]&lt;&gt;"",CommitmentsTable[[#This Row],[Revised due]],CommitmentsTable[[#This Row],[Original due]]))</f>
        <v/>
      </c>
      <c r="T527" s="237" t="str">
        <f>IF(OR(CommitmentsTable[[#This Row],[Commitment / deliverable]]="",CommitmentsTable[[#This Row],[Owner]]=""),"",IF(CommitmentsTable[[#This Row],[Status2]]="","Open",CommitmentsTable[[#This Row],[Status2]]))</f>
        <v/>
      </c>
      <c r="U527" s="237" t="str">
        <f t="shared" ca="1" si="8"/>
        <v/>
      </c>
      <c r="V527" s="233"/>
      <c r="W527" s="63"/>
    </row>
    <row r="528" spans="1:23" ht="14.5">
      <c r="A528" s="213" t="str">
        <f>IF(OR(CommitmentsTable[[#This Row],[Commitment / deliverable]]="",CommitmentsTable[[#This Row],[Immutable Key]]=""),"",SUBSTITUTE(CommitmentsTable[[#This Row],[Immutable Key]],"-K-","-"))</f>
        <v/>
      </c>
      <c r="B528" s="233"/>
      <c r="C528" s="233"/>
      <c r="D528" s="213"/>
      <c r="E528" s="230"/>
      <c r="F528" s="213"/>
      <c r="G528" s="245" t="str">
        <f ca="1">IF(CommitmentsTable[[#This Row],[Commitment / deliverable]]="","",IF(CommitmentsTable[[#This Row],[Date record entered]]="",TODAY(),CommitmentsTable[[#This Row],[Date record entered]]))</f>
        <v/>
      </c>
      <c r="H528" s="245"/>
      <c r="I528" s="245" t="str">
        <f ca="1">IF(CommitmentsTable[[#This Row],[Date Assigned if different from entry date]]&lt;&gt;"",CommitmentsTable[[#This Row],[Date Assigned if different from entry date]]+90,IF(CommitmentsTable[[#This Row],[Date record entered]]&lt;&gt;"",CommitmentsTable[[#This Row],[Date record entered]]+90,""))</f>
        <v/>
      </c>
      <c r="J528" s="245" t="str">
        <f ca="1">IF(CommitmentsTable[[#This Row],[Date Assigned if different from entry date]]&lt;&gt;"",CommitmentsTable[[#This Row],[Date Assigned if different from entry date]]+30,IF(CommitmentsTable[[#This Row],[Date record entered]]&lt;&gt;"",CommitmentsTable[[#This Row],[Date record entered]]+30,""))</f>
        <v/>
      </c>
      <c r="K528" s="245"/>
      <c r="L528" s="245" t="str">
        <f ca="1">IF(CommitmentsTable[[#This Row],[Date Assigned if different from entry date]]&lt;&gt;"",CommitmentsTable[[#This Row],[Date Assigned if different from entry date]]+60,IF(CommitmentsTable[[#This Row],[Date record entered]]&lt;&gt;"",CommitmentsTable[[#This Row],[Date record entered]]+60,""))</f>
        <v/>
      </c>
      <c r="M528" s="214"/>
      <c r="N528" s="214"/>
      <c r="O528" s="236"/>
      <c r="P528" s="214"/>
      <c r="Q528" s="214"/>
      <c r="R528" s="214"/>
      <c r="S528" s="238" t="str">
        <f>IF(CommitmentsTable[[#This Row],[Commitment / deliverable]]="","",IF(CommitmentsTable[[#This Row],[Revised due]]&lt;&gt;"",CommitmentsTable[[#This Row],[Revised due]],CommitmentsTable[[#This Row],[Original due]]))</f>
        <v/>
      </c>
      <c r="T528" s="237" t="str">
        <f>IF(OR(CommitmentsTable[[#This Row],[Commitment / deliverable]]="",CommitmentsTable[[#This Row],[Owner]]=""),"",IF(CommitmentsTable[[#This Row],[Status2]]="","Open",CommitmentsTable[[#This Row],[Status2]]))</f>
        <v/>
      </c>
      <c r="U528" s="237" t="str">
        <f t="shared" ca="1" si="8"/>
        <v/>
      </c>
      <c r="V528" s="233"/>
      <c r="W528" s="63"/>
    </row>
    <row r="529" spans="1:23" ht="14.5">
      <c r="A529" s="213" t="str">
        <f>IF(OR(CommitmentsTable[[#This Row],[Commitment / deliverable]]="",CommitmentsTable[[#This Row],[Immutable Key]]=""),"",SUBSTITUTE(CommitmentsTable[[#This Row],[Immutable Key]],"-K-","-"))</f>
        <v/>
      </c>
      <c r="B529" s="233"/>
      <c r="C529" s="233"/>
      <c r="D529" s="213"/>
      <c r="E529" s="230"/>
      <c r="F529" s="213"/>
      <c r="G529" s="245" t="str">
        <f ca="1">IF(CommitmentsTable[[#This Row],[Commitment / deliverable]]="","",IF(CommitmentsTable[[#This Row],[Date record entered]]="",TODAY(),CommitmentsTable[[#This Row],[Date record entered]]))</f>
        <v/>
      </c>
      <c r="H529" s="245"/>
      <c r="I529" s="245" t="str">
        <f ca="1">IF(CommitmentsTable[[#This Row],[Date Assigned if different from entry date]]&lt;&gt;"",CommitmentsTable[[#This Row],[Date Assigned if different from entry date]]+90,IF(CommitmentsTable[[#This Row],[Date record entered]]&lt;&gt;"",CommitmentsTable[[#This Row],[Date record entered]]+90,""))</f>
        <v/>
      </c>
      <c r="J529" s="245" t="str">
        <f ca="1">IF(CommitmentsTable[[#This Row],[Date Assigned if different from entry date]]&lt;&gt;"",CommitmentsTable[[#This Row],[Date Assigned if different from entry date]]+30,IF(CommitmentsTable[[#This Row],[Date record entered]]&lt;&gt;"",CommitmentsTable[[#This Row],[Date record entered]]+30,""))</f>
        <v/>
      </c>
      <c r="K529" s="245"/>
      <c r="L529" s="245" t="str">
        <f ca="1">IF(CommitmentsTable[[#This Row],[Date Assigned if different from entry date]]&lt;&gt;"",CommitmentsTable[[#This Row],[Date Assigned if different from entry date]]+60,IF(CommitmentsTable[[#This Row],[Date record entered]]&lt;&gt;"",CommitmentsTable[[#This Row],[Date record entered]]+60,""))</f>
        <v/>
      </c>
      <c r="M529" s="214"/>
      <c r="N529" s="214"/>
      <c r="O529" s="236"/>
      <c r="P529" s="214"/>
      <c r="Q529" s="214"/>
      <c r="R529" s="214"/>
      <c r="S529" s="238" t="str">
        <f>IF(CommitmentsTable[[#This Row],[Commitment / deliverable]]="","",IF(CommitmentsTable[[#This Row],[Revised due]]&lt;&gt;"",CommitmentsTable[[#This Row],[Revised due]],CommitmentsTable[[#This Row],[Original due]]))</f>
        <v/>
      </c>
      <c r="T529" s="237" t="str">
        <f>IF(OR(CommitmentsTable[[#This Row],[Commitment / deliverable]]="",CommitmentsTable[[#This Row],[Owner]]=""),"",IF(CommitmentsTable[[#This Row],[Status2]]="","Open",CommitmentsTable[[#This Row],[Status2]]))</f>
        <v/>
      </c>
      <c r="U529" s="237" t="str">
        <f t="shared" ca="1" si="8"/>
        <v/>
      </c>
      <c r="V529" s="233"/>
      <c r="W529" s="63"/>
    </row>
    <row r="530" spans="1:23" ht="14.5">
      <c r="A530" s="213" t="str">
        <f>IF(OR(CommitmentsTable[[#This Row],[Commitment / deliverable]]="",CommitmentsTable[[#This Row],[Immutable Key]]=""),"",SUBSTITUTE(CommitmentsTable[[#This Row],[Immutable Key]],"-K-","-"))</f>
        <v/>
      </c>
      <c r="B530" s="233"/>
      <c r="C530" s="233"/>
      <c r="D530" s="213"/>
      <c r="E530" s="230"/>
      <c r="F530" s="213"/>
      <c r="G530" s="245" t="str">
        <f ca="1">IF(CommitmentsTable[[#This Row],[Commitment / deliverable]]="","",IF(CommitmentsTable[[#This Row],[Date record entered]]="",TODAY(),CommitmentsTable[[#This Row],[Date record entered]]))</f>
        <v/>
      </c>
      <c r="H530" s="245"/>
      <c r="I530" s="245" t="str">
        <f ca="1">IF(CommitmentsTable[[#This Row],[Date Assigned if different from entry date]]&lt;&gt;"",CommitmentsTable[[#This Row],[Date Assigned if different from entry date]]+90,IF(CommitmentsTable[[#This Row],[Date record entered]]&lt;&gt;"",CommitmentsTable[[#This Row],[Date record entered]]+90,""))</f>
        <v/>
      </c>
      <c r="J530" s="245" t="str">
        <f ca="1">IF(CommitmentsTable[[#This Row],[Date Assigned if different from entry date]]&lt;&gt;"",CommitmentsTable[[#This Row],[Date Assigned if different from entry date]]+30,IF(CommitmentsTable[[#This Row],[Date record entered]]&lt;&gt;"",CommitmentsTable[[#This Row],[Date record entered]]+30,""))</f>
        <v/>
      </c>
      <c r="K530" s="245"/>
      <c r="L530" s="245" t="str">
        <f ca="1">IF(CommitmentsTable[[#This Row],[Date Assigned if different from entry date]]&lt;&gt;"",CommitmentsTable[[#This Row],[Date Assigned if different from entry date]]+60,IF(CommitmentsTable[[#This Row],[Date record entered]]&lt;&gt;"",CommitmentsTable[[#This Row],[Date record entered]]+60,""))</f>
        <v/>
      </c>
      <c r="M530" s="214"/>
      <c r="N530" s="214"/>
      <c r="O530" s="236"/>
      <c r="P530" s="214"/>
      <c r="Q530" s="214"/>
      <c r="R530" s="214"/>
      <c r="S530" s="238" t="str">
        <f>IF(CommitmentsTable[[#This Row],[Commitment / deliverable]]="","",IF(CommitmentsTable[[#This Row],[Revised due]]&lt;&gt;"",CommitmentsTable[[#This Row],[Revised due]],CommitmentsTable[[#This Row],[Original due]]))</f>
        <v/>
      </c>
      <c r="T530" s="237" t="str">
        <f>IF(OR(CommitmentsTable[[#This Row],[Commitment / deliverable]]="",CommitmentsTable[[#This Row],[Owner]]=""),"",IF(CommitmentsTable[[#This Row],[Status2]]="","Open",CommitmentsTable[[#This Row],[Status2]]))</f>
        <v/>
      </c>
      <c r="U530" s="237" t="str">
        <f t="shared" ca="1" si="8"/>
        <v/>
      </c>
      <c r="V530" s="233"/>
      <c r="W530" s="63"/>
    </row>
    <row r="531" spans="1:23" ht="14.5">
      <c r="A531" s="213" t="str">
        <f>IF(OR(CommitmentsTable[[#This Row],[Commitment / deliverable]]="",CommitmentsTable[[#This Row],[Immutable Key]]=""),"",SUBSTITUTE(CommitmentsTable[[#This Row],[Immutable Key]],"-K-","-"))</f>
        <v/>
      </c>
      <c r="B531" s="233"/>
      <c r="C531" s="233"/>
      <c r="D531" s="213"/>
      <c r="E531" s="230"/>
      <c r="F531" s="213"/>
      <c r="G531" s="245" t="str">
        <f ca="1">IF(CommitmentsTable[[#This Row],[Commitment / deliverable]]="","",IF(CommitmentsTable[[#This Row],[Date record entered]]="",TODAY(),CommitmentsTable[[#This Row],[Date record entered]]))</f>
        <v/>
      </c>
      <c r="H531" s="245"/>
      <c r="I531" s="245" t="str">
        <f ca="1">IF(CommitmentsTable[[#This Row],[Date Assigned if different from entry date]]&lt;&gt;"",CommitmentsTable[[#This Row],[Date Assigned if different from entry date]]+90,IF(CommitmentsTable[[#This Row],[Date record entered]]&lt;&gt;"",CommitmentsTable[[#This Row],[Date record entered]]+90,""))</f>
        <v/>
      </c>
      <c r="J531" s="245" t="str">
        <f ca="1">IF(CommitmentsTable[[#This Row],[Date Assigned if different from entry date]]&lt;&gt;"",CommitmentsTable[[#This Row],[Date Assigned if different from entry date]]+30,IF(CommitmentsTable[[#This Row],[Date record entered]]&lt;&gt;"",CommitmentsTable[[#This Row],[Date record entered]]+30,""))</f>
        <v/>
      </c>
      <c r="K531" s="245"/>
      <c r="L531" s="245" t="str">
        <f ca="1">IF(CommitmentsTable[[#This Row],[Date Assigned if different from entry date]]&lt;&gt;"",CommitmentsTable[[#This Row],[Date Assigned if different from entry date]]+60,IF(CommitmentsTable[[#This Row],[Date record entered]]&lt;&gt;"",CommitmentsTable[[#This Row],[Date record entered]]+60,""))</f>
        <v/>
      </c>
      <c r="M531" s="214"/>
      <c r="N531" s="214"/>
      <c r="O531" s="236"/>
      <c r="P531" s="214"/>
      <c r="Q531" s="214"/>
      <c r="R531" s="214"/>
      <c r="S531" s="238" t="str">
        <f>IF(CommitmentsTable[[#This Row],[Commitment / deliverable]]="","",IF(CommitmentsTable[[#This Row],[Revised due]]&lt;&gt;"",CommitmentsTable[[#This Row],[Revised due]],CommitmentsTable[[#This Row],[Original due]]))</f>
        <v/>
      </c>
      <c r="T531" s="237" t="str">
        <f>IF(OR(CommitmentsTable[[#This Row],[Commitment / deliverable]]="",CommitmentsTable[[#This Row],[Owner]]=""),"",IF(CommitmentsTable[[#This Row],[Status2]]="","Open",CommitmentsTable[[#This Row],[Status2]]))</f>
        <v/>
      </c>
      <c r="U531" s="237" t="str">
        <f t="shared" ca="1" si="8"/>
        <v/>
      </c>
      <c r="V531" s="233"/>
      <c r="W531" s="63"/>
    </row>
    <row r="532" spans="1:23" ht="14.5">
      <c r="A532" s="213" t="str">
        <f>IF(OR(CommitmentsTable[[#This Row],[Commitment / deliverable]]="",CommitmentsTable[[#This Row],[Immutable Key]]=""),"",SUBSTITUTE(CommitmentsTable[[#This Row],[Immutable Key]],"-K-","-"))</f>
        <v/>
      </c>
      <c r="B532" s="233"/>
      <c r="C532" s="233"/>
      <c r="D532" s="213"/>
      <c r="E532" s="230"/>
      <c r="F532" s="213"/>
      <c r="G532" s="245" t="str">
        <f ca="1">IF(CommitmentsTable[[#This Row],[Commitment / deliverable]]="","",IF(CommitmentsTable[[#This Row],[Date record entered]]="",TODAY(),CommitmentsTable[[#This Row],[Date record entered]]))</f>
        <v/>
      </c>
      <c r="H532" s="245"/>
      <c r="I532" s="245" t="str">
        <f ca="1">IF(CommitmentsTable[[#This Row],[Date Assigned if different from entry date]]&lt;&gt;"",CommitmentsTable[[#This Row],[Date Assigned if different from entry date]]+90,IF(CommitmentsTable[[#This Row],[Date record entered]]&lt;&gt;"",CommitmentsTable[[#This Row],[Date record entered]]+90,""))</f>
        <v/>
      </c>
      <c r="J532" s="245" t="str">
        <f ca="1">IF(CommitmentsTable[[#This Row],[Date Assigned if different from entry date]]&lt;&gt;"",CommitmentsTable[[#This Row],[Date Assigned if different from entry date]]+30,IF(CommitmentsTable[[#This Row],[Date record entered]]&lt;&gt;"",CommitmentsTable[[#This Row],[Date record entered]]+30,""))</f>
        <v/>
      </c>
      <c r="K532" s="245"/>
      <c r="L532" s="245" t="str">
        <f ca="1">IF(CommitmentsTable[[#This Row],[Date Assigned if different from entry date]]&lt;&gt;"",CommitmentsTable[[#This Row],[Date Assigned if different from entry date]]+60,IF(CommitmentsTable[[#This Row],[Date record entered]]&lt;&gt;"",CommitmentsTable[[#This Row],[Date record entered]]+60,""))</f>
        <v/>
      </c>
      <c r="M532" s="214"/>
      <c r="N532" s="214"/>
      <c r="O532" s="236"/>
      <c r="P532" s="214"/>
      <c r="Q532" s="214"/>
      <c r="R532" s="214"/>
      <c r="S532" s="238" t="str">
        <f>IF(CommitmentsTable[[#This Row],[Commitment / deliverable]]="","",IF(CommitmentsTable[[#This Row],[Revised due]]&lt;&gt;"",CommitmentsTable[[#This Row],[Revised due]],CommitmentsTable[[#This Row],[Original due]]))</f>
        <v/>
      </c>
      <c r="T532" s="237" t="str">
        <f>IF(OR(CommitmentsTable[[#This Row],[Commitment / deliverable]]="",CommitmentsTable[[#This Row],[Owner]]=""),"",IF(CommitmentsTable[[#This Row],[Status2]]="","Open",CommitmentsTable[[#This Row],[Status2]]))</f>
        <v/>
      </c>
      <c r="U532" s="237" t="str">
        <f t="shared" ca="1" si="8"/>
        <v/>
      </c>
      <c r="V532" s="233"/>
      <c r="W532" s="63"/>
    </row>
    <row r="533" spans="1:23" ht="14.5">
      <c r="A533" s="213" t="str">
        <f>IF(OR(CommitmentsTable[[#This Row],[Commitment / deliverable]]="",CommitmentsTable[[#This Row],[Immutable Key]]=""),"",SUBSTITUTE(CommitmentsTable[[#This Row],[Immutable Key]],"-K-","-"))</f>
        <v/>
      </c>
      <c r="B533" s="233"/>
      <c r="C533" s="233"/>
      <c r="D533" s="213"/>
      <c r="E533" s="230"/>
      <c r="F533" s="213"/>
      <c r="G533" s="245" t="str">
        <f ca="1">IF(CommitmentsTable[[#This Row],[Commitment / deliverable]]="","",IF(CommitmentsTable[[#This Row],[Date record entered]]="",TODAY(),CommitmentsTable[[#This Row],[Date record entered]]))</f>
        <v/>
      </c>
      <c r="H533" s="245"/>
      <c r="I533" s="245" t="str">
        <f ca="1">IF(CommitmentsTable[[#This Row],[Date Assigned if different from entry date]]&lt;&gt;"",CommitmentsTable[[#This Row],[Date Assigned if different from entry date]]+90,IF(CommitmentsTable[[#This Row],[Date record entered]]&lt;&gt;"",CommitmentsTable[[#This Row],[Date record entered]]+90,""))</f>
        <v/>
      </c>
      <c r="J533" s="245" t="str">
        <f ca="1">IF(CommitmentsTable[[#This Row],[Date Assigned if different from entry date]]&lt;&gt;"",CommitmentsTable[[#This Row],[Date Assigned if different from entry date]]+30,IF(CommitmentsTable[[#This Row],[Date record entered]]&lt;&gt;"",CommitmentsTable[[#This Row],[Date record entered]]+30,""))</f>
        <v/>
      </c>
      <c r="K533" s="245"/>
      <c r="L533" s="245" t="str">
        <f ca="1">IF(CommitmentsTable[[#This Row],[Date Assigned if different from entry date]]&lt;&gt;"",CommitmentsTable[[#This Row],[Date Assigned if different from entry date]]+60,IF(CommitmentsTable[[#This Row],[Date record entered]]&lt;&gt;"",CommitmentsTable[[#This Row],[Date record entered]]+60,""))</f>
        <v/>
      </c>
      <c r="M533" s="214"/>
      <c r="N533" s="214"/>
      <c r="O533" s="236"/>
      <c r="P533" s="214"/>
      <c r="Q533" s="214"/>
      <c r="R533" s="214"/>
      <c r="S533" s="238" t="str">
        <f>IF(CommitmentsTable[[#This Row],[Commitment / deliverable]]="","",IF(CommitmentsTable[[#This Row],[Revised due]]&lt;&gt;"",CommitmentsTable[[#This Row],[Revised due]],CommitmentsTable[[#This Row],[Original due]]))</f>
        <v/>
      </c>
      <c r="T533" s="237" t="str">
        <f>IF(OR(CommitmentsTable[[#This Row],[Commitment / deliverable]]="",CommitmentsTable[[#This Row],[Owner]]=""),"",IF(CommitmentsTable[[#This Row],[Status2]]="","Open",CommitmentsTable[[#This Row],[Status2]]))</f>
        <v/>
      </c>
      <c r="U533" s="237" t="str">
        <f t="shared" ca="1" si="8"/>
        <v/>
      </c>
      <c r="V533" s="233"/>
      <c r="W533" s="63"/>
    </row>
    <row r="534" spans="1:23" ht="14.5">
      <c r="A534" s="213" t="str">
        <f>IF(OR(CommitmentsTable[[#This Row],[Commitment / deliverable]]="",CommitmentsTable[[#This Row],[Immutable Key]]=""),"",SUBSTITUTE(CommitmentsTable[[#This Row],[Immutable Key]],"-K-","-"))</f>
        <v/>
      </c>
      <c r="B534" s="233"/>
      <c r="C534" s="233"/>
      <c r="D534" s="213"/>
      <c r="E534" s="230"/>
      <c r="F534" s="213"/>
      <c r="G534" s="245" t="str">
        <f ca="1">IF(CommitmentsTable[[#This Row],[Commitment / deliverable]]="","",IF(CommitmentsTable[[#This Row],[Date record entered]]="",TODAY(),CommitmentsTable[[#This Row],[Date record entered]]))</f>
        <v/>
      </c>
      <c r="H534" s="245"/>
      <c r="I534" s="245" t="str">
        <f ca="1">IF(CommitmentsTable[[#This Row],[Date Assigned if different from entry date]]&lt;&gt;"",CommitmentsTable[[#This Row],[Date Assigned if different from entry date]]+90,IF(CommitmentsTable[[#This Row],[Date record entered]]&lt;&gt;"",CommitmentsTable[[#This Row],[Date record entered]]+90,""))</f>
        <v/>
      </c>
      <c r="J534" s="245" t="str">
        <f ca="1">IF(CommitmentsTable[[#This Row],[Date Assigned if different from entry date]]&lt;&gt;"",CommitmentsTable[[#This Row],[Date Assigned if different from entry date]]+30,IF(CommitmentsTable[[#This Row],[Date record entered]]&lt;&gt;"",CommitmentsTable[[#This Row],[Date record entered]]+30,""))</f>
        <v/>
      </c>
      <c r="K534" s="245"/>
      <c r="L534" s="245" t="str">
        <f ca="1">IF(CommitmentsTable[[#This Row],[Date Assigned if different from entry date]]&lt;&gt;"",CommitmentsTable[[#This Row],[Date Assigned if different from entry date]]+60,IF(CommitmentsTable[[#This Row],[Date record entered]]&lt;&gt;"",CommitmentsTable[[#This Row],[Date record entered]]+60,""))</f>
        <v/>
      </c>
      <c r="M534" s="214"/>
      <c r="N534" s="214"/>
      <c r="O534" s="236"/>
      <c r="P534" s="214"/>
      <c r="Q534" s="214"/>
      <c r="R534" s="214"/>
      <c r="S534" s="238" t="str">
        <f>IF(CommitmentsTable[[#This Row],[Commitment / deliverable]]="","",IF(CommitmentsTable[[#This Row],[Revised due]]&lt;&gt;"",CommitmentsTable[[#This Row],[Revised due]],CommitmentsTable[[#This Row],[Original due]]))</f>
        <v/>
      </c>
      <c r="T534" s="237" t="str">
        <f>IF(OR(CommitmentsTable[[#This Row],[Commitment / deliverable]]="",CommitmentsTable[[#This Row],[Owner]]=""),"",IF(CommitmentsTable[[#This Row],[Status2]]="","Open",CommitmentsTable[[#This Row],[Status2]]))</f>
        <v/>
      </c>
      <c r="U534" s="237" t="str">
        <f t="shared" ca="1" si="8"/>
        <v/>
      </c>
      <c r="V534" s="233"/>
      <c r="W534" s="63"/>
    </row>
    <row r="535" spans="1:23" ht="14.5">
      <c r="A535" s="213" t="str">
        <f>IF(OR(CommitmentsTable[[#This Row],[Commitment / deliverable]]="",CommitmentsTable[[#This Row],[Immutable Key]]=""),"",SUBSTITUTE(CommitmentsTable[[#This Row],[Immutable Key]],"-K-","-"))</f>
        <v/>
      </c>
      <c r="B535" s="233"/>
      <c r="C535" s="233"/>
      <c r="D535" s="213"/>
      <c r="E535" s="230"/>
      <c r="F535" s="213"/>
      <c r="G535" s="245" t="str">
        <f ca="1">IF(CommitmentsTable[[#This Row],[Commitment / deliverable]]="","",IF(CommitmentsTable[[#This Row],[Date record entered]]="",TODAY(),CommitmentsTable[[#This Row],[Date record entered]]))</f>
        <v/>
      </c>
      <c r="H535" s="245"/>
      <c r="I535" s="245" t="str">
        <f ca="1">IF(CommitmentsTable[[#This Row],[Date Assigned if different from entry date]]&lt;&gt;"",CommitmentsTable[[#This Row],[Date Assigned if different from entry date]]+90,IF(CommitmentsTable[[#This Row],[Date record entered]]&lt;&gt;"",CommitmentsTable[[#This Row],[Date record entered]]+90,""))</f>
        <v/>
      </c>
      <c r="J535" s="245" t="str">
        <f ca="1">IF(CommitmentsTable[[#This Row],[Date Assigned if different from entry date]]&lt;&gt;"",CommitmentsTable[[#This Row],[Date Assigned if different from entry date]]+30,IF(CommitmentsTable[[#This Row],[Date record entered]]&lt;&gt;"",CommitmentsTable[[#This Row],[Date record entered]]+30,""))</f>
        <v/>
      </c>
      <c r="K535" s="245"/>
      <c r="L535" s="245" t="str">
        <f ca="1">IF(CommitmentsTable[[#This Row],[Date Assigned if different from entry date]]&lt;&gt;"",CommitmentsTable[[#This Row],[Date Assigned if different from entry date]]+60,IF(CommitmentsTable[[#This Row],[Date record entered]]&lt;&gt;"",CommitmentsTable[[#This Row],[Date record entered]]+60,""))</f>
        <v/>
      </c>
      <c r="M535" s="214"/>
      <c r="N535" s="214"/>
      <c r="O535" s="236"/>
      <c r="P535" s="214"/>
      <c r="Q535" s="214"/>
      <c r="R535" s="214"/>
      <c r="S535" s="238" t="str">
        <f>IF(CommitmentsTable[[#This Row],[Commitment / deliverable]]="","",IF(CommitmentsTable[[#This Row],[Revised due]]&lt;&gt;"",CommitmentsTable[[#This Row],[Revised due]],CommitmentsTable[[#This Row],[Original due]]))</f>
        <v/>
      </c>
      <c r="T535" s="237" t="str">
        <f>IF(OR(CommitmentsTable[[#This Row],[Commitment / deliverable]]="",CommitmentsTable[[#This Row],[Owner]]=""),"",IF(CommitmentsTable[[#This Row],[Status2]]="","Open",CommitmentsTable[[#This Row],[Status2]]))</f>
        <v/>
      </c>
      <c r="U535" s="237" t="str">
        <f t="shared" ca="1" si="8"/>
        <v/>
      </c>
      <c r="V535" s="233"/>
      <c r="W535" s="63"/>
    </row>
    <row r="536" spans="1:23" ht="14.5">
      <c r="A536" s="213" t="str">
        <f>IF(OR(CommitmentsTable[[#This Row],[Commitment / deliverable]]="",CommitmentsTable[[#This Row],[Immutable Key]]=""),"",SUBSTITUTE(CommitmentsTable[[#This Row],[Immutable Key]],"-K-","-"))</f>
        <v/>
      </c>
      <c r="B536" s="233"/>
      <c r="C536" s="233"/>
      <c r="D536" s="213"/>
      <c r="E536" s="230"/>
      <c r="F536" s="213"/>
      <c r="G536" s="245" t="str">
        <f ca="1">IF(CommitmentsTable[[#This Row],[Commitment / deliverable]]="","",IF(CommitmentsTable[[#This Row],[Date record entered]]="",TODAY(),CommitmentsTable[[#This Row],[Date record entered]]))</f>
        <v/>
      </c>
      <c r="H536" s="245"/>
      <c r="I536" s="245" t="str">
        <f ca="1">IF(CommitmentsTable[[#This Row],[Date Assigned if different from entry date]]&lt;&gt;"",CommitmentsTable[[#This Row],[Date Assigned if different from entry date]]+90,IF(CommitmentsTable[[#This Row],[Date record entered]]&lt;&gt;"",CommitmentsTable[[#This Row],[Date record entered]]+90,""))</f>
        <v/>
      </c>
      <c r="J536" s="245" t="str">
        <f ca="1">IF(CommitmentsTable[[#This Row],[Date Assigned if different from entry date]]&lt;&gt;"",CommitmentsTable[[#This Row],[Date Assigned if different from entry date]]+30,IF(CommitmentsTable[[#This Row],[Date record entered]]&lt;&gt;"",CommitmentsTable[[#This Row],[Date record entered]]+30,""))</f>
        <v/>
      </c>
      <c r="K536" s="245"/>
      <c r="L536" s="245" t="str">
        <f ca="1">IF(CommitmentsTable[[#This Row],[Date Assigned if different from entry date]]&lt;&gt;"",CommitmentsTable[[#This Row],[Date Assigned if different from entry date]]+60,IF(CommitmentsTable[[#This Row],[Date record entered]]&lt;&gt;"",CommitmentsTable[[#This Row],[Date record entered]]+60,""))</f>
        <v/>
      </c>
      <c r="M536" s="214"/>
      <c r="N536" s="214"/>
      <c r="O536" s="236"/>
      <c r="P536" s="214"/>
      <c r="Q536" s="214"/>
      <c r="R536" s="214"/>
      <c r="S536" s="238" t="str">
        <f>IF(CommitmentsTable[[#This Row],[Commitment / deliverable]]="","",IF(CommitmentsTable[[#This Row],[Revised due]]&lt;&gt;"",CommitmentsTable[[#This Row],[Revised due]],CommitmentsTable[[#This Row],[Original due]]))</f>
        <v/>
      </c>
      <c r="T536" s="237" t="str">
        <f>IF(OR(CommitmentsTable[[#This Row],[Commitment / deliverable]]="",CommitmentsTable[[#This Row],[Owner]]=""),"",IF(CommitmentsTable[[#This Row],[Status2]]="","Open",CommitmentsTable[[#This Row],[Status2]]))</f>
        <v/>
      </c>
      <c r="U536" s="237" t="str">
        <f t="shared" ca="1" si="8"/>
        <v/>
      </c>
      <c r="V536" s="233"/>
      <c r="W536" s="63"/>
    </row>
    <row r="537" spans="1:23" ht="14.5">
      <c r="A537" s="213" t="str">
        <f>IF(OR(CommitmentsTable[[#This Row],[Commitment / deliverable]]="",CommitmentsTable[[#This Row],[Immutable Key]]=""),"",SUBSTITUTE(CommitmentsTable[[#This Row],[Immutable Key]],"-K-","-"))</f>
        <v/>
      </c>
      <c r="B537" s="233"/>
      <c r="C537" s="233"/>
      <c r="D537" s="213"/>
      <c r="E537" s="230"/>
      <c r="F537" s="213"/>
      <c r="G537" s="245" t="str">
        <f ca="1">IF(CommitmentsTable[[#This Row],[Commitment / deliverable]]="","",IF(CommitmentsTable[[#This Row],[Date record entered]]="",TODAY(),CommitmentsTable[[#This Row],[Date record entered]]))</f>
        <v/>
      </c>
      <c r="H537" s="245"/>
      <c r="I537" s="245" t="str">
        <f ca="1">IF(CommitmentsTable[[#This Row],[Date Assigned if different from entry date]]&lt;&gt;"",CommitmentsTable[[#This Row],[Date Assigned if different from entry date]]+90,IF(CommitmentsTable[[#This Row],[Date record entered]]&lt;&gt;"",CommitmentsTable[[#This Row],[Date record entered]]+90,""))</f>
        <v/>
      </c>
      <c r="J537" s="245" t="str">
        <f ca="1">IF(CommitmentsTable[[#This Row],[Date Assigned if different from entry date]]&lt;&gt;"",CommitmentsTable[[#This Row],[Date Assigned if different from entry date]]+30,IF(CommitmentsTable[[#This Row],[Date record entered]]&lt;&gt;"",CommitmentsTable[[#This Row],[Date record entered]]+30,""))</f>
        <v/>
      </c>
      <c r="K537" s="245"/>
      <c r="L537" s="245" t="str">
        <f ca="1">IF(CommitmentsTable[[#This Row],[Date Assigned if different from entry date]]&lt;&gt;"",CommitmentsTable[[#This Row],[Date Assigned if different from entry date]]+60,IF(CommitmentsTable[[#This Row],[Date record entered]]&lt;&gt;"",CommitmentsTable[[#This Row],[Date record entered]]+60,""))</f>
        <v/>
      </c>
      <c r="M537" s="214"/>
      <c r="N537" s="214"/>
      <c r="O537" s="236"/>
      <c r="P537" s="214"/>
      <c r="Q537" s="214"/>
      <c r="R537" s="214"/>
      <c r="S537" s="238" t="str">
        <f>IF(CommitmentsTable[[#This Row],[Commitment / deliverable]]="","",IF(CommitmentsTable[[#This Row],[Revised due]]&lt;&gt;"",CommitmentsTable[[#This Row],[Revised due]],CommitmentsTable[[#This Row],[Original due]]))</f>
        <v/>
      </c>
      <c r="T537" s="237" t="str">
        <f>IF(OR(CommitmentsTable[[#This Row],[Commitment / deliverable]]="",CommitmentsTable[[#This Row],[Owner]]=""),"",IF(CommitmentsTable[[#This Row],[Status2]]="","Open",CommitmentsTable[[#This Row],[Status2]]))</f>
        <v/>
      </c>
      <c r="U537" s="237" t="str">
        <f t="shared" ca="1" si="8"/>
        <v/>
      </c>
      <c r="V537" s="233"/>
      <c r="W537" s="63"/>
    </row>
    <row r="538" spans="1:23" ht="14.5">
      <c r="A538" s="213" t="str">
        <f>IF(OR(CommitmentsTable[[#This Row],[Commitment / deliverable]]="",CommitmentsTable[[#This Row],[Immutable Key]]=""),"",SUBSTITUTE(CommitmentsTable[[#This Row],[Immutable Key]],"-K-","-"))</f>
        <v/>
      </c>
      <c r="B538" s="233"/>
      <c r="C538" s="233"/>
      <c r="D538" s="213"/>
      <c r="E538" s="230"/>
      <c r="F538" s="213"/>
      <c r="G538" s="245" t="str">
        <f ca="1">IF(CommitmentsTable[[#This Row],[Commitment / deliverable]]="","",IF(CommitmentsTable[[#This Row],[Date record entered]]="",TODAY(),CommitmentsTable[[#This Row],[Date record entered]]))</f>
        <v/>
      </c>
      <c r="H538" s="245"/>
      <c r="I538" s="245" t="str">
        <f ca="1">IF(CommitmentsTable[[#This Row],[Date Assigned if different from entry date]]&lt;&gt;"",CommitmentsTable[[#This Row],[Date Assigned if different from entry date]]+90,IF(CommitmentsTable[[#This Row],[Date record entered]]&lt;&gt;"",CommitmentsTable[[#This Row],[Date record entered]]+90,""))</f>
        <v/>
      </c>
      <c r="J538" s="245" t="str">
        <f ca="1">IF(CommitmentsTable[[#This Row],[Date Assigned if different from entry date]]&lt;&gt;"",CommitmentsTable[[#This Row],[Date Assigned if different from entry date]]+30,IF(CommitmentsTable[[#This Row],[Date record entered]]&lt;&gt;"",CommitmentsTable[[#This Row],[Date record entered]]+30,""))</f>
        <v/>
      </c>
      <c r="K538" s="245"/>
      <c r="L538" s="245" t="str">
        <f ca="1">IF(CommitmentsTable[[#This Row],[Date Assigned if different from entry date]]&lt;&gt;"",CommitmentsTable[[#This Row],[Date Assigned if different from entry date]]+60,IF(CommitmentsTable[[#This Row],[Date record entered]]&lt;&gt;"",CommitmentsTable[[#This Row],[Date record entered]]+60,""))</f>
        <v/>
      </c>
      <c r="M538" s="214"/>
      <c r="N538" s="214"/>
      <c r="O538" s="236"/>
      <c r="P538" s="214"/>
      <c r="Q538" s="214"/>
      <c r="R538" s="214"/>
      <c r="S538" s="238" t="str">
        <f>IF(CommitmentsTable[[#This Row],[Commitment / deliverable]]="","",IF(CommitmentsTable[[#This Row],[Revised due]]&lt;&gt;"",CommitmentsTable[[#This Row],[Revised due]],CommitmentsTable[[#This Row],[Original due]]))</f>
        <v/>
      </c>
      <c r="T538" s="237" t="str">
        <f>IF(OR(CommitmentsTable[[#This Row],[Commitment / deliverable]]="",CommitmentsTable[[#This Row],[Owner]]=""),"",IF(CommitmentsTable[[#This Row],[Status2]]="","Open",CommitmentsTable[[#This Row],[Status2]]))</f>
        <v/>
      </c>
      <c r="U538" s="237" t="str">
        <f t="shared" ca="1" si="8"/>
        <v/>
      </c>
      <c r="V538" s="233"/>
      <c r="W538" s="63"/>
    </row>
    <row r="539" spans="1:23" ht="14.5">
      <c r="A539" s="213" t="str">
        <f>IF(OR(CommitmentsTable[[#This Row],[Commitment / deliverable]]="",CommitmentsTable[[#This Row],[Immutable Key]]=""),"",SUBSTITUTE(CommitmentsTable[[#This Row],[Immutable Key]],"-K-","-"))</f>
        <v/>
      </c>
      <c r="B539" s="233"/>
      <c r="C539" s="233"/>
      <c r="D539" s="213"/>
      <c r="E539" s="230"/>
      <c r="F539" s="213"/>
      <c r="G539" s="245" t="str">
        <f ca="1">IF(CommitmentsTable[[#This Row],[Commitment / deliverable]]="","",IF(CommitmentsTable[[#This Row],[Date record entered]]="",TODAY(),CommitmentsTable[[#This Row],[Date record entered]]))</f>
        <v/>
      </c>
      <c r="H539" s="245"/>
      <c r="I539" s="245" t="str">
        <f ca="1">IF(CommitmentsTable[[#This Row],[Date Assigned if different from entry date]]&lt;&gt;"",CommitmentsTable[[#This Row],[Date Assigned if different from entry date]]+90,IF(CommitmentsTable[[#This Row],[Date record entered]]&lt;&gt;"",CommitmentsTable[[#This Row],[Date record entered]]+90,""))</f>
        <v/>
      </c>
      <c r="J539" s="245" t="str">
        <f ca="1">IF(CommitmentsTable[[#This Row],[Date Assigned if different from entry date]]&lt;&gt;"",CommitmentsTable[[#This Row],[Date Assigned if different from entry date]]+30,IF(CommitmentsTable[[#This Row],[Date record entered]]&lt;&gt;"",CommitmentsTable[[#This Row],[Date record entered]]+30,""))</f>
        <v/>
      </c>
      <c r="K539" s="245"/>
      <c r="L539" s="245" t="str">
        <f ca="1">IF(CommitmentsTable[[#This Row],[Date Assigned if different from entry date]]&lt;&gt;"",CommitmentsTable[[#This Row],[Date Assigned if different from entry date]]+60,IF(CommitmentsTable[[#This Row],[Date record entered]]&lt;&gt;"",CommitmentsTable[[#This Row],[Date record entered]]+60,""))</f>
        <v/>
      </c>
      <c r="M539" s="214"/>
      <c r="N539" s="214"/>
      <c r="O539" s="236"/>
      <c r="P539" s="214"/>
      <c r="Q539" s="214"/>
      <c r="R539" s="214"/>
      <c r="S539" s="238" t="str">
        <f>IF(CommitmentsTable[[#This Row],[Commitment / deliverable]]="","",IF(CommitmentsTable[[#This Row],[Revised due]]&lt;&gt;"",CommitmentsTable[[#This Row],[Revised due]],CommitmentsTable[[#This Row],[Original due]]))</f>
        <v/>
      </c>
      <c r="T539" s="237" t="str">
        <f>IF(OR(CommitmentsTable[[#This Row],[Commitment / deliverable]]="",CommitmentsTable[[#This Row],[Owner]]=""),"",IF(CommitmentsTable[[#This Row],[Status2]]="","Open",CommitmentsTable[[#This Row],[Status2]]))</f>
        <v/>
      </c>
      <c r="U539" s="237" t="str">
        <f t="shared" ca="1" si="8"/>
        <v/>
      </c>
      <c r="V539" s="233"/>
      <c r="W539" s="63"/>
    </row>
    <row r="540" spans="1:23" ht="14.5">
      <c r="A540" s="213" t="str">
        <f>IF(OR(CommitmentsTable[[#This Row],[Commitment / deliverable]]="",CommitmentsTable[[#This Row],[Immutable Key]]=""),"",SUBSTITUTE(CommitmentsTable[[#This Row],[Immutable Key]],"-K-","-"))</f>
        <v/>
      </c>
      <c r="B540" s="233"/>
      <c r="C540" s="233"/>
      <c r="D540" s="213"/>
      <c r="E540" s="230"/>
      <c r="F540" s="213"/>
      <c r="G540" s="245" t="str">
        <f ca="1">IF(CommitmentsTable[[#This Row],[Commitment / deliverable]]="","",IF(CommitmentsTable[[#This Row],[Date record entered]]="",TODAY(),CommitmentsTable[[#This Row],[Date record entered]]))</f>
        <v/>
      </c>
      <c r="H540" s="245"/>
      <c r="I540" s="245" t="str">
        <f ca="1">IF(CommitmentsTable[[#This Row],[Date Assigned if different from entry date]]&lt;&gt;"",CommitmentsTable[[#This Row],[Date Assigned if different from entry date]]+90,IF(CommitmentsTable[[#This Row],[Date record entered]]&lt;&gt;"",CommitmentsTable[[#This Row],[Date record entered]]+90,""))</f>
        <v/>
      </c>
      <c r="J540" s="245" t="str">
        <f ca="1">IF(CommitmentsTable[[#This Row],[Date Assigned if different from entry date]]&lt;&gt;"",CommitmentsTable[[#This Row],[Date Assigned if different from entry date]]+30,IF(CommitmentsTable[[#This Row],[Date record entered]]&lt;&gt;"",CommitmentsTable[[#This Row],[Date record entered]]+30,""))</f>
        <v/>
      </c>
      <c r="K540" s="245"/>
      <c r="L540" s="245" t="str">
        <f ca="1">IF(CommitmentsTable[[#This Row],[Date Assigned if different from entry date]]&lt;&gt;"",CommitmentsTable[[#This Row],[Date Assigned if different from entry date]]+60,IF(CommitmentsTable[[#This Row],[Date record entered]]&lt;&gt;"",CommitmentsTable[[#This Row],[Date record entered]]+60,""))</f>
        <v/>
      </c>
      <c r="M540" s="214"/>
      <c r="N540" s="214"/>
      <c r="O540" s="236"/>
      <c r="P540" s="214"/>
      <c r="Q540" s="214"/>
      <c r="R540" s="214"/>
      <c r="S540" s="238" t="str">
        <f>IF(CommitmentsTable[[#This Row],[Commitment / deliverable]]="","",IF(CommitmentsTable[[#This Row],[Revised due]]&lt;&gt;"",CommitmentsTable[[#This Row],[Revised due]],CommitmentsTable[[#This Row],[Original due]]))</f>
        <v/>
      </c>
      <c r="T540" s="237" t="str">
        <f>IF(OR(CommitmentsTable[[#This Row],[Commitment / deliverable]]="",CommitmentsTable[[#This Row],[Owner]]=""),"",IF(CommitmentsTable[[#This Row],[Status2]]="","Open",CommitmentsTable[[#This Row],[Status2]]))</f>
        <v/>
      </c>
      <c r="U540" s="237" t="str">
        <f t="shared" ca="1" si="8"/>
        <v/>
      </c>
      <c r="V540" s="233"/>
      <c r="W540" s="63"/>
    </row>
    <row r="541" spans="1:23" ht="14.5">
      <c r="A541" s="213" t="str">
        <f>IF(OR(CommitmentsTable[[#This Row],[Commitment / deliverable]]="",CommitmentsTable[[#This Row],[Immutable Key]]=""),"",SUBSTITUTE(CommitmentsTable[[#This Row],[Immutable Key]],"-K-","-"))</f>
        <v/>
      </c>
      <c r="B541" s="233"/>
      <c r="C541" s="233"/>
      <c r="D541" s="213"/>
      <c r="E541" s="230"/>
      <c r="F541" s="213"/>
      <c r="G541" s="245" t="str">
        <f ca="1">IF(CommitmentsTable[[#This Row],[Commitment / deliverable]]="","",IF(CommitmentsTable[[#This Row],[Date record entered]]="",TODAY(),CommitmentsTable[[#This Row],[Date record entered]]))</f>
        <v/>
      </c>
      <c r="H541" s="245"/>
      <c r="I541" s="245" t="str">
        <f ca="1">IF(CommitmentsTable[[#This Row],[Date Assigned if different from entry date]]&lt;&gt;"",CommitmentsTable[[#This Row],[Date Assigned if different from entry date]]+90,IF(CommitmentsTable[[#This Row],[Date record entered]]&lt;&gt;"",CommitmentsTable[[#This Row],[Date record entered]]+90,""))</f>
        <v/>
      </c>
      <c r="J541" s="245" t="str">
        <f ca="1">IF(CommitmentsTable[[#This Row],[Date Assigned if different from entry date]]&lt;&gt;"",CommitmentsTable[[#This Row],[Date Assigned if different from entry date]]+30,IF(CommitmentsTable[[#This Row],[Date record entered]]&lt;&gt;"",CommitmentsTable[[#This Row],[Date record entered]]+30,""))</f>
        <v/>
      </c>
      <c r="K541" s="245"/>
      <c r="L541" s="245" t="str">
        <f ca="1">IF(CommitmentsTable[[#This Row],[Date Assigned if different from entry date]]&lt;&gt;"",CommitmentsTable[[#This Row],[Date Assigned if different from entry date]]+60,IF(CommitmentsTable[[#This Row],[Date record entered]]&lt;&gt;"",CommitmentsTable[[#This Row],[Date record entered]]+60,""))</f>
        <v/>
      </c>
      <c r="M541" s="214"/>
      <c r="N541" s="214"/>
      <c r="O541" s="236"/>
      <c r="P541" s="214"/>
      <c r="Q541" s="214"/>
      <c r="R541" s="214"/>
      <c r="S541" s="238" t="str">
        <f>IF(CommitmentsTable[[#This Row],[Commitment / deliverable]]="","",IF(CommitmentsTable[[#This Row],[Revised due]]&lt;&gt;"",CommitmentsTable[[#This Row],[Revised due]],CommitmentsTable[[#This Row],[Original due]]))</f>
        <v/>
      </c>
      <c r="T541" s="237" t="str">
        <f>IF(OR(CommitmentsTable[[#This Row],[Commitment / deliverable]]="",CommitmentsTable[[#This Row],[Owner]]=""),"",IF(CommitmentsTable[[#This Row],[Status2]]="","Open",CommitmentsTable[[#This Row],[Status2]]))</f>
        <v/>
      </c>
      <c r="U541" s="237" t="str">
        <f t="shared" ca="1" si="8"/>
        <v/>
      </c>
      <c r="V541" s="233"/>
      <c r="W541" s="63"/>
    </row>
    <row r="542" spans="1:23" ht="14.5">
      <c r="A542" s="213" t="str">
        <f>IF(OR(CommitmentsTable[[#This Row],[Commitment / deliverable]]="",CommitmentsTable[[#This Row],[Immutable Key]]=""),"",SUBSTITUTE(CommitmentsTable[[#This Row],[Immutable Key]],"-K-","-"))</f>
        <v/>
      </c>
      <c r="B542" s="233"/>
      <c r="C542" s="233"/>
      <c r="D542" s="213"/>
      <c r="E542" s="230"/>
      <c r="F542" s="213"/>
      <c r="G542" s="245" t="str">
        <f ca="1">IF(CommitmentsTable[[#This Row],[Commitment / deliverable]]="","",IF(CommitmentsTable[[#This Row],[Date record entered]]="",TODAY(),CommitmentsTable[[#This Row],[Date record entered]]))</f>
        <v/>
      </c>
      <c r="H542" s="245"/>
      <c r="I542" s="245" t="str">
        <f ca="1">IF(CommitmentsTable[[#This Row],[Date Assigned if different from entry date]]&lt;&gt;"",CommitmentsTable[[#This Row],[Date Assigned if different from entry date]]+90,IF(CommitmentsTable[[#This Row],[Date record entered]]&lt;&gt;"",CommitmentsTable[[#This Row],[Date record entered]]+90,""))</f>
        <v/>
      </c>
      <c r="J542" s="245" t="str">
        <f ca="1">IF(CommitmentsTable[[#This Row],[Date Assigned if different from entry date]]&lt;&gt;"",CommitmentsTable[[#This Row],[Date Assigned if different from entry date]]+30,IF(CommitmentsTable[[#This Row],[Date record entered]]&lt;&gt;"",CommitmentsTable[[#This Row],[Date record entered]]+30,""))</f>
        <v/>
      </c>
      <c r="K542" s="245"/>
      <c r="L542" s="245" t="str">
        <f ca="1">IF(CommitmentsTable[[#This Row],[Date Assigned if different from entry date]]&lt;&gt;"",CommitmentsTable[[#This Row],[Date Assigned if different from entry date]]+60,IF(CommitmentsTable[[#This Row],[Date record entered]]&lt;&gt;"",CommitmentsTable[[#This Row],[Date record entered]]+60,""))</f>
        <v/>
      </c>
      <c r="M542" s="214"/>
      <c r="N542" s="214"/>
      <c r="O542" s="236"/>
      <c r="P542" s="214"/>
      <c r="Q542" s="214"/>
      <c r="R542" s="214"/>
      <c r="S542" s="238" t="str">
        <f>IF(CommitmentsTable[[#This Row],[Commitment / deliverable]]="","",IF(CommitmentsTable[[#This Row],[Revised due]]&lt;&gt;"",CommitmentsTable[[#This Row],[Revised due]],CommitmentsTable[[#This Row],[Original due]]))</f>
        <v/>
      </c>
      <c r="T542" s="237" t="str">
        <f>IF(OR(CommitmentsTable[[#This Row],[Commitment / deliverable]]="",CommitmentsTable[[#This Row],[Owner]]=""),"",IF(CommitmentsTable[[#This Row],[Status2]]="","Open",CommitmentsTable[[#This Row],[Status2]]))</f>
        <v/>
      </c>
      <c r="U542" s="237" t="str">
        <f t="shared" ca="1" si="8"/>
        <v/>
      </c>
      <c r="V542" s="233"/>
      <c r="W542" s="63"/>
    </row>
    <row r="543" spans="1:23" ht="14.5">
      <c r="A543" s="213" t="str">
        <f>IF(OR(CommitmentsTable[[#This Row],[Commitment / deliverable]]="",CommitmentsTable[[#This Row],[Immutable Key]]=""),"",SUBSTITUTE(CommitmentsTable[[#This Row],[Immutable Key]],"-K-","-"))</f>
        <v/>
      </c>
      <c r="B543" s="233"/>
      <c r="C543" s="233"/>
      <c r="D543" s="213"/>
      <c r="E543" s="230"/>
      <c r="F543" s="213"/>
      <c r="G543" s="245" t="str">
        <f ca="1">IF(CommitmentsTable[[#This Row],[Commitment / deliverable]]="","",IF(CommitmentsTable[[#This Row],[Date record entered]]="",TODAY(),CommitmentsTable[[#This Row],[Date record entered]]))</f>
        <v/>
      </c>
      <c r="H543" s="245"/>
      <c r="I543" s="245" t="str">
        <f ca="1">IF(CommitmentsTable[[#This Row],[Date Assigned if different from entry date]]&lt;&gt;"",CommitmentsTable[[#This Row],[Date Assigned if different from entry date]]+90,IF(CommitmentsTable[[#This Row],[Date record entered]]&lt;&gt;"",CommitmentsTable[[#This Row],[Date record entered]]+90,""))</f>
        <v/>
      </c>
      <c r="J543" s="245" t="str">
        <f ca="1">IF(CommitmentsTable[[#This Row],[Date Assigned if different from entry date]]&lt;&gt;"",CommitmentsTable[[#This Row],[Date Assigned if different from entry date]]+30,IF(CommitmentsTable[[#This Row],[Date record entered]]&lt;&gt;"",CommitmentsTable[[#This Row],[Date record entered]]+30,""))</f>
        <v/>
      </c>
      <c r="K543" s="245"/>
      <c r="L543" s="245" t="str">
        <f ca="1">IF(CommitmentsTable[[#This Row],[Date Assigned if different from entry date]]&lt;&gt;"",CommitmentsTable[[#This Row],[Date Assigned if different from entry date]]+60,IF(CommitmentsTable[[#This Row],[Date record entered]]&lt;&gt;"",CommitmentsTable[[#This Row],[Date record entered]]+60,""))</f>
        <v/>
      </c>
      <c r="M543" s="214"/>
      <c r="N543" s="214"/>
      <c r="O543" s="236"/>
      <c r="P543" s="214"/>
      <c r="Q543" s="214"/>
      <c r="R543" s="214"/>
      <c r="S543" s="238" t="str">
        <f>IF(CommitmentsTable[[#This Row],[Commitment / deliverable]]="","",IF(CommitmentsTable[[#This Row],[Revised due]]&lt;&gt;"",CommitmentsTable[[#This Row],[Revised due]],CommitmentsTable[[#This Row],[Original due]]))</f>
        <v/>
      </c>
      <c r="T543" s="237" t="str">
        <f>IF(OR(CommitmentsTable[[#This Row],[Commitment / deliverable]]="",CommitmentsTable[[#This Row],[Owner]]=""),"",IF(CommitmentsTable[[#This Row],[Status2]]="","Open",CommitmentsTable[[#This Row],[Status2]]))</f>
        <v/>
      </c>
      <c r="U543" s="237" t="str">
        <f t="shared" ca="1" si="8"/>
        <v/>
      </c>
      <c r="V543" s="233"/>
      <c r="W543" s="63"/>
    </row>
    <row r="544" spans="1:23" ht="14.5">
      <c r="A544" s="213" t="str">
        <f>IF(OR(CommitmentsTable[[#This Row],[Commitment / deliverable]]="",CommitmentsTable[[#This Row],[Immutable Key]]=""),"",SUBSTITUTE(CommitmentsTable[[#This Row],[Immutable Key]],"-K-","-"))</f>
        <v/>
      </c>
      <c r="B544" s="233"/>
      <c r="C544" s="233"/>
      <c r="D544" s="213"/>
      <c r="E544" s="230"/>
      <c r="F544" s="213"/>
      <c r="G544" s="245" t="str">
        <f ca="1">IF(CommitmentsTable[[#This Row],[Commitment / deliverable]]="","",IF(CommitmentsTable[[#This Row],[Date record entered]]="",TODAY(),CommitmentsTable[[#This Row],[Date record entered]]))</f>
        <v/>
      </c>
      <c r="H544" s="245"/>
      <c r="I544" s="245" t="str">
        <f ca="1">IF(CommitmentsTable[[#This Row],[Date Assigned if different from entry date]]&lt;&gt;"",CommitmentsTable[[#This Row],[Date Assigned if different from entry date]]+90,IF(CommitmentsTable[[#This Row],[Date record entered]]&lt;&gt;"",CommitmentsTable[[#This Row],[Date record entered]]+90,""))</f>
        <v/>
      </c>
      <c r="J544" s="245" t="str">
        <f ca="1">IF(CommitmentsTable[[#This Row],[Date Assigned if different from entry date]]&lt;&gt;"",CommitmentsTable[[#This Row],[Date Assigned if different from entry date]]+30,IF(CommitmentsTable[[#This Row],[Date record entered]]&lt;&gt;"",CommitmentsTable[[#This Row],[Date record entered]]+30,""))</f>
        <v/>
      </c>
      <c r="K544" s="245"/>
      <c r="L544" s="245" t="str">
        <f ca="1">IF(CommitmentsTable[[#This Row],[Date Assigned if different from entry date]]&lt;&gt;"",CommitmentsTable[[#This Row],[Date Assigned if different from entry date]]+60,IF(CommitmentsTable[[#This Row],[Date record entered]]&lt;&gt;"",CommitmentsTable[[#This Row],[Date record entered]]+60,""))</f>
        <v/>
      </c>
      <c r="M544" s="214"/>
      <c r="N544" s="214"/>
      <c r="O544" s="236"/>
      <c r="P544" s="214"/>
      <c r="Q544" s="214"/>
      <c r="R544" s="214"/>
      <c r="S544" s="238" t="str">
        <f>IF(CommitmentsTable[[#This Row],[Commitment / deliverable]]="","",IF(CommitmentsTable[[#This Row],[Revised due]]&lt;&gt;"",CommitmentsTable[[#This Row],[Revised due]],CommitmentsTable[[#This Row],[Original due]]))</f>
        <v/>
      </c>
      <c r="T544" s="237" t="str">
        <f>IF(OR(CommitmentsTable[[#This Row],[Commitment / deliverable]]="",CommitmentsTable[[#This Row],[Owner]]=""),"",IF(CommitmentsTable[[#This Row],[Status2]]="","Open",CommitmentsTable[[#This Row],[Status2]]))</f>
        <v/>
      </c>
      <c r="U544" s="237" t="str">
        <f t="shared" ca="1" si="8"/>
        <v/>
      </c>
      <c r="V544" s="233"/>
      <c r="W544" s="63"/>
    </row>
    <row r="545" spans="1:23" ht="14.5">
      <c r="A545" s="213" t="str">
        <f>IF(OR(CommitmentsTable[[#This Row],[Commitment / deliverable]]="",CommitmentsTable[[#This Row],[Immutable Key]]=""),"",SUBSTITUTE(CommitmentsTable[[#This Row],[Immutable Key]],"-K-","-"))</f>
        <v/>
      </c>
      <c r="B545" s="233"/>
      <c r="C545" s="233"/>
      <c r="D545" s="213"/>
      <c r="E545" s="230"/>
      <c r="F545" s="213"/>
      <c r="G545" s="245" t="str">
        <f ca="1">IF(CommitmentsTable[[#This Row],[Commitment / deliverable]]="","",IF(CommitmentsTable[[#This Row],[Date record entered]]="",TODAY(),CommitmentsTable[[#This Row],[Date record entered]]))</f>
        <v/>
      </c>
      <c r="H545" s="245"/>
      <c r="I545" s="245" t="str">
        <f ca="1">IF(CommitmentsTable[[#This Row],[Date Assigned if different from entry date]]&lt;&gt;"",CommitmentsTable[[#This Row],[Date Assigned if different from entry date]]+90,IF(CommitmentsTable[[#This Row],[Date record entered]]&lt;&gt;"",CommitmentsTable[[#This Row],[Date record entered]]+90,""))</f>
        <v/>
      </c>
      <c r="J545" s="245" t="str">
        <f ca="1">IF(CommitmentsTable[[#This Row],[Date Assigned if different from entry date]]&lt;&gt;"",CommitmentsTable[[#This Row],[Date Assigned if different from entry date]]+30,IF(CommitmentsTable[[#This Row],[Date record entered]]&lt;&gt;"",CommitmentsTable[[#This Row],[Date record entered]]+30,""))</f>
        <v/>
      </c>
      <c r="K545" s="245"/>
      <c r="L545" s="245" t="str">
        <f ca="1">IF(CommitmentsTable[[#This Row],[Date Assigned if different from entry date]]&lt;&gt;"",CommitmentsTable[[#This Row],[Date Assigned if different from entry date]]+60,IF(CommitmentsTable[[#This Row],[Date record entered]]&lt;&gt;"",CommitmentsTable[[#This Row],[Date record entered]]+60,""))</f>
        <v/>
      </c>
      <c r="M545" s="214"/>
      <c r="N545" s="214"/>
      <c r="O545" s="236"/>
      <c r="P545" s="214"/>
      <c r="Q545" s="214"/>
      <c r="R545" s="214"/>
      <c r="S545" s="238" t="str">
        <f>IF(CommitmentsTable[[#This Row],[Commitment / deliverable]]="","",IF(CommitmentsTable[[#This Row],[Revised due]]&lt;&gt;"",CommitmentsTable[[#This Row],[Revised due]],CommitmentsTable[[#This Row],[Original due]]))</f>
        <v/>
      </c>
      <c r="T545" s="237" t="str">
        <f>IF(OR(CommitmentsTable[[#This Row],[Commitment / deliverable]]="",CommitmentsTable[[#This Row],[Owner]]=""),"",IF(CommitmentsTable[[#This Row],[Status2]]="","Open",CommitmentsTable[[#This Row],[Status2]]))</f>
        <v/>
      </c>
      <c r="U545" s="237" t="str">
        <f t="shared" ca="1" si="8"/>
        <v/>
      </c>
      <c r="V545" s="233"/>
      <c r="W545" s="63"/>
    </row>
    <row r="546" spans="1:23" ht="14.5">
      <c r="A546" s="213" t="str">
        <f>IF(OR(CommitmentsTable[[#This Row],[Commitment / deliverable]]="",CommitmentsTable[[#This Row],[Immutable Key]]=""),"",SUBSTITUTE(CommitmentsTable[[#This Row],[Immutable Key]],"-K-","-"))</f>
        <v/>
      </c>
      <c r="B546" s="233"/>
      <c r="C546" s="233"/>
      <c r="D546" s="213"/>
      <c r="E546" s="230"/>
      <c r="F546" s="213"/>
      <c r="G546" s="245" t="str">
        <f ca="1">IF(CommitmentsTable[[#This Row],[Commitment / deliverable]]="","",IF(CommitmentsTable[[#This Row],[Date record entered]]="",TODAY(),CommitmentsTable[[#This Row],[Date record entered]]))</f>
        <v/>
      </c>
      <c r="H546" s="245"/>
      <c r="I546" s="245" t="str">
        <f ca="1">IF(CommitmentsTable[[#This Row],[Date Assigned if different from entry date]]&lt;&gt;"",CommitmentsTable[[#This Row],[Date Assigned if different from entry date]]+90,IF(CommitmentsTable[[#This Row],[Date record entered]]&lt;&gt;"",CommitmentsTable[[#This Row],[Date record entered]]+90,""))</f>
        <v/>
      </c>
      <c r="J546" s="245" t="str">
        <f ca="1">IF(CommitmentsTable[[#This Row],[Date Assigned if different from entry date]]&lt;&gt;"",CommitmentsTable[[#This Row],[Date Assigned if different from entry date]]+30,IF(CommitmentsTable[[#This Row],[Date record entered]]&lt;&gt;"",CommitmentsTable[[#This Row],[Date record entered]]+30,""))</f>
        <v/>
      </c>
      <c r="K546" s="245"/>
      <c r="L546" s="245" t="str">
        <f ca="1">IF(CommitmentsTable[[#This Row],[Date Assigned if different from entry date]]&lt;&gt;"",CommitmentsTable[[#This Row],[Date Assigned if different from entry date]]+60,IF(CommitmentsTable[[#This Row],[Date record entered]]&lt;&gt;"",CommitmentsTable[[#This Row],[Date record entered]]+60,""))</f>
        <v/>
      </c>
      <c r="M546" s="214"/>
      <c r="N546" s="214"/>
      <c r="O546" s="236"/>
      <c r="P546" s="214"/>
      <c r="Q546" s="214"/>
      <c r="R546" s="214"/>
      <c r="S546" s="238" t="str">
        <f>IF(CommitmentsTable[[#This Row],[Commitment / deliverable]]="","",IF(CommitmentsTable[[#This Row],[Revised due]]&lt;&gt;"",CommitmentsTable[[#This Row],[Revised due]],CommitmentsTable[[#This Row],[Original due]]))</f>
        <v/>
      </c>
      <c r="T546" s="237" t="str">
        <f>IF(OR(CommitmentsTable[[#This Row],[Commitment / deliverable]]="",CommitmentsTable[[#This Row],[Owner]]=""),"",IF(CommitmentsTable[[#This Row],[Status2]]="","Open",CommitmentsTable[[#This Row],[Status2]]))</f>
        <v/>
      </c>
      <c r="U546" s="237" t="str">
        <f t="shared" ca="1" si="8"/>
        <v/>
      </c>
      <c r="V546" s="233"/>
      <c r="W546" s="63"/>
    </row>
    <row r="547" spans="1:23" ht="14.5">
      <c r="A547" s="213" t="str">
        <f>IF(OR(CommitmentsTable[[#This Row],[Commitment / deliverable]]="",CommitmentsTable[[#This Row],[Immutable Key]]=""),"",SUBSTITUTE(CommitmentsTable[[#This Row],[Immutable Key]],"-K-","-"))</f>
        <v/>
      </c>
      <c r="B547" s="233"/>
      <c r="C547" s="233"/>
      <c r="D547" s="213"/>
      <c r="E547" s="230"/>
      <c r="F547" s="213"/>
      <c r="G547" s="245" t="str">
        <f ca="1">IF(CommitmentsTable[[#This Row],[Commitment / deliverable]]="","",IF(CommitmentsTable[[#This Row],[Date record entered]]="",TODAY(),CommitmentsTable[[#This Row],[Date record entered]]))</f>
        <v/>
      </c>
      <c r="H547" s="245"/>
      <c r="I547" s="245" t="str">
        <f ca="1">IF(CommitmentsTable[[#This Row],[Date Assigned if different from entry date]]&lt;&gt;"",CommitmentsTable[[#This Row],[Date Assigned if different from entry date]]+90,IF(CommitmentsTable[[#This Row],[Date record entered]]&lt;&gt;"",CommitmentsTable[[#This Row],[Date record entered]]+90,""))</f>
        <v/>
      </c>
      <c r="J547" s="245" t="str">
        <f ca="1">IF(CommitmentsTable[[#This Row],[Date Assigned if different from entry date]]&lt;&gt;"",CommitmentsTable[[#This Row],[Date Assigned if different from entry date]]+30,IF(CommitmentsTable[[#This Row],[Date record entered]]&lt;&gt;"",CommitmentsTable[[#This Row],[Date record entered]]+30,""))</f>
        <v/>
      </c>
      <c r="K547" s="245"/>
      <c r="L547" s="245" t="str">
        <f ca="1">IF(CommitmentsTable[[#This Row],[Date Assigned if different from entry date]]&lt;&gt;"",CommitmentsTable[[#This Row],[Date Assigned if different from entry date]]+60,IF(CommitmentsTable[[#This Row],[Date record entered]]&lt;&gt;"",CommitmentsTable[[#This Row],[Date record entered]]+60,""))</f>
        <v/>
      </c>
      <c r="M547" s="214"/>
      <c r="N547" s="214"/>
      <c r="O547" s="236"/>
      <c r="P547" s="214"/>
      <c r="Q547" s="214"/>
      <c r="R547" s="214"/>
      <c r="S547" s="238" t="str">
        <f>IF(CommitmentsTable[[#This Row],[Commitment / deliverable]]="","",IF(CommitmentsTable[[#This Row],[Revised due]]&lt;&gt;"",CommitmentsTable[[#This Row],[Revised due]],CommitmentsTable[[#This Row],[Original due]]))</f>
        <v/>
      </c>
      <c r="T547" s="237" t="str">
        <f>IF(OR(CommitmentsTable[[#This Row],[Commitment / deliverable]]="",CommitmentsTable[[#This Row],[Owner]]=""),"",IF(CommitmentsTable[[#This Row],[Status2]]="","Open",CommitmentsTable[[#This Row],[Status2]]))</f>
        <v/>
      </c>
      <c r="U547" s="237" t="str">
        <f t="shared" ca="1" si="8"/>
        <v/>
      </c>
      <c r="V547" s="233"/>
      <c r="W547" s="63"/>
    </row>
    <row r="548" spans="1:23" ht="14.5">
      <c r="A548" s="213" t="str">
        <f>IF(OR(CommitmentsTable[[#This Row],[Commitment / deliverable]]="",CommitmentsTable[[#This Row],[Immutable Key]]=""),"",SUBSTITUTE(CommitmentsTable[[#This Row],[Immutable Key]],"-K-","-"))</f>
        <v/>
      </c>
      <c r="B548" s="233"/>
      <c r="C548" s="233"/>
      <c r="D548" s="213"/>
      <c r="E548" s="230"/>
      <c r="F548" s="213"/>
      <c r="G548" s="245" t="str">
        <f ca="1">IF(CommitmentsTable[[#This Row],[Commitment / deliverable]]="","",IF(CommitmentsTable[[#This Row],[Date record entered]]="",TODAY(),CommitmentsTable[[#This Row],[Date record entered]]))</f>
        <v/>
      </c>
      <c r="H548" s="245"/>
      <c r="I548" s="245" t="str">
        <f ca="1">IF(CommitmentsTable[[#This Row],[Date Assigned if different from entry date]]&lt;&gt;"",CommitmentsTable[[#This Row],[Date Assigned if different from entry date]]+90,IF(CommitmentsTable[[#This Row],[Date record entered]]&lt;&gt;"",CommitmentsTable[[#This Row],[Date record entered]]+90,""))</f>
        <v/>
      </c>
      <c r="J548" s="245" t="str">
        <f ca="1">IF(CommitmentsTable[[#This Row],[Date Assigned if different from entry date]]&lt;&gt;"",CommitmentsTable[[#This Row],[Date Assigned if different from entry date]]+30,IF(CommitmentsTable[[#This Row],[Date record entered]]&lt;&gt;"",CommitmentsTable[[#This Row],[Date record entered]]+30,""))</f>
        <v/>
      </c>
      <c r="K548" s="245"/>
      <c r="L548" s="245" t="str">
        <f ca="1">IF(CommitmentsTable[[#This Row],[Date Assigned if different from entry date]]&lt;&gt;"",CommitmentsTable[[#This Row],[Date Assigned if different from entry date]]+60,IF(CommitmentsTable[[#This Row],[Date record entered]]&lt;&gt;"",CommitmentsTable[[#This Row],[Date record entered]]+60,""))</f>
        <v/>
      </c>
      <c r="M548" s="214"/>
      <c r="N548" s="214"/>
      <c r="O548" s="236"/>
      <c r="P548" s="214"/>
      <c r="Q548" s="214"/>
      <c r="R548" s="214"/>
      <c r="S548" s="238" t="str">
        <f>IF(CommitmentsTable[[#This Row],[Commitment / deliverable]]="","",IF(CommitmentsTable[[#This Row],[Revised due]]&lt;&gt;"",CommitmentsTable[[#This Row],[Revised due]],CommitmentsTable[[#This Row],[Original due]]))</f>
        <v/>
      </c>
      <c r="T548" s="237" t="str">
        <f>IF(OR(CommitmentsTable[[#This Row],[Commitment / deliverable]]="",CommitmentsTable[[#This Row],[Owner]]=""),"",IF(CommitmentsTable[[#This Row],[Status2]]="","Open",CommitmentsTable[[#This Row],[Status2]]))</f>
        <v/>
      </c>
      <c r="U548" s="237" t="str">
        <f t="shared" ca="1" si="8"/>
        <v/>
      </c>
      <c r="V548" s="233"/>
      <c r="W548" s="63"/>
    </row>
    <row r="549" spans="1:23" ht="14.5">
      <c r="A549" s="213" t="str">
        <f>IF(OR(CommitmentsTable[[#This Row],[Commitment / deliverable]]="",CommitmentsTable[[#This Row],[Immutable Key]]=""),"",SUBSTITUTE(CommitmentsTable[[#This Row],[Immutable Key]],"-K-","-"))</f>
        <v/>
      </c>
      <c r="B549" s="233"/>
      <c r="C549" s="233"/>
      <c r="D549" s="213"/>
      <c r="E549" s="230"/>
      <c r="F549" s="213"/>
      <c r="G549" s="245" t="str">
        <f ca="1">IF(CommitmentsTable[[#This Row],[Commitment / deliverable]]="","",IF(CommitmentsTable[[#This Row],[Date record entered]]="",TODAY(),CommitmentsTable[[#This Row],[Date record entered]]))</f>
        <v/>
      </c>
      <c r="H549" s="245"/>
      <c r="I549" s="245" t="str">
        <f ca="1">IF(CommitmentsTable[[#This Row],[Date Assigned if different from entry date]]&lt;&gt;"",CommitmentsTable[[#This Row],[Date Assigned if different from entry date]]+90,IF(CommitmentsTable[[#This Row],[Date record entered]]&lt;&gt;"",CommitmentsTable[[#This Row],[Date record entered]]+90,""))</f>
        <v/>
      </c>
      <c r="J549" s="245" t="str">
        <f ca="1">IF(CommitmentsTable[[#This Row],[Date Assigned if different from entry date]]&lt;&gt;"",CommitmentsTable[[#This Row],[Date Assigned if different from entry date]]+30,IF(CommitmentsTable[[#This Row],[Date record entered]]&lt;&gt;"",CommitmentsTable[[#This Row],[Date record entered]]+30,""))</f>
        <v/>
      </c>
      <c r="K549" s="245"/>
      <c r="L549" s="245" t="str">
        <f ca="1">IF(CommitmentsTable[[#This Row],[Date Assigned if different from entry date]]&lt;&gt;"",CommitmentsTable[[#This Row],[Date Assigned if different from entry date]]+60,IF(CommitmentsTable[[#This Row],[Date record entered]]&lt;&gt;"",CommitmentsTable[[#This Row],[Date record entered]]+60,""))</f>
        <v/>
      </c>
      <c r="M549" s="214"/>
      <c r="N549" s="214"/>
      <c r="O549" s="236"/>
      <c r="P549" s="214"/>
      <c r="Q549" s="214"/>
      <c r="R549" s="214"/>
      <c r="S549" s="238" t="str">
        <f>IF(CommitmentsTable[[#This Row],[Commitment / deliverable]]="","",IF(CommitmentsTable[[#This Row],[Revised due]]&lt;&gt;"",CommitmentsTable[[#This Row],[Revised due]],CommitmentsTable[[#This Row],[Original due]]))</f>
        <v/>
      </c>
      <c r="T549" s="237" t="str">
        <f>IF(OR(CommitmentsTable[[#This Row],[Commitment / deliverable]]="",CommitmentsTable[[#This Row],[Owner]]=""),"",IF(CommitmentsTable[[#This Row],[Status2]]="","Open",CommitmentsTable[[#This Row],[Status2]]))</f>
        <v/>
      </c>
      <c r="U549" s="237" t="str">
        <f t="shared" ca="1" si="8"/>
        <v/>
      </c>
      <c r="V549" s="233"/>
      <c r="W549" s="63"/>
    </row>
    <row r="550" spans="1:23" ht="14.5">
      <c r="A550" s="213" t="str">
        <f>IF(OR(CommitmentsTable[[#This Row],[Commitment / deliverable]]="",CommitmentsTable[[#This Row],[Immutable Key]]=""),"",SUBSTITUTE(CommitmentsTable[[#This Row],[Immutable Key]],"-K-","-"))</f>
        <v/>
      </c>
      <c r="B550" s="233"/>
      <c r="C550" s="233"/>
      <c r="D550" s="213"/>
      <c r="E550" s="230"/>
      <c r="F550" s="213"/>
      <c r="G550" s="245" t="str">
        <f ca="1">IF(CommitmentsTable[[#This Row],[Commitment / deliverable]]="","",IF(CommitmentsTable[[#This Row],[Date record entered]]="",TODAY(),CommitmentsTable[[#This Row],[Date record entered]]))</f>
        <v/>
      </c>
      <c r="H550" s="245"/>
      <c r="I550" s="245" t="str">
        <f ca="1">IF(CommitmentsTable[[#This Row],[Date Assigned if different from entry date]]&lt;&gt;"",CommitmentsTable[[#This Row],[Date Assigned if different from entry date]]+90,IF(CommitmentsTable[[#This Row],[Date record entered]]&lt;&gt;"",CommitmentsTable[[#This Row],[Date record entered]]+90,""))</f>
        <v/>
      </c>
      <c r="J550" s="245" t="str">
        <f ca="1">IF(CommitmentsTable[[#This Row],[Date Assigned if different from entry date]]&lt;&gt;"",CommitmentsTable[[#This Row],[Date Assigned if different from entry date]]+30,IF(CommitmentsTable[[#This Row],[Date record entered]]&lt;&gt;"",CommitmentsTable[[#This Row],[Date record entered]]+30,""))</f>
        <v/>
      </c>
      <c r="K550" s="245"/>
      <c r="L550" s="245" t="str">
        <f ca="1">IF(CommitmentsTable[[#This Row],[Date Assigned if different from entry date]]&lt;&gt;"",CommitmentsTable[[#This Row],[Date Assigned if different from entry date]]+60,IF(CommitmentsTable[[#This Row],[Date record entered]]&lt;&gt;"",CommitmentsTable[[#This Row],[Date record entered]]+60,""))</f>
        <v/>
      </c>
      <c r="M550" s="214"/>
      <c r="N550" s="214"/>
      <c r="O550" s="236"/>
      <c r="P550" s="214"/>
      <c r="Q550" s="214"/>
      <c r="R550" s="214"/>
      <c r="S550" s="238" t="str">
        <f>IF(CommitmentsTable[[#This Row],[Commitment / deliverable]]="","",IF(CommitmentsTable[[#This Row],[Revised due]]&lt;&gt;"",CommitmentsTable[[#This Row],[Revised due]],CommitmentsTable[[#This Row],[Original due]]))</f>
        <v/>
      </c>
      <c r="T550" s="237" t="str">
        <f>IF(OR(CommitmentsTable[[#This Row],[Commitment / deliverable]]="",CommitmentsTable[[#This Row],[Owner]]=""),"",IF(CommitmentsTable[[#This Row],[Status2]]="","Open",CommitmentsTable[[#This Row],[Status2]]))</f>
        <v/>
      </c>
      <c r="U550" s="237" t="str">
        <f t="shared" ca="1" si="8"/>
        <v/>
      </c>
      <c r="V550" s="233"/>
      <c r="W550" s="63"/>
    </row>
    <row r="551" spans="1:23" ht="14.5">
      <c r="A551" s="213" t="str">
        <f>IF(OR(CommitmentsTable[[#This Row],[Commitment / deliverable]]="",CommitmentsTable[[#This Row],[Immutable Key]]=""),"",SUBSTITUTE(CommitmentsTable[[#This Row],[Immutable Key]],"-K-","-"))</f>
        <v/>
      </c>
      <c r="B551" s="233"/>
      <c r="C551" s="233"/>
      <c r="D551" s="213"/>
      <c r="E551" s="230"/>
      <c r="F551" s="213"/>
      <c r="G551" s="245" t="str">
        <f ca="1">IF(CommitmentsTable[[#This Row],[Commitment / deliverable]]="","",IF(CommitmentsTable[[#This Row],[Date record entered]]="",TODAY(),CommitmentsTable[[#This Row],[Date record entered]]))</f>
        <v/>
      </c>
      <c r="H551" s="245"/>
      <c r="I551" s="245" t="str">
        <f ca="1">IF(CommitmentsTable[[#This Row],[Date Assigned if different from entry date]]&lt;&gt;"",CommitmentsTable[[#This Row],[Date Assigned if different from entry date]]+90,IF(CommitmentsTable[[#This Row],[Date record entered]]&lt;&gt;"",CommitmentsTable[[#This Row],[Date record entered]]+90,""))</f>
        <v/>
      </c>
      <c r="J551" s="245" t="str">
        <f ca="1">IF(CommitmentsTable[[#This Row],[Date Assigned if different from entry date]]&lt;&gt;"",CommitmentsTable[[#This Row],[Date Assigned if different from entry date]]+30,IF(CommitmentsTable[[#This Row],[Date record entered]]&lt;&gt;"",CommitmentsTable[[#This Row],[Date record entered]]+30,""))</f>
        <v/>
      </c>
      <c r="K551" s="245"/>
      <c r="L551" s="245" t="str">
        <f ca="1">IF(CommitmentsTable[[#This Row],[Date Assigned if different from entry date]]&lt;&gt;"",CommitmentsTable[[#This Row],[Date Assigned if different from entry date]]+60,IF(CommitmentsTable[[#This Row],[Date record entered]]&lt;&gt;"",CommitmentsTable[[#This Row],[Date record entered]]+60,""))</f>
        <v/>
      </c>
      <c r="M551" s="214"/>
      <c r="N551" s="214"/>
      <c r="O551" s="236"/>
      <c r="P551" s="214"/>
      <c r="Q551" s="214"/>
      <c r="R551" s="214"/>
      <c r="S551" s="238" t="str">
        <f>IF(CommitmentsTable[[#This Row],[Commitment / deliverable]]="","",IF(CommitmentsTable[[#This Row],[Revised due]]&lt;&gt;"",CommitmentsTable[[#This Row],[Revised due]],CommitmentsTable[[#This Row],[Original due]]))</f>
        <v/>
      </c>
      <c r="T551" s="237" t="str">
        <f>IF(OR(CommitmentsTable[[#This Row],[Commitment / deliverable]]="",CommitmentsTable[[#This Row],[Owner]]=""),"",IF(CommitmentsTable[[#This Row],[Status2]]="","Open",CommitmentsTable[[#This Row],[Status2]]))</f>
        <v/>
      </c>
      <c r="U551" s="237" t="str">
        <f t="shared" ca="1" si="8"/>
        <v/>
      </c>
      <c r="V551" s="233"/>
      <c r="W551" s="63"/>
    </row>
    <row r="552" spans="1:23" ht="14.5">
      <c r="A552" s="213" t="str">
        <f>IF(OR(CommitmentsTable[[#This Row],[Commitment / deliverable]]="",CommitmentsTable[[#This Row],[Immutable Key]]=""),"",SUBSTITUTE(CommitmentsTable[[#This Row],[Immutable Key]],"-K-","-"))</f>
        <v/>
      </c>
      <c r="B552" s="233"/>
      <c r="C552" s="233"/>
      <c r="D552" s="213"/>
      <c r="E552" s="230"/>
      <c r="F552" s="213"/>
      <c r="G552" s="245" t="str">
        <f ca="1">IF(CommitmentsTable[[#This Row],[Commitment / deliverable]]="","",IF(CommitmentsTable[[#This Row],[Date record entered]]="",TODAY(),CommitmentsTable[[#This Row],[Date record entered]]))</f>
        <v/>
      </c>
      <c r="H552" s="245"/>
      <c r="I552" s="245" t="str">
        <f ca="1">IF(CommitmentsTable[[#This Row],[Date Assigned if different from entry date]]&lt;&gt;"",CommitmentsTable[[#This Row],[Date Assigned if different from entry date]]+90,IF(CommitmentsTable[[#This Row],[Date record entered]]&lt;&gt;"",CommitmentsTable[[#This Row],[Date record entered]]+90,""))</f>
        <v/>
      </c>
      <c r="J552" s="245" t="str">
        <f ca="1">IF(CommitmentsTable[[#This Row],[Date Assigned if different from entry date]]&lt;&gt;"",CommitmentsTable[[#This Row],[Date Assigned if different from entry date]]+30,IF(CommitmentsTable[[#This Row],[Date record entered]]&lt;&gt;"",CommitmentsTable[[#This Row],[Date record entered]]+30,""))</f>
        <v/>
      </c>
      <c r="K552" s="245"/>
      <c r="L552" s="245" t="str">
        <f ca="1">IF(CommitmentsTable[[#This Row],[Date Assigned if different from entry date]]&lt;&gt;"",CommitmentsTable[[#This Row],[Date Assigned if different from entry date]]+60,IF(CommitmentsTable[[#This Row],[Date record entered]]&lt;&gt;"",CommitmentsTable[[#This Row],[Date record entered]]+60,""))</f>
        <v/>
      </c>
      <c r="M552" s="214"/>
      <c r="N552" s="214"/>
      <c r="O552" s="236"/>
      <c r="P552" s="214"/>
      <c r="Q552" s="214"/>
      <c r="R552" s="214"/>
      <c r="S552" s="238" t="str">
        <f>IF(CommitmentsTable[[#This Row],[Commitment / deliverable]]="","",IF(CommitmentsTable[[#This Row],[Revised due]]&lt;&gt;"",CommitmentsTable[[#This Row],[Revised due]],CommitmentsTable[[#This Row],[Original due]]))</f>
        <v/>
      </c>
      <c r="T552" s="237" t="str">
        <f>IF(OR(CommitmentsTable[[#This Row],[Commitment / deliverable]]="",CommitmentsTable[[#This Row],[Owner]]=""),"",IF(CommitmentsTable[[#This Row],[Status2]]="","Open",CommitmentsTable[[#This Row],[Status2]]))</f>
        <v/>
      </c>
      <c r="U552" s="237" t="str">
        <f t="shared" ca="1" si="8"/>
        <v/>
      </c>
      <c r="V552" s="233"/>
      <c r="W552" s="63"/>
    </row>
    <row r="553" spans="1:23" ht="14.5">
      <c r="A553" s="213" t="str">
        <f>IF(OR(CommitmentsTable[[#This Row],[Commitment / deliverable]]="",CommitmentsTable[[#This Row],[Immutable Key]]=""),"",SUBSTITUTE(CommitmentsTable[[#This Row],[Immutable Key]],"-K-","-"))</f>
        <v/>
      </c>
      <c r="B553" s="233"/>
      <c r="C553" s="233"/>
      <c r="D553" s="213"/>
      <c r="E553" s="230"/>
      <c r="F553" s="213"/>
      <c r="G553" s="245" t="str">
        <f ca="1">IF(CommitmentsTable[[#This Row],[Commitment / deliverable]]="","",IF(CommitmentsTable[[#This Row],[Date record entered]]="",TODAY(),CommitmentsTable[[#This Row],[Date record entered]]))</f>
        <v/>
      </c>
      <c r="H553" s="245"/>
      <c r="I553" s="245" t="str">
        <f ca="1">IF(CommitmentsTable[[#This Row],[Date Assigned if different from entry date]]&lt;&gt;"",CommitmentsTable[[#This Row],[Date Assigned if different from entry date]]+90,IF(CommitmentsTable[[#This Row],[Date record entered]]&lt;&gt;"",CommitmentsTable[[#This Row],[Date record entered]]+90,""))</f>
        <v/>
      </c>
      <c r="J553" s="245" t="str">
        <f ca="1">IF(CommitmentsTable[[#This Row],[Date Assigned if different from entry date]]&lt;&gt;"",CommitmentsTable[[#This Row],[Date Assigned if different from entry date]]+30,IF(CommitmentsTable[[#This Row],[Date record entered]]&lt;&gt;"",CommitmentsTable[[#This Row],[Date record entered]]+30,""))</f>
        <v/>
      </c>
      <c r="K553" s="245"/>
      <c r="L553" s="245" t="str">
        <f ca="1">IF(CommitmentsTable[[#This Row],[Date Assigned if different from entry date]]&lt;&gt;"",CommitmentsTable[[#This Row],[Date Assigned if different from entry date]]+60,IF(CommitmentsTable[[#This Row],[Date record entered]]&lt;&gt;"",CommitmentsTable[[#This Row],[Date record entered]]+60,""))</f>
        <v/>
      </c>
      <c r="M553" s="214"/>
      <c r="N553" s="214"/>
      <c r="O553" s="236"/>
      <c r="P553" s="214"/>
      <c r="Q553" s="214"/>
      <c r="R553" s="214"/>
      <c r="S553" s="238" t="str">
        <f>IF(CommitmentsTable[[#This Row],[Commitment / deliverable]]="","",IF(CommitmentsTable[[#This Row],[Revised due]]&lt;&gt;"",CommitmentsTable[[#This Row],[Revised due]],CommitmentsTable[[#This Row],[Original due]]))</f>
        <v/>
      </c>
      <c r="T553" s="237" t="str">
        <f>IF(OR(CommitmentsTable[[#This Row],[Commitment / deliverable]]="",CommitmentsTable[[#This Row],[Owner]]=""),"",IF(CommitmentsTable[[#This Row],[Status2]]="","Open",CommitmentsTable[[#This Row],[Status2]]))</f>
        <v/>
      </c>
      <c r="U553" s="237" t="str">
        <f t="shared" ca="1" si="8"/>
        <v/>
      </c>
      <c r="V553" s="233"/>
      <c r="W553" s="63"/>
    </row>
    <row r="554" spans="1:23" ht="14.5">
      <c r="A554" s="213" t="str">
        <f>IF(OR(CommitmentsTable[[#This Row],[Commitment / deliverable]]="",CommitmentsTable[[#This Row],[Immutable Key]]=""),"",SUBSTITUTE(CommitmentsTable[[#This Row],[Immutable Key]],"-K-","-"))</f>
        <v/>
      </c>
      <c r="B554" s="233"/>
      <c r="C554" s="233"/>
      <c r="D554" s="213"/>
      <c r="E554" s="230"/>
      <c r="F554" s="213"/>
      <c r="G554" s="245" t="str">
        <f ca="1">IF(CommitmentsTable[[#This Row],[Commitment / deliverable]]="","",IF(CommitmentsTable[[#This Row],[Date record entered]]="",TODAY(),CommitmentsTable[[#This Row],[Date record entered]]))</f>
        <v/>
      </c>
      <c r="H554" s="245"/>
      <c r="I554" s="245" t="str">
        <f ca="1">IF(CommitmentsTable[[#This Row],[Date Assigned if different from entry date]]&lt;&gt;"",CommitmentsTable[[#This Row],[Date Assigned if different from entry date]]+90,IF(CommitmentsTable[[#This Row],[Date record entered]]&lt;&gt;"",CommitmentsTable[[#This Row],[Date record entered]]+90,""))</f>
        <v/>
      </c>
      <c r="J554" s="245" t="str">
        <f ca="1">IF(CommitmentsTable[[#This Row],[Date Assigned if different from entry date]]&lt;&gt;"",CommitmentsTable[[#This Row],[Date Assigned if different from entry date]]+30,IF(CommitmentsTable[[#This Row],[Date record entered]]&lt;&gt;"",CommitmentsTable[[#This Row],[Date record entered]]+30,""))</f>
        <v/>
      </c>
      <c r="K554" s="245"/>
      <c r="L554" s="245" t="str">
        <f ca="1">IF(CommitmentsTable[[#This Row],[Date Assigned if different from entry date]]&lt;&gt;"",CommitmentsTable[[#This Row],[Date Assigned if different from entry date]]+60,IF(CommitmentsTable[[#This Row],[Date record entered]]&lt;&gt;"",CommitmentsTable[[#This Row],[Date record entered]]+60,""))</f>
        <v/>
      </c>
      <c r="M554" s="214"/>
      <c r="N554" s="214"/>
      <c r="O554" s="236"/>
      <c r="P554" s="214"/>
      <c r="Q554" s="214"/>
      <c r="R554" s="214"/>
      <c r="S554" s="238" t="str">
        <f>IF(CommitmentsTable[[#This Row],[Commitment / deliverable]]="","",IF(CommitmentsTable[[#This Row],[Revised due]]&lt;&gt;"",CommitmentsTable[[#This Row],[Revised due]],CommitmentsTable[[#This Row],[Original due]]))</f>
        <v/>
      </c>
      <c r="T554" s="237" t="str">
        <f>IF(OR(CommitmentsTable[[#This Row],[Commitment / deliverable]]="",CommitmentsTable[[#This Row],[Owner]]=""),"",IF(CommitmentsTable[[#This Row],[Status2]]="","Open",CommitmentsTable[[#This Row],[Status2]]))</f>
        <v/>
      </c>
      <c r="U554" s="237" t="str">
        <f t="shared" ca="1" si="8"/>
        <v/>
      </c>
      <c r="V554" s="233"/>
      <c r="W554" s="63"/>
    </row>
    <row r="555" spans="1:23" ht="14.5">
      <c r="A555" s="213" t="str">
        <f>IF(OR(CommitmentsTable[[#This Row],[Commitment / deliverable]]="",CommitmentsTable[[#This Row],[Immutable Key]]=""),"",SUBSTITUTE(CommitmentsTable[[#This Row],[Immutable Key]],"-K-","-"))</f>
        <v/>
      </c>
      <c r="B555" s="233"/>
      <c r="C555" s="233"/>
      <c r="D555" s="213"/>
      <c r="E555" s="230"/>
      <c r="F555" s="213"/>
      <c r="G555" s="245" t="str">
        <f ca="1">IF(CommitmentsTable[[#This Row],[Commitment / deliverable]]="","",IF(CommitmentsTable[[#This Row],[Date record entered]]="",TODAY(),CommitmentsTable[[#This Row],[Date record entered]]))</f>
        <v/>
      </c>
      <c r="H555" s="245"/>
      <c r="I555" s="245" t="str">
        <f ca="1">IF(CommitmentsTable[[#This Row],[Date Assigned if different from entry date]]&lt;&gt;"",CommitmentsTable[[#This Row],[Date Assigned if different from entry date]]+90,IF(CommitmentsTable[[#This Row],[Date record entered]]&lt;&gt;"",CommitmentsTable[[#This Row],[Date record entered]]+90,""))</f>
        <v/>
      </c>
      <c r="J555" s="245" t="str">
        <f ca="1">IF(CommitmentsTable[[#This Row],[Date Assigned if different from entry date]]&lt;&gt;"",CommitmentsTable[[#This Row],[Date Assigned if different from entry date]]+30,IF(CommitmentsTable[[#This Row],[Date record entered]]&lt;&gt;"",CommitmentsTable[[#This Row],[Date record entered]]+30,""))</f>
        <v/>
      </c>
      <c r="K555" s="245"/>
      <c r="L555" s="245" t="str">
        <f ca="1">IF(CommitmentsTable[[#This Row],[Date Assigned if different from entry date]]&lt;&gt;"",CommitmentsTable[[#This Row],[Date Assigned if different from entry date]]+60,IF(CommitmentsTable[[#This Row],[Date record entered]]&lt;&gt;"",CommitmentsTable[[#This Row],[Date record entered]]+60,""))</f>
        <v/>
      </c>
      <c r="M555" s="214"/>
      <c r="N555" s="214"/>
      <c r="O555" s="236"/>
      <c r="P555" s="214"/>
      <c r="Q555" s="214"/>
      <c r="R555" s="214"/>
      <c r="S555" s="238" t="str">
        <f>IF(CommitmentsTable[[#This Row],[Commitment / deliverable]]="","",IF(CommitmentsTable[[#This Row],[Revised due]]&lt;&gt;"",CommitmentsTable[[#This Row],[Revised due]],CommitmentsTable[[#This Row],[Original due]]))</f>
        <v/>
      </c>
      <c r="T555" s="237" t="str">
        <f>IF(OR(CommitmentsTable[[#This Row],[Commitment / deliverable]]="",CommitmentsTable[[#This Row],[Owner]]=""),"",IF(CommitmentsTable[[#This Row],[Status2]]="","Open",CommitmentsTable[[#This Row],[Status2]]))</f>
        <v/>
      </c>
      <c r="U555" s="237" t="str">
        <f t="shared" ca="1" si="8"/>
        <v/>
      </c>
      <c r="V555" s="233"/>
      <c r="W555" s="63"/>
    </row>
    <row r="556" spans="1:23" ht="14.5">
      <c r="A556" s="213" t="str">
        <f>IF(OR(CommitmentsTable[[#This Row],[Commitment / deliverable]]="",CommitmentsTable[[#This Row],[Immutable Key]]=""),"",SUBSTITUTE(CommitmentsTable[[#This Row],[Immutable Key]],"-K-","-"))</f>
        <v/>
      </c>
      <c r="B556" s="233"/>
      <c r="C556" s="233"/>
      <c r="D556" s="213"/>
      <c r="E556" s="230"/>
      <c r="F556" s="213"/>
      <c r="G556" s="245" t="str">
        <f ca="1">IF(CommitmentsTable[[#This Row],[Commitment / deliverable]]="","",IF(CommitmentsTable[[#This Row],[Date record entered]]="",TODAY(),CommitmentsTable[[#This Row],[Date record entered]]))</f>
        <v/>
      </c>
      <c r="H556" s="245"/>
      <c r="I556" s="245" t="str">
        <f ca="1">IF(CommitmentsTable[[#This Row],[Date Assigned if different from entry date]]&lt;&gt;"",CommitmentsTable[[#This Row],[Date Assigned if different from entry date]]+90,IF(CommitmentsTable[[#This Row],[Date record entered]]&lt;&gt;"",CommitmentsTable[[#This Row],[Date record entered]]+90,""))</f>
        <v/>
      </c>
      <c r="J556" s="245" t="str">
        <f ca="1">IF(CommitmentsTable[[#This Row],[Date Assigned if different from entry date]]&lt;&gt;"",CommitmentsTable[[#This Row],[Date Assigned if different from entry date]]+30,IF(CommitmentsTable[[#This Row],[Date record entered]]&lt;&gt;"",CommitmentsTable[[#This Row],[Date record entered]]+30,""))</f>
        <v/>
      </c>
      <c r="K556" s="245"/>
      <c r="L556" s="245" t="str">
        <f ca="1">IF(CommitmentsTable[[#This Row],[Date Assigned if different from entry date]]&lt;&gt;"",CommitmentsTable[[#This Row],[Date Assigned if different from entry date]]+60,IF(CommitmentsTable[[#This Row],[Date record entered]]&lt;&gt;"",CommitmentsTable[[#This Row],[Date record entered]]+60,""))</f>
        <v/>
      </c>
      <c r="M556" s="214"/>
      <c r="N556" s="214"/>
      <c r="O556" s="236"/>
      <c r="P556" s="214"/>
      <c r="Q556" s="214"/>
      <c r="R556" s="214"/>
      <c r="S556" s="238" t="str">
        <f>IF(CommitmentsTable[[#This Row],[Commitment / deliverable]]="","",IF(CommitmentsTable[[#This Row],[Revised due]]&lt;&gt;"",CommitmentsTable[[#This Row],[Revised due]],CommitmentsTable[[#This Row],[Original due]]))</f>
        <v/>
      </c>
      <c r="T556" s="237" t="str">
        <f>IF(OR(CommitmentsTable[[#This Row],[Commitment / deliverable]]="",CommitmentsTable[[#This Row],[Owner]]=""),"",IF(CommitmentsTable[[#This Row],[Status2]]="","Open",CommitmentsTable[[#This Row],[Status2]]))</f>
        <v/>
      </c>
      <c r="U556" s="237" t="str">
        <f t="shared" ca="1" si="8"/>
        <v/>
      </c>
      <c r="V556" s="233"/>
      <c r="W556" s="63"/>
    </row>
    <row r="557" spans="1:23" ht="14.5">
      <c r="A557" s="213" t="str">
        <f>IF(OR(CommitmentsTable[[#This Row],[Commitment / deliverable]]="",CommitmentsTable[[#This Row],[Immutable Key]]=""),"",SUBSTITUTE(CommitmentsTable[[#This Row],[Immutable Key]],"-K-","-"))</f>
        <v/>
      </c>
      <c r="B557" s="233"/>
      <c r="C557" s="233"/>
      <c r="D557" s="213"/>
      <c r="E557" s="230"/>
      <c r="F557" s="213"/>
      <c r="G557" s="245" t="str">
        <f ca="1">IF(CommitmentsTable[[#This Row],[Commitment / deliverable]]="","",IF(CommitmentsTable[[#This Row],[Date record entered]]="",TODAY(),CommitmentsTable[[#This Row],[Date record entered]]))</f>
        <v/>
      </c>
      <c r="H557" s="245"/>
      <c r="I557" s="245" t="str">
        <f ca="1">IF(CommitmentsTable[[#This Row],[Date Assigned if different from entry date]]&lt;&gt;"",CommitmentsTable[[#This Row],[Date Assigned if different from entry date]]+90,IF(CommitmentsTable[[#This Row],[Date record entered]]&lt;&gt;"",CommitmentsTable[[#This Row],[Date record entered]]+90,""))</f>
        <v/>
      </c>
      <c r="J557" s="245" t="str">
        <f ca="1">IF(CommitmentsTable[[#This Row],[Date Assigned if different from entry date]]&lt;&gt;"",CommitmentsTable[[#This Row],[Date Assigned if different from entry date]]+30,IF(CommitmentsTable[[#This Row],[Date record entered]]&lt;&gt;"",CommitmentsTable[[#This Row],[Date record entered]]+30,""))</f>
        <v/>
      </c>
      <c r="K557" s="245"/>
      <c r="L557" s="245" t="str">
        <f ca="1">IF(CommitmentsTable[[#This Row],[Date Assigned if different from entry date]]&lt;&gt;"",CommitmentsTable[[#This Row],[Date Assigned if different from entry date]]+60,IF(CommitmentsTable[[#This Row],[Date record entered]]&lt;&gt;"",CommitmentsTable[[#This Row],[Date record entered]]+60,""))</f>
        <v/>
      </c>
      <c r="M557" s="214"/>
      <c r="N557" s="214"/>
      <c r="O557" s="236"/>
      <c r="P557" s="214"/>
      <c r="Q557" s="214"/>
      <c r="R557" s="214"/>
      <c r="S557" s="238" t="str">
        <f>IF(CommitmentsTable[[#This Row],[Commitment / deliverable]]="","",IF(CommitmentsTable[[#This Row],[Revised due]]&lt;&gt;"",CommitmentsTable[[#This Row],[Revised due]],CommitmentsTable[[#This Row],[Original due]]))</f>
        <v/>
      </c>
      <c r="T557" s="237" t="str">
        <f>IF(OR(CommitmentsTable[[#This Row],[Commitment / deliverable]]="",CommitmentsTable[[#This Row],[Owner]]=""),"",IF(CommitmentsTable[[#This Row],[Status2]]="","Open",CommitmentsTable[[#This Row],[Status2]]))</f>
        <v/>
      </c>
      <c r="U557" s="237" t="str">
        <f t="shared" ca="1" si="8"/>
        <v/>
      </c>
      <c r="V557" s="233"/>
      <c r="W557" s="63"/>
    </row>
    <row r="558" spans="1:23" ht="14.5">
      <c r="A558" s="213" t="str">
        <f>IF(OR(CommitmentsTable[[#This Row],[Commitment / deliverable]]="",CommitmentsTable[[#This Row],[Immutable Key]]=""),"",SUBSTITUTE(CommitmentsTable[[#This Row],[Immutable Key]],"-K-","-"))</f>
        <v/>
      </c>
      <c r="B558" s="233"/>
      <c r="C558" s="233"/>
      <c r="D558" s="213"/>
      <c r="E558" s="230"/>
      <c r="F558" s="213"/>
      <c r="G558" s="245" t="str">
        <f ca="1">IF(CommitmentsTable[[#This Row],[Commitment / deliverable]]="","",IF(CommitmentsTable[[#This Row],[Date record entered]]="",TODAY(),CommitmentsTable[[#This Row],[Date record entered]]))</f>
        <v/>
      </c>
      <c r="H558" s="245"/>
      <c r="I558" s="245" t="str">
        <f ca="1">IF(CommitmentsTable[[#This Row],[Date Assigned if different from entry date]]&lt;&gt;"",CommitmentsTable[[#This Row],[Date Assigned if different from entry date]]+90,IF(CommitmentsTable[[#This Row],[Date record entered]]&lt;&gt;"",CommitmentsTable[[#This Row],[Date record entered]]+90,""))</f>
        <v/>
      </c>
      <c r="J558" s="245" t="str">
        <f ca="1">IF(CommitmentsTable[[#This Row],[Date Assigned if different from entry date]]&lt;&gt;"",CommitmentsTable[[#This Row],[Date Assigned if different from entry date]]+30,IF(CommitmentsTable[[#This Row],[Date record entered]]&lt;&gt;"",CommitmentsTable[[#This Row],[Date record entered]]+30,""))</f>
        <v/>
      </c>
      <c r="K558" s="245"/>
      <c r="L558" s="245" t="str">
        <f ca="1">IF(CommitmentsTable[[#This Row],[Date Assigned if different from entry date]]&lt;&gt;"",CommitmentsTable[[#This Row],[Date Assigned if different from entry date]]+60,IF(CommitmentsTable[[#This Row],[Date record entered]]&lt;&gt;"",CommitmentsTable[[#This Row],[Date record entered]]+60,""))</f>
        <v/>
      </c>
      <c r="M558" s="214"/>
      <c r="N558" s="214"/>
      <c r="O558" s="236"/>
      <c r="P558" s="214"/>
      <c r="Q558" s="214"/>
      <c r="R558" s="214"/>
      <c r="S558" s="238" t="str">
        <f>IF(CommitmentsTable[[#This Row],[Commitment / deliverable]]="","",IF(CommitmentsTable[[#This Row],[Revised due]]&lt;&gt;"",CommitmentsTable[[#This Row],[Revised due]],CommitmentsTable[[#This Row],[Original due]]))</f>
        <v/>
      </c>
      <c r="T558" s="237" t="str">
        <f>IF(OR(CommitmentsTable[[#This Row],[Commitment / deliverable]]="",CommitmentsTable[[#This Row],[Owner]]=""),"",IF(CommitmentsTable[[#This Row],[Status2]]="","Open",CommitmentsTable[[#This Row],[Status2]]))</f>
        <v/>
      </c>
      <c r="U558" s="237" t="str">
        <f t="shared" ca="1" si="8"/>
        <v/>
      </c>
      <c r="V558" s="233"/>
      <c r="W558" s="63"/>
    </row>
    <row r="559" spans="1:23" ht="14.5">
      <c r="A559" s="213" t="str">
        <f>IF(OR(CommitmentsTable[[#This Row],[Commitment / deliverable]]="",CommitmentsTable[[#This Row],[Immutable Key]]=""),"",SUBSTITUTE(CommitmentsTable[[#This Row],[Immutable Key]],"-K-","-"))</f>
        <v/>
      </c>
      <c r="B559" s="233"/>
      <c r="C559" s="233"/>
      <c r="D559" s="213"/>
      <c r="E559" s="230"/>
      <c r="F559" s="213"/>
      <c r="G559" s="245" t="str">
        <f ca="1">IF(CommitmentsTable[[#This Row],[Commitment / deliverable]]="","",IF(CommitmentsTable[[#This Row],[Date record entered]]="",TODAY(),CommitmentsTable[[#This Row],[Date record entered]]))</f>
        <v/>
      </c>
      <c r="H559" s="245"/>
      <c r="I559" s="245" t="str">
        <f ca="1">IF(CommitmentsTable[[#This Row],[Date Assigned if different from entry date]]&lt;&gt;"",CommitmentsTable[[#This Row],[Date Assigned if different from entry date]]+90,IF(CommitmentsTable[[#This Row],[Date record entered]]&lt;&gt;"",CommitmentsTable[[#This Row],[Date record entered]]+90,""))</f>
        <v/>
      </c>
      <c r="J559" s="245" t="str">
        <f ca="1">IF(CommitmentsTable[[#This Row],[Date Assigned if different from entry date]]&lt;&gt;"",CommitmentsTable[[#This Row],[Date Assigned if different from entry date]]+30,IF(CommitmentsTable[[#This Row],[Date record entered]]&lt;&gt;"",CommitmentsTable[[#This Row],[Date record entered]]+30,""))</f>
        <v/>
      </c>
      <c r="K559" s="245"/>
      <c r="L559" s="245" t="str">
        <f ca="1">IF(CommitmentsTable[[#This Row],[Date Assigned if different from entry date]]&lt;&gt;"",CommitmentsTable[[#This Row],[Date Assigned if different from entry date]]+60,IF(CommitmentsTable[[#This Row],[Date record entered]]&lt;&gt;"",CommitmentsTable[[#This Row],[Date record entered]]+60,""))</f>
        <v/>
      </c>
      <c r="M559" s="214"/>
      <c r="N559" s="214"/>
      <c r="O559" s="236"/>
      <c r="P559" s="214"/>
      <c r="Q559" s="214"/>
      <c r="R559" s="214"/>
      <c r="S559" s="238" t="str">
        <f>IF(CommitmentsTable[[#This Row],[Commitment / deliverable]]="","",IF(CommitmentsTable[[#This Row],[Revised due]]&lt;&gt;"",CommitmentsTable[[#This Row],[Revised due]],CommitmentsTable[[#This Row],[Original due]]))</f>
        <v/>
      </c>
      <c r="T559" s="237" t="str">
        <f>IF(OR(CommitmentsTable[[#This Row],[Commitment / deliverable]]="",CommitmentsTable[[#This Row],[Owner]]=""),"",IF(CommitmentsTable[[#This Row],[Status2]]="","Open",CommitmentsTable[[#This Row],[Status2]]))</f>
        <v/>
      </c>
      <c r="U559" s="237" t="str">
        <f t="shared" ca="1" si="8"/>
        <v/>
      </c>
      <c r="V559" s="233"/>
      <c r="W559" s="63"/>
    </row>
    <row r="560" spans="1:23" ht="14.5">
      <c r="A560" s="213" t="str">
        <f>IF(OR(CommitmentsTable[[#This Row],[Commitment / deliverable]]="",CommitmentsTable[[#This Row],[Immutable Key]]=""),"",SUBSTITUTE(CommitmentsTable[[#This Row],[Immutable Key]],"-K-","-"))</f>
        <v/>
      </c>
      <c r="B560" s="233"/>
      <c r="C560" s="233"/>
      <c r="D560" s="213"/>
      <c r="E560" s="230"/>
      <c r="F560" s="213"/>
      <c r="G560" s="245" t="str">
        <f ca="1">IF(CommitmentsTable[[#This Row],[Commitment / deliverable]]="","",IF(CommitmentsTable[[#This Row],[Date record entered]]="",TODAY(),CommitmentsTable[[#This Row],[Date record entered]]))</f>
        <v/>
      </c>
      <c r="H560" s="245"/>
      <c r="I560" s="245" t="str">
        <f ca="1">IF(CommitmentsTable[[#This Row],[Date Assigned if different from entry date]]&lt;&gt;"",CommitmentsTable[[#This Row],[Date Assigned if different from entry date]]+90,IF(CommitmentsTable[[#This Row],[Date record entered]]&lt;&gt;"",CommitmentsTable[[#This Row],[Date record entered]]+90,""))</f>
        <v/>
      </c>
      <c r="J560" s="245" t="str">
        <f ca="1">IF(CommitmentsTable[[#This Row],[Date Assigned if different from entry date]]&lt;&gt;"",CommitmentsTable[[#This Row],[Date Assigned if different from entry date]]+30,IF(CommitmentsTable[[#This Row],[Date record entered]]&lt;&gt;"",CommitmentsTable[[#This Row],[Date record entered]]+30,""))</f>
        <v/>
      </c>
      <c r="K560" s="245"/>
      <c r="L560" s="245" t="str">
        <f ca="1">IF(CommitmentsTable[[#This Row],[Date Assigned if different from entry date]]&lt;&gt;"",CommitmentsTable[[#This Row],[Date Assigned if different from entry date]]+60,IF(CommitmentsTable[[#This Row],[Date record entered]]&lt;&gt;"",CommitmentsTable[[#This Row],[Date record entered]]+60,""))</f>
        <v/>
      </c>
      <c r="M560" s="214"/>
      <c r="N560" s="214"/>
      <c r="O560" s="236"/>
      <c r="P560" s="214"/>
      <c r="Q560" s="214"/>
      <c r="R560" s="214"/>
      <c r="S560" s="238" t="str">
        <f>IF(CommitmentsTable[[#This Row],[Commitment / deliverable]]="","",IF(CommitmentsTable[[#This Row],[Revised due]]&lt;&gt;"",CommitmentsTable[[#This Row],[Revised due]],CommitmentsTable[[#This Row],[Original due]]))</f>
        <v/>
      </c>
      <c r="T560" s="237" t="str">
        <f>IF(OR(CommitmentsTable[[#This Row],[Commitment / deliverable]]="",CommitmentsTable[[#This Row],[Owner]]=""),"",IF(CommitmentsTable[[#This Row],[Status2]]="","Open",CommitmentsTable[[#This Row],[Status2]]))</f>
        <v/>
      </c>
      <c r="U560" s="237" t="str">
        <f t="shared" ca="1" si="8"/>
        <v/>
      </c>
      <c r="V560" s="233"/>
      <c r="W560" s="63"/>
    </row>
    <row r="561" spans="1:23" ht="14.5">
      <c r="A561" s="213" t="str">
        <f>IF(OR(CommitmentsTable[[#This Row],[Commitment / deliverable]]="",CommitmentsTable[[#This Row],[Immutable Key]]=""),"",SUBSTITUTE(CommitmentsTable[[#This Row],[Immutable Key]],"-K-","-"))</f>
        <v/>
      </c>
      <c r="B561" s="233"/>
      <c r="C561" s="233"/>
      <c r="D561" s="213"/>
      <c r="E561" s="230"/>
      <c r="F561" s="213"/>
      <c r="G561" s="245" t="str">
        <f ca="1">IF(CommitmentsTable[[#This Row],[Commitment / deliverable]]="","",IF(CommitmentsTable[[#This Row],[Date record entered]]="",TODAY(),CommitmentsTable[[#This Row],[Date record entered]]))</f>
        <v/>
      </c>
      <c r="H561" s="245"/>
      <c r="I561" s="245" t="str">
        <f ca="1">IF(CommitmentsTable[[#This Row],[Date Assigned if different from entry date]]&lt;&gt;"",CommitmentsTable[[#This Row],[Date Assigned if different from entry date]]+90,IF(CommitmentsTable[[#This Row],[Date record entered]]&lt;&gt;"",CommitmentsTable[[#This Row],[Date record entered]]+90,""))</f>
        <v/>
      </c>
      <c r="J561" s="245" t="str">
        <f ca="1">IF(CommitmentsTable[[#This Row],[Date Assigned if different from entry date]]&lt;&gt;"",CommitmentsTable[[#This Row],[Date Assigned if different from entry date]]+30,IF(CommitmentsTable[[#This Row],[Date record entered]]&lt;&gt;"",CommitmentsTable[[#This Row],[Date record entered]]+30,""))</f>
        <v/>
      </c>
      <c r="K561" s="245"/>
      <c r="L561" s="245" t="str">
        <f ca="1">IF(CommitmentsTable[[#This Row],[Date Assigned if different from entry date]]&lt;&gt;"",CommitmentsTable[[#This Row],[Date Assigned if different from entry date]]+60,IF(CommitmentsTable[[#This Row],[Date record entered]]&lt;&gt;"",CommitmentsTable[[#This Row],[Date record entered]]+60,""))</f>
        <v/>
      </c>
      <c r="M561" s="214"/>
      <c r="N561" s="214"/>
      <c r="O561" s="236"/>
      <c r="P561" s="214"/>
      <c r="Q561" s="214"/>
      <c r="R561" s="214"/>
      <c r="S561" s="238" t="str">
        <f>IF(CommitmentsTable[[#This Row],[Commitment / deliverable]]="","",IF(CommitmentsTable[[#This Row],[Revised due]]&lt;&gt;"",CommitmentsTable[[#This Row],[Revised due]],CommitmentsTable[[#This Row],[Original due]]))</f>
        <v/>
      </c>
      <c r="T561" s="237" t="str">
        <f>IF(OR(CommitmentsTable[[#This Row],[Commitment / deliverable]]="",CommitmentsTable[[#This Row],[Owner]]=""),"",IF(CommitmentsTable[[#This Row],[Status2]]="","Open",CommitmentsTable[[#This Row],[Status2]]))</f>
        <v/>
      </c>
      <c r="U561" s="237" t="str">
        <f t="shared" ca="1" si="8"/>
        <v/>
      </c>
      <c r="V561" s="233"/>
      <c r="W561" s="63"/>
    </row>
    <row r="562" spans="1:23" ht="14.5">
      <c r="A562" s="213" t="str">
        <f>IF(OR(CommitmentsTable[[#This Row],[Commitment / deliverable]]="",CommitmentsTable[[#This Row],[Immutable Key]]=""),"",SUBSTITUTE(CommitmentsTable[[#This Row],[Immutable Key]],"-K-","-"))</f>
        <v/>
      </c>
      <c r="B562" s="233"/>
      <c r="C562" s="233"/>
      <c r="D562" s="213"/>
      <c r="E562" s="230"/>
      <c r="F562" s="213"/>
      <c r="G562" s="245" t="str">
        <f ca="1">IF(CommitmentsTable[[#This Row],[Commitment / deliverable]]="","",IF(CommitmentsTable[[#This Row],[Date record entered]]="",TODAY(),CommitmentsTable[[#This Row],[Date record entered]]))</f>
        <v/>
      </c>
      <c r="H562" s="245"/>
      <c r="I562" s="245" t="str">
        <f ca="1">IF(CommitmentsTable[[#This Row],[Date Assigned if different from entry date]]&lt;&gt;"",CommitmentsTable[[#This Row],[Date Assigned if different from entry date]]+90,IF(CommitmentsTable[[#This Row],[Date record entered]]&lt;&gt;"",CommitmentsTable[[#This Row],[Date record entered]]+90,""))</f>
        <v/>
      </c>
      <c r="J562" s="245" t="str">
        <f ca="1">IF(CommitmentsTable[[#This Row],[Date Assigned if different from entry date]]&lt;&gt;"",CommitmentsTable[[#This Row],[Date Assigned if different from entry date]]+30,IF(CommitmentsTable[[#This Row],[Date record entered]]&lt;&gt;"",CommitmentsTable[[#This Row],[Date record entered]]+30,""))</f>
        <v/>
      </c>
      <c r="K562" s="245"/>
      <c r="L562" s="245" t="str">
        <f ca="1">IF(CommitmentsTable[[#This Row],[Date Assigned if different from entry date]]&lt;&gt;"",CommitmentsTable[[#This Row],[Date Assigned if different from entry date]]+60,IF(CommitmentsTable[[#This Row],[Date record entered]]&lt;&gt;"",CommitmentsTable[[#This Row],[Date record entered]]+60,""))</f>
        <v/>
      </c>
      <c r="M562" s="214"/>
      <c r="N562" s="214"/>
      <c r="O562" s="236"/>
      <c r="P562" s="214"/>
      <c r="Q562" s="214"/>
      <c r="R562" s="214"/>
      <c r="S562" s="238" t="str">
        <f>IF(CommitmentsTable[[#This Row],[Commitment / deliverable]]="","",IF(CommitmentsTable[[#This Row],[Revised due]]&lt;&gt;"",CommitmentsTable[[#This Row],[Revised due]],CommitmentsTable[[#This Row],[Original due]]))</f>
        <v/>
      </c>
      <c r="T562" s="237" t="str">
        <f>IF(OR(CommitmentsTable[[#This Row],[Commitment / deliverable]]="",CommitmentsTable[[#This Row],[Owner]]=""),"",IF(CommitmentsTable[[#This Row],[Status2]]="","Open",CommitmentsTable[[#This Row],[Status2]]))</f>
        <v/>
      </c>
      <c r="U562" s="237" t="str">
        <f t="shared" ca="1" si="8"/>
        <v/>
      </c>
      <c r="V562" s="233"/>
      <c r="W562" s="63"/>
    </row>
    <row r="563" spans="1:23" ht="14.5">
      <c r="A563" s="213" t="str">
        <f>IF(OR(CommitmentsTable[[#This Row],[Commitment / deliverable]]="",CommitmentsTable[[#This Row],[Immutable Key]]=""),"",SUBSTITUTE(CommitmentsTable[[#This Row],[Immutable Key]],"-K-","-"))</f>
        <v/>
      </c>
      <c r="B563" s="233"/>
      <c r="C563" s="233"/>
      <c r="D563" s="213"/>
      <c r="E563" s="230"/>
      <c r="F563" s="213"/>
      <c r="G563" s="245" t="str">
        <f ca="1">IF(CommitmentsTable[[#This Row],[Commitment / deliverable]]="","",IF(CommitmentsTable[[#This Row],[Date record entered]]="",TODAY(),CommitmentsTable[[#This Row],[Date record entered]]))</f>
        <v/>
      </c>
      <c r="H563" s="245"/>
      <c r="I563" s="245" t="str">
        <f ca="1">IF(CommitmentsTable[[#This Row],[Date Assigned if different from entry date]]&lt;&gt;"",CommitmentsTable[[#This Row],[Date Assigned if different from entry date]]+90,IF(CommitmentsTable[[#This Row],[Date record entered]]&lt;&gt;"",CommitmentsTable[[#This Row],[Date record entered]]+90,""))</f>
        <v/>
      </c>
      <c r="J563" s="245" t="str">
        <f ca="1">IF(CommitmentsTable[[#This Row],[Date Assigned if different from entry date]]&lt;&gt;"",CommitmentsTable[[#This Row],[Date Assigned if different from entry date]]+30,IF(CommitmentsTable[[#This Row],[Date record entered]]&lt;&gt;"",CommitmentsTable[[#This Row],[Date record entered]]+30,""))</f>
        <v/>
      </c>
      <c r="K563" s="245"/>
      <c r="L563" s="245" t="str">
        <f ca="1">IF(CommitmentsTable[[#This Row],[Date Assigned if different from entry date]]&lt;&gt;"",CommitmentsTable[[#This Row],[Date Assigned if different from entry date]]+60,IF(CommitmentsTable[[#This Row],[Date record entered]]&lt;&gt;"",CommitmentsTable[[#This Row],[Date record entered]]+60,""))</f>
        <v/>
      </c>
      <c r="M563" s="214"/>
      <c r="N563" s="214"/>
      <c r="O563" s="236"/>
      <c r="P563" s="214"/>
      <c r="Q563" s="214"/>
      <c r="R563" s="214"/>
      <c r="S563" s="238" t="str">
        <f>IF(CommitmentsTable[[#This Row],[Commitment / deliverable]]="","",IF(CommitmentsTable[[#This Row],[Revised due]]&lt;&gt;"",CommitmentsTable[[#This Row],[Revised due]],CommitmentsTable[[#This Row],[Original due]]))</f>
        <v/>
      </c>
      <c r="T563" s="237" t="str">
        <f>IF(OR(CommitmentsTable[[#This Row],[Commitment / deliverable]]="",CommitmentsTable[[#This Row],[Owner]]=""),"",IF(CommitmentsTable[[#This Row],[Status2]]="","Open",CommitmentsTable[[#This Row],[Status2]]))</f>
        <v/>
      </c>
      <c r="U563" s="237" t="str">
        <f t="shared" ca="1" si="8"/>
        <v/>
      </c>
      <c r="V563" s="233"/>
      <c r="W563" s="63"/>
    </row>
    <row r="564" spans="1:23" ht="14.5">
      <c r="A564" s="213" t="str">
        <f>IF(OR(CommitmentsTable[[#This Row],[Commitment / deliverable]]="",CommitmentsTable[[#This Row],[Immutable Key]]=""),"",SUBSTITUTE(CommitmentsTable[[#This Row],[Immutable Key]],"-K-","-"))</f>
        <v/>
      </c>
      <c r="B564" s="233"/>
      <c r="C564" s="233"/>
      <c r="D564" s="213"/>
      <c r="E564" s="230"/>
      <c r="F564" s="213"/>
      <c r="G564" s="245" t="str">
        <f ca="1">IF(CommitmentsTable[[#This Row],[Commitment / deliverable]]="","",IF(CommitmentsTable[[#This Row],[Date record entered]]="",TODAY(),CommitmentsTable[[#This Row],[Date record entered]]))</f>
        <v/>
      </c>
      <c r="H564" s="245"/>
      <c r="I564" s="245" t="str">
        <f ca="1">IF(CommitmentsTable[[#This Row],[Date Assigned if different from entry date]]&lt;&gt;"",CommitmentsTable[[#This Row],[Date Assigned if different from entry date]]+90,IF(CommitmentsTable[[#This Row],[Date record entered]]&lt;&gt;"",CommitmentsTable[[#This Row],[Date record entered]]+90,""))</f>
        <v/>
      </c>
      <c r="J564" s="245" t="str">
        <f ca="1">IF(CommitmentsTable[[#This Row],[Date Assigned if different from entry date]]&lt;&gt;"",CommitmentsTable[[#This Row],[Date Assigned if different from entry date]]+30,IF(CommitmentsTable[[#This Row],[Date record entered]]&lt;&gt;"",CommitmentsTable[[#This Row],[Date record entered]]+30,""))</f>
        <v/>
      </c>
      <c r="K564" s="245"/>
      <c r="L564" s="245" t="str">
        <f ca="1">IF(CommitmentsTable[[#This Row],[Date Assigned if different from entry date]]&lt;&gt;"",CommitmentsTable[[#This Row],[Date Assigned if different from entry date]]+60,IF(CommitmentsTable[[#This Row],[Date record entered]]&lt;&gt;"",CommitmentsTable[[#This Row],[Date record entered]]+60,""))</f>
        <v/>
      </c>
      <c r="M564" s="214"/>
      <c r="N564" s="214"/>
      <c r="O564" s="236"/>
      <c r="P564" s="214"/>
      <c r="Q564" s="214"/>
      <c r="R564" s="214"/>
      <c r="S564" s="238" t="str">
        <f>IF(CommitmentsTable[[#This Row],[Commitment / deliverable]]="","",IF(CommitmentsTable[[#This Row],[Revised due]]&lt;&gt;"",CommitmentsTable[[#This Row],[Revised due]],CommitmentsTable[[#This Row],[Original due]]))</f>
        <v/>
      </c>
      <c r="T564" s="237" t="str">
        <f>IF(OR(CommitmentsTable[[#This Row],[Commitment / deliverable]]="",CommitmentsTable[[#This Row],[Owner]]=""),"",IF(CommitmentsTable[[#This Row],[Status2]]="","Open",CommitmentsTable[[#This Row],[Status2]]))</f>
        <v/>
      </c>
      <c r="U564" s="237" t="str">
        <f t="shared" ca="1" si="8"/>
        <v/>
      </c>
      <c r="V564" s="233"/>
      <c r="W564" s="63"/>
    </row>
    <row r="565" spans="1:23" ht="14.5">
      <c r="A565" s="213" t="str">
        <f>IF(OR(CommitmentsTable[[#This Row],[Commitment / deliverable]]="",CommitmentsTable[[#This Row],[Immutable Key]]=""),"",SUBSTITUTE(CommitmentsTable[[#This Row],[Immutable Key]],"-K-","-"))</f>
        <v/>
      </c>
      <c r="B565" s="233"/>
      <c r="C565" s="233"/>
      <c r="D565" s="213"/>
      <c r="E565" s="230"/>
      <c r="F565" s="213"/>
      <c r="G565" s="245" t="str">
        <f ca="1">IF(CommitmentsTable[[#This Row],[Commitment / deliverable]]="","",IF(CommitmentsTable[[#This Row],[Date record entered]]="",TODAY(),CommitmentsTable[[#This Row],[Date record entered]]))</f>
        <v/>
      </c>
      <c r="H565" s="245"/>
      <c r="I565" s="245" t="str">
        <f ca="1">IF(CommitmentsTable[[#This Row],[Date Assigned if different from entry date]]&lt;&gt;"",CommitmentsTable[[#This Row],[Date Assigned if different from entry date]]+90,IF(CommitmentsTable[[#This Row],[Date record entered]]&lt;&gt;"",CommitmentsTable[[#This Row],[Date record entered]]+90,""))</f>
        <v/>
      </c>
      <c r="J565" s="245" t="str">
        <f ca="1">IF(CommitmentsTable[[#This Row],[Date Assigned if different from entry date]]&lt;&gt;"",CommitmentsTable[[#This Row],[Date Assigned if different from entry date]]+30,IF(CommitmentsTable[[#This Row],[Date record entered]]&lt;&gt;"",CommitmentsTable[[#This Row],[Date record entered]]+30,""))</f>
        <v/>
      </c>
      <c r="K565" s="245"/>
      <c r="L565" s="245" t="str">
        <f ca="1">IF(CommitmentsTable[[#This Row],[Date Assigned if different from entry date]]&lt;&gt;"",CommitmentsTable[[#This Row],[Date Assigned if different from entry date]]+60,IF(CommitmentsTable[[#This Row],[Date record entered]]&lt;&gt;"",CommitmentsTable[[#This Row],[Date record entered]]+60,""))</f>
        <v/>
      </c>
      <c r="M565" s="214"/>
      <c r="N565" s="214"/>
      <c r="O565" s="236"/>
      <c r="P565" s="214"/>
      <c r="Q565" s="214"/>
      <c r="R565" s="214"/>
      <c r="S565" s="238" t="str">
        <f>IF(CommitmentsTable[[#This Row],[Commitment / deliverable]]="","",IF(CommitmentsTable[[#This Row],[Revised due]]&lt;&gt;"",CommitmentsTable[[#This Row],[Revised due]],CommitmentsTable[[#This Row],[Original due]]))</f>
        <v/>
      </c>
      <c r="T565" s="237" t="str">
        <f>IF(OR(CommitmentsTable[[#This Row],[Commitment / deliverable]]="",CommitmentsTable[[#This Row],[Owner]]=""),"",IF(CommitmentsTable[[#This Row],[Status2]]="","Open",CommitmentsTable[[#This Row],[Status2]]))</f>
        <v/>
      </c>
      <c r="U565" s="237" t="str">
        <f t="shared" ca="1" si="8"/>
        <v/>
      </c>
      <c r="V565" s="233"/>
      <c r="W565" s="63"/>
    </row>
    <row r="566" spans="1:23" ht="14.5">
      <c r="A566" s="213" t="str">
        <f>IF(OR(CommitmentsTable[[#This Row],[Commitment / deliverable]]="",CommitmentsTable[[#This Row],[Immutable Key]]=""),"",SUBSTITUTE(CommitmentsTable[[#This Row],[Immutable Key]],"-K-","-"))</f>
        <v/>
      </c>
      <c r="B566" s="233"/>
      <c r="C566" s="233"/>
      <c r="D566" s="213"/>
      <c r="E566" s="230"/>
      <c r="F566" s="213"/>
      <c r="G566" s="245" t="str">
        <f ca="1">IF(CommitmentsTable[[#This Row],[Commitment / deliverable]]="","",IF(CommitmentsTable[[#This Row],[Date record entered]]="",TODAY(),CommitmentsTable[[#This Row],[Date record entered]]))</f>
        <v/>
      </c>
      <c r="H566" s="245"/>
      <c r="I566" s="245" t="str">
        <f ca="1">IF(CommitmentsTable[[#This Row],[Date Assigned if different from entry date]]&lt;&gt;"",CommitmentsTable[[#This Row],[Date Assigned if different from entry date]]+90,IF(CommitmentsTable[[#This Row],[Date record entered]]&lt;&gt;"",CommitmentsTable[[#This Row],[Date record entered]]+90,""))</f>
        <v/>
      </c>
      <c r="J566" s="245" t="str">
        <f ca="1">IF(CommitmentsTable[[#This Row],[Date Assigned if different from entry date]]&lt;&gt;"",CommitmentsTable[[#This Row],[Date Assigned if different from entry date]]+30,IF(CommitmentsTable[[#This Row],[Date record entered]]&lt;&gt;"",CommitmentsTable[[#This Row],[Date record entered]]+30,""))</f>
        <v/>
      </c>
      <c r="K566" s="245"/>
      <c r="L566" s="245" t="str">
        <f ca="1">IF(CommitmentsTable[[#This Row],[Date Assigned if different from entry date]]&lt;&gt;"",CommitmentsTable[[#This Row],[Date Assigned if different from entry date]]+60,IF(CommitmentsTable[[#This Row],[Date record entered]]&lt;&gt;"",CommitmentsTable[[#This Row],[Date record entered]]+60,""))</f>
        <v/>
      </c>
      <c r="M566" s="214"/>
      <c r="N566" s="214"/>
      <c r="O566" s="236"/>
      <c r="P566" s="214"/>
      <c r="Q566" s="214"/>
      <c r="R566" s="214"/>
      <c r="S566" s="238" t="str">
        <f>IF(CommitmentsTable[[#This Row],[Commitment / deliverable]]="","",IF(CommitmentsTable[[#This Row],[Revised due]]&lt;&gt;"",CommitmentsTable[[#This Row],[Revised due]],CommitmentsTable[[#This Row],[Original due]]))</f>
        <v/>
      </c>
      <c r="T566" s="237" t="str">
        <f>IF(OR(CommitmentsTable[[#This Row],[Commitment / deliverable]]="",CommitmentsTable[[#This Row],[Owner]]=""),"",IF(CommitmentsTable[[#This Row],[Status2]]="","Open",CommitmentsTable[[#This Row],[Status2]]))</f>
        <v/>
      </c>
      <c r="U566" s="237" t="str">
        <f t="shared" ca="1" si="8"/>
        <v/>
      </c>
      <c r="V566" s="233"/>
      <c r="W566" s="63"/>
    </row>
    <row r="567" spans="1:23" ht="14.5">
      <c r="A567" s="213" t="str">
        <f>IF(OR(CommitmentsTable[[#This Row],[Commitment / deliverable]]="",CommitmentsTable[[#This Row],[Immutable Key]]=""),"",SUBSTITUTE(CommitmentsTable[[#This Row],[Immutable Key]],"-K-","-"))</f>
        <v/>
      </c>
      <c r="B567" s="233"/>
      <c r="C567" s="233"/>
      <c r="D567" s="213"/>
      <c r="E567" s="230"/>
      <c r="F567" s="213"/>
      <c r="G567" s="245" t="str">
        <f ca="1">IF(CommitmentsTable[[#This Row],[Commitment / deliverable]]="","",IF(CommitmentsTable[[#This Row],[Date record entered]]="",TODAY(),CommitmentsTable[[#This Row],[Date record entered]]))</f>
        <v/>
      </c>
      <c r="H567" s="245"/>
      <c r="I567" s="245" t="str">
        <f ca="1">IF(CommitmentsTable[[#This Row],[Date Assigned if different from entry date]]&lt;&gt;"",CommitmentsTable[[#This Row],[Date Assigned if different from entry date]]+90,IF(CommitmentsTable[[#This Row],[Date record entered]]&lt;&gt;"",CommitmentsTable[[#This Row],[Date record entered]]+90,""))</f>
        <v/>
      </c>
      <c r="J567" s="245" t="str">
        <f ca="1">IF(CommitmentsTable[[#This Row],[Date Assigned if different from entry date]]&lt;&gt;"",CommitmentsTable[[#This Row],[Date Assigned if different from entry date]]+30,IF(CommitmentsTable[[#This Row],[Date record entered]]&lt;&gt;"",CommitmentsTable[[#This Row],[Date record entered]]+30,""))</f>
        <v/>
      </c>
      <c r="K567" s="245"/>
      <c r="L567" s="245" t="str">
        <f ca="1">IF(CommitmentsTable[[#This Row],[Date Assigned if different from entry date]]&lt;&gt;"",CommitmentsTable[[#This Row],[Date Assigned if different from entry date]]+60,IF(CommitmentsTable[[#This Row],[Date record entered]]&lt;&gt;"",CommitmentsTable[[#This Row],[Date record entered]]+60,""))</f>
        <v/>
      </c>
      <c r="M567" s="214"/>
      <c r="N567" s="214"/>
      <c r="O567" s="236"/>
      <c r="P567" s="214"/>
      <c r="Q567" s="214"/>
      <c r="R567" s="214"/>
      <c r="S567" s="238" t="str">
        <f>IF(CommitmentsTable[[#This Row],[Commitment / deliverable]]="","",IF(CommitmentsTable[[#This Row],[Revised due]]&lt;&gt;"",CommitmentsTable[[#This Row],[Revised due]],CommitmentsTable[[#This Row],[Original due]]))</f>
        <v/>
      </c>
      <c r="T567" s="237" t="str">
        <f>IF(OR(CommitmentsTable[[#This Row],[Commitment / deliverable]]="",CommitmentsTable[[#This Row],[Owner]]=""),"",IF(CommitmentsTable[[#This Row],[Status2]]="","Open",CommitmentsTable[[#This Row],[Status2]]))</f>
        <v/>
      </c>
      <c r="U567" s="237" t="str">
        <f t="shared" ca="1" si="8"/>
        <v/>
      </c>
      <c r="V567" s="233"/>
      <c r="W567" s="63"/>
    </row>
    <row r="568" spans="1:23" ht="14.5">
      <c r="A568" s="213" t="str">
        <f>IF(OR(CommitmentsTable[[#This Row],[Commitment / deliverable]]="",CommitmentsTable[[#This Row],[Immutable Key]]=""),"",SUBSTITUTE(CommitmentsTable[[#This Row],[Immutable Key]],"-K-","-"))</f>
        <v/>
      </c>
      <c r="B568" s="233"/>
      <c r="C568" s="233"/>
      <c r="D568" s="213"/>
      <c r="E568" s="230"/>
      <c r="F568" s="213"/>
      <c r="G568" s="245" t="str">
        <f ca="1">IF(CommitmentsTable[[#This Row],[Commitment / deliverable]]="","",IF(CommitmentsTable[[#This Row],[Date record entered]]="",TODAY(),CommitmentsTable[[#This Row],[Date record entered]]))</f>
        <v/>
      </c>
      <c r="H568" s="245"/>
      <c r="I568" s="245" t="str">
        <f ca="1">IF(CommitmentsTable[[#This Row],[Date Assigned if different from entry date]]&lt;&gt;"",CommitmentsTable[[#This Row],[Date Assigned if different from entry date]]+90,IF(CommitmentsTable[[#This Row],[Date record entered]]&lt;&gt;"",CommitmentsTable[[#This Row],[Date record entered]]+90,""))</f>
        <v/>
      </c>
      <c r="J568" s="245" t="str">
        <f ca="1">IF(CommitmentsTable[[#This Row],[Date Assigned if different from entry date]]&lt;&gt;"",CommitmentsTable[[#This Row],[Date Assigned if different from entry date]]+30,IF(CommitmentsTable[[#This Row],[Date record entered]]&lt;&gt;"",CommitmentsTable[[#This Row],[Date record entered]]+30,""))</f>
        <v/>
      </c>
      <c r="K568" s="245"/>
      <c r="L568" s="245" t="str">
        <f ca="1">IF(CommitmentsTable[[#This Row],[Date Assigned if different from entry date]]&lt;&gt;"",CommitmentsTable[[#This Row],[Date Assigned if different from entry date]]+60,IF(CommitmentsTable[[#This Row],[Date record entered]]&lt;&gt;"",CommitmentsTable[[#This Row],[Date record entered]]+60,""))</f>
        <v/>
      </c>
      <c r="M568" s="214"/>
      <c r="N568" s="214"/>
      <c r="O568" s="236"/>
      <c r="P568" s="214"/>
      <c r="Q568" s="214"/>
      <c r="R568" s="214"/>
      <c r="S568" s="238" t="str">
        <f>IF(CommitmentsTable[[#This Row],[Commitment / deliverable]]="","",IF(CommitmentsTable[[#This Row],[Revised due]]&lt;&gt;"",CommitmentsTable[[#This Row],[Revised due]],CommitmentsTable[[#This Row],[Original due]]))</f>
        <v/>
      </c>
      <c r="T568" s="237" t="str">
        <f>IF(OR(CommitmentsTable[[#This Row],[Commitment / deliverable]]="",CommitmentsTable[[#This Row],[Owner]]=""),"",IF(CommitmentsTable[[#This Row],[Status2]]="","Open",CommitmentsTable[[#This Row],[Status2]]))</f>
        <v/>
      </c>
      <c r="U568" s="237" t="str">
        <f t="shared" ca="1" si="8"/>
        <v/>
      </c>
      <c r="V568" s="233"/>
      <c r="W568" s="63"/>
    </row>
    <row r="569" spans="1:23" ht="14.5">
      <c r="A569" s="213" t="str">
        <f>IF(OR(CommitmentsTable[[#This Row],[Commitment / deliverable]]="",CommitmentsTable[[#This Row],[Immutable Key]]=""),"",SUBSTITUTE(CommitmentsTable[[#This Row],[Immutable Key]],"-K-","-"))</f>
        <v/>
      </c>
      <c r="B569" s="233"/>
      <c r="C569" s="233"/>
      <c r="D569" s="213"/>
      <c r="E569" s="230"/>
      <c r="F569" s="213"/>
      <c r="G569" s="245" t="str">
        <f ca="1">IF(CommitmentsTable[[#This Row],[Commitment / deliverable]]="","",IF(CommitmentsTable[[#This Row],[Date record entered]]="",TODAY(),CommitmentsTable[[#This Row],[Date record entered]]))</f>
        <v/>
      </c>
      <c r="H569" s="245"/>
      <c r="I569" s="245" t="str">
        <f ca="1">IF(CommitmentsTable[[#This Row],[Date Assigned if different from entry date]]&lt;&gt;"",CommitmentsTable[[#This Row],[Date Assigned if different from entry date]]+90,IF(CommitmentsTable[[#This Row],[Date record entered]]&lt;&gt;"",CommitmentsTable[[#This Row],[Date record entered]]+90,""))</f>
        <v/>
      </c>
      <c r="J569" s="245" t="str">
        <f ca="1">IF(CommitmentsTable[[#This Row],[Date Assigned if different from entry date]]&lt;&gt;"",CommitmentsTable[[#This Row],[Date Assigned if different from entry date]]+30,IF(CommitmentsTable[[#This Row],[Date record entered]]&lt;&gt;"",CommitmentsTable[[#This Row],[Date record entered]]+30,""))</f>
        <v/>
      </c>
      <c r="K569" s="245"/>
      <c r="L569" s="245" t="str">
        <f ca="1">IF(CommitmentsTable[[#This Row],[Date Assigned if different from entry date]]&lt;&gt;"",CommitmentsTable[[#This Row],[Date Assigned if different from entry date]]+60,IF(CommitmentsTable[[#This Row],[Date record entered]]&lt;&gt;"",CommitmentsTable[[#This Row],[Date record entered]]+60,""))</f>
        <v/>
      </c>
      <c r="M569" s="214"/>
      <c r="N569" s="214"/>
      <c r="O569" s="236"/>
      <c r="P569" s="214"/>
      <c r="Q569" s="214"/>
      <c r="R569" s="214"/>
      <c r="S569" s="238" t="str">
        <f>IF(CommitmentsTable[[#This Row],[Commitment / deliverable]]="","",IF(CommitmentsTable[[#This Row],[Revised due]]&lt;&gt;"",CommitmentsTable[[#This Row],[Revised due]],CommitmentsTable[[#This Row],[Original due]]))</f>
        <v/>
      </c>
      <c r="T569" s="237" t="str">
        <f>IF(OR(CommitmentsTable[[#This Row],[Commitment / deliverable]]="",CommitmentsTable[[#This Row],[Owner]]=""),"",IF(CommitmentsTable[[#This Row],[Status2]]="","Open",CommitmentsTable[[#This Row],[Status2]]))</f>
        <v/>
      </c>
      <c r="U569" s="237" t="str">
        <f t="shared" ca="1" si="8"/>
        <v/>
      </c>
      <c r="V569" s="233"/>
      <c r="W569" s="63"/>
    </row>
    <row r="570" spans="1:23" ht="14.5">
      <c r="A570" s="213" t="str">
        <f>IF(OR(CommitmentsTable[[#This Row],[Commitment / deliverable]]="",CommitmentsTable[[#This Row],[Immutable Key]]=""),"",SUBSTITUTE(CommitmentsTable[[#This Row],[Immutable Key]],"-K-","-"))</f>
        <v/>
      </c>
      <c r="B570" s="233"/>
      <c r="C570" s="233"/>
      <c r="D570" s="213"/>
      <c r="E570" s="230"/>
      <c r="F570" s="213"/>
      <c r="G570" s="245" t="str">
        <f ca="1">IF(CommitmentsTable[[#This Row],[Commitment / deliverable]]="","",IF(CommitmentsTable[[#This Row],[Date record entered]]="",TODAY(),CommitmentsTable[[#This Row],[Date record entered]]))</f>
        <v/>
      </c>
      <c r="H570" s="245"/>
      <c r="I570" s="245" t="str">
        <f ca="1">IF(CommitmentsTable[[#This Row],[Date Assigned if different from entry date]]&lt;&gt;"",CommitmentsTable[[#This Row],[Date Assigned if different from entry date]]+90,IF(CommitmentsTable[[#This Row],[Date record entered]]&lt;&gt;"",CommitmentsTable[[#This Row],[Date record entered]]+90,""))</f>
        <v/>
      </c>
      <c r="J570" s="245" t="str">
        <f ca="1">IF(CommitmentsTable[[#This Row],[Date Assigned if different from entry date]]&lt;&gt;"",CommitmentsTable[[#This Row],[Date Assigned if different from entry date]]+30,IF(CommitmentsTable[[#This Row],[Date record entered]]&lt;&gt;"",CommitmentsTable[[#This Row],[Date record entered]]+30,""))</f>
        <v/>
      </c>
      <c r="K570" s="245"/>
      <c r="L570" s="245" t="str">
        <f ca="1">IF(CommitmentsTable[[#This Row],[Date Assigned if different from entry date]]&lt;&gt;"",CommitmentsTable[[#This Row],[Date Assigned if different from entry date]]+60,IF(CommitmentsTable[[#This Row],[Date record entered]]&lt;&gt;"",CommitmentsTable[[#This Row],[Date record entered]]+60,""))</f>
        <v/>
      </c>
      <c r="M570" s="214"/>
      <c r="N570" s="214"/>
      <c r="O570" s="236"/>
      <c r="P570" s="214"/>
      <c r="Q570" s="214"/>
      <c r="R570" s="214"/>
      <c r="S570" s="238" t="str">
        <f>IF(CommitmentsTable[[#This Row],[Commitment / deliverable]]="","",IF(CommitmentsTable[[#This Row],[Revised due]]&lt;&gt;"",CommitmentsTable[[#This Row],[Revised due]],CommitmentsTable[[#This Row],[Original due]]))</f>
        <v/>
      </c>
      <c r="T570" s="237" t="str">
        <f>IF(OR(CommitmentsTable[[#This Row],[Commitment / deliverable]]="",CommitmentsTable[[#This Row],[Owner]]=""),"",IF(CommitmentsTable[[#This Row],[Status2]]="","Open",CommitmentsTable[[#This Row],[Status2]]))</f>
        <v/>
      </c>
      <c r="U570" s="237" t="str">
        <f t="shared" ca="1" si="8"/>
        <v/>
      </c>
      <c r="V570" s="233"/>
      <c r="W570" s="63"/>
    </row>
    <row r="571" spans="1:23" ht="14.5">
      <c r="A571" s="213" t="str">
        <f>IF(OR(CommitmentsTable[[#This Row],[Commitment / deliverable]]="",CommitmentsTable[[#This Row],[Immutable Key]]=""),"",SUBSTITUTE(CommitmentsTable[[#This Row],[Immutable Key]],"-K-","-"))</f>
        <v/>
      </c>
      <c r="B571" s="233"/>
      <c r="C571" s="233"/>
      <c r="D571" s="213"/>
      <c r="E571" s="230"/>
      <c r="F571" s="213"/>
      <c r="G571" s="245" t="str">
        <f ca="1">IF(CommitmentsTable[[#This Row],[Commitment / deliverable]]="","",IF(CommitmentsTable[[#This Row],[Date record entered]]="",TODAY(),CommitmentsTable[[#This Row],[Date record entered]]))</f>
        <v/>
      </c>
      <c r="H571" s="245"/>
      <c r="I571" s="245" t="str">
        <f ca="1">IF(CommitmentsTable[[#This Row],[Date Assigned if different from entry date]]&lt;&gt;"",CommitmentsTable[[#This Row],[Date Assigned if different from entry date]]+90,IF(CommitmentsTable[[#This Row],[Date record entered]]&lt;&gt;"",CommitmentsTable[[#This Row],[Date record entered]]+90,""))</f>
        <v/>
      </c>
      <c r="J571" s="245" t="str">
        <f ca="1">IF(CommitmentsTable[[#This Row],[Date Assigned if different from entry date]]&lt;&gt;"",CommitmentsTable[[#This Row],[Date Assigned if different from entry date]]+30,IF(CommitmentsTable[[#This Row],[Date record entered]]&lt;&gt;"",CommitmentsTable[[#This Row],[Date record entered]]+30,""))</f>
        <v/>
      </c>
      <c r="K571" s="245"/>
      <c r="L571" s="245" t="str">
        <f ca="1">IF(CommitmentsTable[[#This Row],[Date Assigned if different from entry date]]&lt;&gt;"",CommitmentsTable[[#This Row],[Date Assigned if different from entry date]]+60,IF(CommitmentsTable[[#This Row],[Date record entered]]&lt;&gt;"",CommitmentsTable[[#This Row],[Date record entered]]+60,""))</f>
        <v/>
      </c>
      <c r="M571" s="214"/>
      <c r="N571" s="214"/>
      <c r="O571" s="236"/>
      <c r="P571" s="214"/>
      <c r="Q571" s="214"/>
      <c r="R571" s="214"/>
      <c r="S571" s="238" t="str">
        <f>IF(CommitmentsTable[[#This Row],[Commitment / deliverable]]="","",IF(CommitmentsTable[[#This Row],[Revised due]]&lt;&gt;"",CommitmentsTable[[#This Row],[Revised due]],CommitmentsTable[[#This Row],[Original due]]))</f>
        <v/>
      </c>
      <c r="T571" s="237" t="str">
        <f>IF(OR(CommitmentsTable[[#This Row],[Commitment / deliverable]]="",CommitmentsTable[[#This Row],[Owner]]=""),"",IF(CommitmentsTable[[#This Row],[Status2]]="","Open",CommitmentsTable[[#This Row],[Status2]]))</f>
        <v/>
      </c>
      <c r="U571" s="237" t="str">
        <f t="shared" ca="1" si="8"/>
        <v/>
      </c>
      <c r="V571" s="233"/>
      <c r="W571" s="63"/>
    </row>
    <row r="572" spans="1:23" ht="14.5">
      <c r="A572" s="213" t="str">
        <f>IF(OR(CommitmentsTable[[#This Row],[Commitment / deliverable]]="",CommitmentsTable[[#This Row],[Immutable Key]]=""),"",SUBSTITUTE(CommitmentsTable[[#This Row],[Immutable Key]],"-K-","-"))</f>
        <v/>
      </c>
      <c r="B572" s="233"/>
      <c r="C572" s="233"/>
      <c r="D572" s="213"/>
      <c r="E572" s="230"/>
      <c r="F572" s="213"/>
      <c r="G572" s="245" t="str">
        <f ca="1">IF(CommitmentsTable[[#This Row],[Commitment / deliverable]]="","",IF(CommitmentsTable[[#This Row],[Date record entered]]="",TODAY(),CommitmentsTable[[#This Row],[Date record entered]]))</f>
        <v/>
      </c>
      <c r="H572" s="245"/>
      <c r="I572" s="245" t="str">
        <f ca="1">IF(CommitmentsTable[[#This Row],[Date Assigned if different from entry date]]&lt;&gt;"",CommitmentsTable[[#This Row],[Date Assigned if different from entry date]]+90,IF(CommitmentsTable[[#This Row],[Date record entered]]&lt;&gt;"",CommitmentsTable[[#This Row],[Date record entered]]+90,""))</f>
        <v/>
      </c>
      <c r="J572" s="245" t="str">
        <f ca="1">IF(CommitmentsTable[[#This Row],[Date Assigned if different from entry date]]&lt;&gt;"",CommitmentsTable[[#This Row],[Date Assigned if different from entry date]]+30,IF(CommitmentsTable[[#This Row],[Date record entered]]&lt;&gt;"",CommitmentsTable[[#This Row],[Date record entered]]+30,""))</f>
        <v/>
      </c>
      <c r="K572" s="245"/>
      <c r="L572" s="245" t="str">
        <f ca="1">IF(CommitmentsTable[[#This Row],[Date Assigned if different from entry date]]&lt;&gt;"",CommitmentsTable[[#This Row],[Date Assigned if different from entry date]]+60,IF(CommitmentsTable[[#This Row],[Date record entered]]&lt;&gt;"",CommitmentsTable[[#This Row],[Date record entered]]+60,""))</f>
        <v/>
      </c>
      <c r="M572" s="214"/>
      <c r="N572" s="214"/>
      <c r="O572" s="236"/>
      <c r="P572" s="214"/>
      <c r="Q572" s="214"/>
      <c r="R572" s="214"/>
      <c r="S572" s="238" t="str">
        <f>IF(CommitmentsTable[[#This Row],[Commitment / deliverable]]="","",IF(CommitmentsTable[[#This Row],[Revised due]]&lt;&gt;"",CommitmentsTable[[#This Row],[Revised due]],CommitmentsTable[[#This Row],[Original due]]))</f>
        <v/>
      </c>
      <c r="T572" s="237" t="str">
        <f>IF(OR(CommitmentsTable[[#This Row],[Commitment / deliverable]]="",CommitmentsTable[[#This Row],[Owner]]=""),"",IF(CommitmentsTable[[#This Row],[Status2]]="","Open",CommitmentsTable[[#This Row],[Status2]]))</f>
        <v/>
      </c>
      <c r="U572" s="237" t="str">
        <f t="shared" ca="1" si="8"/>
        <v/>
      </c>
      <c r="V572" s="233"/>
      <c r="W572" s="63"/>
    </row>
    <row r="573" spans="1:23" ht="14.5">
      <c r="A573" s="213" t="str">
        <f>IF(OR(CommitmentsTable[[#This Row],[Commitment / deliverable]]="",CommitmentsTable[[#This Row],[Immutable Key]]=""),"",SUBSTITUTE(CommitmentsTable[[#This Row],[Immutable Key]],"-K-","-"))</f>
        <v/>
      </c>
      <c r="B573" s="233"/>
      <c r="C573" s="233"/>
      <c r="D573" s="213"/>
      <c r="E573" s="230"/>
      <c r="F573" s="213"/>
      <c r="G573" s="245" t="str">
        <f ca="1">IF(CommitmentsTable[[#This Row],[Commitment / deliverable]]="","",IF(CommitmentsTable[[#This Row],[Date record entered]]="",TODAY(),CommitmentsTable[[#This Row],[Date record entered]]))</f>
        <v/>
      </c>
      <c r="H573" s="245"/>
      <c r="I573" s="245" t="str">
        <f ca="1">IF(CommitmentsTable[[#This Row],[Date Assigned if different from entry date]]&lt;&gt;"",CommitmentsTable[[#This Row],[Date Assigned if different from entry date]]+90,IF(CommitmentsTable[[#This Row],[Date record entered]]&lt;&gt;"",CommitmentsTable[[#This Row],[Date record entered]]+90,""))</f>
        <v/>
      </c>
      <c r="J573" s="245" t="str">
        <f ca="1">IF(CommitmentsTable[[#This Row],[Date Assigned if different from entry date]]&lt;&gt;"",CommitmentsTable[[#This Row],[Date Assigned if different from entry date]]+30,IF(CommitmentsTable[[#This Row],[Date record entered]]&lt;&gt;"",CommitmentsTable[[#This Row],[Date record entered]]+30,""))</f>
        <v/>
      </c>
      <c r="K573" s="245"/>
      <c r="L573" s="245" t="str">
        <f ca="1">IF(CommitmentsTable[[#This Row],[Date Assigned if different from entry date]]&lt;&gt;"",CommitmentsTable[[#This Row],[Date Assigned if different from entry date]]+60,IF(CommitmentsTable[[#This Row],[Date record entered]]&lt;&gt;"",CommitmentsTable[[#This Row],[Date record entered]]+60,""))</f>
        <v/>
      </c>
      <c r="M573" s="214"/>
      <c r="N573" s="214"/>
      <c r="O573" s="236"/>
      <c r="P573" s="214"/>
      <c r="Q573" s="214"/>
      <c r="R573" s="214"/>
      <c r="S573" s="238" t="str">
        <f>IF(CommitmentsTable[[#This Row],[Commitment / deliverable]]="","",IF(CommitmentsTable[[#This Row],[Revised due]]&lt;&gt;"",CommitmentsTable[[#This Row],[Revised due]],CommitmentsTable[[#This Row],[Original due]]))</f>
        <v/>
      </c>
      <c r="T573" s="237" t="str">
        <f>IF(OR(CommitmentsTable[[#This Row],[Commitment / deliverable]]="",CommitmentsTable[[#This Row],[Owner]]=""),"",IF(CommitmentsTable[[#This Row],[Status2]]="","Open",CommitmentsTable[[#This Row],[Status2]]))</f>
        <v/>
      </c>
      <c r="U573" s="237" t="str">
        <f t="shared" ca="1" si="8"/>
        <v/>
      </c>
      <c r="V573" s="233"/>
      <c r="W573" s="63"/>
    </row>
    <row r="574" spans="1:23" ht="14.5">
      <c r="A574" s="213" t="str">
        <f>IF(OR(CommitmentsTable[[#This Row],[Commitment / deliverable]]="",CommitmentsTable[[#This Row],[Immutable Key]]=""),"",SUBSTITUTE(CommitmentsTable[[#This Row],[Immutable Key]],"-K-","-"))</f>
        <v/>
      </c>
      <c r="B574" s="233"/>
      <c r="C574" s="233"/>
      <c r="D574" s="213"/>
      <c r="E574" s="230"/>
      <c r="F574" s="213"/>
      <c r="G574" s="245" t="str">
        <f ca="1">IF(CommitmentsTable[[#This Row],[Commitment / deliverable]]="","",IF(CommitmentsTable[[#This Row],[Date record entered]]="",TODAY(),CommitmentsTable[[#This Row],[Date record entered]]))</f>
        <v/>
      </c>
      <c r="H574" s="245"/>
      <c r="I574" s="245" t="str">
        <f ca="1">IF(CommitmentsTable[[#This Row],[Date Assigned if different from entry date]]&lt;&gt;"",CommitmentsTable[[#This Row],[Date Assigned if different from entry date]]+90,IF(CommitmentsTable[[#This Row],[Date record entered]]&lt;&gt;"",CommitmentsTable[[#This Row],[Date record entered]]+90,""))</f>
        <v/>
      </c>
      <c r="J574" s="245" t="str">
        <f ca="1">IF(CommitmentsTable[[#This Row],[Date Assigned if different from entry date]]&lt;&gt;"",CommitmentsTable[[#This Row],[Date Assigned if different from entry date]]+30,IF(CommitmentsTable[[#This Row],[Date record entered]]&lt;&gt;"",CommitmentsTable[[#This Row],[Date record entered]]+30,""))</f>
        <v/>
      </c>
      <c r="K574" s="245"/>
      <c r="L574" s="245" t="str">
        <f ca="1">IF(CommitmentsTable[[#This Row],[Date Assigned if different from entry date]]&lt;&gt;"",CommitmentsTable[[#This Row],[Date Assigned if different from entry date]]+60,IF(CommitmentsTable[[#This Row],[Date record entered]]&lt;&gt;"",CommitmentsTable[[#This Row],[Date record entered]]+60,""))</f>
        <v/>
      </c>
      <c r="M574" s="214"/>
      <c r="N574" s="214"/>
      <c r="O574" s="236"/>
      <c r="P574" s="214"/>
      <c r="Q574" s="214"/>
      <c r="R574" s="214"/>
      <c r="S574" s="238" t="str">
        <f>IF(CommitmentsTable[[#This Row],[Commitment / deliverable]]="","",IF(CommitmentsTable[[#This Row],[Revised due]]&lt;&gt;"",CommitmentsTable[[#This Row],[Revised due]],CommitmentsTable[[#This Row],[Original due]]))</f>
        <v/>
      </c>
      <c r="T574" s="237" t="str">
        <f>IF(OR(CommitmentsTable[[#This Row],[Commitment / deliverable]]="",CommitmentsTable[[#This Row],[Owner]]=""),"",IF(CommitmentsTable[[#This Row],[Status2]]="","Open",CommitmentsTable[[#This Row],[Status2]]))</f>
        <v/>
      </c>
      <c r="U574" s="237" t="str">
        <f t="shared" ca="1" si="8"/>
        <v/>
      </c>
      <c r="V574" s="233"/>
      <c r="W574" s="63"/>
    </row>
    <row r="575" spans="1:23" ht="14.5">
      <c r="A575" s="213" t="str">
        <f>IF(OR(CommitmentsTable[[#This Row],[Commitment / deliverable]]="",CommitmentsTable[[#This Row],[Immutable Key]]=""),"",SUBSTITUTE(CommitmentsTable[[#This Row],[Immutable Key]],"-K-","-"))</f>
        <v/>
      </c>
      <c r="B575" s="233"/>
      <c r="C575" s="233"/>
      <c r="D575" s="213"/>
      <c r="E575" s="230"/>
      <c r="F575" s="213"/>
      <c r="G575" s="245" t="str">
        <f ca="1">IF(CommitmentsTable[[#This Row],[Commitment / deliverable]]="","",IF(CommitmentsTable[[#This Row],[Date record entered]]="",TODAY(),CommitmentsTable[[#This Row],[Date record entered]]))</f>
        <v/>
      </c>
      <c r="H575" s="245"/>
      <c r="I575" s="245" t="str">
        <f ca="1">IF(CommitmentsTable[[#This Row],[Date Assigned if different from entry date]]&lt;&gt;"",CommitmentsTable[[#This Row],[Date Assigned if different from entry date]]+90,IF(CommitmentsTable[[#This Row],[Date record entered]]&lt;&gt;"",CommitmentsTable[[#This Row],[Date record entered]]+90,""))</f>
        <v/>
      </c>
      <c r="J575" s="245" t="str">
        <f ca="1">IF(CommitmentsTable[[#This Row],[Date Assigned if different from entry date]]&lt;&gt;"",CommitmentsTable[[#This Row],[Date Assigned if different from entry date]]+30,IF(CommitmentsTable[[#This Row],[Date record entered]]&lt;&gt;"",CommitmentsTable[[#This Row],[Date record entered]]+30,""))</f>
        <v/>
      </c>
      <c r="K575" s="245"/>
      <c r="L575" s="245" t="str">
        <f ca="1">IF(CommitmentsTable[[#This Row],[Date Assigned if different from entry date]]&lt;&gt;"",CommitmentsTable[[#This Row],[Date Assigned if different from entry date]]+60,IF(CommitmentsTable[[#This Row],[Date record entered]]&lt;&gt;"",CommitmentsTable[[#This Row],[Date record entered]]+60,""))</f>
        <v/>
      </c>
      <c r="M575" s="214"/>
      <c r="N575" s="214"/>
      <c r="O575" s="236"/>
      <c r="P575" s="214"/>
      <c r="Q575" s="214"/>
      <c r="R575" s="214"/>
      <c r="S575" s="238" t="str">
        <f>IF(CommitmentsTable[[#This Row],[Commitment / deliverable]]="","",IF(CommitmentsTable[[#This Row],[Revised due]]&lt;&gt;"",CommitmentsTable[[#This Row],[Revised due]],CommitmentsTable[[#This Row],[Original due]]))</f>
        <v/>
      </c>
      <c r="T575" s="237" t="str">
        <f>IF(OR(CommitmentsTable[[#This Row],[Commitment / deliverable]]="",CommitmentsTable[[#This Row],[Owner]]=""),"",IF(CommitmentsTable[[#This Row],[Status2]]="","Open",CommitmentsTable[[#This Row],[Status2]]))</f>
        <v/>
      </c>
      <c r="U575" s="237" t="str">
        <f t="shared" ca="1" si="8"/>
        <v/>
      </c>
      <c r="V575" s="233"/>
      <c r="W575" s="63"/>
    </row>
    <row r="576" spans="1:23" ht="14.5">
      <c r="A576" s="213" t="str">
        <f>IF(OR(CommitmentsTable[[#This Row],[Commitment / deliverable]]="",CommitmentsTable[[#This Row],[Immutable Key]]=""),"",SUBSTITUTE(CommitmentsTable[[#This Row],[Immutable Key]],"-K-","-"))</f>
        <v/>
      </c>
      <c r="B576" s="233"/>
      <c r="C576" s="233"/>
      <c r="D576" s="213"/>
      <c r="E576" s="230"/>
      <c r="F576" s="213"/>
      <c r="G576" s="245" t="str">
        <f ca="1">IF(CommitmentsTable[[#This Row],[Commitment / deliverable]]="","",IF(CommitmentsTable[[#This Row],[Date record entered]]="",TODAY(),CommitmentsTable[[#This Row],[Date record entered]]))</f>
        <v/>
      </c>
      <c r="H576" s="245"/>
      <c r="I576" s="245" t="str">
        <f ca="1">IF(CommitmentsTable[[#This Row],[Date Assigned if different from entry date]]&lt;&gt;"",CommitmentsTable[[#This Row],[Date Assigned if different from entry date]]+90,IF(CommitmentsTable[[#This Row],[Date record entered]]&lt;&gt;"",CommitmentsTable[[#This Row],[Date record entered]]+90,""))</f>
        <v/>
      </c>
      <c r="J576" s="245" t="str">
        <f ca="1">IF(CommitmentsTable[[#This Row],[Date Assigned if different from entry date]]&lt;&gt;"",CommitmentsTable[[#This Row],[Date Assigned if different from entry date]]+30,IF(CommitmentsTable[[#This Row],[Date record entered]]&lt;&gt;"",CommitmentsTable[[#This Row],[Date record entered]]+30,""))</f>
        <v/>
      </c>
      <c r="K576" s="245"/>
      <c r="L576" s="245" t="str">
        <f ca="1">IF(CommitmentsTable[[#This Row],[Date Assigned if different from entry date]]&lt;&gt;"",CommitmentsTable[[#This Row],[Date Assigned if different from entry date]]+60,IF(CommitmentsTable[[#This Row],[Date record entered]]&lt;&gt;"",CommitmentsTable[[#This Row],[Date record entered]]+60,""))</f>
        <v/>
      </c>
      <c r="M576" s="214"/>
      <c r="N576" s="214"/>
      <c r="O576" s="236"/>
      <c r="P576" s="214"/>
      <c r="Q576" s="214"/>
      <c r="R576" s="214"/>
      <c r="S576" s="238" t="str">
        <f>IF(CommitmentsTable[[#This Row],[Commitment / deliverable]]="","",IF(CommitmentsTable[[#This Row],[Revised due]]&lt;&gt;"",CommitmentsTable[[#This Row],[Revised due]],CommitmentsTable[[#This Row],[Original due]]))</f>
        <v/>
      </c>
      <c r="T576" s="237" t="str">
        <f>IF(OR(CommitmentsTable[[#This Row],[Commitment / deliverable]]="",CommitmentsTable[[#This Row],[Owner]]=""),"",IF(CommitmentsTable[[#This Row],[Status2]]="","Open",CommitmentsTable[[#This Row],[Status2]]))</f>
        <v/>
      </c>
      <c r="U576" s="237" t="str">
        <f t="shared" ca="1" si="8"/>
        <v/>
      </c>
      <c r="V576" s="233"/>
      <c r="W576" s="63"/>
    </row>
    <row r="577" spans="1:23" ht="14.5">
      <c r="A577" s="213" t="str">
        <f>IF(OR(CommitmentsTable[[#This Row],[Commitment / deliverable]]="",CommitmentsTable[[#This Row],[Immutable Key]]=""),"",SUBSTITUTE(CommitmentsTable[[#This Row],[Immutable Key]],"-K-","-"))</f>
        <v/>
      </c>
      <c r="B577" s="233"/>
      <c r="C577" s="233"/>
      <c r="D577" s="213"/>
      <c r="E577" s="230"/>
      <c r="F577" s="213"/>
      <c r="G577" s="245" t="str">
        <f ca="1">IF(CommitmentsTable[[#This Row],[Commitment / deliverable]]="","",IF(CommitmentsTable[[#This Row],[Date record entered]]="",TODAY(),CommitmentsTable[[#This Row],[Date record entered]]))</f>
        <v/>
      </c>
      <c r="H577" s="245"/>
      <c r="I577" s="245" t="str">
        <f ca="1">IF(CommitmentsTable[[#This Row],[Date Assigned if different from entry date]]&lt;&gt;"",CommitmentsTable[[#This Row],[Date Assigned if different from entry date]]+90,IF(CommitmentsTable[[#This Row],[Date record entered]]&lt;&gt;"",CommitmentsTable[[#This Row],[Date record entered]]+90,""))</f>
        <v/>
      </c>
      <c r="J577" s="245" t="str">
        <f ca="1">IF(CommitmentsTable[[#This Row],[Date Assigned if different from entry date]]&lt;&gt;"",CommitmentsTable[[#This Row],[Date Assigned if different from entry date]]+30,IF(CommitmentsTable[[#This Row],[Date record entered]]&lt;&gt;"",CommitmentsTable[[#This Row],[Date record entered]]+30,""))</f>
        <v/>
      </c>
      <c r="K577" s="245"/>
      <c r="L577" s="245" t="str">
        <f ca="1">IF(CommitmentsTable[[#This Row],[Date Assigned if different from entry date]]&lt;&gt;"",CommitmentsTable[[#This Row],[Date Assigned if different from entry date]]+60,IF(CommitmentsTable[[#This Row],[Date record entered]]&lt;&gt;"",CommitmentsTable[[#This Row],[Date record entered]]+60,""))</f>
        <v/>
      </c>
      <c r="M577" s="214"/>
      <c r="N577" s="214"/>
      <c r="O577" s="236"/>
      <c r="P577" s="214"/>
      <c r="Q577" s="214"/>
      <c r="R577" s="214"/>
      <c r="S577" s="238" t="str">
        <f>IF(CommitmentsTable[[#This Row],[Commitment / deliverable]]="","",IF(CommitmentsTable[[#This Row],[Revised due]]&lt;&gt;"",CommitmentsTable[[#This Row],[Revised due]],CommitmentsTable[[#This Row],[Original due]]))</f>
        <v/>
      </c>
      <c r="T577" s="237" t="str">
        <f>IF(OR(CommitmentsTable[[#This Row],[Commitment / deliverable]]="",CommitmentsTable[[#This Row],[Owner]]=""),"",IF(CommitmentsTable[[#This Row],[Status2]]="","Open",CommitmentsTable[[#This Row],[Status2]]))</f>
        <v/>
      </c>
      <c r="U577" s="237" t="str">
        <f t="shared" ca="1" si="8"/>
        <v/>
      </c>
      <c r="V577" s="233"/>
      <c r="W577" s="63"/>
    </row>
    <row r="578" spans="1:23" ht="26">
      <c r="A578" s="213" t="str">
        <f>IF(OR(CommitmentsTable[[#This Row],[Commitment / deliverable]]="",CommitmentsTable[[#This Row],[Immutable Key]]=""),"",SUBSTITUTE(CommitmentsTable[[#This Row],[Immutable Key]],"-K-","-"))</f>
        <v/>
      </c>
      <c r="B578" s="233"/>
      <c r="C578" s="233"/>
      <c r="D578" s="213"/>
      <c r="E578" s="230"/>
      <c r="F578" s="213"/>
      <c r="G578" s="245" t="str">
        <f ca="1">IF(CommitmentsTable[[#This Row],[Commitment / deliverable]]="","",IF(CommitmentsTable[[#This Row],[Date record entered]]="",TODAY(),CommitmentsTable[[#This Row],[Date record entered]]))</f>
        <v/>
      </c>
      <c r="H578" s="245"/>
      <c r="I578" s="245" t="str">
        <f ca="1">IF(CommitmentsTable[[#This Row],[Date Assigned if different from entry date]]&lt;&gt;"",CommitmentsTable[[#This Row],[Date Assigned if different from entry date]]+90,IF(CommitmentsTable[[#This Row],[Date record entered]]&lt;&gt;"",CommitmentsTable[[#This Row],[Date record entered]]+90,""))</f>
        <v/>
      </c>
      <c r="J578" s="245" t="str">
        <f ca="1">IF(CommitmentsTable[[#This Row],[Date Assigned if different from entry date]]&lt;&gt;"",CommitmentsTable[[#This Row],[Date Assigned if different from entry date]]+30,IF(CommitmentsTable[[#This Row],[Date record entered]]&lt;&gt;"",CommitmentsTable[[#This Row],[Date record entered]]+30,""))</f>
        <v/>
      </c>
      <c r="K578" s="245"/>
      <c r="L578" s="245" t="str">
        <f ca="1">IF(CommitmentsTable[[#This Row],[Date Assigned if different from entry date]]&lt;&gt;"",CommitmentsTable[[#This Row],[Date Assigned if different from entry date]]+60,IF(CommitmentsTable[[#This Row],[Date record entered]]&lt;&gt;"",CommitmentsTable[[#This Row],[Date record entered]]+60,""))</f>
        <v/>
      </c>
      <c r="M578" s="214"/>
      <c r="N578" s="214"/>
      <c r="O578" s="236"/>
      <c r="P578" s="214"/>
      <c r="Q578" s="214"/>
      <c r="R578" s="214"/>
      <c r="S578" s="238" t="str">
        <f>IF(CommitmentsTable[[#This Row],[Commitment / deliverable]]="","",IF(CommitmentsTable[[#This Row],[Revised due]]&lt;&gt;"",CommitmentsTable[[#This Row],[Revised due]],CommitmentsTable[[#This Row],[Original due]]))</f>
        <v/>
      </c>
      <c r="T578" s="237" t="str">
        <f>IF(OR(CommitmentsTable[[#This Row],[Commitment / deliverable]]="",CommitmentsTable[[#This Row],[Owner]]=""),"",IF(CommitmentsTable[[#This Row],[Status2]]="","Open",CommitmentsTable[[#This Row],[Status2]]))</f>
        <v/>
      </c>
      <c r="U578" s="237" t="str">
        <f t="shared" ca="1" si="8"/>
        <v/>
      </c>
      <c r="V578" s="233"/>
      <c r="W578" s="63" t="s">
        <v>1480</v>
      </c>
    </row>
    <row r="579" spans="1:23" ht="26">
      <c r="A579" s="213" t="str">
        <f>IF(OR(CommitmentsTable[[#This Row],[Commitment / deliverable]]="",CommitmentsTable[[#This Row],[Immutable Key]]=""),"",SUBSTITUTE(CommitmentsTable[[#This Row],[Immutable Key]],"-K-","-"))</f>
        <v/>
      </c>
      <c r="B579" s="233"/>
      <c r="C579" s="233"/>
      <c r="D579" s="213"/>
      <c r="E579" s="230"/>
      <c r="F579" s="213"/>
      <c r="G579" s="245" t="str">
        <f ca="1">IF(CommitmentsTable[[#This Row],[Commitment / deliverable]]="","",IF(CommitmentsTable[[#This Row],[Date record entered]]="",TODAY(),CommitmentsTable[[#This Row],[Date record entered]]))</f>
        <v/>
      </c>
      <c r="H579" s="245"/>
      <c r="I579" s="245" t="str">
        <f ca="1">IF(CommitmentsTable[[#This Row],[Date Assigned if different from entry date]]&lt;&gt;"",CommitmentsTable[[#This Row],[Date Assigned if different from entry date]]+90,IF(CommitmentsTable[[#This Row],[Date record entered]]&lt;&gt;"",CommitmentsTable[[#This Row],[Date record entered]]+90,""))</f>
        <v/>
      </c>
      <c r="J579" s="245" t="str">
        <f ca="1">IF(CommitmentsTable[[#This Row],[Date Assigned if different from entry date]]&lt;&gt;"",CommitmentsTable[[#This Row],[Date Assigned if different from entry date]]+30,IF(CommitmentsTable[[#This Row],[Date record entered]]&lt;&gt;"",CommitmentsTable[[#This Row],[Date record entered]]+30,""))</f>
        <v/>
      </c>
      <c r="K579" s="245"/>
      <c r="L579" s="245" t="str">
        <f ca="1">IF(CommitmentsTable[[#This Row],[Date Assigned if different from entry date]]&lt;&gt;"",CommitmentsTable[[#This Row],[Date Assigned if different from entry date]]+60,IF(CommitmentsTable[[#This Row],[Date record entered]]&lt;&gt;"",CommitmentsTable[[#This Row],[Date record entered]]+60,""))</f>
        <v/>
      </c>
      <c r="M579" s="214"/>
      <c r="N579" s="214"/>
      <c r="O579" s="236"/>
      <c r="P579" s="214"/>
      <c r="Q579" s="214"/>
      <c r="R579" s="214"/>
      <c r="S579" s="238" t="str">
        <f>IF(CommitmentsTable[[#This Row],[Commitment / deliverable]]="","",IF(CommitmentsTable[[#This Row],[Revised due]]&lt;&gt;"",CommitmentsTable[[#This Row],[Revised due]],CommitmentsTable[[#This Row],[Original due]]))</f>
        <v/>
      </c>
      <c r="T579" s="237" t="str">
        <f>IF(OR(CommitmentsTable[[#This Row],[Commitment / deliverable]]="",CommitmentsTable[[#This Row],[Owner]]=""),"",IF(CommitmentsTable[[#This Row],[Status2]]="","Open",CommitmentsTable[[#This Row],[Status2]]))</f>
        <v/>
      </c>
      <c r="U579" s="237" t="str">
        <f t="shared" ca="1" si="8"/>
        <v/>
      </c>
      <c r="V579" s="233"/>
      <c r="W579" s="63" t="s">
        <v>1481</v>
      </c>
    </row>
    <row r="580" spans="1:23" ht="26">
      <c r="A580" s="213" t="str">
        <f>IF(OR(CommitmentsTable[[#This Row],[Commitment / deliverable]]="",CommitmentsTable[[#This Row],[Immutable Key]]=""),"",SUBSTITUTE(CommitmentsTable[[#This Row],[Immutable Key]],"-K-","-"))</f>
        <v/>
      </c>
      <c r="B580" s="233"/>
      <c r="C580" s="233"/>
      <c r="D580" s="213"/>
      <c r="E580" s="230"/>
      <c r="F580" s="213"/>
      <c r="G580" s="245" t="str">
        <f ca="1">IF(CommitmentsTable[[#This Row],[Commitment / deliverable]]="","",IF(CommitmentsTable[[#This Row],[Date record entered]]="",TODAY(),CommitmentsTable[[#This Row],[Date record entered]]))</f>
        <v/>
      </c>
      <c r="H580" s="245"/>
      <c r="I580" s="245" t="str">
        <f ca="1">IF(CommitmentsTable[[#This Row],[Date Assigned if different from entry date]]&lt;&gt;"",CommitmentsTable[[#This Row],[Date Assigned if different from entry date]]+90,IF(CommitmentsTable[[#This Row],[Date record entered]]&lt;&gt;"",CommitmentsTable[[#This Row],[Date record entered]]+90,""))</f>
        <v/>
      </c>
      <c r="J580" s="245" t="str">
        <f ca="1">IF(CommitmentsTable[[#This Row],[Date Assigned if different from entry date]]&lt;&gt;"",CommitmentsTable[[#This Row],[Date Assigned if different from entry date]]+30,IF(CommitmentsTable[[#This Row],[Date record entered]]&lt;&gt;"",CommitmentsTable[[#This Row],[Date record entered]]+30,""))</f>
        <v/>
      </c>
      <c r="K580" s="245"/>
      <c r="L580" s="245" t="str">
        <f ca="1">IF(CommitmentsTable[[#This Row],[Date Assigned if different from entry date]]&lt;&gt;"",CommitmentsTable[[#This Row],[Date Assigned if different from entry date]]+60,IF(CommitmentsTable[[#This Row],[Date record entered]]&lt;&gt;"",CommitmentsTable[[#This Row],[Date record entered]]+60,""))</f>
        <v/>
      </c>
      <c r="M580" s="214"/>
      <c r="N580" s="214"/>
      <c r="O580" s="236"/>
      <c r="P580" s="214"/>
      <c r="Q580" s="214"/>
      <c r="R580" s="214"/>
      <c r="S580" s="238" t="str">
        <f>IF(CommitmentsTable[[#This Row],[Commitment / deliverable]]="","",IF(CommitmentsTable[[#This Row],[Revised due]]&lt;&gt;"",CommitmentsTable[[#This Row],[Revised due]],CommitmentsTable[[#This Row],[Original due]]))</f>
        <v/>
      </c>
      <c r="T580" s="237" t="str">
        <f>IF(OR(CommitmentsTable[[#This Row],[Commitment / deliverable]]="",CommitmentsTable[[#This Row],[Owner]]=""),"",IF(CommitmentsTable[[#This Row],[Status2]]="","Open",CommitmentsTable[[#This Row],[Status2]]))</f>
        <v/>
      </c>
      <c r="U580" s="237" t="str">
        <f t="shared" ca="1" si="8"/>
        <v/>
      </c>
      <c r="V580" s="233"/>
      <c r="W580" s="63" t="s">
        <v>1482</v>
      </c>
    </row>
    <row r="581" spans="1:23" ht="26">
      <c r="A581" s="213" t="str">
        <f>IF(OR(CommitmentsTable[[#This Row],[Commitment / deliverable]]="",CommitmentsTable[[#This Row],[Immutable Key]]=""),"",SUBSTITUTE(CommitmentsTable[[#This Row],[Immutable Key]],"-K-","-"))</f>
        <v/>
      </c>
      <c r="B581" s="233"/>
      <c r="C581" s="233"/>
      <c r="D581" s="213"/>
      <c r="E581" s="230"/>
      <c r="F581" s="213"/>
      <c r="G581" s="245" t="str">
        <f ca="1">IF(CommitmentsTable[[#This Row],[Commitment / deliverable]]="","",IF(CommitmentsTable[[#This Row],[Date record entered]]="",TODAY(),CommitmentsTable[[#This Row],[Date record entered]]))</f>
        <v/>
      </c>
      <c r="H581" s="245"/>
      <c r="I581" s="245" t="str">
        <f ca="1">IF(CommitmentsTable[[#This Row],[Date Assigned if different from entry date]]&lt;&gt;"",CommitmentsTable[[#This Row],[Date Assigned if different from entry date]]+90,IF(CommitmentsTable[[#This Row],[Date record entered]]&lt;&gt;"",CommitmentsTable[[#This Row],[Date record entered]]+90,""))</f>
        <v/>
      </c>
      <c r="J581" s="245" t="str">
        <f ca="1">IF(CommitmentsTable[[#This Row],[Date Assigned if different from entry date]]&lt;&gt;"",CommitmentsTable[[#This Row],[Date Assigned if different from entry date]]+30,IF(CommitmentsTable[[#This Row],[Date record entered]]&lt;&gt;"",CommitmentsTable[[#This Row],[Date record entered]]+30,""))</f>
        <v/>
      </c>
      <c r="K581" s="245"/>
      <c r="L581" s="245" t="str">
        <f ca="1">IF(CommitmentsTable[[#This Row],[Date Assigned if different from entry date]]&lt;&gt;"",CommitmentsTable[[#This Row],[Date Assigned if different from entry date]]+60,IF(CommitmentsTable[[#This Row],[Date record entered]]&lt;&gt;"",CommitmentsTable[[#This Row],[Date record entered]]+60,""))</f>
        <v/>
      </c>
      <c r="M581" s="214"/>
      <c r="N581" s="214"/>
      <c r="O581" s="236"/>
      <c r="P581" s="214"/>
      <c r="Q581" s="214"/>
      <c r="R581" s="214"/>
      <c r="S581" s="238" t="str">
        <f>IF(CommitmentsTable[[#This Row],[Commitment / deliverable]]="","",IF(CommitmentsTable[[#This Row],[Revised due]]&lt;&gt;"",CommitmentsTable[[#This Row],[Revised due]],CommitmentsTable[[#This Row],[Original due]]))</f>
        <v/>
      </c>
      <c r="T581" s="237" t="str">
        <f>IF(OR(CommitmentsTable[[#This Row],[Commitment / deliverable]]="",CommitmentsTable[[#This Row],[Owner]]=""),"",IF(CommitmentsTable[[#This Row],[Status2]]="","Open",CommitmentsTable[[#This Row],[Status2]]))</f>
        <v/>
      </c>
      <c r="U581" s="237" t="str">
        <f t="shared" ca="1" si="8"/>
        <v/>
      </c>
      <c r="V581" s="233"/>
      <c r="W581" s="63" t="s">
        <v>1483</v>
      </c>
    </row>
    <row r="582" spans="1:23" ht="26">
      <c r="A582" s="213" t="str">
        <f>IF(OR(CommitmentsTable[[#This Row],[Commitment / deliverable]]="",CommitmentsTable[[#This Row],[Immutable Key]]=""),"",SUBSTITUTE(CommitmentsTable[[#This Row],[Immutable Key]],"-K-","-"))</f>
        <v/>
      </c>
      <c r="B582" s="233"/>
      <c r="C582" s="233"/>
      <c r="D582" s="213"/>
      <c r="E582" s="230"/>
      <c r="F582" s="213"/>
      <c r="G582" s="245" t="str">
        <f ca="1">IF(CommitmentsTable[[#This Row],[Commitment / deliverable]]="","",IF(CommitmentsTable[[#This Row],[Date record entered]]="",TODAY(),CommitmentsTable[[#This Row],[Date record entered]]))</f>
        <v/>
      </c>
      <c r="H582" s="245"/>
      <c r="I582" s="245" t="str">
        <f ca="1">IF(CommitmentsTable[[#This Row],[Date Assigned if different from entry date]]&lt;&gt;"",CommitmentsTable[[#This Row],[Date Assigned if different from entry date]]+90,IF(CommitmentsTable[[#This Row],[Date record entered]]&lt;&gt;"",CommitmentsTable[[#This Row],[Date record entered]]+90,""))</f>
        <v/>
      </c>
      <c r="J582" s="245" t="str">
        <f ca="1">IF(CommitmentsTable[[#This Row],[Date Assigned if different from entry date]]&lt;&gt;"",CommitmentsTable[[#This Row],[Date Assigned if different from entry date]]+30,IF(CommitmentsTable[[#This Row],[Date record entered]]&lt;&gt;"",CommitmentsTable[[#This Row],[Date record entered]]+30,""))</f>
        <v/>
      </c>
      <c r="K582" s="245"/>
      <c r="L582" s="245" t="str">
        <f ca="1">IF(CommitmentsTable[[#This Row],[Date Assigned if different from entry date]]&lt;&gt;"",CommitmentsTable[[#This Row],[Date Assigned if different from entry date]]+60,IF(CommitmentsTable[[#This Row],[Date record entered]]&lt;&gt;"",CommitmentsTable[[#This Row],[Date record entered]]+60,""))</f>
        <v/>
      </c>
      <c r="M582" s="214"/>
      <c r="N582" s="214"/>
      <c r="O582" s="236"/>
      <c r="P582" s="214"/>
      <c r="Q582" s="214"/>
      <c r="R582" s="214"/>
      <c r="S582" s="238" t="str">
        <f>IF(CommitmentsTable[[#This Row],[Commitment / deliverable]]="","",IF(CommitmentsTable[[#This Row],[Revised due]]&lt;&gt;"",CommitmentsTable[[#This Row],[Revised due]],CommitmentsTable[[#This Row],[Original due]]))</f>
        <v/>
      </c>
      <c r="T582" s="237" t="str">
        <f>IF(OR(CommitmentsTable[[#This Row],[Commitment / deliverable]]="",CommitmentsTable[[#This Row],[Owner]]=""),"",IF(CommitmentsTable[[#This Row],[Status2]]="","Open",CommitmentsTable[[#This Row],[Status2]]))</f>
        <v/>
      </c>
      <c r="U582" s="237" t="str">
        <f t="shared" ca="1" si="8"/>
        <v/>
      </c>
      <c r="V582" s="233"/>
      <c r="W582" s="63" t="s">
        <v>1484</v>
      </c>
    </row>
    <row r="583" spans="1:23" ht="26">
      <c r="A583" s="213" t="str">
        <f>IF(OR(CommitmentsTable[[#This Row],[Commitment / deliverable]]="",CommitmentsTable[[#This Row],[Immutable Key]]=""),"",SUBSTITUTE(CommitmentsTable[[#This Row],[Immutable Key]],"-K-","-"))</f>
        <v/>
      </c>
      <c r="B583" s="233"/>
      <c r="C583" s="233"/>
      <c r="D583" s="213"/>
      <c r="E583" s="230"/>
      <c r="F583" s="213"/>
      <c r="G583" s="245" t="str">
        <f ca="1">IF(CommitmentsTable[[#This Row],[Commitment / deliverable]]="","",IF(CommitmentsTable[[#This Row],[Date record entered]]="",TODAY(),CommitmentsTable[[#This Row],[Date record entered]]))</f>
        <v/>
      </c>
      <c r="H583" s="245"/>
      <c r="I583" s="245" t="str">
        <f ca="1">IF(CommitmentsTable[[#This Row],[Date Assigned if different from entry date]]&lt;&gt;"",CommitmentsTable[[#This Row],[Date Assigned if different from entry date]]+90,IF(CommitmentsTable[[#This Row],[Date record entered]]&lt;&gt;"",CommitmentsTable[[#This Row],[Date record entered]]+90,""))</f>
        <v/>
      </c>
      <c r="J583" s="245" t="str">
        <f ca="1">IF(CommitmentsTable[[#This Row],[Date Assigned if different from entry date]]&lt;&gt;"",CommitmentsTable[[#This Row],[Date Assigned if different from entry date]]+30,IF(CommitmentsTable[[#This Row],[Date record entered]]&lt;&gt;"",CommitmentsTable[[#This Row],[Date record entered]]+30,""))</f>
        <v/>
      </c>
      <c r="K583" s="245"/>
      <c r="L583" s="245" t="str">
        <f ca="1">IF(CommitmentsTable[[#This Row],[Date Assigned if different from entry date]]&lt;&gt;"",CommitmentsTable[[#This Row],[Date Assigned if different from entry date]]+60,IF(CommitmentsTable[[#This Row],[Date record entered]]&lt;&gt;"",CommitmentsTable[[#This Row],[Date record entered]]+60,""))</f>
        <v/>
      </c>
      <c r="M583" s="214"/>
      <c r="N583" s="214"/>
      <c r="O583" s="236"/>
      <c r="P583" s="214"/>
      <c r="Q583" s="214"/>
      <c r="R583" s="214"/>
      <c r="S583" s="238" t="str">
        <f>IF(CommitmentsTable[[#This Row],[Commitment / deliverable]]="","",IF(CommitmentsTable[[#This Row],[Revised due]]&lt;&gt;"",CommitmentsTable[[#This Row],[Revised due]],CommitmentsTable[[#This Row],[Original due]]))</f>
        <v/>
      </c>
      <c r="T583" s="237" t="str">
        <f>IF(OR(CommitmentsTable[[#This Row],[Commitment / deliverable]]="",CommitmentsTable[[#This Row],[Owner]]=""),"",IF(CommitmentsTable[[#This Row],[Status2]]="","Open",CommitmentsTable[[#This Row],[Status2]]))</f>
        <v/>
      </c>
      <c r="U583" s="237" t="str">
        <f t="shared" ca="1" si="8"/>
        <v/>
      </c>
      <c r="V583" s="233"/>
      <c r="W583" s="63" t="s">
        <v>1485</v>
      </c>
    </row>
    <row r="584" spans="1:23" ht="26">
      <c r="A584" s="213" t="str">
        <f>IF(OR(CommitmentsTable[[#This Row],[Commitment / deliverable]]="",CommitmentsTable[[#This Row],[Immutable Key]]=""),"",SUBSTITUTE(CommitmentsTable[[#This Row],[Immutable Key]],"-K-","-"))</f>
        <v/>
      </c>
      <c r="B584" s="233"/>
      <c r="C584" s="233"/>
      <c r="D584" s="213"/>
      <c r="E584" s="230"/>
      <c r="F584" s="213"/>
      <c r="G584" s="245" t="str">
        <f ca="1">IF(CommitmentsTable[[#This Row],[Commitment / deliverable]]="","",IF(CommitmentsTable[[#This Row],[Date record entered]]="",TODAY(),CommitmentsTable[[#This Row],[Date record entered]]))</f>
        <v/>
      </c>
      <c r="H584" s="245"/>
      <c r="I584" s="245" t="str">
        <f ca="1">IF(CommitmentsTable[[#This Row],[Date Assigned if different from entry date]]&lt;&gt;"",CommitmentsTable[[#This Row],[Date Assigned if different from entry date]]+90,IF(CommitmentsTable[[#This Row],[Date record entered]]&lt;&gt;"",CommitmentsTable[[#This Row],[Date record entered]]+90,""))</f>
        <v/>
      </c>
      <c r="J584" s="245" t="str">
        <f ca="1">IF(CommitmentsTable[[#This Row],[Date Assigned if different from entry date]]&lt;&gt;"",CommitmentsTable[[#This Row],[Date Assigned if different from entry date]]+30,IF(CommitmentsTable[[#This Row],[Date record entered]]&lt;&gt;"",CommitmentsTable[[#This Row],[Date record entered]]+30,""))</f>
        <v/>
      </c>
      <c r="K584" s="245"/>
      <c r="L584" s="245" t="str">
        <f ca="1">IF(CommitmentsTable[[#This Row],[Date Assigned if different from entry date]]&lt;&gt;"",CommitmentsTable[[#This Row],[Date Assigned if different from entry date]]+60,IF(CommitmentsTable[[#This Row],[Date record entered]]&lt;&gt;"",CommitmentsTable[[#This Row],[Date record entered]]+60,""))</f>
        <v/>
      </c>
      <c r="M584" s="214"/>
      <c r="N584" s="214"/>
      <c r="O584" s="236"/>
      <c r="P584" s="214"/>
      <c r="Q584" s="214"/>
      <c r="R584" s="214"/>
      <c r="S584" s="238" t="str">
        <f>IF(CommitmentsTable[[#This Row],[Commitment / deliverable]]="","",IF(CommitmentsTable[[#This Row],[Revised due]]&lt;&gt;"",CommitmentsTable[[#This Row],[Revised due]],CommitmentsTable[[#This Row],[Original due]]))</f>
        <v/>
      </c>
      <c r="T584" s="237" t="str">
        <f>IF(OR(CommitmentsTable[[#This Row],[Commitment / deliverable]]="",CommitmentsTable[[#This Row],[Owner]]=""),"",IF(CommitmentsTable[[#This Row],[Status2]]="","Open",CommitmentsTable[[#This Row],[Status2]]))</f>
        <v/>
      </c>
      <c r="U584" s="237" t="str">
        <f t="shared" ca="1" si="8"/>
        <v/>
      </c>
      <c r="V584" s="233"/>
      <c r="W584" s="63" t="s">
        <v>1486</v>
      </c>
    </row>
    <row r="585" spans="1:23" ht="26">
      <c r="A585" s="213" t="str">
        <f>IF(OR(CommitmentsTable[[#This Row],[Commitment / deliverable]]="",CommitmentsTable[[#This Row],[Immutable Key]]=""),"",SUBSTITUTE(CommitmentsTable[[#This Row],[Immutable Key]],"-K-","-"))</f>
        <v/>
      </c>
      <c r="B585" s="233"/>
      <c r="C585" s="233"/>
      <c r="D585" s="213"/>
      <c r="E585" s="230"/>
      <c r="F585" s="213"/>
      <c r="G585" s="245" t="str">
        <f ca="1">IF(CommitmentsTable[[#This Row],[Commitment / deliverable]]="","",IF(CommitmentsTable[[#This Row],[Date record entered]]="",TODAY(),CommitmentsTable[[#This Row],[Date record entered]]))</f>
        <v/>
      </c>
      <c r="H585" s="245"/>
      <c r="I585" s="245" t="str">
        <f ca="1">IF(CommitmentsTable[[#This Row],[Date Assigned if different from entry date]]&lt;&gt;"",CommitmentsTable[[#This Row],[Date Assigned if different from entry date]]+90,IF(CommitmentsTable[[#This Row],[Date record entered]]&lt;&gt;"",CommitmentsTable[[#This Row],[Date record entered]]+90,""))</f>
        <v/>
      </c>
      <c r="J585" s="245" t="str">
        <f ca="1">IF(CommitmentsTable[[#This Row],[Date Assigned if different from entry date]]&lt;&gt;"",CommitmentsTable[[#This Row],[Date Assigned if different from entry date]]+30,IF(CommitmentsTable[[#This Row],[Date record entered]]&lt;&gt;"",CommitmentsTable[[#This Row],[Date record entered]]+30,""))</f>
        <v/>
      </c>
      <c r="K585" s="245"/>
      <c r="L585" s="245" t="str">
        <f ca="1">IF(CommitmentsTable[[#This Row],[Date Assigned if different from entry date]]&lt;&gt;"",CommitmentsTable[[#This Row],[Date Assigned if different from entry date]]+60,IF(CommitmentsTable[[#This Row],[Date record entered]]&lt;&gt;"",CommitmentsTable[[#This Row],[Date record entered]]+60,""))</f>
        <v/>
      </c>
      <c r="M585" s="214"/>
      <c r="N585" s="214"/>
      <c r="O585" s="236"/>
      <c r="P585" s="214"/>
      <c r="Q585" s="214"/>
      <c r="R585" s="214"/>
      <c r="S585" s="238" t="str">
        <f>IF(CommitmentsTable[[#This Row],[Commitment / deliverable]]="","",IF(CommitmentsTable[[#This Row],[Revised due]]&lt;&gt;"",CommitmentsTable[[#This Row],[Revised due]],CommitmentsTable[[#This Row],[Original due]]))</f>
        <v/>
      </c>
      <c r="T585" s="237" t="str">
        <f>IF(OR(CommitmentsTable[[#This Row],[Commitment / deliverable]]="",CommitmentsTable[[#This Row],[Owner]]=""),"",IF(CommitmentsTable[[#This Row],[Status2]]="","Open",CommitmentsTable[[#This Row],[Status2]]))</f>
        <v/>
      </c>
      <c r="U585" s="237" t="str">
        <f t="shared" ca="1" si="8"/>
        <v/>
      </c>
      <c r="V585" s="233"/>
      <c r="W585" s="63" t="s">
        <v>1487</v>
      </c>
    </row>
    <row r="586" spans="1:23" ht="26">
      <c r="A586" s="213" t="str">
        <f>IF(OR(CommitmentsTable[[#This Row],[Commitment / deliverable]]="",CommitmentsTable[[#This Row],[Immutable Key]]=""),"",SUBSTITUTE(CommitmentsTable[[#This Row],[Immutable Key]],"-K-","-"))</f>
        <v/>
      </c>
      <c r="B586" s="233"/>
      <c r="C586" s="233"/>
      <c r="D586" s="213"/>
      <c r="E586" s="230"/>
      <c r="F586" s="213"/>
      <c r="G586" s="245" t="str">
        <f ca="1">IF(CommitmentsTable[[#This Row],[Commitment / deliverable]]="","",IF(CommitmentsTable[[#This Row],[Date record entered]]="",TODAY(),CommitmentsTable[[#This Row],[Date record entered]]))</f>
        <v/>
      </c>
      <c r="H586" s="245"/>
      <c r="I586" s="245" t="str">
        <f ca="1">IF(CommitmentsTable[[#This Row],[Date Assigned if different from entry date]]&lt;&gt;"",CommitmentsTable[[#This Row],[Date Assigned if different from entry date]]+90,IF(CommitmentsTable[[#This Row],[Date record entered]]&lt;&gt;"",CommitmentsTable[[#This Row],[Date record entered]]+90,""))</f>
        <v/>
      </c>
      <c r="J586" s="245" t="str">
        <f ca="1">IF(CommitmentsTable[[#This Row],[Date Assigned if different from entry date]]&lt;&gt;"",CommitmentsTable[[#This Row],[Date Assigned if different from entry date]]+30,IF(CommitmentsTable[[#This Row],[Date record entered]]&lt;&gt;"",CommitmentsTable[[#This Row],[Date record entered]]+30,""))</f>
        <v/>
      </c>
      <c r="K586" s="245"/>
      <c r="L586" s="245" t="str">
        <f ca="1">IF(CommitmentsTable[[#This Row],[Date Assigned if different from entry date]]&lt;&gt;"",CommitmentsTable[[#This Row],[Date Assigned if different from entry date]]+60,IF(CommitmentsTable[[#This Row],[Date record entered]]&lt;&gt;"",CommitmentsTable[[#This Row],[Date record entered]]+60,""))</f>
        <v/>
      </c>
      <c r="M586" s="214"/>
      <c r="N586" s="214"/>
      <c r="O586" s="236"/>
      <c r="P586" s="214"/>
      <c r="Q586" s="214"/>
      <c r="R586" s="214"/>
      <c r="S586" s="238" t="str">
        <f>IF(CommitmentsTable[[#This Row],[Commitment / deliverable]]="","",IF(CommitmentsTable[[#This Row],[Revised due]]&lt;&gt;"",CommitmentsTable[[#This Row],[Revised due]],CommitmentsTable[[#This Row],[Original due]]))</f>
        <v/>
      </c>
      <c r="T586" s="237" t="str">
        <f>IF(OR(CommitmentsTable[[#This Row],[Commitment / deliverable]]="",CommitmentsTable[[#This Row],[Owner]]=""),"",IF(CommitmentsTable[[#This Row],[Status2]]="","Open",CommitmentsTable[[#This Row],[Status2]]))</f>
        <v/>
      </c>
      <c r="U586" s="237" t="str">
        <f t="shared" ca="1" si="8"/>
        <v/>
      </c>
      <c r="V586" s="233"/>
      <c r="W586" s="63" t="s">
        <v>1488</v>
      </c>
    </row>
    <row r="587" spans="1:23" ht="26">
      <c r="A587" s="213" t="str">
        <f>IF(OR(CommitmentsTable[[#This Row],[Commitment / deliverable]]="",CommitmentsTable[[#This Row],[Immutable Key]]=""),"",SUBSTITUTE(CommitmentsTable[[#This Row],[Immutable Key]],"-K-","-"))</f>
        <v/>
      </c>
      <c r="B587" s="233"/>
      <c r="C587" s="233"/>
      <c r="D587" s="213"/>
      <c r="E587" s="230"/>
      <c r="F587" s="213"/>
      <c r="G587" s="245" t="str">
        <f ca="1">IF(CommitmentsTable[[#This Row],[Commitment / deliverable]]="","",IF(CommitmentsTable[[#This Row],[Date record entered]]="",TODAY(),CommitmentsTable[[#This Row],[Date record entered]]))</f>
        <v/>
      </c>
      <c r="H587" s="245"/>
      <c r="I587" s="245" t="str">
        <f ca="1">IF(CommitmentsTable[[#This Row],[Date Assigned if different from entry date]]&lt;&gt;"",CommitmentsTable[[#This Row],[Date Assigned if different from entry date]]+90,IF(CommitmentsTable[[#This Row],[Date record entered]]&lt;&gt;"",CommitmentsTable[[#This Row],[Date record entered]]+90,""))</f>
        <v/>
      </c>
      <c r="J587" s="245" t="str">
        <f ca="1">IF(CommitmentsTable[[#This Row],[Date Assigned if different from entry date]]&lt;&gt;"",CommitmentsTable[[#This Row],[Date Assigned if different from entry date]]+30,IF(CommitmentsTable[[#This Row],[Date record entered]]&lt;&gt;"",CommitmentsTable[[#This Row],[Date record entered]]+30,""))</f>
        <v/>
      </c>
      <c r="K587" s="245"/>
      <c r="L587" s="245" t="str">
        <f ca="1">IF(CommitmentsTable[[#This Row],[Date Assigned if different from entry date]]&lt;&gt;"",CommitmentsTable[[#This Row],[Date Assigned if different from entry date]]+60,IF(CommitmentsTable[[#This Row],[Date record entered]]&lt;&gt;"",CommitmentsTable[[#This Row],[Date record entered]]+60,""))</f>
        <v/>
      </c>
      <c r="M587" s="214"/>
      <c r="N587" s="214"/>
      <c r="O587" s="236"/>
      <c r="P587" s="214"/>
      <c r="Q587" s="214"/>
      <c r="R587" s="214"/>
      <c r="S587" s="238" t="str">
        <f>IF(CommitmentsTable[[#This Row],[Commitment / deliverable]]="","",IF(CommitmentsTable[[#This Row],[Revised due]]&lt;&gt;"",CommitmentsTable[[#This Row],[Revised due]],CommitmentsTable[[#This Row],[Original due]]))</f>
        <v/>
      </c>
      <c r="T587" s="237" t="str">
        <f>IF(OR(CommitmentsTable[[#This Row],[Commitment / deliverable]]="",CommitmentsTable[[#This Row],[Owner]]=""),"",IF(CommitmentsTable[[#This Row],[Status2]]="","Open",CommitmentsTable[[#This Row],[Status2]]))</f>
        <v/>
      </c>
      <c r="U587" s="237" t="str">
        <f t="shared" ca="1" si="8"/>
        <v/>
      </c>
      <c r="V587" s="233"/>
      <c r="W587" s="63" t="s">
        <v>1489</v>
      </c>
    </row>
    <row r="588" spans="1:23" ht="26">
      <c r="A588" s="213" t="str">
        <f>IF(OR(CommitmentsTable[[#This Row],[Commitment / deliverable]]="",CommitmentsTable[[#This Row],[Immutable Key]]=""),"",SUBSTITUTE(CommitmentsTable[[#This Row],[Immutable Key]],"-K-","-"))</f>
        <v/>
      </c>
      <c r="B588" s="233"/>
      <c r="C588" s="233"/>
      <c r="D588" s="213"/>
      <c r="E588" s="230"/>
      <c r="F588" s="213"/>
      <c r="G588" s="245" t="str">
        <f ca="1">IF(CommitmentsTable[[#This Row],[Commitment / deliverable]]="","",IF(CommitmentsTable[[#This Row],[Date record entered]]="",TODAY(),CommitmentsTable[[#This Row],[Date record entered]]))</f>
        <v/>
      </c>
      <c r="H588" s="245"/>
      <c r="I588" s="245" t="str">
        <f ca="1">IF(CommitmentsTable[[#This Row],[Date Assigned if different from entry date]]&lt;&gt;"",CommitmentsTable[[#This Row],[Date Assigned if different from entry date]]+90,IF(CommitmentsTable[[#This Row],[Date record entered]]&lt;&gt;"",CommitmentsTable[[#This Row],[Date record entered]]+90,""))</f>
        <v/>
      </c>
      <c r="J588" s="245" t="str">
        <f ca="1">IF(CommitmentsTable[[#This Row],[Date Assigned if different from entry date]]&lt;&gt;"",CommitmentsTable[[#This Row],[Date Assigned if different from entry date]]+30,IF(CommitmentsTable[[#This Row],[Date record entered]]&lt;&gt;"",CommitmentsTable[[#This Row],[Date record entered]]+30,""))</f>
        <v/>
      </c>
      <c r="K588" s="245"/>
      <c r="L588" s="245" t="str">
        <f ca="1">IF(CommitmentsTable[[#This Row],[Date Assigned if different from entry date]]&lt;&gt;"",CommitmentsTable[[#This Row],[Date Assigned if different from entry date]]+60,IF(CommitmentsTable[[#This Row],[Date record entered]]&lt;&gt;"",CommitmentsTable[[#This Row],[Date record entered]]+60,""))</f>
        <v/>
      </c>
      <c r="M588" s="214"/>
      <c r="N588" s="214"/>
      <c r="O588" s="236"/>
      <c r="P588" s="214"/>
      <c r="Q588" s="214"/>
      <c r="R588" s="214"/>
      <c r="S588" s="238" t="str">
        <f>IF(CommitmentsTable[[#This Row],[Commitment / deliverable]]="","",IF(CommitmentsTable[[#This Row],[Revised due]]&lt;&gt;"",CommitmentsTable[[#This Row],[Revised due]],CommitmentsTable[[#This Row],[Original due]]))</f>
        <v/>
      </c>
      <c r="T588" s="237" t="str">
        <f>IF(OR(CommitmentsTable[[#This Row],[Commitment / deliverable]]="",CommitmentsTable[[#This Row],[Owner]]=""),"",IF(CommitmentsTable[[#This Row],[Status2]]="","Open",CommitmentsTable[[#This Row],[Status2]]))</f>
        <v/>
      </c>
      <c r="U588" s="237" t="str">
        <f t="shared" ca="1" si="8"/>
        <v/>
      </c>
      <c r="V588" s="233"/>
      <c r="W588" s="63" t="s">
        <v>1490</v>
      </c>
    </row>
    <row r="589" spans="1:23" ht="26">
      <c r="A589" s="213" t="str">
        <f>IF(OR(CommitmentsTable[[#This Row],[Commitment / deliverable]]="",CommitmentsTable[[#This Row],[Immutable Key]]=""),"",SUBSTITUTE(CommitmentsTable[[#This Row],[Immutable Key]],"-K-","-"))</f>
        <v/>
      </c>
      <c r="B589" s="233"/>
      <c r="C589" s="233"/>
      <c r="D589" s="213"/>
      <c r="E589" s="230"/>
      <c r="F589" s="213"/>
      <c r="G589" s="245" t="str">
        <f ca="1">IF(CommitmentsTable[[#This Row],[Commitment / deliverable]]="","",IF(CommitmentsTable[[#This Row],[Date record entered]]="",TODAY(),CommitmentsTable[[#This Row],[Date record entered]]))</f>
        <v/>
      </c>
      <c r="H589" s="245"/>
      <c r="I589" s="245" t="str">
        <f ca="1">IF(CommitmentsTable[[#This Row],[Date Assigned if different from entry date]]&lt;&gt;"",CommitmentsTable[[#This Row],[Date Assigned if different from entry date]]+90,IF(CommitmentsTable[[#This Row],[Date record entered]]&lt;&gt;"",CommitmentsTable[[#This Row],[Date record entered]]+90,""))</f>
        <v/>
      </c>
      <c r="J589" s="245" t="str">
        <f ca="1">IF(CommitmentsTable[[#This Row],[Date Assigned if different from entry date]]&lt;&gt;"",CommitmentsTable[[#This Row],[Date Assigned if different from entry date]]+30,IF(CommitmentsTable[[#This Row],[Date record entered]]&lt;&gt;"",CommitmentsTable[[#This Row],[Date record entered]]+30,""))</f>
        <v/>
      </c>
      <c r="K589" s="245"/>
      <c r="L589" s="245" t="str">
        <f ca="1">IF(CommitmentsTable[[#This Row],[Date Assigned if different from entry date]]&lt;&gt;"",CommitmentsTable[[#This Row],[Date Assigned if different from entry date]]+60,IF(CommitmentsTable[[#This Row],[Date record entered]]&lt;&gt;"",CommitmentsTable[[#This Row],[Date record entered]]+60,""))</f>
        <v/>
      </c>
      <c r="M589" s="214"/>
      <c r="N589" s="214"/>
      <c r="O589" s="236"/>
      <c r="P589" s="214"/>
      <c r="Q589" s="214"/>
      <c r="R589" s="214"/>
      <c r="S589" s="238" t="str">
        <f>IF(CommitmentsTable[[#This Row],[Commitment / deliverable]]="","",IF(CommitmentsTable[[#This Row],[Revised due]]&lt;&gt;"",CommitmentsTable[[#This Row],[Revised due]],CommitmentsTable[[#This Row],[Original due]]))</f>
        <v/>
      </c>
      <c r="T589" s="237" t="str">
        <f>IF(OR(CommitmentsTable[[#This Row],[Commitment / deliverable]]="",CommitmentsTable[[#This Row],[Owner]]=""),"",IF(CommitmentsTable[[#This Row],[Status2]]="","Open",CommitmentsTable[[#This Row],[Status2]]))</f>
        <v/>
      </c>
      <c r="U589" s="237" t="str">
        <f t="shared" ref="U589:U652" ca="1" si="9">IF(B589="","",IF(T589="Closed","",IF(OR(T589="Slipped",T589="At risk",AND(S589&lt;&gt;"",S589&lt;TODAY())),"Slipped / at risk",IF(G589=TODAY(),"New today",IF(S589=TODAY()+1,"Due tomorrow","")))))</f>
        <v/>
      </c>
      <c r="V589" s="233"/>
      <c r="W589" s="63" t="s">
        <v>1491</v>
      </c>
    </row>
    <row r="590" spans="1:23" ht="26">
      <c r="A590" s="213" t="str">
        <f>IF(OR(CommitmentsTable[[#This Row],[Commitment / deliverable]]="",CommitmentsTable[[#This Row],[Immutable Key]]=""),"",SUBSTITUTE(CommitmentsTable[[#This Row],[Immutable Key]],"-K-","-"))</f>
        <v/>
      </c>
      <c r="B590" s="233"/>
      <c r="C590" s="233"/>
      <c r="D590" s="213"/>
      <c r="E590" s="230"/>
      <c r="F590" s="213"/>
      <c r="G590" s="245" t="str">
        <f ca="1">IF(CommitmentsTable[[#This Row],[Commitment / deliverable]]="","",IF(CommitmentsTable[[#This Row],[Date record entered]]="",TODAY(),CommitmentsTable[[#This Row],[Date record entered]]))</f>
        <v/>
      </c>
      <c r="H590" s="245"/>
      <c r="I590" s="245" t="str">
        <f ca="1">IF(CommitmentsTable[[#This Row],[Date Assigned if different from entry date]]&lt;&gt;"",CommitmentsTable[[#This Row],[Date Assigned if different from entry date]]+90,IF(CommitmentsTable[[#This Row],[Date record entered]]&lt;&gt;"",CommitmentsTable[[#This Row],[Date record entered]]+90,""))</f>
        <v/>
      </c>
      <c r="J590" s="245" t="str">
        <f ca="1">IF(CommitmentsTable[[#This Row],[Date Assigned if different from entry date]]&lt;&gt;"",CommitmentsTable[[#This Row],[Date Assigned if different from entry date]]+30,IF(CommitmentsTable[[#This Row],[Date record entered]]&lt;&gt;"",CommitmentsTable[[#This Row],[Date record entered]]+30,""))</f>
        <v/>
      </c>
      <c r="K590" s="245"/>
      <c r="L590" s="245" t="str">
        <f ca="1">IF(CommitmentsTable[[#This Row],[Date Assigned if different from entry date]]&lt;&gt;"",CommitmentsTable[[#This Row],[Date Assigned if different from entry date]]+60,IF(CommitmentsTable[[#This Row],[Date record entered]]&lt;&gt;"",CommitmentsTable[[#This Row],[Date record entered]]+60,""))</f>
        <v/>
      </c>
      <c r="M590" s="214"/>
      <c r="N590" s="214"/>
      <c r="O590" s="236"/>
      <c r="P590" s="214"/>
      <c r="Q590" s="214"/>
      <c r="R590" s="214"/>
      <c r="S590" s="238" t="str">
        <f>IF(CommitmentsTable[[#This Row],[Commitment / deliverable]]="","",IF(CommitmentsTable[[#This Row],[Revised due]]&lt;&gt;"",CommitmentsTable[[#This Row],[Revised due]],CommitmentsTable[[#This Row],[Original due]]))</f>
        <v/>
      </c>
      <c r="T590" s="237" t="str">
        <f>IF(OR(CommitmentsTable[[#This Row],[Commitment / deliverable]]="",CommitmentsTable[[#This Row],[Owner]]=""),"",IF(CommitmentsTable[[#This Row],[Status2]]="","Open",CommitmentsTable[[#This Row],[Status2]]))</f>
        <v/>
      </c>
      <c r="U590" s="237" t="str">
        <f t="shared" ca="1" si="9"/>
        <v/>
      </c>
      <c r="V590" s="233"/>
      <c r="W590" s="63" t="s">
        <v>1492</v>
      </c>
    </row>
    <row r="591" spans="1:23" ht="26">
      <c r="A591" s="213" t="str">
        <f>IF(OR(CommitmentsTable[[#This Row],[Commitment / deliverable]]="",CommitmentsTable[[#This Row],[Immutable Key]]=""),"",SUBSTITUTE(CommitmentsTable[[#This Row],[Immutable Key]],"-K-","-"))</f>
        <v/>
      </c>
      <c r="B591" s="233"/>
      <c r="C591" s="233"/>
      <c r="D591" s="213"/>
      <c r="E591" s="230"/>
      <c r="F591" s="213"/>
      <c r="G591" s="245" t="str">
        <f ca="1">IF(CommitmentsTable[[#This Row],[Commitment / deliverable]]="","",IF(CommitmentsTable[[#This Row],[Date record entered]]="",TODAY(),CommitmentsTable[[#This Row],[Date record entered]]))</f>
        <v/>
      </c>
      <c r="H591" s="245"/>
      <c r="I591" s="245" t="str">
        <f ca="1">IF(CommitmentsTable[[#This Row],[Date Assigned if different from entry date]]&lt;&gt;"",CommitmentsTable[[#This Row],[Date Assigned if different from entry date]]+90,IF(CommitmentsTable[[#This Row],[Date record entered]]&lt;&gt;"",CommitmentsTable[[#This Row],[Date record entered]]+90,""))</f>
        <v/>
      </c>
      <c r="J591" s="245" t="str">
        <f ca="1">IF(CommitmentsTable[[#This Row],[Date Assigned if different from entry date]]&lt;&gt;"",CommitmentsTable[[#This Row],[Date Assigned if different from entry date]]+30,IF(CommitmentsTable[[#This Row],[Date record entered]]&lt;&gt;"",CommitmentsTable[[#This Row],[Date record entered]]+30,""))</f>
        <v/>
      </c>
      <c r="K591" s="245"/>
      <c r="L591" s="245" t="str">
        <f ca="1">IF(CommitmentsTable[[#This Row],[Date Assigned if different from entry date]]&lt;&gt;"",CommitmentsTable[[#This Row],[Date Assigned if different from entry date]]+60,IF(CommitmentsTable[[#This Row],[Date record entered]]&lt;&gt;"",CommitmentsTable[[#This Row],[Date record entered]]+60,""))</f>
        <v/>
      </c>
      <c r="M591" s="214"/>
      <c r="N591" s="214"/>
      <c r="O591" s="236"/>
      <c r="P591" s="214"/>
      <c r="Q591" s="214"/>
      <c r="R591" s="214"/>
      <c r="S591" s="238" t="str">
        <f>IF(CommitmentsTable[[#This Row],[Commitment / deliverable]]="","",IF(CommitmentsTable[[#This Row],[Revised due]]&lt;&gt;"",CommitmentsTable[[#This Row],[Revised due]],CommitmentsTable[[#This Row],[Original due]]))</f>
        <v/>
      </c>
      <c r="T591" s="237" t="str">
        <f>IF(OR(CommitmentsTable[[#This Row],[Commitment / deliverable]]="",CommitmentsTable[[#This Row],[Owner]]=""),"",IF(CommitmentsTable[[#This Row],[Status2]]="","Open",CommitmentsTable[[#This Row],[Status2]]))</f>
        <v/>
      </c>
      <c r="U591" s="237" t="str">
        <f t="shared" ca="1" si="9"/>
        <v/>
      </c>
      <c r="V591" s="233"/>
      <c r="W591" s="63" t="s">
        <v>1493</v>
      </c>
    </row>
    <row r="592" spans="1:23" ht="26">
      <c r="A592" s="213" t="str">
        <f>IF(OR(CommitmentsTable[[#This Row],[Commitment / deliverable]]="",CommitmentsTable[[#This Row],[Immutable Key]]=""),"",SUBSTITUTE(CommitmentsTable[[#This Row],[Immutable Key]],"-K-","-"))</f>
        <v/>
      </c>
      <c r="B592" s="233"/>
      <c r="C592" s="233"/>
      <c r="D592" s="213"/>
      <c r="E592" s="230"/>
      <c r="F592" s="213"/>
      <c r="G592" s="245" t="str">
        <f ca="1">IF(CommitmentsTable[[#This Row],[Commitment / deliverable]]="","",IF(CommitmentsTable[[#This Row],[Date record entered]]="",TODAY(),CommitmentsTable[[#This Row],[Date record entered]]))</f>
        <v/>
      </c>
      <c r="H592" s="245"/>
      <c r="I592" s="245" t="str">
        <f ca="1">IF(CommitmentsTable[[#This Row],[Date Assigned if different from entry date]]&lt;&gt;"",CommitmentsTable[[#This Row],[Date Assigned if different from entry date]]+90,IF(CommitmentsTable[[#This Row],[Date record entered]]&lt;&gt;"",CommitmentsTable[[#This Row],[Date record entered]]+90,""))</f>
        <v/>
      </c>
      <c r="J592" s="245" t="str">
        <f ca="1">IF(CommitmentsTable[[#This Row],[Date Assigned if different from entry date]]&lt;&gt;"",CommitmentsTable[[#This Row],[Date Assigned if different from entry date]]+30,IF(CommitmentsTable[[#This Row],[Date record entered]]&lt;&gt;"",CommitmentsTable[[#This Row],[Date record entered]]+30,""))</f>
        <v/>
      </c>
      <c r="K592" s="245"/>
      <c r="L592" s="245" t="str">
        <f ca="1">IF(CommitmentsTable[[#This Row],[Date Assigned if different from entry date]]&lt;&gt;"",CommitmentsTable[[#This Row],[Date Assigned if different from entry date]]+60,IF(CommitmentsTable[[#This Row],[Date record entered]]&lt;&gt;"",CommitmentsTable[[#This Row],[Date record entered]]+60,""))</f>
        <v/>
      </c>
      <c r="M592" s="214"/>
      <c r="N592" s="214"/>
      <c r="O592" s="236"/>
      <c r="P592" s="214"/>
      <c r="Q592" s="214"/>
      <c r="R592" s="214"/>
      <c r="S592" s="238" t="str">
        <f>IF(CommitmentsTable[[#This Row],[Commitment / deliverable]]="","",IF(CommitmentsTable[[#This Row],[Revised due]]&lt;&gt;"",CommitmentsTable[[#This Row],[Revised due]],CommitmentsTable[[#This Row],[Original due]]))</f>
        <v/>
      </c>
      <c r="T592" s="237" t="str">
        <f>IF(OR(CommitmentsTable[[#This Row],[Commitment / deliverable]]="",CommitmentsTable[[#This Row],[Owner]]=""),"",IF(CommitmentsTable[[#This Row],[Status2]]="","Open",CommitmentsTable[[#This Row],[Status2]]))</f>
        <v/>
      </c>
      <c r="U592" s="237" t="str">
        <f t="shared" ca="1" si="9"/>
        <v/>
      </c>
      <c r="V592" s="233"/>
      <c r="W592" s="63" t="s">
        <v>1494</v>
      </c>
    </row>
    <row r="593" spans="1:23" ht="26">
      <c r="A593" s="213" t="str">
        <f>IF(OR(CommitmentsTable[[#This Row],[Commitment / deliverable]]="",CommitmentsTable[[#This Row],[Immutable Key]]=""),"",SUBSTITUTE(CommitmentsTable[[#This Row],[Immutable Key]],"-K-","-"))</f>
        <v/>
      </c>
      <c r="B593" s="233"/>
      <c r="C593" s="233"/>
      <c r="D593" s="213"/>
      <c r="E593" s="230"/>
      <c r="F593" s="213"/>
      <c r="G593" s="245" t="str">
        <f ca="1">IF(CommitmentsTable[[#This Row],[Commitment / deliverable]]="","",IF(CommitmentsTable[[#This Row],[Date record entered]]="",TODAY(),CommitmentsTable[[#This Row],[Date record entered]]))</f>
        <v/>
      </c>
      <c r="H593" s="245"/>
      <c r="I593" s="245" t="str">
        <f ca="1">IF(CommitmentsTable[[#This Row],[Date Assigned if different from entry date]]&lt;&gt;"",CommitmentsTable[[#This Row],[Date Assigned if different from entry date]]+90,IF(CommitmentsTable[[#This Row],[Date record entered]]&lt;&gt;"",CommitmentsTable[[#This Row],[Date record entered]]+90,""))</f>
        <v/>
      </c>
      <c r="J593" s="245" t="str">
        <f ca="1">IF(CommitmentsTable[[#This Row],[Date Assigned if different from entry date]]&lt;&gt;"",CommitmentsTable[[#This Row],[Date Assigned if different from entry date]]+30,IF(CommitmentsTable[[#This Row],[Date record entered]]&lt;&gt;"",CommitmentsTable[[#This Row],[Date record entered]]+30,""))</f>
        <v/>
      </c>
      <c r="K593" s="245"/>
      <c r="L593" s="245" t="str">
        <f ca="1">IF(CommitmentsTable[[#This Row],[Date Assigned if different from entry date]]&lt;&gt;"",CommitmentsTable[[#This Row],[Date Assigned if different from entry date]]+60,IF(CommitmentsTable[[#This Row],[Date record entered]]&lt;&gt;"",CommitmentsTable[[#This Row],[Date record entered]]+60,""))</f>
        <v/>
      </c>
      <c r="M593" s="214"/>
      <c r="N593" s="214"/>
      <c r="O593" s="236"/>
      <c r="P593" s="214"/>
      <c r="Q593" s="214"/>
      <c r="R593" s="214"/>
      <c r="S593" s="238" t="str">
        <f>IF(CommitmentsTable[[#This Row],[Commitment / deliverable]]="","",IF(CommitmentsTable[[#This Row],[Revised due]]&lt;&gt;"",CommitmentsTable[[#This Row],[Revised due]],CommitmentsTable[[#This Row],[Original due]]))</f>
        <v/>
      </c>
      <c r="T593" s="237" t="str">
        <f>IF(OR(CommitmentsTable[[#This Row],[Commitment / deliverable]]="",CommitmentsTable[[#This Row],[Owner]]=""),"",IF(CommitmentsTable[[#This Row],[Status2]]="","Open",CommitmentsTable[[#This Row],[Status2]]))</f>
        <v/>
      </c>
      <c r="U593" s="237" t="str">
        <f t="shared" ca="1" si="9"/>
        <v/>
      </c>
      <c r="V593" s="233"/>
      <c r="W593" s="63" t="s">
        <v>1495</v>
      </c>
    </row>
    <row r="594" spans="1:23" ht="26">
      <c r="A594" s="213" t="str">
        <f>IF(OR(CommitmentsTable[[#This Row],[Commitment / deliverable]]="",CommitmentsTable[[#This Row],[Immutable Key]]=""),"",SUBSTITUTE(CommitmentsTable[[#This Row],[Immutable Key]],"-K-","-"))</f>
        <v/>
      </c>
      <c r="B594" s="233"/>
      <c r="C594" s="233"/>
      <c r="D594" s="213"/>
      <c r="E594" s="230"/>
      <c r="F594" s="213"/>
      <c r="G594" s="245" t="str">
        <f ca="1">IF(CommitmentsTable[[#This Row],[Commitment / deliverable]]="","",IF(CommitmentsTable[[#This Row],[Date record entered]]="",TODAY(),CommitmentsTable[[#This Row],[Date record entered]]))</f>
        <v/>
      </c>
      <c r="H594" s="245"/>
      <c r="I594" s="245" t="str">
        <f ca="1">IF(CommitmentsTable[[#This Row],[Date Assigned if different from entry date]]&lt;&gt;"",CommitmentsTable[[#This Row],[Date Assigned if different from entry date]]+90,IF(CommitmentsTable[[#This Row],[Date record entered]]&lt;&gt;"",CommitmentsTable[[#This Row],[Date record entered]]+90,""))</f>
        <v/>
      </c>
      <c r="J594" s="245" t="str">
        <f ca="1">IF(CommitmentsTable[[#This Row],[Date Assigned if different from entry date]]&lt;&gt;"",CommitmentsTable[[#This Row],[Date Assigned if different from entry date]]+30,IF(CommitmentsTable[[#This Row],[Date record entered]]&lt;&gt;"",CommitmentsTable[[#This Row],[Date record entered]]+30,""))</f>
        <v/>
      </c>
      <c r="K594" s="245"/>
      <c r="L594" s="245" t="str">
        <f ca="1">IF(CommitmentsTable[[#This Row],[Date Assigned if different from entry date]]&lt;&gt;"",CommitmentsTable[[#This Row],[Date Assigned if different from entry date]]+60,IF(CommitmentsTable[[#This Row],[Date record entered]]&lt;&gt;"",CommitmentsTable[[#This Row],[Date record entered]]+60,""))</f>
        <v/>
      </c>
      <c r="M594" s="214"/>
      <c r="N594" s="214"/>
      <c r="O594" s="236"/>
      <c r="P594" s="214"/>
      <c r="Q594" s="214"/>
      <c r="R594" s="214"/>
      <c r="S594" s="238" t="str">
        <f>IF(CommitmentsTable[[#This Row],[Commitment / deliverable]]="","",IF(CommitmentsTable[[#This Row],[Revised due]]&lt;&gt;"",CommitmentsTable[[#This Row],[Revised due]],CommitmentsTable[[#This Row],[Original due]]))</f>
        <v/>
      </c>
      <c r="T594" s="237" t="str">
        <f>IF(OR(CommitmentsTable[[#This Row],[Commitment / deliverable]]="",CommitmentsTable[[#This Row],[Owner]]=""),"",IF(CommitmentsTable[[#This Row],[Status2]]="","Open",CommitmentsTable[[#This Row],[Status2]]))</f>
        <v/>
      </c>
      <c r="U594" s="237" t="str">
        <f t="shared" ca="1" si="9"/>
        <v/>
      </c>
      <c r="V594" s="233"/>
      <c r="W594" s="63" t="s">
        <v>1496</v>
      </c>
    </row>
    <row r="595" spans="1:23" ht="26">
      <c r="A595" s="213" t="str">
        <f>IF(OR(CommitmentsTable[[#This Row],[Commitment / deliverable]]="",CommitmentsTable[[#This Row],[Immutable Key]]=""),"",SUBSTITUTE(CommitmentsTable[[#This Row],[Immutable Key]],"-K-","-"))</f>
        <v/>
      </c>
      <c r="B595" s="233"/>
      <c r="C595" s="233"/>
      <c r="D595" s="213"/>
      <c r="E595" s="230"/>
      <c r="F595" s="213"/>
      <c r="G595" s="245" t="str">
        <f ca="1">IF(CommitmentsTable[[#This Row],[Commitment / deliverable]]="","",IF(CommitmentsTable[[#This Row],[Date record entered]]="",TODAY(),CommitmentsTable[[#This Row],[Date record entered]]))</f>
        <v/>
      </c>
      <c r="H595" s="245"/>
      <c r="I595" s="245" t="str">
        <f ca="1">IF(CommitmentsTable[[#This Row],[Date Assigned if different from entry date]]&lt;&gt;"",CommitmentsTable[[#This Row],[Date Assigned if different from entry date]]+90,IF(CommitmentsTable[[#This Row],[Date record entered]]&lt;&gt;"",CommitmentsTable[[#This Row],[Date record entered]]+90,""))</f>
        <v/>
      </c>
      <c r="J595" s="245" t="str">
        <f ca="1">IF(CommitmentsTable[[#This Row],[Date Assigned if different from entry date]]&lt;&gt;"",CommitmentsTable[[#This Row],[Date Assigned if different from entry date]]+30,IF(CommitmentsTable[[#This Row],[Date record entered]]&lt;&gt;"",CommitmentsTable[[#This Row],[Date record entered]]+30,""))</f>
        <v/>
      </c>
      <c r="K595" s="245"/>
      <c r="L595" s="245" t="str">
        <f ca="1">IF(CommitmentsTable[[#This Row],[Date Assigned if different from entry date]]&lt;&gt;"",CommitmentsTable[[#This Row],[Date Assigned if different from entry date]]+60,IF(CommitmentsTable[[#This Row],[Date record entered]]&lt;&gt;"",CommitmentsTable[[#This Row],[Date record entered]]+60,""))</f>
        <v/>
      </c>
      <c r="M595" s="214"/>
      <c r="N595" s="214"/>
      <c r="O595" s="236"/>
      <c r="P595" s="214"/>
      <c r="Q595" s="214"/>
      <c r="R595" s="214"/>
      <c r="S595" s="238" t="str">
        <f>IF(CommitmentsTable[[#This Row],[Commitment / deliverable]]="","",IF(CommitmentsTable[[#This Row],[Revised due]]&lt;&gt;"",CommitmentsTable[[#This Row],[Revised due]],CommitmentsTable[[#This Row],[Original due]]))</f>
        <v/>
      </c>
      <c r="T595" s="237" t="str">
        <f>IF(OR(CommitmentsTable[[#This Row],[Commitment / deliverable]]="",CommitmentsTable[[#This Row],[Owner]]=""),"",IF(CommitmentsTable[[#This Row],[Status2]]="","Open",CommitmentsTable[[#This Row],[Status2]]))</f>
        <v/>
      </c>
      <c r="U595" s="237" t="str">
        <f t="shared" ca="1" si="9"/>
        <v/>
      </c>
      <c r="V595" s="233"/>
      <c r="W595" s="63" t="s">
        <v>1497</v>
      </c>
    </row>
    <row r="596" spans="1:23" ht="26">
      <c r="A596" s="213" t="str">
        <f>IF(OR(CommitmentsTable[[#This Row],[Commitment / deliverable]]="",CommitmentsTable[[#This Row],[Immutable Key]]=""),"",SUBSTITUTE(CommitmentsTable[[#This Row],[Immutable Key]],"-K-","-"))</f>
        <v/>
      </c>
      <c r="B596" s="233"/>
      <c r="C596" s="233"/>
      <c r="D596" s="213"/>
      <c r="E596" s="230"/>
      <c r="F596" s="213"/>
      <c r="G596" s="245" t="str">
        <f ca="1">IF(CommitmentsTable[[#This Row],[Commitment / deliverable]]="","",IF(CommitmentsTable[[#This Row],[Date record entered]]="",TODAY(),CommitmentsTable[[#This Row],[Date record entered]]))</f>
        <v/>
      </c>
      <c r="H596" s="245"/>
      <c r="I596" s="245" t="str">
        <f ca="1">IF(CommitmentsTable[[#This Row],[Date Assigned if different from entry date]]&lt;&gt;"",CommitmentsTable[[#This Row],[Date Assigned if different from entry date]]+90,IF(CommitmentsTable[[#This Row],[Date record entered]]&lt;&gt;"",CommitmentsTable[[#This Row],[Date record entered]]+90,""))</f>
        <v/>
      </c>
      <c r="J596" s="245" t="str">
        <f ca="1">IF(CommitmentsTable[[#This Row],[Date Assigned if different from entry date]]&lt;&gt;"",CommitmentsTable[[#This Row],[Date Assigned if different from entry date]]+30,IF(CommitmentsTable[[#This Row],[Date record entered]]&lt;&gt;"",CommitmentsTable[[#This Row],[Date record entered]]+30,""))</f>
        <v/>
      </c>
      <c r="K596" s="245"/>
      <c r="L596" s="245" t="str">
        <f ca="1">IF(CommitmentsTable[[#This Row],[Date Assigned if different from entry date]]&lt;&gt;"",CommitmentsTable[[#This Row],[Date Assigned if different from entry date]]+60,IF(CommitmentsTable[[#This Row],[Date record entered]]&lt;&gt;"",CommitmentsTable[[#This Row],[Date record entered]]+60,""))</f>
        <v/>
      </c>
      <c r="M596" s="214"/>
      <c r="N596" s="214"/>
      <c r="O596" s="236"/>
      <c r="P596" s="214"/>
      <c r="Q596" s="214"/>
      <c r="R596" s="214"/>
      <c r="S596" s="238" t="str">
        <f>IF(CommitmentsTable[[#This Row],[Commitment / deliverable]]="","",IF(CommitmentsTable[[#This Row],[Revised due]]&lt;&gt;"",CommitmentsTable[[#This Row],[Revised due]],CommitmentsTable[[#This Row],[Original due]]))</f>
        <v/>
      </c>
      <c r="T596" s="237" t="str">
        <f>IF(OR(CommitmentsTable[[#This Row],[Commitment / deliverable]]="",CommitmentsTable[[#This Row],[Owner]]=""),"",IF(CommitmentsTable[[#This Row],[Status2]]="","Open",CommitmentsTable[[#This Row],[Status2]]))</f>
        <v/>
      </c>
      <c r="U596" s="237" t="str">
        <f t="shared" ca="1" si="9"/>
        <v/>
      </c>
      <c r="V596" s="233"/>
      <c r="W596" s="63" t="s">
        <v>1498</v>
      </c>
    </row>
    <row r="597" spans="1:23" ht="26">
      <c r="A597" s="213" t="str">
        <f>IF(OR(CommitmentsTable[[#This Row],[Commitment / deliverable]]="",CommitmentsTable[[#This Row],[Immutable Key]]=""),"",SUBSTITUTE(CommitmentsTable[[#This Row],[Immutable Key]],"-K-","-"))</f>
        <v/>
      </c>
      <c r="B597" s="233"/>
      <c r="C597" s="233"/>
      <c r="D597" s="213"/>
      <c r="E597" s="230"/>
      <c r="F597" s="213"/>
      <c r="G597" s="245" t="str">
        <f ca="1">IF(CommitmentsTable[[#This Row],[Commitment / deliverable]]="","",IF(CommitmentsTable[[#This Row],[Date record entered]]="",TODAY(),CommitmentsTable[[#This Row],[Date record entered]]))</f>
        <v/>
      </c>
      <c r="H597" s="245"/>
      <c r="I597" s="245" t="str">
        <f ca="1">IF(CommitmentsTable[[#This Row],[Date Assigned if different from entry date]]&lt;&gt;"",CommitmentsTable[[#This Row],[Date Assigned if different from entry date]]+90,IF(CommitmentsTable[[#This Row],[Date record entered]]&lt;&gt;"",CommitmentsTable[[#This Row],[Date record entered]]+90,""))</f>
        <v/>
      </c>
      <c r="J597" s="245" t="str">
        <f ca="1">IF(CommitmentsTable[[#This Row],[Date Assigned if different from entry date]]&lt;&gt;"",CommitmentsTable[[#This Row],[Date Assigned if different from entry date]]+30,IF(CommitmentsTable[[#This Row],[Date record entered]]&lt;&gt;"",CommitmentsTable[[#This Row],[Date record entered]]+30,""))</f>
        <v/>
      </c>
      <c r="K597" s="245"/>
      <c r="L597" s="245" t="str">
        <f ca="1">IF(CommitmentsTable[[#This Row],[Date Assigned if different from entry date]]&lt;&gt;"",CommitmentsTable[[#This Row],[Date Assigned if different from entry date]]+60,IF(CommitmentsTable[[#This Row],[Date record entered]]&lt;&gt;"",CommitmentsTable[[#This Row],[Date record entered]]+60,""))</f>
        <v/>
      </c>
      <c r="M597" s="214"/>
      <c r="N597" s="214"/>
      <c r="O597" s="236"/>
      <c r="P597" s="214"/>
      <c r="Q597" s="214"/>
      <c r="R597" s="214"/>
      <c r="S597" s="238" t="str">
        <f>IF(CommitmentsTable[[#This Row],[Commitment / deliverable]]="","",IF(CommitmentsTable[[#This Row],[Revised due]]&lt;&gt;"",CommitmentsTable[[#This Row],[Revised due]],CommitmentsTable[[#This Row],[Original due]]))</f>
        <v/>
      </c>
      <c r="T597" s="237" t="str">
        <f>IF(OR(CommitmentsTable[[#This Row],[Commitment / deliverable]]="",CommitmentsTable[[#This Row],[Owner]]=""),"",IF(CommitmentsTable[[#This Row],[Status2]]="","Open",CommitmentsTable[[#This Row],[Status2]]))</f>
        <v/>
      </c>
      <c r="U597" s="237" t="str">
        <f t="shared" ca="1" si="9"/>
        <v/>
      </c>
      <c r="V597" s="233"/>
      <c r="W597" s="63" t="s">
        <v>1499</v>
      </c>
    </row>
    <row r="598" spans="1:23" ht="26">
      <c r="A598" s="213" t="str">
        <f>IF(OR(CommitmentsTable[[#This Row],[Commitment / deliverable]]="",CommitmentsTable[[#This Row],[Immutable Key]]=""),"",SUBSTITUTE(CommitmentsTable[[#This Row],[Immutable Key]],"-K-","-"))</f>
        <v/>
      </c>
      <c r="B598" s="233"/>
      <c r="C598" s="233"/>
      <c r="D598" s="213"/>
      <c r="E598" s="230"/>
      <c r="F598" s="213"/>
      <c r="G598" s="245" t="str">
        <f ca="1">IF(CommitmentsTable[[#This Row],[Commitment / deliverable]]="","",IF(CommitmentsTable[[#This Row],[Date record entered]]="",TODAY(),CommitmentsTable[[#This Row],[Date record entered]]))</f>
        <v/>
      </c>
      <c r="H598" s="245"/>
      <c r="I598" s="245" t="str">
        <f ca="1">IF(CommitmentsTable[[#This Row],[Date Assigned if different from entry date]]&lt;&gt;"",CommitmentsTable[[#This Row],[Date Assigned if different from entry date]]+90,IF(CommitmentsTable[[#This Row],[Date record entered]]&lt;&gt;"",CommitmentsTable[[#This Row],[Date record entered]]+90,""))</f>
        <v/>
      </c>
      <c r="J598" s="245" t="str">
        <f ca="1">IF(CommitmentsTable[[#This Row],[Date Assigned if different from entry date]]&lt;&gt;"",CommitmentsTable[[#This Row],[Date Assigned if different from entry date]]+30,IF(CommitmentsTable[[#This Row],[Date record entered]]&lt;&gt;"",CommitmentsTable[[#This Row],[Date record entered]]+30,""))</f>
        <v/>
      </c>
      <c r="K598" s="245"/>
      <c r="L598" s="245" t="str">
        <f ca="1">IF(CommitmentsTable[[#This Row],[Date Assigned if different from entry date]]&lt;&gt;"",CommitmentsTable[[#This Row],[Date Assigned if different from entry date]]+60,IF(CommitmentsTable[[#This Row],[Date record entered]]&lt;&gt;"",CommitmentsTable[[#This Row],[Date record entered]]+60,""))</f>
        <v/>
      </c>
      <c r="M598" s="214"/>
      <c r="N598" s="214"/>
      <c r="O598" s="236"/>
      <c r="P598" s="214"/>
      <c r="Q598" s="214"/>
      <c r="R598" s="214"/>
      <c r="S598" s="238" t="str">
        <f>IF(CommitmentsTable[[#This Row],[Commitment / deliverable]]="","",IF(CommitmentsTable[[#This Row],[Revised due]]&lt;&gt;"",CommitmentsTable[[#This Row],[Revised due]],CommitmentsTable[[#This Row],[Original due]]))</f>
        <v/>
      </c>
      <c r="T598" s="237" t="str">
        <f>IF(OR(CommitmentsTable[[#This Row],[Commitment / deliverable]]="",CommitmentsTable[[#This Row],[Owner]]=""),"",IF(CommitmentsTable[[#This Row],[Status2]]="","Open",CommitmentsTable[[#This Row],[Status2]]))</f>
        <v/>
      </c>
      <c r="U598" s="237" t="str">
        <f t="shared" ca="1" si="9"/>
        <v/>
      </c>
      <c r="V598" s="233"/>
      <c r="W598" s="63" t="s">
        <v>1500</v>
      </c>
    </row>
    <row r="599" spans="1:23" ht="26">
      <c r="A599" s="213" t="str">
        <f>IF(OR(CommitmentsTable[[#This Row],[Commitment / deliverable]]="",CommitmentsTable[[#This Row],[Immutable Key]]=""),"",SUBSTITUTE(CommitmentsTable[[#This Row],[Immutable Key]],"-K-","-"))</f>
        <v/>
      </c>
      <c r="B599" s="233"/>
      <c r="C599" s="233"/>
      <c r="D599" s="213"/>
      <c r="E599" s="230"/>
      <c r="F599" s="213"/>
      <c r="G599" s="245" t="str">
        <f ca="1">IF(CommitmentsTable[[#This Row],[Commitment / deliverable]]="","",IF(CommitmentsTable[[#This Row],[Date record entered]]="",TODAY(),CommitmentsTable[[#This Row],[Date record entered]]))</f>
        <v/>
      </c>
      <c r="H599" s="245"/>
      <c r="I599" s="245" t="str">
        <f ca="1">IF(CommitmentsTable[[#This Row],[Date Assigned if different from entry date]]&lt;&gt;"",CommitmentsTable[[#This Row],[Date Assigned if different from entry date]]+90,IF(CommitmentsTable[[#This Row],[Date record entered]]&lt;&gt;"",CommitmentsTable[[#This Row],[Date record entered]]+90,""))</f>
        <v/>
      </c>
      <c r="J599" s="245" t="str">
        <f ca="1">IF(CommitmentsTable[[#This Row],[Date Assigned if different from entry date]]&lt;&gt;"",CommitmentsTable[[#This Row],[Date Assigned if different from entry date]]+30,IF(CommitmentsTable[[#This Row],[Date record entered]]&lt;&gt;"",CommitmentsTable[[#This Row],[Date record entered]]+30,""))</f>
        <v/>
      </c>
      <c r="K599" s="245"/>
      <c r="L599" s="245" t="str">
        <f ca="1">IF(CommitmentsTable[[#This Row],[Date Assigned if different from entry date]]&lt;&gt;"",CommitmentsTable[[#This Row],[Date Assigned if different from entry date]]+60,IF(CommitmentsTable[[#This Row],[Date record entered]]&lt;&gt;"",CommitmentsTable[[#This Row],[Date record entered]]+60,""))</f>
        <v/>
      </c>
      <c r="M599" s="214"/>
      <c r="N599" s="214"/>
      <c r="O599" s="236"/>
      <c r="P599" s="214"/>
      <c r="Q599" s="214"/>
      <c r="R599" s="214"/>
      <c r="S599" s="238" t="str">
        <f>IF(CommitmentsTable[[#This Row],[Commitment / deliverable]]="","",IF(CommitmentsTable[[#This Row],[Revised due]]&lt;&gt;"",CommitmentsTable[[#This Row],[Revised due]],CommitmentsTable[[#This Row],[Original due]]))</f>
        <v/>
      </c>
      <c r="T599" s="237" t="str">
        <f>IF(OR(CommitmentsTable[[#This Row],[Commitment / deliverable]]="",CommitmentsTable[[#This Row],[Owner]]=""),"",IF(CommitmentsTable[[#This Row],[Status2]]="","Open",CommitmentsTable[[#This Row],[Status2]]))</f>
        <v/>
      </c>
      <c r="U599" s="237" t="str">
        <f t="shared" ca="1" si="9"/>
        <v/>
      </c>
      <c r="V599" s="233"/>
      <c r="W599" s="63" t="s">
        <v>1501</v>
      </c>
    </row>
    <row r="600" spans="1:23" ht="26">
      <c r="A600" s="213" t="str">
        <f>IF(OR(CommitmentsTable[[#This Row],[Commitment / deliverable]]="",CommitmentsTable[[#This Row],[Immutable Key]]=""),"",SUBSTITUTE(CommitmentsTable[[#This Row],[Immutable Key]],"-K-","-"))</f>
        <v/>
      </c>
      <c r="B600" s="233"/>
      <c r="C600" s="233"/>
      <c r="D600" s="213"/>
      <c r="E600" s="230"/>
      <c r="F600" s="213"/>
      <c r="G600" s="245" t="str">
        <f ca="1">IF(CommitmentsTable[[#This Row],[Commitment / deliverable]]="","",IF(CommitmentsTable[[#This Row],[Date record entered]]="",TODAY(),CommitmentsTable[[#This Row],[Date record entered]]))</f>
        <v/>
      </c>
      <c r="H600" s="245"/>
      <c r="I600" s="245" t="str">
        <f ca="1">IF(CommitmentsTable[[#This Row],[Date Assigned if different from entry date]]&lt;&gt;"",CommitmentsTable[[#This Row],[Date Assigned if different from entry date]]+90,IF(CommitmentsTable[[#This Row],[Date record entered]]&lt;&gt;"",CommitmentsTable[[#This Row],[Date record entered]]+90,""))</f>
        <v/>
      </c>
      <c r="J600" s="245" t="str">
        <f ca="1">IF(CommitmentsTable[[#This Row],[Date Assigned if different from entry date]]&lt;&gt;"",CommitmentsTable[[#This Row],[Date Assigned if different from entry date]]+30,IF(CommitmentsTable[[#This Row],[Date record entered]]&lt;&gt;"",CommitmentsTable[[#This Row],[Date record entered]]+30,""))</f>
        <v/>
      </c>
      <c r="K600" s="245"/>
      <c r="L600" s="245" t="str">
        <f ca="1">IF(CommitmentsTable[[#This Row],[Date Assigned if different from entry date]]&lt;&gt;"",CommitmentsTable[[#This Row],[Date Assigned if different from entry date]]+60,IF(CommitmentsTable[[#This Row],[Date record entered]]&lt;&gt;"",CommitmentsTable[[#This Row],[Date record entered]]+60,""))</f>
        <v/>
      </c>
      <c r="M600" s="214"/>
      <c r="N600" s="214"/>
      <c r="O600" s="236"/>
      <c r="P600" s="214"/>
      <c r="Q600" s="214"/>
      <c r="R600" s="214"/>
      <c r="S600" s="238" t="str">
        <f>IF(CommitmentsTable[[#This Row],[Commitment / deliverable]]="","",IF(CommitmentsTable[[#This Row],[Revised due]]&lt;&gt;"",CommitmentsTable[[#This Row],[Revised due]],CommitmentsTable[[#This Row],[Original due]]))</f>
        <v/>
      </c>
      <c r="T600" s="237" t="str">
        <f>IF(OR(CommitmentsTable[[#This Row],[Commitment / deliverable]]="",CommitmentsTable[[#This Row],[Owner]]=""),"",IF(CommitmentsTable[[#This Row],[Status2]]="","Open",CommitmentsTable[[#This Row],[Status2]]))</f>
        <v/>
      </c>
      <c r="U600" s="237" t="str">
        <f t="shared" ca="1" si="9"/>
        <v/>
      </c>
      <c r="V600" s="233"/>
      <c r="W600" s="63" t="s">
        <v>1502</v>
      </c>
    </row>
    <row r="601" spans="1:23" ht="26">
      <c r="A601" s="213" t="str">
        <f>IF(OR(CommitmentsTable[[#This Row],[Commitment / deliverable]]="",CommitmentsTable[[#This Row],[Immutable Key]]=""),"",SUBSTITUTE(CommitmentsTable[[#This Row],[Immutable Key]],"-K-","-"))</f>
        <v/>
      </c>
      <c r="B601" s="233"/>
      <c r="C601" s="233"/>
      <c r="D601" s="213"/>
      <c r="E601" s="230"/>
      <c r="F601" s="213"/>
      <c r="G601" s="245" t="str">
        <f ca="1">IF(CommitmentsTable[[#This Row],[Commitment / deliverable]]="","",IF(CommitmentsTable[[#This Row],[Date record entered]]="",TODAY(),CommitmentsTable[[#This Row],[Date record entered]]))</f>
        <v/>
      </c>
      <c r="H601" s="245"/>
      <c r="I601" s="245" t="str">
        <f ca="1">IF(CommitmentsTable[[#This Row],[Date Assigned if different from entry date]]&lt;&gt;"",CommitmentsTable[[#This Row],[Date Assigned if different from entry date]]+90,IF(CommitmentsTable[[#This Row],[Date record entered]]&lt;&gt;"",CommitmentsTable[[#This Row],[Date record entered]]+90,""))</f>
        <v/>
      </c>
      <c r="J601" s="245" t="str">
        <f ca="1">IF(CommitmentsTable[[#This Row],[Date Assigned if different from entry date]]&lt;&gt;"",CommitmentsTable[[#This Row],[Date Assigned if different from entry date]]+30,IF(CommitmentsTable[[#This Row],[Date record entered]]&lt;&gt;"",CommitmentsTable[[#This Row],[Date record entered]]+30,""))</f>
        <v/>
      </c>
      <c r="K601" s="245"/>
      <c r="L601" s="245" t="str">
        <f ca="1">IF(CommitmentsTable[[#This Row],[Date Assigned if different from entry date]]&lt;&gt;"",CommitmentsTable[[#This Row],[Date Assigned if different from entry date]]+60,IF(CommitmentsTable[[#This Row],[Date record entered]]&lt;&gt;"",CommitmentsTable[[#This Row],[Date record entered]]+60,""))</f>
        <v/>
      </c>
      <c r="M601" s="214"/>
      <c r="N601" s="214"/>
      <c r="O601" s="236"/>
      <c r="P601" s="214"/>
      <c r="Q601" s="214"/>
      <c r="R601" s="214"/>
      <c r="S601" s="238" t="str">
        <f>IF(CommitmentsTable[[#This Row],[Commitment / deliverable]]="","",IF(CommitmentsTable[[#This Row],[Revised due]]&lt;&gt;"",CommitmentsTable[[#This Row],[Revised due]],CommitmentsTable[[#This Row],[Original due]]))</f>
        <v/>
      </c>
      <c r="T601" s="237" t="str">
        <f>IF(OR(CommitmentsTable[[#This Row],[Commitment / deliverable]]="",CommitmentsTable[[#This Row],[Owner]]=""),"",IF(CommitmentsTable[[#This Row],[Status2]]="","Open",CommitmentsTable[[#This Row],[Status2]]))</f>
        <v/>
      </c>
      <c r="U601" s="237" t="str">
        <f t="shared" ca="1" si="9"/>
        <v/>
      </c>
      <c r="V601" s="233"/>
      <c r="W601" s="63" t="s">
        <v>1503</v>
      </c>
    </row>
    <row r="602" spans="1:23" ht="26">
      <c r="A602" s="213" t="str">
        <f>IF(OR(CommitmentsTable[[#This Row],[Commitment / deliverable]]="",CommitmentsTable[[#This Row],[Immutable Key]]=""),"",SUBSTITUTE(CommitmentsTable[[#This Row],[Immutable Key]],"-K-","-"))</f>
        <v/>
      </c>
      <c r="B602" s="233"/>
      <c r="C602" s="233"/>
      <c r="D602" s="213"/>
      <c r="E602" s="230"/>
      <c r="F602" s="213"/>
      <c r="G602" s="245" t="str">
        <f ca="1">IF(CommitmentsTable[[#This Row],[Commitment / deliverable]]="","",IF(CommitmentsTable[[#This Row],[Date record entered]]="",TODAY(),CommitmentsTable[[#This Row],[Date record entered]]))</f>
        <v/>
      </c>
      <c r="H602" s="245"/>
      <c r="I602" s="245" t="str">
        <f ca="1">IF(CommitmentsTable[[#This Row],[Date Assigned if different from entry date]]&lt;&gt;"",CommitmentsTable[[#This Row],[Date Assigned if different from entry date]]+90,IF(CommitmentsTable[[#This Row],[Date record entered]]&lt;&gt;"",CommitmentsTable[[#This Row],[Date record entered]]+90,""))</f>
        <v/>
      </c>
      <c r="J602" s="245" t="str">
        <f ca="1">IF(CommitmentsTable[[#This Row],[Date Assigned if different from entry date]]&lt;&gt;"",CommitmentsTable[[#This Row],[Date Assigned if different from entry date]]+30,IF(CommitmentsTable[[#This Row],[Date record entered]]&lt;&gt;"",CommitmentsTable[[#This Row],[Date record entered]]+30,""))</f>
        <v/>
      </c>
      <c r="K602" s="245"/>
      <c r="L602" s="245" t="str">
        <f ca="1">IF(CommitmentsTable[[#This Row],[Date Assigned if different from entry date]]&lt;&gt;"",CommitmentsTable[[#This Row],[Date Assigned if different from entry date]]+60,IF(CommitmentsTable[[#This Row],[Date record entered]]&lt;&gt;"",CommitmentsTable[[#This Row],[Date record entered]]+60,""))</f>
        <v/>
      </c>
      <c r="M602" s="214"/>
      <c r="N602" s="214"/>
      <c r="O602" s="236"/>
      <c r="P602" s="214"/>
      <c r="Q602" s="214"/>
      <c r="R602" s="214"/>
      <c r="S602" s="238" t="str">
        <f>IF(CommitmentsTable[[#This Row],[Commitment / deliverable]]="","",IF(CommitmentsTable[[#This Row],[Revised due]]&lt;&gt;"",CommitmentsTable[[#This Row],[Revised due]],CommitmentsTable[[#This Row],[Original due]]))</f>
        <v/>
      </c>
      <c r="T602" s="237" t="str">
        <f>IF(OR(CommitmentsTable[[#This Row],[Commitment / deliverable]]="",CommitmentsTable[[#This Row],[Owner]]=""),"",IF(CommitmentsTable[[#This Row],[Status2]]="","Open",CommitmentsTable[[#This Row],[Status2]]))</f>
        <v/>
      </c>
      <c r="U602" s="237" t="str">
        <f t="shared" ca="1" si="9"/>
        <v/>
      </c>
      <c r="V602" s="233"/>
      <c r="W602" s="63" t="s">
        <v>1504</v>
      </c>
    </row>
    <row r="603" spans="1:23" ht="26">
      <c r="A603" s="213" t="str">
        <f>IF(OR(CommitmentsTable[[#This Row],[Commitment / deliverable]]="",CommitmentsTable[[#This Row],[Immutable Key]]=""),"",SUBSTITUTE(CommitmentsTable[[#This Row],[Immutable Key]],"-K-","-"))</f>
        <v/>
      </c>
      <c r="B603" s="233"/>
      <c r="C603" s="233"/>
      <c r="D603" s="213"/>
      <c r="E603" s="230"/>
      <c r="F603" s="213"/>
      <c r="G603" s="245" t="str">
        <f ca="1">IF(CommitmentsTable[[#This Row],[Commitment / deliverable]]="","",IF(CommitmentsTable[[#This Row],[Date record entered]]="",TODAY(),CommitmentsTable[[#This Row],[Date record entered]]))</f>
        <v/>
      </c>
      <c r="H603" s="245"/>
      <c r="I603" s="245" t="str">
        <f ca="1">IF(CommitmentsTable[[#This Row],[Date Assigned if different from entry date]]&lt;&gt;"",CommitmentsTable[[#This Row],[Date Assigned if different from entry date]]+90,IF(CommitmentsTable[[#This Row],[Date record entered]]&lt;&gt;"",CommitmentsTable[[#This Row],[Date record entered]]+90,""))</f>
        <v/>
      </c>
      <c r="J603" s="245" t="str">
        <f ca="1">IF(CommitmentsTable[[#This Row],[Date Assigned if different from entry date]]&lt;&gt;"",CommitmentsTable[[#This Row],[Date Assigned if different from entry date]]+30,IF(CommitmentsTable[[#This Row],[Date record entered]]&lt;&gt;"",CommitmentsTable[[#This Row],[Date record entered]]+30,""))</f>
        <v/>
      </c>
      <c r="K603" s="245"/>
      <c r="L603" s="245" t="str">
        <f ca="1">IF(CommitmentsTable[[#This Row],[Date Assigned if different from entry date]]&lt;&gt;"",CommitmentsTable[[#This Row],[Date Assigned if different from entry date]]+60,IF(CommitmentsTable[[#This Row],[Date record entered]]&lt;&gt;"",CommitmentsTable[[#This Row],[Date record entered]]+60,""))</f>
        <v/>
      </c>
      <c r="M603" s="214"/>
      <c r="N603" s="214"/>
      <c r="O603" s="236"/>
      <c r="P603" s="214"/>
      <c r="Q603" s="214"/>
      <c r="R603" s="214"/>
      <c r="S603" s="238" t="str">
        <f>IF(CommitmentsTable[[#This Row],[Commitment / deliverable]]="","",IF(CommitmentsTable[[#This Row],[Revised due]]&lt;&gt;"",CommitmentsTable[[#This Row],[Revised due]],CommitmentsTable[[#This Row],[Original due]]))</f>
        <v/>
      </c>
      <c r="T603" s="237" t="str">
        <f>IF(OR(CommitmentsTable[[#This Row],[Commitment / deliverable]]="",CommitmentsTable[[#This Row],[Owner]]=""),"",IF(CommitmentsTable[[#This Row],[Status2]]="","Open",CommitmentsTable[[#This Row],[Status2]]))</f>
        <v/>
      </c>
      <c r="U603" s="237" t="str">
        <f t="shared" ca="1" si="9"/>
        <v/>
      </c>
      <c r="V603" s="233"/>
      <c r="W603" s="63" t="s">
        <v>1505</v>
      </c>
    </row>
    <row r="604" spans="1:23" ht="26">
      <c r="A604" s="213" t="str">
        <f>IF(OR(CommitmentsTable[[#This Row],[Commitment / deliverable]]="",CommitmentsTable[[#This Row],[Immutable Key]]=""),"",SUBSTITUTE(CommitmentsTable[[#This Row],[Immutable Key]],"-K-","-"))</f>
        <v/>
      </c>
      <c r="B604" s="233"/>
      <c r="C604" s="233"/>
      <c r="D604" s="213"/>
      <c r="E604" s="230"/>
      <c r="F604" s="213"/>
      <c r="G604" s="245" t="str">
        <f ca="1">IF(CommitmentsTable[[#This Row],[Commitment / deliverable]]="","",IF(CommitmentsTable[[#This Row],[Date record entered]]="",TODAY(),CommitmentsTable[[#This Row],[Date record entered]]))</f>
        <v/>
      </c>
      <c r="H604" s="245"/>
      <c r="I604" s="245" t="str">
        <f ca="1">IF(CommitmentsTable[[#This Row],[Date Assigned if different from entry date]]&lt;&gt;"",CommitmentsTable[[#This Row],[Date Assigned if different from entry date]]+90,IF(CommitmentsTable[[#This Row],[Date record entered]]&lt;&gt;"",CommitmentsTable[[#This Row],[Date record entered]]+90,""))</f>
        <v/>
      </c>
      <c r="J604" s="245" t="str">
        <f ca="1">IF(CommitmentsTable[[#This Row],[Date Assigned if different from entry date]]&lt;&gt;"",CommitmentsTable[[#This Row],[Date Assigned if different from entry date]]+30,IF(CommitmentsTable[[#This Row],[Date record entered]]&lt;&gt;"",CommitmentsTable[[#This Row],[Date record entered]]+30,""))</f>
        <v/>
      </c>
      <c r="K604" s="245"/>
      <c r="L604" s="245" t="str">
        <f ca="1">IF(CommitmentsTable[[#This Row],[Date Assigned if different from entry date]]&lt;&gt;"",CommitmentsTable[[#This Row],[Date Assigned if different from entry date]]+60,IF(CommitmentsTable[[#This Row],[Date record entered]]&lt;&gt;"",CommitmentsTable[[#This Row],[Date record entered]]+60,""))</f>
        <v/>
      </c>
      <c r="M604" s="214"/>
      <c r="N604" s="214"/>
      <c r="O604" s="236"/>
      <c r="P604" s="214"/>
      <c r="Q604" s="214"/>
      <c r="R604" s="214"/>
      <c r="S604" s="238" t="str">
        <f>IF(CommitmentsTable[[#This Row],[Commitment / deliverable]]="","",IF(CommitmentsTable[[#This Row],[Revised due]]&lt;&gt;"",CommitmentsTable[[#This Row],[Revised due]],CommitmentsTable[[#This Row],[Original due]]))</f>
        <v/>
      </c>
      <c r="T604" s="237" t="str">
        <f>IF(OR(CommitmentsTable[[#This Row],[Commitment / deliverable]]="",CommitmentsTable[[#This Row],[Owner]]=""),"",IF(CommitmentsTable[[#This Row],[Status2]]="","Open",CommitmentsTable[[#This Row],[Status2]]))</f>
        <v/>
      </c>
      <c r="U604" s="237" t="str">
        <f t="shared" ca="1" si="9"/>
        <v/>
      </c>
      <c r="V604" s="233"/>
      <c r="W604" s="63" t="s">
        <v>1506</v>
      </c>
    </row>
    <row r="605" spans="1:23" ht="26">
      <c r="A605" s="213" t="str">
        <f>IF(OR(CommitmentsTable[[#This Row],[Commitment / deliverable]]="",CommitmentsTable[[#This Row],[Immutable Key]]=""),"",SUBSTITUTE(CommitmentsTable[[#This Row],[Immutable Key]],"-K-","-"))</f>
        <v/>
      </c>
      <c r="B605" s="233"/>
      <c r="C605" s="233"/>
      <c r="D605" s="213"/>
      <c r="E605" s="230"/>
      <c r="F605" s="213"/>
      <c r="G605" s="245" t="str">
        <f ca="1">IF(CommitmentsTable[[#This Row],[Commitment / deliverable]]="","",IF(CommitmentsTable[[#This Row],[Date record entered]]="",TODAY(),CommitmentsTable[[#This Row],[Date record entered]]))</f>
        <v/>
      </c>
      <c r="H605" s="245"/>
      <c r="I605" s="245" t="str">
        <f ca="1">IF(CommitmentsTable[[#This Row],[Date Assigned if different from entry date]]&lt;&gt;"",CommitmentsTable[[#This Row],[Date Assigned if different from entry date]]+90,IF(CommitmentsTable[[#This Row],[Date record entered]]&lt;&gt;"",CommitmentsTable[[#This Row],[Date record entered]]+90,""))</f>
        <v/>
      </c>
      <c r="J605" s="245" t="str">
        <f ca="1">IF(CommitmentsTable[[#This Row],[Date Assigned if different from entry date]]&lt;&gt;"",CommitmentsTable[[#This Row],[Date Assigned if different from entry date]]+30,IF(CommitmentsTable[[#This Row],[Date record entered]]&lt;&gt;"",CommitmentsTable[[#This Row],[Date record entered]]+30,""))</f>
        <v/>
      </c>
      <c r="K605" s="245"/>
      <c r="L605" s="245" t="str">
        <f ca="1">IF(CommitmentsTable[[#This Row],[Date Assigned if different from entry date]]&lt;&gt;"",CommitmentsTable[[#This Row],[Date Assigned if different from entry date]]+60,IF(CommitmentsTable[[#This Row],[Date record entered]]&lt;&gt;"",CommitmentsTable[[#This Row],[Date record entered]]+60,""))</f>
        <v/>
      </c>
      <c r="M605" s="214"/>
      <c r="N605" s="214"/>
      <c r="O605" s="236"/>
      <c r="P605" s="214"/>
      <c r="Q605" s="214"/>
      <c r="R605" s="214"/>
      <c r="S605" s="238" t="str">
        <f>IF(CommitmentsTable[[#This Row],[Commitment / deliverable]]="","",IF(CommitmentsTable[[#This Row],[Revised due]]&lt;&gt;"",CommitmentsTable[[#This Row],[Revised due]],CommitmentsTable[[#This Row],[Original due]]))</f>
        <v/>
      </c>
      <c r="T605" s="237" t="str">
        <f>IF(OR(CommitmentsTable[[#This Row],[Commitment / deliverable]]="",CommitmentsTable[[#This Row],[Owner]]=""),"",IF(CommitmentsTable[[#This Row],[Status2]]="","Open",CommitmentsTable[[#This Row],[Status2]]))</f>
        <v/>
      </c>
      <c r="U605" s="237" t="str">
        <f t="shared" ca="1" si="9"/>
        <v/>
      </c>
      <c r="V605" s="233"/>
      <c r="W605" s="63" t="s">
        <v>1507</v>
      </c>
    </row>
    <row r="606" spans="1:23" ht="26">
      <c r="A606" s="213" t="str">
        <f>IF(OR(CommitmentsTable[[#This Row],[Commitment / deliverable]]="",CommitmentsTable[[#This Row],[Immutable Key]]=""),"",SUBSTITUTE(CommitmentsTable[[#This Row],[Immutable Key]],"-K-","-"))</f>
        <v/>
      </c>
      <c r="B606" s="233"/>
      <c r="C606" s="233"/>
      <c r="D606" s="213"/>
      <c r="E606" s="230"/>
      <c r="F606" s="213"/>
      <c r="G606" s="245" t="str">
        <f ca="1">IF(CommitmentsTable[[#This Row],[Commitment / deliverable]]="","",IF(CommitmentsTable[[#This Row],[Date record entered]]="",TODAY(),CommitmentsTable[[#This Row],[Date record entered]]))</f>
        <v/>
      </c>
      <c r="H606" s="245"/>
      <c r="I606" s="245" t="str">
        <f ca="1">IF(CommitmentsTable[[#This Row],[Date Assigned if different from entry date]]&lt;&gt;"",CommitmentsTable[[#This Row],[Date Assigned if different from entry date]]+90,IF(CommitmentsTable[[#This Row],[Date record entered]]&lt;&gt;"",CommitmentsTable[[#This Row],[Date record entered]]+90,""))</f>
        <v/>
      </c>
      <c r="J606" s="245" t="str">
        <f ca="1">IF(CommitmentsTable[[#This Row],[Date Assigned if different from entry date]]&lt;&gt;"",CommitmentsTable[[#This Row],[Date Assigned if different from entry date]]+30,IF(CommitmentsTable[[#This Row],[Date record entered]]&lt;&gt;"",CommitmentsTable[[#This Row],[Date record entered]]+30,""))</f>
        <v/>
      </c>
      <c r="K606" s="245"/>
      <c r="L606" s="245" t="str">
        <f ca="1">IF(CommitmentsTable[[#This Row],[Date Assigned if different from entry date]]&lt;&gt;"",CommitmentsTable[[#This Row],[Date Assigned if different from entry date]]+60,IF(CommitmentsTable[[#This Row],[Date record entered]]&lt;&gt;"",CommitmentsTable[[#This Row],[Date record entered]]+60,""))</f>
        <v/>
      </c>
      <c r="M606" s="214"/>
      <c r="N606" s="214"/>
      <c r="O606" s="236"/>
      <c r="P606" s="214"/>
      <c r="Q606" s="214"/>
      <c r="R606" s="214"/>
      <c r="S606" s="238" t="str">
        <f>IF(CommitmentsTable[[#This Row],[Commitment / deliverable]]="","",IF(CommitmentsTable[[#This Row],[Revised due]]&lt;&gt;"",CommitmentsTable[[#This Row],[Revised due]],CommitmentsTable[[#This Row],[Original due]]))</f>
        <v/>
      </c>
      <c r="T606" s="237" t="str">
        <f>IF(OR(CommitmentsTable[[#This Row],[Commitment / deliverable]]="",CommitmentsTable[[#This Row],[Owner]]=""),"",IF(CommitmentsTable[[#This Row],[Status2]]="","Open",CommitmentsTable[[#This Row],[Status2]]))</f>
        <v/>
      </c>
      <c r="U606" s="237" t="str">
        <f t="shared" ca="1" si="9"/>
        <v/>
      </c>
      <c r="V606" s="233"/>
      <c r="W606" s="63" t="s">
        <v>1508</v>
      </c>
    </row>
    <row r="607" spans="1:23" ht="26">
      <c r="A607" s="213" t="str">
        <f>IF(OR(CommitmentsTable[[#This Row],[Commitment / deliverable]]="",CommitmentsTable[[#This Row],[Immutable Key]]=""),"",SUBSTITUTE(CommitmentsTable[[#This Row],[Immutable Key]],"-K-","-"))</f>
        <v/>
      </c>
      <c r="B607" s="233"/>
      <c r="C607" s="233"/>
      <c r="D607" s="213"/>
      <c r="E607" s="230"/>
      <c r="F607" s="213"/>
      <c r="G607" s="245" t="str">
        <f ca="1">IF(CommitmentsTable[[#This Row],[Commitment / deliverable]]="","",IF(CommitmentsTable[[#This Row],[Date record entered]]="",TODAY(),CommitmentsTable[[#This Row],[Date record entered]]))</f>
        <v/>
      </c>
      <c r="H607" s="245"/>
      <c r="I607" s="245" t="str">
        <f ca="1">IF(CommitmentsTable[[#This Row],[Date Assigned if different from entry date]]&lt;&gt;"",CommitmentsTable[[#This Row],[Date Assigned if different from entry date]]+90,IF(CommitmentsTable[[#This Row],[Date record entered]]&lt;&gt;"",CommitmentsTable[[#This Row],[Date record entered]]+90,""))</f>
        <v/>
      </c>
      <c r="J607" s="245" t="str">
        <f ca="1">IF(CommitmentsTable[[#This Row],[Date Assigned if different from entry date]]&lt;&gt;"",CommitmentsTable[[#This Row],[Date Assigned if different from entry date]]+30,IF(CommitmentsTable[[#This Row],[Date record entered]]&lt;&gt;"",CommitmentsTable[[#This Row],[Date record entered]]+30,""))</f>
        <v/>
      </c>
      <c r="K607" s="245"/>
      <c r="L607" s="245" t="str">
        <f ca="1">IF(CommitmentsTable[[#This Row],[Date Assigned if different from entry date]]&lt;&gt;"",CommitmentsTable[[#This Row],[Date Assigned if different from entry date]]+60,IF(CommitmentsTable[[#This Row],[Date record entered]]&lt;&gt;"",CommitmentsTable[[#This Row],[Date record entered]]+60,""))</f>
        <v/>
      </c>
      <c r="M607" s="214"/>
      <c r="N607" s="214"/>
      <c r="O607" s="236"/>
      <c r="P607" s="214"/>
      <c r="Q607" s="214"/>
      <c r="R607" s="214"/>
      <c r="S607" s="238" t="str">
        <f>IF(CommitmentsTable[[#This Row],[Commitment / deliverable]]="","",IF(CommitmentsTable[[#This Row],[Revised due]]&lt;&gt;"",CommitmentsTable[[#This Row],[Revised due]],CommitmentsTable[[#This Row],[Original due]]))</f>
        <v/>
      </c>
      <c r="T607" s="237" t="str">
        <f>IF(OR(CommitmentsTable[[#This Row],[Commitment / deliverable]]="",CommitmentsTable[[#This Row],[Owner]]=""),"",IF(CommitmentsTable[[#This Row],[Status2]]="","Open",CommitmentsTable[[#This Row],[Status2]]))</f>
        <v/>
      </c>
      <c r="U607" s="237" t="str">
        <f t="shared" ca="1" si="9"/>
        <v/>
      </c>
      <c r="V607" s="233"/>
      <c r="W607" s="63" t="s">
        <v>1509</v>
      </c>
    </row>
    <row r="608" spans="1:23" ht="26">
      <c r="A608" s="213" t="str">
        <f>IF(OR(CommitmentsTable[[#This Row],[Commitment / deliverable]]="",CommitmentsTable[[#This Row],[Immutable Key]]=""),"",SUBSTITUTE(CommitmentsTable[[#This Row],[Immutable Key]],"-K-","-"))</f>
        <v/>
      </c>
      <c r="B608" s="233"/>
      <c r="C608" s="233"/>
      <c r="D608" s="213"/>
      <c r="E608" s="230"/>
      <c r="F608" s="213"/>
      <c r="G608" s="245" t="str">
        <f ca="1">IF(CommitmentsTable[[#This Row],[Commitment / deliverable]]="","",IF(CommitmentsTable[[#This Row],[Date record entered]]="",TODAY(),CommitmentsTable[[#This Row],[Date record entered]]))</f>
        <v/>
      </c>
      <c r="H608" s="245"/>
      <c r="I608" s="245" t="str">
        <f ca="1">IF(CommitmentsTable[[#This Row],[Date Assigned if different from entry date]]&lt;&gt;"",CommitmentsTable[[#This Row],[Date Assigned if different from entry date]]+90,IF(CommitmentsTable[[#This Row],[Date record entered]]&lt;&gt;"",CommitmentsTable[[#This Row],[Date record entered]]+90,""))</f>
        <v/>
      </c>
      <c r="J608" s="245" t="str">
        <f ca="1">IF(CommitmentsTable[[#This Row],[Date Assigned if different from entry date]]&lt;&gt;"",CommitmentsTable[[#This Row],[Date Assigned if different from entry date]]+30,IF(CommitmentsTable[[#This Row],[Date record entered]]&lt;&gt;"",CommitmentsTable[[#This Row],[Date record entered]]+30,""))</f>
        <v/>
      </c>
      <c r="K608" s="245"/>
      <c r="L608" s="245" t="str">
        <f ca="1">IF(CommitmentsTable[[#This Row],[Date Assigned if different from entry date]]&lt;&gt;"",CommitmentsTable[[#This Row],[Date Assigned if different from entry date]]+60,IF(CommitmentsTable[[#This Row],[Date record entered]]&lt;&gt;"",CommitmentsTable[[#This Row],[Date record entered]]+60,""))</f>
        <v/>
      </c>
      <c r="M608" s="214"/>
      <c r="N608" s="214"/>
      <c r="O608" s="236"/>
      <c r="P608" s="214"/>
      <c r="Q608" s="214"/>
      <c r="R608" s="214"/>
      <c r="S608" s="238" t="str">
        <f>IF(CommitmentsTable[[#This Row],[Commitment / deliverable]]="","",IF(CommitmentsTable[[#This Row],[Revised due]]&lt;&gt;"",CommitmentsTable[[#This Row],[Revised due]],CommitmentsTable[[#This Row],[Original due]]))</f>
        <v/>
      </c>
      <c r="T608" s="237" t="str">
        <f>IF(OR(CommitmentsTable[[#This Row],[Commitment / deliverable]]="",CommitmentsTable[[#This Row],[Owner]]=""),"",IF(CommitmentsTable[[#This Row],[Status2]]="","Open",CommitmentsTable[[#This Row],[Status2]]))</f>
        <v/>
      </c>
      <c r="U608" s="237" t="str">
        <f t="shared" ca="1" si="9"/>
        <v/>
      </c>
      <c r="V608" s="233"/>
      <c r="W608" s="63" t="s">
        <v>1510</v>
      </c>
    </row>
    <row r="609" spans="1:23" ht="26">
      <c r="A609" s="213" t="str">
        <f>IF(OR(CommitmentsTable[[#This Row],[Commitment / deliverable]]="",CommitmentsTable[[#This Row],[Immutable Key]]=""),"",SUBSTITUTE(CommitmentsTable[[#This Row],[Immutable Key]],"-K-","-"))</f>
        <v/>
      </c>
      <c r="B609" s="233"/>
      <c r="C609" s="233"/>
      <c r="D609" s="213"/>
      <c r="E609" s="230"/>
      <c r="F609" s="213"/>
      <c r="G609" s="245" t="str">
        <f ca="1">IF(CommitmentsTable[[#This Row],[Commitment / deliverable]]="","",IF(CommitmentsTable[[#This Row],[Date record entered]]="",TODAY(),CommitmentsTable[[#This Row],[Date record entered]]))</f>
        <v/>
      </c>
      <c r="H609" s="245"/>
      <c r="I609" s="245" t="str">
        <f ca="1">IF(CommitmentsTable[[#This Row],[Date Assigned if different from entry date]]&lt;&gt;"",CommitmentsTable[[#This Row],[Date Assigned if different from entry date]]+90,IF(CommitmentsTable[[#This Row],[Date record entered]]&lt;&gt;"",CommitmentsTable[[#This Row],[Date record entered]]+90,""))</f>
        <v/>
      </c>
      <c r="J609" s="245" t="str">
        <f ca="1">IF(CommitmentsTable[[#This Row],[Date Assigned if different from entry date]]&lt;&gt;"",CommitmentsTable[[#This Row],[Date Assigned if different from entry date]]+30,IF(CommitmentsTable[[#This Row],[Date record entered]]&lt;&gt;"",CommitmentsTable[[#This Row],[Date record entered]]+30,""))</f>
        <v/>
      </c>
      <c r="K609" s="245"/>
      <c r="L609" s="245" t="str">
        <f ca="1">IF(CommitmentsTable[[#This Row],[Date Assigned if different from entry date]]&lt;&gt;"",CommitmentsTable[[#This Row],[Date Assigned if different from entry date]]+60,IF(CommitmentsTable[[#This Row],[Date record entered]]&lt;&gt;"",CommitmentsTable[[#This Row],[Date record entered]]+60,""))</f>
        <v/>
      </c>
      <c r="M609" s="214"/>
      <c r="N609" s="214"/>
      <c r="O609" s="236"/>
      <c r="P609" s="214"/>
      <c r="Q609" s="214"/>
      <c r="R609" s="214"/>
      <c r="S609" s="238" t="str">
        <f>IF(CommitmentsTable[[#This Row],[Commitment / deliverable]]="","",IF(CommitmentsTable[[#This Row],[Revised due]]&lt;&gt;"",CommitmentsTable[[#This Row],[Revised due]],CommitmentsTable[[#This Row],[Original due]]))</f>
        <v/>
      </c>
      <c r="T609" s="237" t="str">
        <f>IF(OR(CommitmentsTable[[#This Row],[Commitment / deliverable]]="",CommitmentsTable[[#This Row],[Owner]]=""),"",IF(CommitmentsTable[[#This Row],[Status2]]="","Open",CommitmentsTable[[#This Row],[Status2]]))</f>
        <v/>
      </c>
      <c r="U609" s="237" t="str">
        <f t="shared" ca="1" si="9"/>
        <v/>
      </c>
      <c r="V609" s="233"/>
      <c r="W609" s="63" t="s">
        <v>1511</v>
      </c>
    </row>
    <row r="610" spans="1:23" ht="26">
      <c r="A610" s="213" t="str">
        <f>IF(OR(CommitmentsTable[[#This Row],[Commitment / deliverable]]="",CommitmentsTable[[#This Row],[Immutable Key]]=""),"",SUBSTITUTE(CommitmentsTable[[#This Row],[Immutable Key]],"-K-","-"))</f>
        <v/>
      </c>
      <c r="B610" s="233"/>
      <c r="C610" s="233"/>
      <c r="D610" s="213"/>
      <c r="E610" s="230"/>
      <c r="F610" s="213"/>
      <c r="G610" s="245" t="str">
        <f ca="1">IF(CommitmentsTable[[#This Row],[Commitment / deliverable]]="","",IF(CommitmentsTable[[#This Row],[Date record entered]]="",TODAY(),CommitmentsTable[[#This Row],[Date record entered]]))</f>
        <v/>
      </c>
      <c r="H610" s="245"/>
      <c r="I610" s="245" t="str">
        <f ca="1">IF(CommitmentsTable[[#This Row],[Date Assigned if different from entry date]]&lt;&gt;"",CommitmentsTable[[#This Row],[Date Assigned if different from entry date]]+90,IF(CommitmentsTable[[#This Row],[Date record entered]]&lt;&gt;"",CommitmentsTable[[#This Row],[Date record entered]]+90,""))</f>
        <v/>
      </c>
      <c r="J610" s="245" t="str">
        <f ca="1">IF(CommitmentsTable[[#This Row],[Date Assigned if different from entry date]]&lt;&gt;"",CommitmentsTable[[#This Row],[Date Assigned if different from entry date]]+30,IF(CommitmentsTable[[#This Row],[Date record entered]]&lt;&gt;"",CommitmentsTable[[#This Row],[Date record entered]]+30,""))</f>
        <v/>
      </c>
      <c r="K610" s="245"/>
      <c r="L610" s="245" t="str">
        <f ca="1">IF(CommitmentsTable[[#This Row],[Date Assigned if different from entry date]]&lt;&gt;"",CommitmentsTable[[#This Row],[Date Assigned if different from entry date]]+60,IF(CommitmentsTable[[#This Row],[Date record entered]]&lt;&gt;"",CommitmentsTable[[#This Row],[Date record entered]]+60,""))</f>
        <v/>
      </c>
      <c r="M610" s="214"/>
      <c r="N610" s="214"/>
      <c r="O610" s="236"/>
      <c r="P610" s="214"/>
      <c r="Q610" s="214"/>
      <c r="R610" s="214"/>
      <c r="S610" s="238" t="str">
        <f>IF(CommitmentsTable[[#This Row],[Commitment / deliverable]]="","",IF(CommitmentsTable[[#This Row],[Revised due]]&lt;&gt;"",CommitmentsTable[[#This Row],[Revised due]],CommitmentsTable[[#This Row],[Original due]]))</f>
        <v/>
      </c>
      <c r="T610" s="237" t="str">
        <f>IF(OR(CommitmentsTable[[#This Row],[Commitment / deliverable]]="",CommitmentsTable[[#This Row],[Owner]]=""),"",IF(CommitmentsTable[[#This Row],[Status2]]="","Open",CommitmentsTable[[#This Row],[Status2]]))</f>
        <v/>
      </c>
      <c r="U610" s="237" t="str">
        <f t="shared" ca="1" si="9"/>
        <v/>
      </c>
      <c r="V610" s="233"/>
      <c r="W610" s="63" t="s">
        <v>1512</v>
      </c>
    </row>
    <row r="611" spans="1:23" ht="26">
      <c r="A611" s="213" t="str">
        <f>IF(OR(CommitmentsTable[[#This Row],[Commitment / deliverable]]="",CommitmentsTable[[#This Row],[Immutable Key]]=""),"",SUBSTITUTE(CommitmentsTable[[#This Row],[Immutable Key]],"-K-","-"))</f>
        <v/>
      </c>
      <c r="B611" s="233"/>
      <c r="C611" s="233"/>
      <c r="D611" s="213"/>
      <c r="E611" s="230"/>
      <c r="F611" s="213"/>
      <c r="G611" s="245" t="str">
        <f ca="1">IF(CommitmentsTable[[#This Row],[Commitment / deliverable]]="","",IF(CommitmentsTable[[#This Row],[Date record entered]]="",TODAY(),CommitmentsTable[[#This Row],[Date record entered]]))</f>
        <v/>
      </c>
      <c r="H611" s="245"/>
      <c r="I611" s="245" t="str">
        <f ca="1">IF(CommitmentsTable[[#This Row],[Date Assigned if different from entry date]]&lt;&gt;"",CommitmentsTable[[#This Row],[Date Assigned if different from entry date]]+90,IF(CommitmentsTable[[#This Row],[Date record entered]]&lt;&gt;"",CommitmentsTable[[#This Row],[Date record entered]]+90,""))</f>
        <v/>
      </c>
      <c r="J611" s="245" t="str">
        <f ca="1">IF(CommitmentsTable[[#This Row],[Date Assigned if different from entry date]]&lt;&gt;"",CommitmentsTable[[#This Row],[Date Assigned if different from entry date]]+30,IF(CommitmentsTable[[#This Row],[Date record entered]]&lt;&gt;"",CommitmentsTable[[#This Row],[Date record entered]]+30,""))</f>
        <v/>
      </c>
      <c r="K611" s="245"/>
      <c r="L611" s="245" t="str">
        <f ca="1">IF(CommitmentsTable[[#This Row],[Date Assigned if different from entry date]]&lt;&gt;"",CommitmentsTable[[#This Row],[Date Assigned if different from entry date]]+60,IF(CommitmentsTable[[#This Row],[Date record entered]]&lt;&gt;"",CommitmentsTable[[#This Row],[Date record entered]]+60,""))</f>
        <v/>
      </c>
      <c r="M611" s="214"/>
      <c r="N611" s="214"/>
      <c r="O611" s="236"/>
      <c r="P611" s="214"/>
      <c r="Q611" s="214"/>
      <c r="R611" s="214"/>
      <c r="S611" s="238" t="str">
        <f>IF(CommitmentsTable[[#This Row],[Commitment / deliverable]]="","",IF(CommitmentsTable[[#This Row],[Revised due]]&lt;&gt;"",CommitmentsTable[[#This Row],[Revised due]],CommitmentsTable[[#This Row],[Original due]]))</f>
        <v/>
      </c>
      <c r="T611" s="237" t="str">
        <f>IF(OR(CommitmentsTable[[#This Row],[Commitment / deliverable]]="",CommitmentsTable[[#This Row],[Owner]]=""),"",IF(CommitmentsTable[[#This Row],[Status2]]="","Open",CommitmentsTable[[#This Row],[Status2]]))</f>
        <v/>
      </c>
      <c r="U611" s="237" t="str">
        <f t="shared" ca="1" si="9"/>
        <v/>
      </c>
      <c r="V611" s="233"/>
      <c r="W611" s="63" t="s">
        <v>1513</v>
      </c>
    </row>
    <row r="612" spans="1:23" ht="26">
      <c r="A612" s="213" t="str">
        <f>IF(OR(CommitmentsTable[[#This Row],[Commitment / deliverable]]="",CommitmentsTable[[#This Row],[Immutable Key]]=""),"",SUBSTITUTE(CommitmentsTable[[#This Row],[Immutable Key]],"-K-","-"))</f>
        <v/>
      </c>
      <c r="B612" s="233"/>
      <c r="C612" s="233"/>
      <c r="D612" s="213"/>
      <c r="E612" s="230"/>
      <c r="F612" s="213"/>
      <c r="G612" s="245" t="str">
        <f ca="1">IF(CommitmentsTable[[#This Row],[Commitment / deliverable]]="","",IF(CommitmentsTable[[#This Row],[Date record entered]]="",TODAY(),CommitmentsTable[[#This Row],[Date record entered]]))</f>
        <v/>
      </c>
      <c r="H612" s="245"/>
      <c r="I612" s="245" t="str">
        <f ca="1">IF(CommitmentsTable[[#This Row],[Date Assigned if different from entry date]]&lt;&gt;"",CommitmentsTable[[#This Row],[Date Assigned if different from entry date]]+90,IF(CommitmentsTable[[#This Row],[Date record entered]]&lt;&gt;"",CommitmentsTable[[#This Row],[Date record entered]]+90,""))</f>
        <v/>
      </c>
      <c r="J612" s="245" t="str">
        <f ca="1">IF(CommitmentsTable[[#This Row],[Date Assigned if different from entry date]]&lt;&gt;"",CommitmentsTable[[#This Row],[Date Assigned if different from entry date]]+30,IF(CommitmentsTable[[#This Row],[Date record entered]]&lt;&gt;"",CommitmentsTable[[#This Row],[Date record entered]]+30,""))</f>
        <v/>
      </c>
      <c r="K612" s="245"/>
      <c r="L612" s="245" t="str">
        <f ca="1">IF(CommitmentsTable[[#This Row],[Date Assigned if different from entry date]]&lt;&gt;"",CommitmentsTable[[#This Row],[Date Assigned if different from entry date]]+60,IF(CommitmentsTable[[#This Row],[Date record entered]]&lt;&gt;"",CommitmentsTable[[#This Row],[Date record entered]]+60,""))</f>
        <v/>
      </c>
      <c r="M612" s="214"/>
      <c r="N612" s="214"/>
      <c r="O612" s="236"/>
      <c r="P612" s="214"/>
      <c r="Q612" s="214"/>
      <c r="R612" s="214"/>
      <c r="S612" s="238" t="str">
        <f>IF(CommitmentsTable[[#This Row],[Commitment / deliverable]]="","",IF(CommitmentsTable[[#This Row],[Revised due]]&lt;&gt;"",CommitmentsTable[[#This Row],[Revised due]],CommitmentsTable[[#This Row],[Original due]]))</f>
        <v/>
      </c>
      <c r="T612" s="237" t="str">
        <f>IF(OR(CommitmentsTable[[#This Row],[Commitment / deliverable]]="",CommitmentsTable[[#This Row],[Owner]]=""),"",IF(CommitmentsTable[[#This Row],[Status2]]="","Open",CommitmentsTable[[#This Row],[Status2]]))</f>
        <v/>
      </c>
      <c r="U612" s="237" t="str">
        <f t="shared" ca="1" si="9"/>
        <v/>
      </c>
      <c r="V612" s="233"/>
      <c r="W612" s="63" t="s">
        <v>1514</v>
      </c>
    </row>
    <row r="613" spans="1:23" ht="26">
      <c r="A613" s="213" t="str">
        <f>IF(OR(CommitmentsTable[[#This Row],[Commitment / deliverable]]="",CommitmentsTable[[#This Row],[Immutable Key]]=""),"",SUBSTITUTE(CommitmentsTable[[#This Row],[Immutable Key]],"-K-","-"))</f>
        <v/>
      </c>
      <c r="B613" s="233"/>
      <c r="C613" s="233"/>
      <c r="D613" s="213"/>
      <c r="E613" s="230"/>
      <c r="F613" s="213"/>
      <c r="G613" s="245" t="str">
        <f ca="1">IF(CommitmentsTable[[#This Row],[Commitment / deliverable]]="","",IF(CommitmentsTable[[#This Row],[Date record entered]]="",TODAY(),CommitmentsTable[[#This Row],[Date record entered]]))</f>
        <v/>
      </c>
      <c r="H613" s="245"/>
      <c r="I613" s="245" t="str">
        <f ca="1">IF(CommitmentsTable[[#This Row],[Date Assigned if different from entry date]]&lt;&gt;"",CommitmentsTable[[#This Row],[Date Assigned if different from entry date]]+90,IF(CommitmentsTable[[#This Row],[Date record entered]]&lt;&gt;"",CommitmentsTable[[#This Row],[Date record entered]]+90,""))</f>
        <v/>
      </c>
      <c r="J613" s="245" t="str">
        <f ca="1">IF(CommitmentsTable[[#This Row],[Date Assigned if different from entry date]]&lt;&gt;"",CommitmentsTable[[#This Row],[Date Assigned if different from entry date]]+30,IF(CommitmentsTable[[#This Row],[Date record entered]]&lt;&gt;"",CommitmentsTable[[#This Row],[Date record entered]]+30,""))</f>
        <v/>
      </c>
      <c r="K613" s="245"/>
      <c r="L613" s="245" t="str">
        <f ca="1">IF(CommitmentsTable[[#This Row],[Date Assigned if different from entry date]]&lt;&gt;"",CommitmentsTable[[#This Row],[Date Assigned if different from entry date]]+60,IF(CommitmentsTable[[#This Row],[Date record entered]]&lt;&gt;"",CommitmentsTable[[#This Row],[Date record entered]]+60,""))</f>
        <v/>
      </c>
      <c r="M613" s="214"/>
      <c r="N613" s="214"/>
      <c r="O613" s="236"/>
      <c r="P613" s="214"/>
      <c r="Q613" s="214"/>
      <c r="R613" s="214"/>
      <c r="S613" s="238" t="str">
        <f>IF(CommitmentsTable[[#This Row],[Commitment / deliverable]]="","",IF(CommitmentsTable[[#This Row],[Revised due]]&lt;&gt;"",CommitmentsTable[[#This Row],[Revised due]],CommitmentsTable[[#This Row],[Original due]]))</f>
        <v/>
      </c>
      <c r="T613" s="237" t="str">
        <f>IF(OR(CommitmentsTable[[#This Row],[Commitment / deliverable]]="",CommitmentsTable[[#This Row],[Owner]]=""),"",IF(CommitmentsTable[[#This Row],[Status2]]="","Open",CommitmentsTable[[#This Row],[Status2]]))</f>
        <v/>
      </c>
      <c r="U613" s="237" t="str">
        <f t="shared" ca="1" si="9"/>
        <v/>
      </c>
      <c r="V613" s="233"/>
      <c r="W613" s="63" t="s">
        <v>1515</v>
      </c>
    </row>
    <row r="614" spans="1:23" ht="26">
      <c r="A614" s="213" t="str">
        <f>IF(OR(CommitmentsTable[[#This Row],[Commitment / deliverable]]="",CommitmentsTable[[#This Row],[Immutable Key]]=""),"",SUBSTITUTE(CommitmentsTable[[#This Row],[Immutable Key]],"-K-","-"))</f>
        <v/>
      </c>
      <c r="B614" s="233"/>
      <c r="C614" s="233"/>
      <c r="D614" s="213"/>
      <c r="E614" s="230"/>
      <c r="F614" s="213"/>
      <c r="G614" s="245" t="str">
        <f ca="1">IF(CommitmentsTable[[#This Row],[Commitment / deliverable]]="","",IF(CommitmentsTable[[#This Row],[Date record entered]]="",TODAY(),CommitmentsTable[[#This Row],[Date record entered]]))</f>
        <v/>
      </c>
      <c r="H614" s="245"/>
      <c r="I614" s="245" t="str">
        <f ca="1">IF(CommitmentsTable[[#This Row],[Date Assigned if different from entry date]]&lt;&gt;"",CommitmentsTable[[#This Row],[Date Assigned if different from entry date]]+90,IF(CommitmentsTable[[#This Row],[Date record entered]]&lt;&gt;"",CommitmentsTable[[#This Row],[Date record entered]]+90,""))</f>
        <v/>
      </c>
      <c r="J614" s="245" t="str">
        <f ca="1">IF(CommitmentsTable[[#This Row],[Date Assigned if different from entry date]]&lt;&gt;"",CommitmentsTable[[#This Row],[Date Assigned if different from entry date]]+30,IF(CommitmentsTable[[#This Row],[Date record entered]]&lt;&gt;"",CommitmentsTable[[#This Row],[Date record entered]]+30,""))</f>
        <v/>
      </c>
      <c r="K614" s="245"/>
      <c r="L614" s="245" t="str">
        <f ca="1">IF(CommitmentsTable[[#This Row],[Date Assigned if different from entry date]]&lt;&gt;"",CommitmentsTable[[#This Row],[Date Assigned if different from entry date]]+60,IF(CommitmentsTable[[#This Row],[Date record entered]]&lt;&gt;"",CommitmentsTable[[#This Row],[Date record entered]]+60,""))</f>
        <v/>
      </c>
      <c r="M614" s="214"/>
      <c r="N614" s="214"/>
      <c r="O614" s="236"/>
      <c r="P614" s="214"/>
      <c r="Q614" s="214"/>
      <c r="R614" s="214"/>
      <c r="S614" s="238" t="str">
        <f>IF(CommitmentsTable[[#This Row],[Commitment / deliverable]]="","",IF(CommitmentsTable[[#This Row],[Revised due]]&lt;&gt;"",CommitmentsTable[[#This Row],[Revised due]],CommitmentsTable[[#This Row],[Original due]]))</f>
        <v/>
      </c>
      <c r="T614" s="237" t="str">
        <f>IF(OR(CommitmentsTable[[#This Row],[Commitment / deliverable]]="",CommitmentsTable[[#This Row],[Owner]]=""),"",IF(CommitmentsTable[[#This Row],[Status2]]="","Open",CommitmentsTable[[#This Row],[Status2]]))</f>
        <v/>
      </c>
      <c r="U614" s="237" t="str">
        <f t="shared" ca="1" si="9"/>
        <v/>
      </c>
      <c r="V614" s="233"/>
      <c r="W614" s="63" t="s">
        <v>1516</v>
      </c>
    </row>
    <row r="615" spans="1:23" ht="26">
      <c r="A615" s="213" t="str">
        <f>IF(OR(CommitmentsTable[[#This Row],[Commitment / deliverable]]="",CommitmentsTable[[#This Row],[Immutable Key]]=""),"",SUBSTITUTE(CommitmentsTable[[#This Row],[Immutable Key]],"-K-","-"))</f>
        <v/>
      </c>
      <c r="B615" s="233"/>
      <c r="C615" s="233"/>
      <c r="D615" s="213"/>
      <c r="E615" s="230"/>
      <c r="F615" s="213"/>
      <c r="G615" s="245" t="str">
        <f ca="1">IF(CommitmentsTable[[#This Row],[Commitment / deliverable]]="","",IF(CommitmentsTable[[#This Row],[Date record entered]]="",TODAY(),CommitmentsTable[[#This Row],[Date record entered]]))</f>
        <v/>
      </c>
      <c r="H615" s="245"/>
      <c r="I615" s="245" t="str">
        <f ca="1">IF(CommitmentsTable[[#This Row],[Date Assigned if different from entry date]]&lt;&gt;"",CommitmentsTable[[#This Row],[Date Assigned if different from entry date]]+90,IF(CommitmentsTable[[#This Row],[Date record entered]]&lt;&gt;"",CommitmentsTable[[#This Row],[Date record entered]]+90,""))</f>
        <v/>
      </c>
      <c r="J615" s="245" t="str">
        <f ca="1">IF(CommitmentsTable[[#This Row],[Date Assigned if different from entry date]]&lt;&gt;"",CommitmentsTable[[#This Row],[Date Assigned if different from entry date]]+30,IF(CommitmentsTable[[#This Row],[Date record entered]]&lt;&gt;"",CommitmentsTable[[#This Row],[Date record entered]]+30,""))</f>
        <v/>
      </c>
      <c r="K615" s="245"/>
      <c r="L615" s="245" t="str">
        <f ca="1">IF(CommitmentsTable[[#This Row],[Date Assigned if different from entry date]]&lt;&gt;"",CommitmentsTable[[#This Row],[Date Assigned if different from entry date]]+60,IF(CommitmentsTable[[#This Row],[Date record entered]]&lt;&gt;"",CommitmentsTable[[#This Row],[Date record entered]]+60,""))</f>
        <v/>
      </c>
      <c r="M615" s="214"/>
      <c r="N615" s="214"/>
      <c r="O615" s="236"/>
      <c r="P615" s="214"/>
      <c r="Q615" s="214"/>
      <c r="R615" s="214"/>
      <c r="S615" s="238" t="str">
        <f>IF(CommitmentsTable[[#This Row],[Commitment / deliverable]]="","",IF(CommitmentsTable[[#This Row],[Revised due]]&lt;&gt;"",CommitmentsTable[[#This Row],[Revised due]],CommitmentsTable[[#This Row],[Original due]]))</f>
        <v/>
      </c>
      <c r="T615" s="237" t="str">
        <f>IF(OR(CommitmentsTable[[#This Row],[Commitment / deliverable]]="",CommitmentsTable[[#This Row],[Owner]]=""),"",IF(CommitmentsTable[[#This Row],[Status2]]="","Open",CommitmentsTable[[#This Row],[Status2]]))</f>
        <v/>
      </c>
      <c r="U615" s="237" t="str">
        <f t="shared" ca="1" si="9"/>
        <v/>
      </c>
      <c r="V615" s="233"/>
      <c r="W615" s="63" t="s">
        <v>1517</v>
      </c>
    </row>
    <row r="616" spans="1:23" ht="26">
      <c r="A616" s="213" t="str">
        <f>IF(OR(CommitmentsTable[[#This Row],[Commitment / deliverable]]="",CommitmentsTable[[#This Row],[Immutable Key]]=""),"",SUBSTITUTE(CommitmentsTable[[#This Row],[Immutable Key]],"-K-","-"))</f>
        <v/>
      </c>
      <c r="B616" s="233"/>
      <c r="C616" s="233"/>
      <c r="D616" s="213"/>
      <c r="E616" s="230"/>
      <c r="F616" s="213"/>
      <c r="G616" s="245" t="str">
        <f ca="1">IF(CommitmentsTable[[#This Row],[Commitment / deliverable]]="","",IF(CommitmentsTable[[#This Row],[Date record entered]]="",TODAY(),CommitmentsTable[[#This Row],[Date record entered]]))</f>
        <v/>
      </c>
      <c r="H616" s="245"/>
      <c r="I616" s="245" t="str">
        <f ca="1">IF(CommitmentsTable[[#This Row],[Date Assigned if different from entry date]]&lt;&gt;"",CommitmentsTable[[#This Row],[Date Assigned if different from entry date]]+90,IF(CommitmentsTable[[#This Row],[Date record entered]]&lt;&gt;"",CommitmentsTable[[#This Row],[Date record entered]]+90,""))</f>
        <v/>
      </c>
      <c r="J616" s="245" t="str">
        <f ca="1">IF(CommitmentsTable[[#This Row],[Date Assigned if different from entry date]]&lt;&gt;"",CommitmentsTable[[#This Row],[Date Assigned if different from entry date]]+30,IF(CommitmentsTable[[#This Row],[Date record entered]]&lt;&gt;"",CommitmentsTable[[#This Row],[Date record entered]]+30,""))</f>
        <v/>
      </c>
      <c r="K616" s="245"/>
      <c r="L616" s="245" t="str">
        <f ca="1">IF(CommitmentsTable[[#This Row],[Date Assigned if different from entry date]]&lt;&gt;"",CommitmentsTable[[#This Row],[Date Assigned if different from entry date]]+60,IF(CommitmentsTable[[#This Row],[Date record entered]]&lt;&gt;"",CommitmentsTable[[#This Row],[Date record entered]]+60,""))</f>
        <v/>
      </c>
      <c r="M616" s="214"/>
      <c r="N616" s="214"/>
      <c r="O616" s="236"/>
      <c r="P616" s="214"/>
      <c r="Q616" s="214"/>
      <c r="R616" s="214"/>
      <c r="S616" s="238" t="str">
        <f>IF(CommitmentsTable[[#This Row],[Commitment / deliverable]]="","",IF(CommitmentsTable[[#This Row],[Revised due]]&lt;&gt;"",CommitmentsTable[[#This Row],[Revised due]],CommitmentsTable[[#This Row],[Original due]]))</f>
        <v/>
      </c>
      <c r="T616" s="237" t="str">
        <f>IF(OR(CommitmentsTable[[#This Row],[Commitment / deliverable]]="",CommitmentsTable[[#This Row],[Owner]]=""),"",IF(CommitmentsTable[[#This Row],[Status2]]="","Open",CommitmentsTable[[#This Row],[Status2]]))</f>
        <v/>
      </c>
      <c r="U616" s="237" t="str">
        <f t="shared" ca="1" si="9"/>
        <v/>
      </c>
      <c r="V616" s="233"/>
      <c r="W616" s="63" t="s">
        <v>1518</v>
      </c>
    </row>
    <row r="617" spans="1:23" ht="26">
      <c r="A617" s="213" t="str">
        <f>IF(OR(CommitmentsTable[[#This Row],[Commitment / deliverable]]="",CommitmentsTable[[#This Row],[Immutable Key]]=""),"",SUBSTITUTE(CommitmentsTable[[#This Row],[Immutable Key]],"-K-","-"))</f>
        <v/>
      </c>
      <c r="B617" s="233"/>
      <c r="C617" s="233"/>
      <c r="D617" s="213"/>
      <c r="E617" s="230"/>
      <c r="F617" s="213"/>
      <c r="G617" s="245" t="str">
        <f ca="1">IF(CommitmentsTable[[#This Row],[Commitment / deliverable]]="","",IF(CommitmentsTable[[#This Row],[Date record entered]]="",TODAY(),CommitmentsTable[[#This Row],[Date record entered]]))</f>
        <v/>
      </c>
      <c r="H617" s="245"/>
      <c r="I617" s="245" t="str">
        <f ca="1">IF(CommitmentsTable[[#This Row],[Date Assigned if different from entry date]]&lt;&gt;"",CommitmentsTable[[#This Row],[Date Assigned if different from entry date]]+90,IF(CommitmentsTable[[#This Row],[Date record entered]]&lt;&gt;"",CommitmentsTable[[#This Row],[Date record entered]]+90,""))</f>
        <v/>
      </c>
      <c r="J617" s="245" t="str">
        <f ca="1">IF(CommitmentsTable[[#This Row],[Date Assigned if different from entry date]]&lt;&gt;"",CommitmentsTable[[#This Row],[Date Assigned if different from entry date]]+30,IF(CommitmentsTable[[#This Row],[Date record entered]]&lt;&gt;"",CommitmentsTable[[#This Row],[Date record entered]]+30,""))</f>
        <v/>
      </c>
      <c r="K617" s="245"/>
      <c r="L617" s="245" t="str">
        <f ca="1">IF(CommitmentsTable[[#This Row],[Date Assigned if different from entry date]]&lt;&gt;"",CommitmentsTable[[#This Row],[Date Assigned if different from entry date]]+60,IF(CommitmentsTable[[#This Row],[Date record entered]]&lt;&gt;"",CommitmentsTable[[#This Row],[Date record entered]]+60,""))</f>
        <v/>
      </c>
      <c r="M617" s="214"/>
      <c r="N617" s="214"/>
      <c r="O617" s="236"/>
      <c r="P617" s="214"/>
      <c r="Q617" s="214"/>
      <c r="R617" s="214"/>
      <c r="S617" s="238" t="str">
        <f>IF(CommitmentsTable[[#This Row],[Commitment / deliverable]]="","",IF(CommitmentsTable[[#This Row],[Revised due]]&lt;&gt;"",CommitmentsTable[[#This Row],[Revised due]],CommitmentsTable[[#This Row],[Original due]]))</f>
        <v/>
      </c>
      <c r="T617" s="237" t="str">
        <f>IF(OR(CommitmentsTable[[#This Row],[Commitment / deliverable]]="",CommitmentsTable[[#This Row],[Owner]]=""),"",IF(CommitmentsTable[[#This Row],[Status2]]="","Open",CommitmentsTable[[#This Row],[Status2]]))</f>
        <v/>
      </c>
      <c r="U617" s="237" t="str">
        <f t="shared" ca="1" si="9"/>
        <v/>
      </c>
      <c r="V617" s="233"/>
      <c r="W617" s="63" t="s">
        <v>1519</v>
      </c>
    </row>
    <row r="618" spans="1:23" ht="26">
      <c r="A618" s="213" t="str">
        <f>IF(OR(CommitmentsTable[[#This Row],[Commitment / deliverable]]="",CommitmentsTable[[#This Row],[Immutable Key]]=""),"",SUBSTITUTE(CommitmentsTable[[#This Row],[Immutable Key]],"-K-","-"))</f>
        <v/>
      </c>
      <c r="B618" s="233"/>
      <c r="C618" s="233"/>
      <c r="D618" s="213"/>
      <c r="E618" s="230"/>
      <c r="F618" s="213"/>
      <c r="G618" s="245" t="str">
        <f ca="1">IF(CommitmentsTable[[#This Row],[Commitment / deliverable]]="","",IF(CommitmentsTable[[#This Row],[Date record entered]]="",TODAY(),CommitmentsTable[[#This Row],[Date record entered]]))</f>
        <v/>
      </c>
      <c r="H618" s="245"/>
      <c r="I618" s="245" t="str">
        <f ca="1">IF(CommitmentsTable[[#This Row],[Date Assigned if different from entry date]]&lt;&gt;"",CommitmentsTable[[#This Row],[Date Assigned if different from entry date]]+90,IF(CommitmentsTable[[#This Row],[Date record entered]]&lt;&gt;"",CommitmentsTable[[#This Row],[Date record entered]]+90,""))</f>
        <v/>
      </c>
      <c r="J618" s="245" t="str">
        <f ca="1">IF(CommitmentsTable[[#This Row],[Date Assigned if different from entry date]]&lt;&gt;"",CommitmentsTable[[#This Row],[Date Assigned if different from entry date]]+30,IF(CommitmentsTable[[#This Row],[Date record entered]]&lt;&gt;"",CommitmentsTable[[#This Row],[Date record entered]]+30,""))</f>
        <v/>
      </c>
      <c r="K618" s="245"/>
      <c r="L618" s="245" t="str">
        <f ca="1">IF(CommitmentsTable[[#This Row],[Date Assigned if different from entry date]]&lt;&gt;"",CommitmentsTable[[#This Row],[Date Assigned if different from entry date]]+60,IF(CommitmentsTable[[#This Row],[Date record entered]]&lt;&gt;"",CommitmentsTable[[#This Row],[Date record entered]]+60,""))</f>
        <v/>
      </c>
      <c r="M618" s="214"/>
      <c r="N618" s="214"/>
      <c r="O618" s="236"/>
      <c r="P618" s="214"/>
      <c r="Q618" s="214"/>
      <c r="R618" s="214"/>
      <c r="S618" s="238" t="str">
        <f>IF(CommitmentsTable[[#This Row],[Commitment / deliverable]]="","",IF(CommitmentsTable[[#This Row],[Revised due]]&lt;&gt;"",CommitmentsTable[[#This Row],[Revised due]],CommitmentsTable[[#This Row],[Original due]]))</f>
        <v/>
      </c>
      <c r="T618" s="237" t="str">
        <f>IF(OR(CommitmentsTable[[#This Row],[Commitment / deliverable]]="",CommitmentsTable[[#This Row],[Owner]]=""),"",IF(CommitmentsTable[[#This Row],[Status2]]="","Open",CommitmentsTable[[#This Row],[Status2]]))</f>
        <v/>
      </c>
      <c r="U618" s="237" t="str">
        <f t="shared" ca="1" si="9"/>
        <v/>
      </c>
      <c r="V618" s="233"/>
      <c r="W618" s="63" t="s">
        <v>1520</v>
      </c>
    </row>
    <row r="619" spans="1:23" ht="26">
      <c r="A619" s="213" t="str">
        <f>IF(OR(CommitmentsTable[[#This Row],[Commitment / deliverable]]="",CommitmentsTable[[#This Row],[Immutable Key]]=""),"",SUBSTITUTE(CommitmentsTable[[#This Row],[Immutable Key]],"-K-","-"))</f>
        <v/>
      </c>
      <c r="B619" s="233"/>
      <c r="C619" s="233"/>
      <c r="D619" s="213"/>
      <c r="E619" s="230"/>
      <c r="F619" s="213"/>
      <c r="G619" s="245" t="str">
        <f ca="1">IF(CommitmentsTable[[#This Row],[Commitment / deliverable]]="","",IF(CommitmentsTable[[#This Row],[Date record entered]]="",TODAY(),CommitmentsTable[[#This Row],[Date record entered]]))</f>
        <v/>
      </c>
      <c r="H619" s="245"/>
      <c r="I619" s="245" t="str">
        <f ca="1">IF(CommitmentsTable[[#This Row],[Date Assigned if different from entry date]]&lt;&gt;"",CommitmentsTable[[#This Row],[Date Assigned if different from entry date]]+90,IF(CommitmentsTable[[#This Row],[Date record entered]]&lt;&gt;"",CommitmentsTable[[#This Row],[Date record entered]]+90,""))</f>
        <v/>
      </c>
      <c r="J619" s="245" t="str">
        <f ca="1">IF(CommitmentsTable[[#This Row],[Date Assigned if different from entry date]]&lt;&gt;"",CommitmentsTable[[#This Row],[Date Assigned if different from entry date]]+30,IF(CommitmentsTable[[#This Row],[Date record entered]]&lt;&gt;"",CommitmentsTable[[#This Row],[Date record entered]]+30,""))</f>
        <v/>
      </c>
      <c r="K619" s="245"/>
      <c r="L619" s="245" t="str">
        <f ca="1">IF(CommitmentsTable[[#This Row],[Date Assigned if different from entry date]]&lt;&gt;"",CommitmentsTable[[#This Row],[Date Assigned if different from entry date]]+60,IF(CommitmentsTable[[#This Row],[Date record entered]]&lt;&gt;"",CommitmentsTable[[#This Row],[Date record entered]]+60,""))</f>
        <v/>
      </c>
      <c r="M619" s="214"/>
      <c r="N619" s="214"/>
      <c r="O619" s="236"/>
      <c r="P619" s="214"/>
      <c r="Q619" s="214"/>
      <c r="R619" s="214"/>
      <c r="S619" s="238" t="str">
        <f>IF(CommitmentsTable[[#This Row],[Commitment / deliverable]]="","",IF(CommitmentsTable[[#This Row],[Revised due]]&lt;&gt;"",CommitmentsTable[[#This Row],[Revised due]],CommitmentsTable[[#This Row],[Original due]]))</f>
        <v/>
      </c>
      <c r="T619" s="237" t="str">
        <f>IF(OR(CommitmentsTable[[#This Row],[Commitment / deliverable]]="",CommitmentsTable[[#This Row],[Owner]]=""),"",IF(CommitmentsTable[[#This Row],[Status2]]="","Open",CommitmentsTable[[#This Row],[Status2]]))</f>
        <v/>
      </c>
      <c r="U619" s="237" t="str">
        <f t="shared" ca="1" si="9"/>
        <v/>
      </c>
      <c r="V619" s="233"/>
      <c r="W619" s="63" t="s">
        <v>1521</v>
      </c>
    </row>
    <row r="620" spans="1:23" ht="26">
      <c r="A620" s="213" t="str">
        <f>IF(OR(CommitmentsTable[[#This Row],[Commitment / deliverable]]="",CommitmentsTable[[#This Row],[Immutable Key]]=""),"",SUBSTITUTE(CommitmentsTable[[#This Row],[Immutable Key]],"-K-","-"))</f>
        <v/>
      </c>
      <c r="B620" s="233"/>
      <c r="C620" s="233"/>
      <c r="D620" s="213"/>
      <c r="E620" s="230"/>
      <c r="F620" s="213"/>
      <c r="G620" s="245" t="str">
        <f ca="1">IF(CommitmentsTable[[#This Row],[Commitment / deliverable]]="","",IF(CommitmentsTable[[#This Row],[Date record entered]]="",TODAY(),CommitmentsTable[[#This Row],[Date record entered]]))</f>
        <v/>
      </c>
      <c r="H620" s="245"/>
      <c r="I620" s="245" t="str">
        <f ca="1">IF(CommitmentsTable[[#This Row],[Date Assigned if different from entry date]]&lt;&gt;"",CommitmentsTable[[#This Row],[Date Assigned if different from entry date]]+90,IF(CommitmentsTable[[#This Row],[Date record entered]]&lt;&gt;"",CommitmentsTable[[#This Row],[Date record entered]]+90,""))</f>
        <v/>
      </c>
      <c r="J620" s="245" t="str">
        <f ca="1">IF(CommitmentsTable[[#This Row],[Date Assigned if different from entry date]]&lt;&gt;"",CommitmentsTable[[#This Row],[Date Assigned if different from entry date]]+30,IF(CommitmentsTable[[#This Row],[Date record entered]]&lt;&gt;"",CommitmentsTable[[#This Row],[Date record entered]]+30,""))</f>
        <v/>
      </c>
      <c r="K620" s="245"/>
      <c r="L620" s="245" t="str">
        <f ca="1">IF(CommitmentsTable[[#This Row],[Date Assigned if different from entry date]]&lt;&gt;"",CommitmentsTable[[#This Row],[Date Assigned if different from entry date]]+60,IF(CommitmentsTable[[#This Row],[Date record entered]]&lt;&gt;"",CommitmentsTable[[#This Row],[Date record entered]]+60,""))</f>
        <v/>
      </c>
      <c r="M620" s="214"/>
      <c r="N620" s="214"/>
      <c r="O620" s="236"/>
      <c r="P620" s="214"/>
      <c r="Q620" s="214"/>
      <c r="R620" s="214"/>
      <c r="S620" s="238" t="str">
        <f>IF(CommitmentsTable[[#This Row],[Commitment / deliverable]]="","",IF(CommitmentsTable[[#This Row],[Revised due]]&lt;&gt;"",CommitmentsTable[[#This Row],[Revised due]],CommitmentsTable[[#This Row],[Original due]]))</f>
        <v/>
      </c>
      <c r="T620" s="237" t="str">
        <f>IF(OR(CommitmentsTable[[#This Row],[Commitment / deliverable]]="",CommitmentsTable[[#This Row],[Owner]]=""),"",IF(CommitmentsTable[[#This Row],[Status2]]="","Open",CommitmentsTable[[#This Row],[Status2]]))</f>
        <v/>
      </c>
      <c r="U620" s="237" t="str">
        <f t="shared" ca="1" si="9"/>
        <v/>
      </c>
      <c r="V620" s="233"/>
      <c r="W620" s="63" t="s">
        <v>1522</v>
      </c>
    </row>
    <row r="621" spans="1:23" ht="26">
      <c r="A621" s="213" t="str">
        <f>IF(OR(CommitmentsTable[[#This Row],[Commitment / deliverable]]="",CommitmentsTable[[#This Row],[Immutable Key]]=""),"",SUBSTITUTE(CommitmentsTable[[#This Row],[Immutable Key]],"-K-","-"))</f>
        <v/>
      </c>
      <c r="B621" s="233"/>
      <c r="C621" s="233"/>
      <c r="D621" s="213"/>
      <c r="E621" s="230"/>
      <c r="F621" s="213"/>
      <c r="G621" s="245" t="str">
        <f ca="1">IF(CommitmentsTable[[#This Row],[Commitment / deliverable]]="","",IF(CommitmentsTable[[#This Row],[Date record entered]]="",TODAY(),CommitmentsTable[[#This Row],[Date record entered]]))</f>
        <v/>
      </c>
      <c r="H621" s="245"/>
      <c r="I621" s="245" t="str">
        <f ca="1">IF(CommitmentsTable[[#This Row],[Date Assigned if different from entry date]]&lt;&gt;"",CommitmentsTable[[#This Row],[Date Assigned if different from entry date]]+90,IF(CommitmentsTable[[#This Row],[Date record entered]]&lt;&gt;"",CommitmentsTable[[#This Row],[Date record entered]]+90,""))</f>
        <v/>
      </c>
      <c r="J621" s="245" t="str">
        <f ca="1">IF(CommitmentsTable[[#This Row],[Date Assigned if different from entry date]]&lt;&gt;"",CommitmentsTable[[#This Row],[Date Assigned if different from entry date]]+30,IF(CommitmentsTable[[#This Row],[Date record entered]]&lt;&gt;"",CommitmentsTable[[#This Row],[Date record entered]]+30,""))</f>
        <v/>
      </c>
      <c r="K621" s="245"/>
      <c r="L621" s="245" t="str">
        <f ca="1">IF(CommitmentsTable[[#This Row],[Date Assigned if different from entry date]]&lt;&gt;"",CommitmentsTable[[#This Row],[Date Assigned if different from entry date]]+60,IF(CommitmentsTable[[#This Row],[Date record entered]]&lt;&gt;"",CommitmentsTable[[#This Row],[Date record entered]]+60,""))</f>
        <v/>
      </c>
      <c r="M621" s="214"/>
      <c r="N621" s="214"/>
      <c r="O621" s="236"/>
      <c r="P621" s="214"/>
      <c r="Q621" s="214"/>
      <c r="R621" s="214"/>
      <c r="S621" s="238" t="str">
        <f>IF(CommitmentsTable[[#This Row],[Commitment / deliverable]]="","",IF(CommitmentsTable[[#This Row],[Revised due]]&lt;&gt;"",CommitmentsTable[[#This Row],[Revised due]],CommitmentsTable[[#This Row],[Original due]]))</f>
        <v/>
      </c>
      <c r="T621" s="237" t="str">
        <f>IF(OR(CommitmentsTable[[#This Row],[Commitment / deliverable]]="",CommitmentsTable[[#This Row],[Owner]]=""),"",IF(CommitmentsTable[[#This Row],[Status2]]="","Open",CommitmentsTable[[#This Row],[Status2]]))</f>
        <v/>
      </c>
      <c r="U621" s="237" t="str">
        <f t="shared" ca="1" si="9"/>
        <v/>
      </c>
      <c r="V621" s="233"/>
      <c r="W621" s="63" t="s">
        <v>1523</v>
      </c>
    </row>
    <row r="622" spans="1:23" ht="26">
      <c r="A622" s="213" t="str">
        <f>IF(OR(CommitmentsTable[[#This Row],[Commitment / deliverable]]="",CommitmentsTable[[#This Row],[Immutable Key]]=""),"",SUBSTITUTE(CommitmentsTable[[#This Row],[Immutable Key]],"-K-","-"))</f>
        <v/>
      </c>
      <c r="B622" s="233"/>
      <c r="C622" s="233"/>
      <c r="D622" s="213"/>
      <c r="E622" s="230"/>
      <c r="F622" s="213"/>
      <c r="G622" s="245" t="str">
        <f ca="1">IF(CommitmentsTable[[#This Row],[Commitment / deliverable]]="","",IF(CommitmentsTable[[#This Row],[Date record entered]]="",TODAY(),CommitmentsTable[[#This Row],[Date record entered]]))</f>
        <v/>
      </c>
      <c r="H622" s="245"/>
      <c r="I622" s="245" t="str">
        <f ca="1">IF(CommitmentsTable[[#This Row],[Date Assigned if different from entry date]]&lt;&gt;"",CommitmentsTable[[#This Row],[Date Assigned if different from entry date]]+90,IF(CommitmentsTable[[#This Row],[Date record entered]]&lt;&gt;"",CommitmentsTable[[#This Row],[Date record entered]]+90,""))</f>
        <v/>
      </c>
      <c r="J622" s="245" t="str">
        <f ca="1">IF(CommitmentsTable[[#This Row],[Date Assigned if different from entry date]]&lt;&gt;"",CommitmentsTable[[#This Row],[Date Assigned if different from entry date]]+30,IF(CommitmentsTable[[#This Row],[Date record entered]]&lt;&gt;"",CommitmentsTable[[#This Row],[Date record entered]]+30,""))</f>
        <v/>
      </c>
      <c r="K622" s="245"/>
      <c r="L622" s="245" t="str">
        <f ca="1">IF(CommitmentsTable[[#This Row],[Date Assigned if different from entry date]]&lt;&gt;"",CommitmentsTable[[#This Row],[Date Assigned if different from entry date]]+60,IF(CommitmentsTable[[#This Row],[Date record entered]]&lt;&gt;"",CommitmentsTable[[#This Row],[Date record entered]]+60,""))</f>
        <v/>
      </c>
      <c r="M622" s="214"/>
      <c r="N622" s="214"/>
      <c r="O622" s="236"/>
      <c r="P622" s="214"/>
      <c r="Q622" s="214"/>
      <c r="R622" s="214"/>
      <c r="S622" s="238" t="str">
        <f>IF(CommitmentsTable[[#This Row],[Commitment / deliverable]]="","",IF(CommitmentsTable[[#This Row],[Revised due]]&lt;&gt;"",CommitmentsTable[[#This Row],[Revised due]],CommitmentsTable[[#This Row],[Original due]]))</f>
        <v/>
      </c>
      <c r="T622" s="237" t="str">
        <f>IF(OR(CommitmentsTable[[#This Row],[Commitment / deliverable]]="",CommitmentsTable[[#This Row],[Owner]]=""),"",IF(CommitmentsTable[[#This Row],[Status2]]="","Open",CommitmentsTable[[#This Row],[Status2]]))</f>
        <v/>
      </c>
      <c r="U622" s="237" t="str">
        <f t="shared" ca="1" si="9"/>
        <v/>
      </c>
      <c r="V622" s="233"/>
      <c r="W622" s="63" t="s">
        <v>1524</v>
      </c>
    </row>
    <row r="623" spans="1:23" ht="26">
      <c r="A623" s="213" t="str">
        <f>IF(OR(CommitmentsTable[[#This Row],[Commitment / deliverable]]="",CommitmentsTable[[#This Row],[Immutable Key]]=""),"",SUBSTITUTE(CommitmentsTable[[#This Row],[Immutable Key]],"-K-","-"))</f>
        <v/>
      </c>
      <c r="B623" s="233"/>
      <c r="C623" s="233"/>
      <c r="D623" s="213"/>
      <c r="E623" s="230"/>
      <c r="F623" s="213"/>
      <c r="G623" s="245" t="str">
        <f ca="1">IF(CommitmentsTable[[#This Row],[Commitment / deliverable]]="","",IF(CommitmentsTable[[#This Row],[Date record entered]]="",TODAY(),CommitmentsTable[[#This Row],[Date record entered]]))</f>
        <v/>
      </c>
      <c r="H623" s="245"/>
      <c r="I623" s="245" t="str">
        <f ca="1">IF(CommitmentsTable[[#This Row],[Date Assigned if different from entry date]]&lt;&gt;"",CommitmentsTable[[#This Row],[Date Assigned if different from entry date]]+90,IF(CommitmentsTable[[#This Row],[Date record entered]]&lt;&gt;"",CommitmentsTable[[#This Row],[Date record entered]]+90,""))</f>
        <v/>
      </c>
      <c r="J623" s="245" t="str">
        <f ca="1">IF(CommitmentsTable[[#This Row],[Date Assigned if different from entry date]]&lt;&gt;"",CommitmentsTable[[#This Row],[Date Assigned if different from entry date]]+30,IF(CommitmentsTable[[#This Row],[Date record entered]]&lt;&gt;"",CommitmentsTable[[#This Row],[Date record entered]]+30,""))</f>
        <v/>
      </c>
      <c r="K623" s="245"/>
      <c r="L623" s="245" t="str">
        <f ca="1">IF(CommitmentsTable[[#This Row],[Date Assigned if different from entry date]]&lt;&gt;"",CommitmentsTable[[#This Row],[Date Assigned if different from entry date]]+60,IF(CommitmentsTable[[#This Row],[Date record entered]]&lt;&gt;"",CommitmentsTable[[#This Row],[Date record entered]]+60,""))</f>
        <v/>
      </c>
      <c r="M623" s="214"/>
      <c r="N623" s="214"/>
      <c r="O623" s="236"/>
      <c r="P623" s="214"/>
      <c r="Q623" s="214"/>
      <c r="R623" s="214"/>
      <c r="S623" s="238" t="str">
        <f>IF(CommitmentsTable[[#This Row],[Commitment / deliverable]]="","",IF(CommitmentsTable[[#This Row],[Revised due]]&lt;&gt;"",CommitmentsTable[[#This Row],[Revised due]],CommitmentsTable[[#This Row],[Original due]]))</f>
        <v/>
      </c>
      <c r="T623" s="237" t="str">
        <f>IF(OR(CommitmentsTable[[#This Row],[Commitment / deliverable]]="",CommitmentsTable[[#This Row],[Owner]]=""),"",IF(CommitmentsTable[[#This Row],[Status2]]="","Open",CommitmentsTable[[#This Row],[Status2]]))</f>
        <v/>
      </c>
      <c r="U623" s="237" t="str">
        <f t="shared" ca="1" si="9"/>
        <v/>
      </c>
      <c r="V623" s="233"/>
      <c r="W623" s="63" t="s">
        <v>1525</v>
      </c>
    </row>
    <row r="624" spans="1:23" ht="26">
      <c r="A624" s="213" t="str">
        <f>IF(OR(CommitmentsTable[[#This Row],[Commitment / deliverable]]="",CommitmentsTable[[#This Row],[Immutable Key]]=""),"",SUBSTITUTE(CommitmentsTable[[#This Row],[Immutable Key]],"-K-","-"))</f>
        <v/>
      </c>
      <c r="B624" s="233"/>
      <c r="C624" s="233"/>
      <c r="D624" s="213"/>
      <c r="E624" s="230"/>
      <c r="F624" s="213"/>
      <c r="G624" s="245" t="str">
        <f ca="1">IF(CommitmentsTable[[#This Row],[Commitment / deliverable]]="","",IF(CommitmentsTable[[#This Row],[Date record entered]]="",TODAY(),CommitmentsTable[[#This Row],[Date record entered]]))</f>
        <v/>
      </c>
      <c r="H624" s="245"/>
      <c r="I624" s="245" t="str">
        <f ca="1">IF(CommitmentsTable[[#This Row],[Date Assigned if different from entry date]]&lt;&gt;"",CommitmentsTable[[#This Row],[Date Assigned if different from entry date]]+90,IF(CommitmentsTable[[#This Row],[Date record entered]]&lt;&gt;"",CommitmentsTable[[#This Row],[Date record entered]]+90,""))</f>
        <v/>
      </c>
      <c r="J624" s="245" t="str">
        <f ca="1">IF(CommitmentsTable[[#This Row],[Date Assigned if different from entry date]]&lt;&gt;"",CommitmentsTable[[#This Row],[Date Assigned if different from entry date]]+30,IF(CommitmentsTable[[#This Row],[Date record entered]]&lt;&gt;"",CommitmentsTable[[#This Row],[Date record entered]]+30,""))</f>
        <v/>
      </c>
      <c r="K624" s="245"/>
      <c r="L624" s="245" t="str">
        <f ca="1">IF(CommitmentsTable[[#This Row],[Date Assigned if different from entry date]]&lt;&gt;"",CommitmentsTable[[#This Row],[Date Assigned if different from entry date]]+60,IF(CommitmentsTable[[#This Row],[Date record entered]]&lt;&gt;"",CommitmentsTable[[#This Row],[Date record entered]]+60,""))</f>
        <v/>
      </c>
      <c r="M624" s="214"/>
      <c r="N624" s="214"/>
      <c r="O624" s="236"/>
      <c r="P624" s="214"/>
      <c r="Q624" s="214"/>
      <c r="R624" s="214"/>
      <c r="S624" s="238" t="str">
        <f>IF(CommitmentsTable[[#This Row],[Commitment / deliverable]]="","",IF(CommitmentsTable[[#This Row],[Revised due]]&lt;&gt;"",CommitmentsTable[[#This Row],[Revised due]],CommitmentsTable[[#This Row],[Original due]]))</f>
        <v/>
      </c>
      <c r="T624" s="237" t="str">
        <f>IF(OR(CommitmentsTable[[#This Row],[Commitment / deliverable]]="",CommitmentsTable[[#This Row],[Owner]]=""),"",IF(CommitmentsTable[[#This Row],[Status2]]="","Open",CommitmentsTable[[#This Row],[Status2]]))</f>
        <v/>
      </c>
      <c r="U624" s="237" t="str">
        <f t="shared" ca="1" si="9"/>
        <v/>
      </c>
      <c r="V624" s="233"/>
      <c r="W624" s="63" t="s">
        <v>1526</v>
      </c>
    </row>
    <row r="625" spans="1:23" ht="26">
      <c r="A625" s="213" t="str">
        <f>IF(OR(CommitmentsTable[[#This Row],[Commitment / deliverable]]="",CommitmentsTable[[#This Row],[Immutable Key]]=""),"",SUBSTITUTE(CommitmentsTable[[#This Row],[Immutable Key]],"-K-","-"))</f>
        <v/>
      </c>
      <c r="B625" s="233"/>
      <c r="C625" s="233"/>
      <c r="D625" s="213"/>
      <c r="E625" s="230"/>
      <c r="F625" s="213"/>
      <c r="G625" s="245" t="str">
        <f ca="1">IF(CommitmentsTable[[#This Row],[Commitment / deliverable]]="","",IF(CommitmentsTable[[#This Row],[Date record entered]]="",TODAY(),CommitmentsTable[[#This Row],[Date record entered]]))</f>
        <v/>
      </c>
      <c r="H625" s="245"/>
      <c r="I625" s="245" t="str">
        <f ca="1">IF(CommitmentsTable[[#This Row],[Date Assigned if different from entry date]]&lt;&gt;"",CommitmentsTable[[#This Row],[Date Assigned if different from entry date]]+90,IF(CommitmentsTable[[#This Row],[Date record entered]]&lt;&gt;"",CommitmentsTable[[#This Row],[Date record entered]]+90,""))</f>
        <v/>
      </c>
      <c r="J625" s="245" t="str">
        <f ca="1">IF(CommitmentsTable[[#This Row],[Date Assigned if different from entry date]]&lt;&gt;"",CommitmentsTable[[#This Row],[Date Assigned if different from entry date]]+30,IF(CommitmentsTable[[#This Row],[Date record entered]]&lt;&gt;"",CommitmentsTable[[#This Row],[Date record entered]]+30,""))</f>
        <v/>
      </c>
      <c r="K625" s="245"/>
      <c r="L625" s="245" t="str">
        <f ca="1">IF(CommitmentsTable[[#This Row],[Date Assigned if different from entry date]]&lt;&gt;"",CommitmentsTable[[#This Row],[Date Assigned if different from entry date]]+60,IF(CommitmentsTable[[#This Row],[Date record entered]]&lt;&gt;"",CommitmentsTable[[#This Row],[Date record entered]]+60,""))</f>
        <v/>
      </c>
      <c r="M625" s="214"/>
      <c r="N625" s="214"/>
      <c r="O625" s="236"/>
      <c r="P625" s="214"/>
      <c r="Q625" s="214"/>
      <c r="R625" s="214"/>
      <c r="S625" s="238" t="str">
        <f>IF(CommitmentsTable[[#This Row],[Commitment / deliverable]]="","",IF(CommitmentsTable[[#This Row],[Revised due]]&lt;&gt;"",CommitmentsTable[[#This Row],[Revised due]],CommitmentsTable[[#This Row],[Original due]]))</f>
        <v/>
      </c>
      <c r="T625" s="237" t="str">
        <f>IF(OR(CommitmentsTable[[#This Row],[Commitment / deliverable]]="",CommitmentsTable[[#This Row],[Owner]]=""),"",IF(CommitmentsTable[[#This Row],[Status2]]="","Open",CommitmentsTable[[#This Row],[Status2]]))</f>
        <v/>
      </c>
      <c r="U625" s="237" t="str">
        <f t="shared" ca="1" si="9"/>
        <v/>
      </c>
      <c r="V625" s="233"/>
      <c r="W625" s="63" t="s">
        <v>1527</v>
      </c>
    </row>
    <row r="626" spans="1:23" ht="26">
      <c r="A626" s="213" t="str">
        <f>IF(OR(CommitmentsTable[[#This Row],[Commitment / deliverable]]="",CommitmentsTable[[#This Row],[Immutable Key]]=""),"",SUBSTITUTE(CommitmentsTable[[#This Row],[Immutable Key]],"-K-","-"))</f>
        <v/>
      </c>
      <c r="B626" s="233"/>
      <c r="C626" s="233"/>
      <c r="D626" s="213"/>
      <c r="E626" s="230"/>
      <c r="F626" s="213"/>
      <c r="G626" s="245" t="str">
        <f ca="1">IF(CommitmentsTable[[#This Row],[Commitment / deliverable]]="","",IF(CommitmentsTable[[#This Row],[Date record entered]]="",TODAY(),CommitmentsTable[[#This Row],[Date record entered]]))</f>
        <v/>
      </c>
      <c r="H626" s="245"/>
      <c r="I626" s="245" t="str">
        <f ca="1">IF(CommitmentsTable[[#This Row],[Date Assigned if different from entry date]]&lt;&gt;"",CommitmentsTable[[#This Row],[Date Assigned if different from entry date]]+90,IF(CommitmentsTable[[#This Row],[Date record entered]]&lt;&gt;"",CommitmentsTable[[#This Row],[Date record entered]]+90,""))</f>
        <v/>
      </c>
      <c r="J626" s="245" t="str">
        <f ca="1">IF(CommitmentsTable[[#This Row],[Date Assigned if different from entry date]]&lt;&gt;"",CommitmentsTable[[#This Row],[Date Assigned if different from entry date]]+30,IF(CommitmentsTable[[#This Row],[Date record entered]]&lt;&gt;"",CommitmentsTable[[#This Row],[Date record entered]]+30,""))</f>
        <v/>
      </c>
      <c r="K626" s="245"/>
      <c r="L626" s="245" t="str">
        <f ca="1">IF(CommitmentsTable[[#This Row],[Date Assigned if different from entry date]]&lt;&gt;"",CommitmentsTable[[#This Row],[Date Assigned if different from entry date]]+60,IF(CommitmentsTable[[#This Row],[Date record entered]]&lt;&gt;"",CommitmentsTable[[#This Row],[Date record entered]]+60,""))</f>
        <v/>
      </c>
      <c r="M626" s="214"/>
      <c r="N626" s="214"/>
      <c r="O626" s="236"/>
      <c r="P626" s="214"/>
      <c r="Q626" s="214"/>
      <c r="R626" s="214"/>
      <c r="S626" s="238" t="str">
        <f>IF(CommitmentsTable[[#This Row],[Commitment / deliverable]]="","",IF(CommitmentsTable[[#This Row],[Revised due]]&lt;&gt;"",CommitmentsTable[[#This Row],[Revised due]],CommitmentsTable[[#This Row],[Original due]]))</f>
        <v/>
      </c>
      <c r="T626" s="237" t="str">
        <f>IF(OR(CommitmentsTable[[#This Row],[Commitment / deliverable]]="",CommitmentsTable[[#This Row],[Owner]]=""),"",IF(CommitmentsTable[[#This Row],[Status2]]="","Open",CommitmentsTable[[#This Row],[Status2]]))</f>
        <v/>
      </c>
      <c r="U626" s="237" t="str">
        <f t="shared" ca="1" si="9"/>
        <v/>
      </c>
      <c r="V626" s="233"/>
      <c r="W626" s="63" t="s">
        <v>1528</v>
      </c>
    </row>
    <row r="627" spans="1:23" ht="26">
      <c r="A627" s="213" t="str">
        <f>IF(OR(CommitmentsTable[[#This Row],[Commitment / deliverable]]="",CommitmentsTable[[#This Row],[Immutable Key]]=""),"",SUBSTITUTE(CommitmentsTable[[#This Row],[Immutable Key]],"-K-","-"))</f>
        <v/>
      </c>
      <c r="B627" s="233"/>
      <c r="C627" s="233"/>
      <c r="D627" s="213"/>
      <c r="E627" s="230"/>
      <c r="F627" s="213"/>
      <c r="G627" s="245" t="str">
        <f ca="1">IF(CommitmentsTable[[#This Row],[Commitment / deliverable]]="","",IF(CommitmentsTable[[#This Row],[Date record entered]]="",TODAY(),CommitmentsTable[[#This Row],[Date record entered]]))</f>
        <v/>
      </c>
      <c r="H627" s="245"/>
      <c r="I627" s="245" t="str">
        <f ca="1">IF(CommitmentsTable[[#This Row],[Date Assigned if different from entry date]]&lt;&gt;"",CommitmentsTable[[#This Row],[Date Assigned if different from entry date]]+90,IF(CommitmentsTable[[#This Row],[Date record entered]]&lt;&gt;"",CommitmentsTable[[#This Row],[Date record entered]]+90,""))</f>
        <v/>
      </c>
      <c r="J627" s="245" t="str">
        <f ca="1">IF(CommitmentsTable[[#This Row],[Date Assigned if different from entry date]]&lt;&gt;"",CommitmentsTable[[#This Row],[Date Assigned if different from entry date]]+30,IF(CommitmentsTable[[#This Row],[Date record entered]]&lt;&gt;"",CommitmentsTable[[#This Row],[Date record entered]]+30,""))</f>
        <v/>
      </c>
      <c r="K627" s="245"/>
      <c r="L627" s="245" t="str">
        <f ca="1">IF(CommitmentsTable[[#This Row],[Date Assigned if different from entry date]]&lt;&gt;"",CommitmentsTable[[#This Row],[Date Assigned if different from entry date]]+60,IF(CommitmentsTable[[#This Row],[Date record entered]]&lt;&gt;"",CommitmentsTable[[#This Row],[Date record entered]]+60,""))</f>
        <v/>
      </c>
      <c r="M627" s="214"/>
      <c r="N627" s="214"/>
      <c r="O627" s="236"/>
      <c r="P627" s="214"/>
      <c r="Q627" s="214"/>
      <c r="R627" s="214"/>
      <c r="S627" s="238" t="str">
        <f>IF(CommitmentsTable[[#This Row],[Commitment / deliverable]]="","",IF(CommitmentsTable[[#This Row],[Revised due]]&lt;&gt;"",CommitmentsTable[[#This Row],[Revised due]],CommitmentsTable[[#This Row],[Original due]]))</f>
        <v/>
      </c>
      <c r="T627" s="237" t="str">
        <f>IF(OR(CommitmentsTable[[#This Row],[Commitment / deliverable]]="",CommitmentsTable[[#This Row],[Owner]]=""),"",IF(CommitmentsTable[[#This Row],[Status2]]="","Open",CommitmentsTable[[#This Row],[Status2]]))</f>
        <v/>
      </c>
      <c r="U627" s="237" t="str">
        <f t="shared" ca="1" si="9"/>
        <v/>
      </c>
      <c r="V627" s="233"/>
      <c r="W627" s="63" t="s">
        <v>1529</v>
      </c>
    </row>
    <row r="628" spans="1:23" ht="26">
      <c r="A628" s="213" t="str">
        <f>IF(OR(CommitmentsTable[[#This Row],[Commitment / deliverable]]="",CommitmentsTable[[#This Row],[Immutable Key]]=""),"",SUBSTITUTE(CommitmentsTable[[#This Row],[Immutable Key]],"-K-","-"))</f>
        <v/>
      </c>
      <c r="B628" s="233"/>
      <c r="C628" s="233"/>
      <c r="D628" s="213"/>
      <c r="E628" s="230"/>
      <c r="F628" s="213"/>
      <c r="G628" s="245" t="str">
        <f ca="1">IF(CommitmentsTable[[#This Row],[Commitment / deliverable]]="","",IF(CommitmentsTable[[#This Row],[Date record entered]]="",TODAY(),CommitmentsTable[[#This Row],[Date record entered]]))</f>
        <v/>
      </c>
      <c r="H628" s="245"/>
      <c r="I628" s="245" t="str">
        <f ca="1">IF(CommitmentsTable[[#This Row],[Date Assigned if different from entry date]]&lt;&gt;"",CommitmentsTable[[#This Row],[Date Assigned if different from entry date]]+90,IF(CommitmentsTable[[#This Row],[Date record entered]]&lt;&gt;"",CommitmentsTable[[#This Row],[Date record entered]]+90,""))</f>
        <v/>
      </c>
      <c r="J628" s="245" t="str">
        <f ca="1">IF(CommitmentsTable[[#This Row],[Date Assigned if different from entry date]]&lt;&gt;"",CommitmentsTable[[#This Row],[Date Assigned if different from entry date]]+30,IF(CommitmentsTable[[#This Row],[Date record entered]]&lt;&gt;"",CommitmentsTable[[#This Row],[Date record entered]]+30,""))</f>
        <v/>
      </c>
      <c r="K628" s="245"/>
      <c r="L628" s="245" t="str">
        <f ca="1">IF(CommitmentsTable[[#This Row],[Date Assigned if different from entry date]]&lt;&gt;"",CommitmentsTable[[#This Row],[Date Assigned if different from entry date]]+60,IF(CommitmentsTable[[#This Row],[Date record entered]]&lt;&gt;"",CommitmentsTable[[#This Row],[Date record entered]]+60,""))</f>
        <v/>
      </c>
      <c r="M628" s="214"/>
      <c r="N628" s="214"/>
      <c r="O628" s="236"/>
      <c r="P628" s="214"/>
      <c r="Q628" s="214"/>
      <c r="R628" s="214"/>
      <c r="S628" s="238" t="str">
        <f>IF(CommitmentsTable[[#This Row],[Commitment / deliverable]]="","",IF(CommitmentsTable[[#This Row],[Revised due]]&lt;&gt;"",CommitmentsTable[[#This Row],[Revised due]],CommitmentsTable[[#This Row],[Original due]]))</f>
        <v/>
      </c>
      <c r="T628" s="237" t="str">
        <f>IF(OR(CommitmentsTable[[#This Row],[Commitment / deliverable]]="",CommitmentsTable[[#This Row],[Owner]]=""),"",IF(CommitmentsTable[[#This Row],[Status2]]="","Open",CommitmentsTable[[#This Row],[Status2]]))</f>
        <v/>
      </c>
      <c r="U628" s="237" t="str">
        <f t="shared" ca="1" si="9"/>
        <v/>
      </c>
      <c r="V628" s="233"/>
      <c r="W628" s="63" t="s">
        <v>1530</v>
      </c>
    </row>
    <row r="629" spans="1:23" ht="26">
      <c r="A629" s="213" t="str">
        <f>IF(OR(CommitmentsTable[[#This Row],[Commitment / deliverable]]="",CommitmentsTable[[#This Row],[Immutable Key]]=""),"",SUBSTITUTE(CommitmentsTable[[#This Row],[Immutable Key]],"-K-","-"))</f>
        <v/>
      </c>
      <c r="B629" s="233"/>
      <c r="C629" s="233"/>
      <c r="D629" s="213"/>
      <c r="E629" s="230"/>
      <c r="F629" s="213"/>
      <c r="G629" s="245" t="str">
        <f ca="1">IF(CommitmentsTable[[#This Row],[Commitment / deliverable]]="","",IF(CommitmentsTable[[#This Row],[Date record entered]]="",TODAY(),CommitmentsTable[[#This Row],[Date record entered]]))</f>
        <v/>
      </c>
      <c r="H629" s="245"/>
      <c r="I629" s="245" t="str">
        <f ca="1">IF(CommitmentsTable[[#This Row],[Date Assigned if different from entry date]]&lt;&gt;"",CommitmentsTable[[#This Row],[Date Assigned if different from entry date]]+90,IF(CommitmentsTable[[#This Row],[Date record entered]]&lt;&gt;"",CommitmentsTable[[#This Row],[Date record entered]]+90,""))</f>
        <v/>
      </c>
      <c r="J629" s="245" t="str">
        <f ca="1">IF(CommitmentsTable[[#This Row],[Date Assigned if different from entry date]]&lt;&gt;"",CommitmentsTable[[#This Row],[Date Assigned if different from entry date]]+30,IF(CommitmentsTable[[#This Row],[Date record entered]]&lt;&gt;"",CommitmentsTable[[#This Row],[Date record entered]]+30,""))</f>
        <v/>
      </c>
      <c r="K629" s="245"/>
      <c r="L629" s="245" t="str">
        <f ca="1">IF(CommitmentsTable[[#This Row],[Date Assigned if different from entry date]]&lt;&gt;"",CommitmentsTable[[#This Row],[Date Assigned if different from entry date]]+60,IF(CommitmentsTable[[#This Row],[Date record entered]]&lt;&gt;"",CommitmentsTable[[#This Row],[Date record entered]]+60,""))</f>
        <v/>
      </c>
      <c r="M629" s="214"/>
      <c r="N629" s="214"/>
      <c r="O629" s="236"/>
      <c r="P629" s="214"/>
      <c r="Q629" s="214"/>
      <c r="R629" s="214"/>
      <c r="S629" s="238" t="str">
        <f>IF(CommitmentsTable[[#This Row],[Commitment / deliverable]]="","",IF(CommitmentsTable[[#This Row],[Revised due]]&lt;&gt;"",CommitmentsTable[[#This Row],[Revised due]],CommitmentsTable[[#This Row],[Original due]]))</f>
        <v/>
      </c>
      <c r="T629" s="237" t="str">
        <f>IF(OR(CommitmentsTable[[#This Row],[Commitment / deliverable]]="",CommitmentsTable[[#This Row],[Owner]]=""),"",IF(CommitmentsTable[[#This Row],[Status2]]="","Open",CommitmentsTable[[#This Row],[Status2]]))</f>
        <v/>
      </c>
      <c r="U629" s="237" t="str">
        <f t="shared" ca="1" si="9"/>
        <v/>
      </c>
      <c r="V629" s="233"/>
      <c r="W629" s="63" t="s">
        <v>1531</v>
      </c>
    </row>
    <row r="630" spans="1:23" ht="26">
      <c r="A630" s="213" t="str">
        <f>IF(OR(CommitmentsTable[[#This Row],[Commitment / deliverable]]="",CommitmentsTable[[#This Row],[Immutable Key]]=""),"",SUBSTITUTE(CommitmentsTable[[#This Row],[Immutable Key]],"-K-","-"))</f>
        <v/>
      </c>
      <c r="B630" s="233"/>
      <c r="C630" s="233"/>
      <c r="D630" s="213"/>
      <c r="E630" s="230"/>
      <c r="F630" s="213"/>
      <c r="G630" s="245" t="str">
        <f ca="1">IF(CommitmentsTable[[#This Row],[Commitment / deliverable]]="","",IF(CommitmentsTable[[#This Row],[Date record entered]]="",TODAY(),CommitmentsTable[[#This Row],[Date record entered]]))</f>
        <v/>
      </c>
      <c r="H630" s="245"/>
      <c r="I630" s="245" t="str">
        <f ca="1">IF(CommitmentsTable[[#This Row],[Date Assigned if different from entry date]]&lt;&gt;"",CommitmentsTable[[#This Row],[Date Assigned if different from entry date]]+90,IF(CommitmentsTable[[#This Row],[Date record entered]]&lt;&gt;"",CommitmentsTable[[#This Row],[Date record entered]]+90,""))</f>
        <v/>
      </c>
      <c r="J630" s="245" t="str">
        <f ca="1">IF(CommitmentsTable[[#This Row],[Date Assigned if different from entry date]]&lt;&gt;"",CommitmentsTable[[#This Row],[Date Assigned if different from entry date]]+30,IF(CommitmentsTable[[#This Row],[Date record entered]]&lt;&gt;"",CommitmentsTable[[#This Row],[Date record entered]]+30,""))</f>
        <v/>
      </c>
      <c r="K630" s="245"/>
      <c r="L630" s="245" t="str">
        <f ca="1">IF(CommitmentsTable[[#This Row],[Date Assigned if different from entry date]]&lt;&gt;"",CommitmentsTable[[#This Row],[Date Assigned if different from entry date]]+60,IF(CommitmentsTable[[#This Row],[Date record entered]]&lt;&gt;"",CommitmentsTable[[#This Row],[Date record entered]]+60,""))</f>
        <v/>
      </c>
      <c r="M630" s="214"/>
      <c r="N630" s="214"/>
      <c r="O630" s="236"/>
      <c r="P630" s="214"/>
      <c r="Q630" s="214"/>
      <c r="R630" s="214"/>
      <c r="S630" s="238" t="str">
        <f>IF(CommitmentsTable[[#This Row],[Commitment / deliverable]]="","",IF(CommitmentsTable[[#This Row],[Revised due]]&lt;&gt;"",CommitmentsTable[[#This Row],[Revised due]],CommitmentsTable[[#This Row],[Original due]]))</f>
        <v/>
      </c>
      <c r="T630" s="237" t="str">
        <f>IF(OR(CommitmentsTable[[#This Row],[Commitment / deliverable]]="",CommitmentsTable[[#This Row],[Owner]]=""),"",IF(CommitmentsTable[[#This Row],[Status2]]="","Open",CommitmentsTable[[#This Row],[Status2]]))</f>
        <v/>
      </c>
      <c r="U630" s="237" t="str">
        <f t="shared" ca="1" si="9"/>
        <v/>
      </c>
      <c r="V630" s="233"/>
      <c r="W630" s="63" t="s">
        <v>1532</v>
      </c>
    </row>
    <row r="631" spans="1:23" ht="26">
      <c r="A631" s="213" t="str">
        <f>IF(OR(CommitmentsTable[[#This Row],[Commitment / deliverable]]="",CommitmentsTable[[#This Row],[Immutable Key]]=""),"",SUBSTITUTE(CommitmentsTable[[#This Row],[Immutable Key]],"-K-","-"))</f>
        <v/>
      </c>
      <c r="B631" s="233"/>
      <c r="C631" s="233"/>
      <c r="D631" s="213"/>
      <c r="E631" s="230"/>
      <c r="F631" s="213"/>
      <c r="G631" s="245" t="str">
        <f ca="1">IF(CommitmentsTable[[#This Row],[Commitment / deliverable]]="","",IF(CommitmentsTable[[#This Row],[Date record entered]]="",TODAY(),CommitmentsTable[[#This Row],[Date record entered]]))</f>
        <v/>
      </c>
      <c r="H631" s="245"/>
      <c r="I631" s="245" t="str">
        <f ca="1">IF(CommitmentsTable[[#This Row],[Date Assigned if different from entry date]]&lt;&gt;"",CommitmentsTable[[#This Row],[Date Assigned if different from entry date]]+90,IF(CommitmentsTable[[#This Row],[Date record entered]]&lt;&gt;"",CommitmentsTable[[#This Row],[Date record entered]]+90,""))</f>
        <v/>
      </c>
      <c r="J631" s="245" t="str">
        <f ca="1">IF(CommitmentsTable[[#This Row],[Date Assigned if different from entry date]]&lt;&gt;"",CommitmentsTable[[#This Row],[Date Assigned if different from entry date]]+30,IF(CommitmentsTable[[#This Row],[Date record entered]]&lt;&gt;"",CommitmentsTable[[#This Row],[Date record entered]]+30,""))</f>
        <v/>
      </c>
      <c r="K631" s="245"/>
      <c r="L631" s="245" t="str">
        <f ca="1">IF(CommitmentsTable[[#This Row],[Date Assigned if different from entry date]]&lt;&gt;"",CommitmentsTable[[#This Row],[Date Assigned if different from entry date]]+60,IF(CommitmentsTable[[#This Row],[Date record entered]]&lt;&gt;"",CommitmentsTable[[#This Row],[Date record entered]]+60,""))</f>
        <v/>
      </c>
      <c r="M631" s="214"/>
      <c r="N631" s="214"/>
      <c r="O631" s="236"/>
      <c r="P631" s="214"/>
      <c r="Q631" s="214"/>
      <c r="R631" s="214"/>
      <c r="S631" s="238" t="str">
        <f>IF(CommitmentsTable[[#This Row],[Commitment / deliverable]]="","",IF(CommitmentsTable[[#This Row],[Revised due]]&lt;&gt;"",CommitmentsTable[[#This Row],[Revised due]],CommitmentsTable[[#This Row],[Original due]]))</f>
        <v/>
      </c>
      <c r="T631" s="237" t="str">
        <f>IF(OR(CommitmentsTable[[#This Row],[Commitment / deliverable]]="",CommitmentsTable[[#This Row],[Owner]]=""),"",IF(CommitmentsTable[[#This Row],[Status2]]="","Open",CommitmentsTable[[#This Row],[Status2]]))</f>
        <v/>
      </c>
      <c r="U631" s="237" t="str">
        <f t="shared" ca="1" si="9"/>
        <v/>
      </c>
      <c r="V631" s="233"/>
      <c r="W631" s="63" t="s">
        <v>1533</v>
      </c>
    </row>
    <row r="632" spans="1:23" ht="26">
      <c r="A632" s="213" t="str">
        <f>IF(OR(CommitmentsTable[[#This Row],[Commitment / deliverable]]="",CommitmentsTable[[#This Row],[Immutable Key]]=""),"",SUBSTITUTE(CommitmentsTable[[#This Row],[Immutable Key]],"-K-","-"))</f>
        <v/>
      </c>
      <c r="B632" s="233"/>
      <c r="C632" s="233"/>
      <c r="D632" s="213"/>
      <c r="E632" s="230"/>
      <c r="F632" s="213"/>
      <c r="G632" s="245" t="str">
        <f ca="1">IF(CommitmentsTable[[#This Row],[Commitment / deliverable]]="","",IF(CommitmentsTable[[#This Row],[Date record entered]]="",TODAY(),CommitmentsTable[[#This Row],[Date record entered]]))</f>
        <v/>
      </c>
      <c r="H632" s="245"/>
      <c r="I632" s="245" t="str">
        <f ca="1">IF(CommitmentsTable[[#This Row],[Date Assigned if different from entry date]]&lt;&gt;"",CommitmentsTable[[#This Row],[Date Assigned if different from entry date]]+90,IF(CommitmentsTable[[#This Row],[Date record entered]]&lt;&gt;"",CommitmentsTable[[#This Row],[Date record entered]]+90,""))</f>
        <v/>
      </c>
      <c r="J632" s="245" t="str">
        <f ca="1">IF(CommitmentsTable[[#This Row],[Date Assigned if different from entry date]]&lt;&gt;"",CommitmentsTable[[#This Row],[Date Assigned if different from entry date]]+30,IF(CommitmentsTable[[#This Row],[Date record entered]]&lt;&gt;"",CommitmentsTable[[#This Row],[Date record entered]]+30,""))</f>
        <v/>
      </c>
      <c r="K632" s="245"/>
      <c r="L632" s="245" t="str">
        <f ca="1">IF(CommitmentsTable[[#This Row],[Date Assigned if different from entry date]]&lt;&gt;"",CommitmentsTable[[#This Row],[Date Assigned if different from entry date]]+60,IF(CommitmentsTable[[#This Row],[Date record entered]]&lt;&gt;"",CommitmentsTable[[#This Row],[Date record entered]]+60,""))</f>
        <v/>
      </c>
      <c r="M632" s="214"/>
      <c r="N632" s="214"/>
      <c r="O632" s="236"/>
      <c r="P632" s="214"/>
      <c r="Q632" s="214"/>
      <c r="R632" s="214"/>
      <c r="S632" s="238" t="str">
        <f>IF(CommitmentsTable[[#This Row],[Commitment / deliverable]]="","",IF(CommitmentsTable[[#This Row],[Revised due]]&lt;&gt;"",CommitmentsTable[[#This Row],[Revised due]],CommitmentsTable[[#This Row],[Original due]]))</f>
        <v/>
      </c>
      <c r="T632" s="237" t="str">
        <f>IF(OR(CommitmentsTable[[#This Row],[Commitment / deliverable]]="",CommitmentsTable[[#This Row],[Owner]]=""),"",IF(CommitmentsTable[[#This Row],[Status2]]="","Open",CommitmentsTable[[#This Row],[Status2]]))</f>
        <v/>
      </c>
      <c r="U632" s="237" t="str">
        <f t="shared" ca="1" si="9"/>
        <v/>
      </c>
      <c r="V632" s="233"/>
      <c r="W632" s="63" t="s">
        <v>1534</v>
      </c>
    </row>
    <row r="633" spans="1:23" ht="26">
      <c r="A633" s="213" t="str">
        <f>IF(OR(CommitmentsTable[[#This Row],[Commitment / deliverable]]="",CommitmentsTable[[#This Row],[Immutable Key]]=""),"",SUBSTITUTE(CommitmentsTable[[#This Row],[Immutable Key]],"-K-","-"))</f>
        <v/>
      </c>
      <c r="B633" s="233"/>
      <c r="C633" s="233"/>
      <c r="D633" s="213"/>
      <c r="E633" s="230"/>
      <c r="F633" s="213"/>
      <c r="G633" s="245" t="str">
        <f ca="1">IF(CommitmentsTable[[#This Row],[Commitment / deliverable]]="","",IF(CommitmentsTable[[#This Row],[Date record entered]]="",TODAY(),CommitmentsTable[[#This Row],[Date record entered]]))</f>
        <v/>
      </c>
      <c r="H633" s="245"/>
      <c r="I633" s="245" t="str">
        <f ca="1">IF(CommitmentsTable[[#This Row],[Date Assigned if different from entry date]]&lt;&gt;"",CommitmentsTable[[#This Row],[Date Assigned if different from entry date]]+90,IF(CommitmentsTable[[#This Row],[Date record entered]]&lt;&gt;"",CommitmentsTable[[#This Row],[Date record entered]]+90,""))</f>
        <v/>
      </c>
      <c r="J633" s="245" t="str">
        <f ca="1">IF(CommitmentsTable[[#This Row],[Date Assigned if different from entry date]]&lt;&gt;"",CommitmentsTable[[#This Row],[Date Assigned if different from entry date]]+30,IF(CommitmentsTable[[#This Row],[Date record entered]]&lt;&gt;"",CommitmentsTable[[#This Row],[Date record entered]]+30,""))</f>
        <v/>
      </c>
      <c r="K633" s="245"/>
      <c r="L633" s="245" t="str">
        <f ca="1">IF(CommitmentsTable[[#This Row],[Date Assigned if different from entry date]]&lt;&gt;"",CommitmentsTable[[#This Row],[Date Assigned if different from entry date]]+60,IF(CommitmentsTable[[#This Row],[Date record entered]]&lt;&gt;"",CommitmentsTable[[#This Row],[Date record entered]]+60,""))</f>
        <v/>
      </c>
      <c r="M633" s="214"/>
      <c r="N633" s="214"/>
      <c r="O633" s="236"/>
      <c r="P633" s="214"/>
      <c r="Q633" s="214"/>
      <c r="R633" s="214"/>
      <c r="S633" s="238" t="str">
        <f>IF(CommitmentsTable[[#This Row],[Commitment / deliverable]]="","",IF(CommitmentsTable[[#This Row],[Revised due]]&lt;&gt;"",CommitmentsTable[[#This Row],[Revised due]],CommitmentsTable[[#This Row],[Original due]]))</f>
        <v/>
      </c>
      <c r="T633" s="237" t="str">
        <f>IF(OR(CommitmentsTable[[#This Row],[Commitment / deliverable]]="",CommitmentsTable[[#This Row],[Owner]]=""),"",IF(CommitmentsTable[[#This Row],[Status2]]="","Open",CommitmentsTable[[#This Row],[Status2]]))</f>
        <v/>
      </c>
      <c r="U633" s="237" t="str">
        <f t="shared" ca="1" si="9"/>
        <v/>
      </c>
      <c r="V633" s="233"/>
      <c r="W633" s="63" t="s">
        <v>1535</v>
      </c>
    </row>
    <row r="634" spans="1:23" ht="26">
      <c r="A634" s="213" t="str">
        <f>IF(OR(CommitmentsTable[[#This Row],[Commitment / deliverable]]="",CommitmentsTable[[#This Row],[Immutable Key]]=""),"",SUBSTITUTE(CommitmentsTable[[#This Row],[Immutable Key]],"-K-","-"))</f>
        <v/>
      </c>
      <c r="B634" s="233"/>
      <c r="C634" s="233"/>
      <c r="D634" s="213"/>
      <c r="E634" s="230"/>
      <c r="F634" s="213"/>
      <c r="G634" s="245" t="str">
        <f ca="1">IF(CommitmentsTable[[#This Row],[Commitment / deliverable]]="","",IF(CommitmentsTable[[#This Row],[Date record entered]]="",TODAY(),CommitmentsTable[[#This Row],[Date record entered]]))</f>
        <v/>
      </c>
      <c r="H634" s="245"/>
      <c r="I634" s="245" t="str">
        <f ca="1">IF(CommitmentsTable[[#This Row],[Date Assigned if different from entry date]]&lt;&gt;"",CommitmentsTable[[#This Row],[Date Assigned if different from entry date]]+90,IF(CommitmentsTable[[#This Row],[Date record entered]]&lt;&gt;"",CommitmentsTable[[#This Row],[Date record entered]]+90,""))</f>
        <v/>
      </c>
      <c r="J634" s="245" t="str">
        <f ca="1">IF(CommitmentsTable[[#This Row],[Date Assigned if different from entry date]]&lt;&gt;"",CommitmentsTable[[#This Row],[Date Assigned if different from entry date]]+30,IF(CommitmentsTable[[#This Row],[Date record entered]]&lt;&gt;"",CommitmentsTable[[#This Row],[Date record entered]]+30,""))</f>
        <v/>
      </c>
      <c r="K634" s="245"/>
      <c r="L634" s="245" t="str">
        <f ca="1">IF(CommitmentsTable[[#This Row],[Date Assigned if different from entry date]]&lt;&gt;"",CommitmentsTable[[#This Row],[Date Assigned if different from entry date]]+60,IF(CommitmentsTable[[#This Row],[Date record entered]]&lt;&gt;"",CommitmentsTable[[#This Row],[Date record entered]]+60,""))</f>
        <v/>
      </c>
      <c r="M634" s="214"/>
      <c r="N634" s="214"/>
      <c r="O634" s="236"/>
      <c r="P634" s="214"/>
      <c r="Q634" s="214"/>
      <c r="R634" s="214"/>
      <c r="S634" s="238" t="str">
        <f>IF(CommitmentsTable[[#This Row],[Commitment / deliverable]]="","",IF(CommitmentsTable[[#This Row],[Revised due]]&lt;&gt;"",CommitmentsTable[[#This Row],[Revised due]],CommitmentsTable[[#This Row],[Original due]]))</f>
        <v/>
      </c>
      <c r="T634" s="237" t="str">
        <f>IF(OR(CommitmentsTable[[#This Row],[Commitment / deliverable]]="",CommitmentsTable[[#This Row],[Owner]]=""),"",IF(CommitmentsTable[[#This Row],[Status2]]="","Open",CommitmentsTable[[#This Row],[Status2]]))</f>
        <v/>
      </c>
      <c r="U634" s="237" t="str">
        <f t="shared" ca="1" si="9"/>
        <v/>
      </c>
      <c r="V634" s="233"/>
      <c r="W634" s="63" t="s">
        <v>1536</v>
      </c>
    </row>
    <row r="635" spans="1:23" ht="26">
      <c r="A635" s="213" t="str">
        <f>IF(OR(CommitmentsTable[[#This Row],[Commitment / deliverable]]="",CommitmentsTable[[#This Row],[Immutable Key]]=""),"",SUBSTITUTE(CommitmentsTable[[#This Row],[Immutable Key]],"-K-","-"))</f>
        <v/>
      </c>
      <c r="B635" s="233"/>
      <c r="C635" s="233"/>
      <c r="D635" s="213"/>
      <c r="E635" s="230"/>
      <c r="F635" s="213"/>
      <c r="G635" s="245" t="str">
        <f ca="1">IF(CommitmentsTable[[#This Row],[Commitment / deliverable]]="","",IF(CommitmentsTable[[#This Row],[Date record entered]]="",TODAY(),CommitmentsTable[[#This Row],[Date record entered]]))</f>
        <v/>
      </c>
      <c r="H635" s="245"/>
      <c r="I635" s="245" t="str">
        <f ca="1">IF(CommitmentsTable[[#This Row],[Date Assigned if different from entry date]]&lt;&gt;"",CommitmentsTable[[#This Row],[Date Assigned if different from entry date]]+90,IF(CommitmentsTable[[#This Row],[Date record entered]]&lt;&gt;"",CommitmentsTable[[#This Row],[Date record entered]]+90,""))</f>
        <v/>
      </c>
      <c r="J635" s="245" t="str">
        <f ca="1">IF(CommitmentsTable[[#This Row],[Date Assigned if different from entry date]]&lt;&gt;"",CommitmentsTable[[#This Row],[Date Assigned if different from entry date]]+30,IF(CommitmentsTable[[#This Row],[Date record entered]]&lt;&gt;"",CommitmentsTable[[#This Row],[Date record entered]]+30,""))</f>
        <v/>
      </c>
      <c r="K635" s="245"/>
      <c r="L635" s="245" t="str">
        <f ca="1">IF(CommitmentsTable[[#This Row],[Date Assigned if different from entry date]]&lt;&gt;"",CommitmentsTable[[#This Row],[Date Assigned if different from entry date]]+60,IF(CommitmentsTable[[#This Row],[Date record entered]]&lt;&gt;"",CommitmentsTable[[#This Row],[Date record entered]]+60,""))</f>
        <v/>
      </c>
      <c r="M635" s="214"/>
      <c r="N635" s="214"/>
      <c r="O635" s="236"/>
      <c r="P635" s="214"/>
      <c r="Q635" s="214"/>
      <c r="R635" s="214"/>
      <c r="S635" s="238" t="str">
        <f>IF(CommitmentsTable[[#This Row],[Commitment / deliverable]]="","",IF(CommitmentsTable[[#This Row],[Revised due]]&lt;&gt;"",CommitmentsTable[[#This Row],[Revised due]],CommitmentsTable[[#This Row],[Original due]]))</f>
        <v/>
      </c>
      <c r="T635" s="237" t="str">
        <f>IF(OR(CommitmentsTable[[#This Row],[Commitment / deliverable]]="",CommitmentsTable[[#This Row],[Owner]]=""),"",IF(CommitmentsTable[[#This Row],[Status2]]="","Open",CommitmentsTable[[#This Row],[Status2]]))</f>
        <v/>
      </c>
      <c r="U635" s="237" t="str">
        <f t="shared" ca="1" si="9"/>
        <v/>
      </c>
      <c r="V635" s="233"/>
      <c r="W635" s="63" t="s">
        <v>1537</v>
      </c>
    </row>
    <row r="636" spans="1:23" ht="26">
      <c r="A636" s="213" t="str">
        <f>IF(OR(CommitmentsTable[[#This Row],[Commitment / deliverable]]="",CommitmentsTable[[#This Row],[Immutable Key]]=""),"",SUBSTITUTE(CommitmentsTable[[#This Row],[Immutable Key]],"-K-","-"))</f>
        <v/>
      </c>
      <c r="B636" s="233"/>
      <c r="C636" s="233"/>
      <c r="D636" s="213"/>
      <c r="E636" s="230"/>
      <c r="F636" s="213"/>
      <c r="G636" s="245" t="str">
        <f ca="1">IF(CommitmentsTable[[#This Row],[Commitment / deliverable]]="","",IF(CommitmentsTable[[#This Row],[Date record entered]]="",TODAY(),CommitmentsTable[[#This Row],[Date record entered]]))</f>
        <v/>
      </c>
      <c r="H636" s="245"/>
      <c r="I636" s="245" t="str">
        <f ca="1">IF(CommitmentsTable[[#This Row],[Date Assigned if different from entry date]]&lt;&gt;"",CommitmentsTable[[#This Row],[Date Assigned if different from entry date]]+90,IF(CommitmentsTable[[#This Row],[Date record entered]]&lt;&gt;"",CommitmentsTable[[#This Row],[Date record entered]]+90,""))</f>
        <v/>
      </c>
      <c r="J636" s="245" t="str">
        <f ca="1">IF(CommitmentsTable[[#This Row],[Date Assigned if different from entry date]]&lt;&gt;"",CommitmentsTable[[#This Row],[Date Assigned if different from entry date]]+30,IF(CommitmentsTable[[#This Row],[Date record entered]]&lt;&gt;"",CommitmentsTable[[#This Row],[Date record entered]]+30,""))</f>
        <v/>
      </c>
      <c r="K636" s="245"/>
      <c r="L636" s="245" t="str">
        <f ca="1">IF(CommitmentsTable[[#This Row],[Date Assigned if different from entry date]]&lt;&gt;"",CommitmentsTable[[#This Row],[Date Assigned if different from entry date]]+60,IF(CommitmentsTable[[#This Row],[Date record entered]]&lt;&gt;"",CommitmentsTable[[#This Row],[Date record entered]]+60,""))</f>
        <v/>
      </c>
      <c r="M636" s="214"/>
      <c r="N636" s="214"/>
      <c r="O636" s="236"/>
      <c r="P636" s="214"/>
      <c r="Q636" s="214"/>
      <c r="R636" s="214"/>
      <c r="S636" s="238" t="str">
        <f>IF(CommitmentsTable[[#This Row],[Commitment / deliverable]]="","",IF(CommitmentsTable[[#This Row],[Revised due]]&lt;&gt;"",CommitmentsTable[[#This Row],[Revised due]],CommitmentsTable[[#This Row],[Original due]]))</f>
        <v/>
      </c>
      <c r="T636" s="237" t="str">
        <f>IF(OR(CommitmentsTable[[#This Row],[Commitment / deliverable]]="",CommitmentsTable[[#This Row],[Owner]]=""),"",IF(CommitmentsTable[[#This Row],[Status2]]="","Open",CommitmentsTable[[#This Row],[Status2]]))</f>
        <v/>
      </c>
      <c r="U636" s="237" t="str">
        <f t="shared" ca="1" si="9"/>
        <v/>
      </c>
      <c r="V636" s="233"/>
      <c r="W636" s="63" t="s">
        <v>1538</v>
      </c>
    </row>
    <row r="637" spans="1:23" ht="26">
      <c r="A637" s="213" t="str">
        <f>IF(OR(CommitmentsTable[[#This Row],[Commitment / deliverable]]="",CommitmentsTable[[#This Row],[Immutable Key]]=""),"",SUBSTITUTE(CommitmentsTable[[#This Row],[Immutable Key]],"-K-","-"))</f>
        <v/>
      </c>
      <c r="B637" s="233"/>
      <c r="C637" s="233"/>
      <c r="D637" s="213"/>
      <c r="E637" s="230"/>
      <c r="F637" s="213"/>
      <c r="G637" s="245" t="str">
        <f ca="1">IF(CommitmentsTable[[#This Row],[Commitment / deliverable]]="","",IF(CommitmentsTable[[#This Row],[Date record entered]]="",TODAY(),CommitmentsTable[[#This Row],[Date record entered]]))</f>
        <v/>
      </c>
      <c r="H637" s="245"/>
      <c r="I637" s="245" t="str">
        <f ca="1">IF(CommitmentsTable[[#This Row],[Date Assigned if different from entry date]]&lt;&gt;"",CommitmentsTable[[#This Row],[Date Assigned if different from entry date]]+90,IF(CommitmentsTable[[#This Row],[Date record entered]]&lt;&gt;"",CommitmentsTable[[#This Row],[Date record entered]]+90,""))</f>
        <v/>
      </c>
      <c r="J637" s="245" t="str">
        <f ca="1">IF(CommitmentsTable[[#This Row],[Date Assigned if different from entry date]]&lt;&gt;"",CommitmentsTable[[#This Row],[Date Assigned if different from entry date]]+30,IF(CommitmentsTable[[#This Row],[Date record entered]]&lt;&gt;"",CommitmentsTable[[#This Row],[Date record entered]]+30,""))</f>
        <v/>
      </c>
      <c r="K637" s="245"/>
      <c r="L637" s="245" t="str">
        <f ca="1">IF(CommitmentsTable[[#This Row],[Date Assigned if different from entry date]]&lt;&gt;"",CommitmentsTable[[#This Row],[Date Assigned if different from entry date]]+60,IF(CommitmentsTable[[#This Row],[Date record entered]]&lt;&gt;"",CommitmentsTable[[#This Row],[Date record entered]]+60,""))</f>
        <v/>
      </c>
      <c r="M637" s="214"/>
      <c r="N637" s="214"/>
      <c r="O637" s="236"/>
      <c r="P637" s="214"/>
      <c r="Q637" s="214"/>
      <c r="R637" s="214"/>
      <c r="S637" s="238" t="str">
        <f>IF(CommitmentsTable[[#This Row],[Commitment / deliverable]]="","",IF(CommitmentsTable[[#This Row],[Revised due]]&lt;&gt;"",CommitmentsTable[[#This Row],[Revised due]],CommitmentsTable[[#This Row],[Original due]]))</f>
        <v/>
      </c>
      <c r="T637" s="237" t="str">
        <f>IF(OR(CommitmentsTable[[#This Row],[Commitment / deliverable]]="",CommitmentsTable[[#This Row],[Owner]]=""),"",IF(CommitmentsTable[[#This Row],[Status2]]="","Open",CommitmentsTable[[#This Row],[Status2]]))</f>
        <v/>
      </c>
      <c r="U637" s="237" t="str">
        <f t="shared" ca="1" si="9"/>
        <v/>
      </c>
      <c r="V637" s="233"/>
      <c r="W637" s="63" t="s">
        <v>1539</v>
      </c>
    </row>
    <row r="638" spans="1:23" ht="26">
      <c r="A638" s="213" t="str">
        <f>IF(OR(CommitmentsTable[[#This Row],[Commitment / deliverable]]="",CommitmentsTable[[#This Row],[Immutable Key]]=""),"",SUBSTITUTE(CommitmentsTable[[#This Row],[Immutable Key]],"-K-","-"))</f>
        <v/>
      </c>
      <c r="B638" s="233"/>
      <c r="C638" s="233"/>
      <c r="D638" s="213"/>
      <c r="E638" s="230"/>
      <c r="F638" s="213"/>
      <c r="G638" s="245" t="str">
        <f ca="1">IF(CommitmentsTable[[#This Row],[Commitment / deliverable]]="","",IF(CommitmentsTable[[#This Row],[Date record entered]]="",TODAY(),CommitmentsTable[[#This Row],[Date record entered]]))</f>
        <v/>
      </c>
      <c r="H638" s="245"/>
      <c r="I638" s="245" t="str">
        <f ca="1">IF(CommitmentsTable[[#This Row],[Date Assigned if different from entry date]]&lt;&gt;"",CommitmentsTable[[#This Row],[Date Assigned if different from entry date]]+90,IF(CommitmentsTable[[#This Row],[Date record entered]]&lt;&gt;"",CommitmentsTable[[#This Row],[Date record entered]]+90,""))</f>
        <v/>
      </c>
      <c r="J638" s="245" t="str">
        <f ca="1">IF(CommitmentsTable[[#This Row],[Date Assigned if different from entry date]]&lt;&gt;"",CommitmentsTable[[#This Row],[Date Assigned if different from entry date]]+30,IF(CommitmentsTable[[#This Row],[Date record entered]]&lt;&gt;"",CommitmentsTable[[#This Row],[Date record entered]]+30,""))</f>
        <v/>
      </c>
      <c r="K638" s="245"/>
      <c r="L638" s="245" t="str">
        <f ca="1">IF(CommitmentsTable[[#This Row],[Date Assigned if different from entry date]]&lt;&gt;"",CommitmentsTable[[#This Row],[Date Assigned if different from entry date]]+60,IF(CommitmentsTable[[#This Row],[Date record entered]]&lt;&gt;"",CommitmentsTable[[#This Row],[Date record entered]]+60,""))</f>
        <v/>
      </c>
      <c r="M638" s="214"/>
      <c r="N638" s="214"/>
      <c r="O638" s="236"/>
      <c r="P638" s="214"/>
      <c r="Q638" s="214"/>
      <c r="R638" s="214"/>
      <c r="S638" s="238" t="str">
        <f>IF(CommitmentsTable[[#This Row],[Commitment / deliverable]]="","",IF(CommitmentsTable[[#This Row],[Revised due]]&lt;&gt;"",CommitmentsTable[[#This Row],[Revised due]],CommitmentsTable[[#This Row],[Original due]]))</f>
        <v/>
      </c>
      <c r="T638" s="237" t="str">
        <f>IF(OR(CommitmentsTable[[#This Row],[Commitment / deliverable]]="",CommitmentsTable[[#This Row],[Owner]]=""),"",IF(CommitmentsTable[[#This Row],[Status2]]="","Open",CommitmentsTable[[#This Row],[Status2]]))</f>
        <v/>
      </c>
      <c r="U638" s="237" t="str">
        <f t="shared" ca="1" si="9"/>
        <v/>
      </c>
      <c r="V638" s="233"/>
      <c r="W638" s="63" t="s">
        <v>1540</v>
      </c>
    </row>
    <row r="639" spans="1:23" ht="26">
      <c r="A639" s="213" t="str">
        <f>IF(OR(CommitmentsTable[[#This Row],[Commitment / deliverable]]="",CommitmentsTable[[#This Row],[Immutable Key]]=""),"",SUBSTITUTE(CommitmentsTable[[#This Row],[Immutable Key]],"-K-","-"))</f>
        <v/>
      </c>
      <c r="B639" s="233"/>
      <c r="C639" s="233"/>
      <c r="D639" s="213"/>
      <c r="E639" s="230"/>
      <c r="F639" s="213"/>
      <c r="G639" s="245" t="str">
        <f ca="1">IF(CommitmentsTable[[#This Row],[Commitment / deliverable]]="","",IF(CommitmentsTable[[#This Row],[Date record entered]]="",TODAY(),CommitmentsTable[[#This Row],[Date record entered]]))</f>
        <v/>
      </c>
      <c r="H639" s="245"/>
      <c r="I639" s="245" t="str">
        <f ca="1">IF(CommitmentsTable[[#This Row],[Date Assigned if different from entry date]]&lt;&gt;"",CommitmentsTable[[#This Row],[Date Assigned if different from entry date]]+90,IF(CommitmentsTable[[#This Row],[Date record entered]]&lt;&gt;"",CommitmentsTable[[#This Row],[Date record entered]]+90,""))</f>
        <v/>
      </c>
      <c r="J639" s="245" t="str">
        <f ca="1">IF(CommitmentsTable[[#This Row],[Date Assigned if different from entry date]]&lt;&gt;"",CommitmentsTable[[#This Row],[Date Assigned if different from entry date]]+30,IF(CommitmentsTable[[#This Row],[Date record entered]]&lt;&gt;"",CommitmentsTable[[#This Row],[Date record entered]]+30,""))</f>
        <v/>
      </c>
      <c r="K639" s="245"/>
      <c r="L639" s="245" t="str">
        <f ca="1">IF(CommitmentsTable[[#This Row],[Date Assigned if different from entry date]]&lt;&gt;"",CommitmentsTable[[#This Row],[Date Assigned if different from entry date]]+60,IF(CommitmentsTable[[#This Row],[Date record entered]]&lt;&gt;"",CommitmentsTable[[#This Row],[Date record entered]]+60,""))</f>
        <v/>
      </c>
      <c r="M639" s="214"/>
      <c r="N639" s="214"/>
      <c r="O639" s="236"/>
      <c r="P639" s="214"/>
      <c r="Q639" s="214"/>
      <c r="R639" s="214"/>
      <c r="S639" s="238" t="str">
        <f>IF(CommitmentsTable[[#This Row],[Commitment / deliverable]]="","",IF(CommitmentsTable[[#This Row],[Revised due]]&lt;&gt;"",CommitmentsTable[[#This Row],[Revised due]],CommitmentsTable[[#This Row],[Original due]]))</f>
        <v/>
      </c>
      <c r="T639" s="237" t="str">
        <f>IF(OR(CommitmentsTable[[#This Row],[Commitment / deliverable]]="",CommitmentsTable[[#This Row],[Owner]]=""),"",IF(CommitmentsTable[[#This Row],[Status2]]="","Open",CommitmentsTable[[#This Row],[Status2]]))</f>
        <v/>
      </c>
      <c r="U639" s="237" t="str">
        <f t="shared" ca="1" si="9"/>
        <v/>
      </c>
      <c r="V639" s="233"/>
      <c r="W639" s="63" t="s">
        <v>1541</v>
      </c>
    </row>
    <row r="640" spans="1:23" ht="26">
      <c r="A640" s="213" t="str">
        <f>IF(OR(CommitmentsTable[[#This Row],[Commitment / deliverable]]="",CommitmentsTable[[#This Row],[Immutable Key]]=""),"",SUBSTITUTE(CommitmentsTable[[#This Row],[Immutable Key]],"-K-","-"))</f>
        <v/>
      </c>
      <c r="B640" s="233"/>
      <c r="C640" s="233"/>
      <c r="D640" s="213"/>
      <c r="E640" s="230"/>
      <c r="F640" s="213"/>
      <c r="G640" s="245" t="str">
        <f ca="1">IF(CommitmentsTable[[#This Row],[Commitment / deliverable]]="","",IF(CommitmentsTable[[#This Row],[Date record entered]]="",TODAY(),CommitmentsTable[[#This Row],[Date record entered]]))</f>
        <v/>
      </c>
      <c r="H640" s="245"/>
      <c r="I640" s="245" t="str">
        <f ca="1">IF(CommitmentsTable[[#This Row],[Date Assigned if different from entry date]]&lt;&gt;"",CommitmentsTable[[#This Row],[Date Assigned if different from entry date]]+90,IF(CommitmentsTable[[#This Row],[Date record entered]]&lt;&gt;"",CommitmentsTable[[#This Row],[Date record entered]]+90,""))</f>
        <v/>
      </c>
      <c r="J640" s="245" t="str">
        <f ca="1">IF(CommitmentsTable[[#This Row],[Date Assigned if different from entry date]]&lt;&gt;"",CommitmentsTable[[#This Row],[Date Assigned if different from entry date]]+30,IF(CommitmentsTable[[#This Row],[Date record entered]]&lt;&gt;"",CommitmentsTable[[#This Row],[Date record entered]]+30,""))</f>
        <v/>
      </c>
      <c r="K640" s="245"/>
      <c r="L640" s="245" t="str">
        <f ca="1">IF(CommitmentsTable[[#This Row],[Date Assigned if different from entry date]]&lt;&gt;"",CommitmentsTable[[#This Row],[Date Assigned if different from entry date]]+60,IF(CommitmentsTable[[#This Row],[Date record entered]]&lt;&gt;"",CommitmentsTable[[#This Row],[Date record entered]]+60,""))</f>
        <v/>
      </c>
      <c r="M640" s="214"/>
      <c r="N640" s="214"/>
      <c r="O640" s="236"/>
      <c r="P640" s="214"/>
      <c r="Q640" s="214"/>
      <c r="R640" s="214"/>
      <c r="S640" s="238" t="str">
        <f>IF(CommitmentsTable[[#This Row],[Commitment / deliverable]]="","",IF(CommitmentsTable[[#This Row],[Revised due]]&lt;&gt;"",CommitmentsTable[[#This Row],[Revised due]],CommitmentsTable[[#This Row],[Original due]]))</f>
        <v/>
      </c>
      <c r="T640" s="237" t="str">
        <f>IF(OR(CommitmentsTable[[#This Row],[Commitment / deliverable]]="",CommitmentsTable[[#This Row],[Owner]]=""),"",IF(CommitmentsTable[[#This Row],[Status2]]="","Open",CommitmentsTable[[#This Row],[Status2]]))</f>
        <v/>
      </c>
      <c r="U640" s="237" t="str">
        <f t="shared" ca="1" si="9"/>
        <v/>
      </c>
      <c r="V640" s="233"/>
      <c r="W640" s="63" t="s">
        <v>1542</v>
      </c>
    </row>
    <row r="641" spans="1:23" ht="26">
      <c r="A641" s="213" t="str">
        <f>IF(OR(CommitmentsTable[[#This Row],[Commitment / deliverable]]="",CommitmentsTable[[#This Row],[Immutable Key]]=""),"",SUBSTITUTE(CommitmentsTable[[#This Row],[Immutable Key]],"-K-","-"))</f>
        <v/>
      </c>
      <c r="B641" s="233"/>
      <c r="C641" s="233"/>
      <c r="D641" s="213"/>
      <c r="E641" s="230"/>
      <c r="F641" s="213"/>
      <c r="G641" s="245" t="str">
        <f ca="1">IF(CommitmentsTable[[#This Row],[Commitment / deliverable]]="","",IF(CommitmentsTable[[#This Row],[Date record entered]]="",TODAY(),CommitmentsTable[[#This Row],[Date record entered]]))</f>
        <v/>
      </c>
      <c r="H641" s="245"/>
      <c r="I641" s="245" t="str">
        <f ca="1">IF(CommitmentsTable[[#This Row],[Date Assigned if different from entry date]]&lt;&gt;"",CommitmentsTable[[#This Row],[Date Assigned if different from entry date]]+90,IF(CommitmentsTable[[#This Row],[Date record entered]]&lt;&gt;"",CommitmentsTable[[#This Row],[Date record entered]]+90,""))</f>
        <v/>
      </c>
      <c r="J641" s="245" t="str">
        <f ca="1">IF(CommitmentsTable[[#This Row],[Date Assigned if different from entry date]]&lt;&gt;"",CommitmentsTable[[#This Row],[Date Assigned if different from entry date]]+30,IF(CommitmentsTable[[#This Row],[Date record entered]]&lt;&gt;"",CommitmentsTable[[#This Row],[Date record entered]]+30,""))</f>
        <v/>
      </c>
      <c r="K641" s="245"/>
      <c r="L641" s="245" t="str">
        <f ca="1">IF(CommitmentsTable[[#This Row],[Date Assigned if different from entry date]]&lt;&gt;"",CommitmentsTable[[#This Row],[Date Assigned if different from entry date]]+60,IF(CommitmentsTable[[#This Row],[Date record entered]]&lt;&gt;"",CommitmentsTable[[#This Row],[Date record entered]]+60,""))</f>
        <v/>
      </c>
      <c r="M641" s="214"/>
      <c r="N641" s="214"/>
      <c r="O641" s="236"/>
      <c r="P641" s="214"/>
      <c r="Q641" s="214"/>
      <c r="R641" s="214"/>
      <c r="S641" s="238" t="str">
        <f>IF(CommitmentsTable[[#This Row],[Commitment / deliverable]]="","",IF(CommitmentsTable[[#This Row],[Revised due]]&lt;&gt;"",CommitmentsTable[[#This Row],[Revised due]],CommitmentsTable[[#This Row],[Original due]]))</f>
        <v/>
      </c>
      <c r="T641" s="237" t="str">
        <f>IF(OR(CommitmentsTable[[#This Row],[Commitment / deliverable]]="",CommitmentsTable[[#This Row],[Owner]]=""),"",IF(CommitmentsTable[[#This Row],[Status2]]="","Open",CommitmentsTable[[#This Row],[Status2]]))</f>
        <v/>
      </c>
      <c r="U641" s="237" t="str">
        <f t="shared" ca="1" si="9"/>
        <v/>
      </c>
      <c r="V641" s="233"/>
      <c r="W641" s="63" t="s">
        <v>1543</v>
      </c>
    </row>
    <row r="642" spans="1:23" ht="26">
      <c r="A642" s="213" t="str">
        <f>IF(OR(CommitmentsTable[[#This Row],[Commitment / deliverable]]="",CommitmentsTable[[#This Row],[Immutable Key]]=""),"",SUBSTITUTE(CommitmentsTable[[#This Row],[Immutable Key]],"-K-","-"))</f>
        <v/>
      </c>
      <c r="B642" s="233"/>
      <c r="C642" s="233"/>
      <c r="D642" s="213"/>
      <c r="E642" s="230"/>
      <c r="F642" s="213"/>
      <c r="G642" s="245" t="str">
        <f ca="1">IF(CommitmentsTable[[#This Row],[Commitment / deliverable]]="","",IF(CommitmentsTable[[#This Row],[Date record entered]]="",TODAY(),CommitmentsTable[[#This Row],[Date record entered]]))</f>
        <v/>
      </c>
      <c r="H642" s="245"/>
      <c r="I642" s="245" t="str">
        <f ca="1">IF(CommitmentsTable[[#This Row],[Date Assigned if different from entry date]]&lt;&gt;"",CommitmentsTable[[#This Row],[Date Assigned if different from entry date]]+90,IF(CommitmentsTable[[#This Row],[Date record entered]]&lt;&gt;"",CommitmentsTable[[#This Row],[Date record entered]]+90,""))</f>
        <v/>
      </c>
      <c r="J642" s="245" t="str">
        <f ca="1">IF(CommitmentsTable[[#This Row],[Date Assigned if different from entry date]]&lt;&gt;"",CommitmentsTable[[#This Row],[Date Assigned if different from entry date]]+30,IF(CommitmentsTable[[#This Row],[Date record entered]]&lt;&gt;"",CommitmentsTable[[#This Row],[Date record entered]]+30,""))</f>
        <v/>
      </c>
      <c r="K642" s="245"/>
      <c r="L642" s="245" t="str">
        <f ca="1">IF(CommitmentsTable[[#This Row],[Date Assigned if different from entry date]]&lt;&gt;"",CommitmentsTable[[#This Row],[Date Assigned if different from entry date]]+60,IF(CommitmentsTable[[#This Row],[Date record entered]]&lt;&gt;"",CommitmentsTable[[#This Row],[Date record entered]]+60,""))</f>
        <v/>
      </c>
      <c r="M642" s="214"/>
      <c r="N642" s="214"/>
      <c r="O642" s="236"/>
      <c r="P642" s="214"/>
      <c r="Q642" s="214"/>
      <c r="R642" s="214"/>
      <c r="S642" s="238" t="str">
        <f>IF(CommitmentsTable[[#This Row],[Commitment / deliverable]]="","",IF(CommitmentsTable[[#This Row],[Revised due]]&lt;&gt;"",CommitmentsTable[[#This Row],[Revised due]],CommitmentsTable[[#This Row],[Original due]]))</f>
        <v/>
      </c>
      <c r="T642" s="237" t="str">
        <f>IF(OR(CommitmentsTable[[#This Row],[Commitment / deliverable]]="",CommitmentsTable[[#This Row],[Owner]]=""),"",IF(CommitmentsTable[[#This Row],[Status2]]="","Open",CommitmentsTable[[#This Row],[Status2]]))</f>
        <v/>
      </c>
      <c r="U642" s="237" t="str">
        <f t="shared" ca="1" si="9"/>
        <v/>
      </c>
      <c r="V642" s="233"/>
      <c r="W642" s="63" t="s">
        <v>1544</v>
      </c>
    </row>
    <row r="643" spans="1:23" ht="26">
      <c r="A643" s="213" t="str">
        <f>IF(OR(CommitmentsTable[[#This Row],[Commitment / deliverable]]="",CommitmentsTable[[#This Row],[Immutable Key]]=""),"",SUBSTITUTE(CommitmentsTable[[#This Row],[Immutable Key]],"-K-","-"))</f>
        <v/>
      </c>
      <c r="B643" s="233"/>
      <c r="C643" s="233"/>
      <c r="D643" s="213"/>
      <c r="E643" s="230"/>
      <c r="F643" s="213"/>
      <c r="G643" s="245" t="str">
        <f ca="1">IF(CommitmentsTable[[#This Row],[Commitment / deliverable]]="","",IF(CommitmentsTable[[#This Row],[Date record entered]]="",TODAY(),CommitmentsTable[[#This Row],[Date record entered]]))</f>
        <v/>
      </c>
      <c r="H643" s="245"/>
      <c r="I643" s="245" t="str">
        <f ca="1">IF(CommitmentsTable[[#This Row],[Date Assigned if different from entry date]]&lt;&gt;"",CommitmentsTable[[#This Row],[Date Assigned if different from entry date]]+90,IF(CommitmentsTable[[#This Row],[Date record entered]]&lt;&gt;"",CommitmentsTable[[#This Row],[Date record entered]]+90,""))</f>
        <v/>
      </c>
      <c r="J643" s="245" t="str">
        <f ca="1">IF(CommitmentsTable[[#This Row],[Date Assigned if different from entry date]]&lt;&gt;"",CommitmentsTable[[#This Row],[Date Assigned if different from entry date]]+30,IF(CommitmentsTable[[#This Row],[Date record entered]]&lt;&gt;"",CommitmentsTable[[#This Row],[Date record entered]]+30,""))</f>
        <v/>
      </c>
      <c r="K643" s="245"/>
      <c r="L643" s="245" t="str">
        <f ca="1">IF(CommitmentsTable[[#This Row],[Date Assigned if different from entry date]]&lt;&gt;"",CommitmentsTable[[#This Row],[Date Assigned if different from entry date]]+60,IF(CommitmentsTable[[#This Row],[Date record entered]]&lt;&gt;"",CommitmentsTable[[#This Row],[Date record entered]]+60,""))</f>
        <v/>
      </c>
      <c r="M643" s="214"/>
      <c r="N643" s="214"/>
      <c r="O643" s="236"/>
      <c r="P643" s="214"/>
      <c r="Q643" s="214"/>
      <c r="R643" s="214"/>
      <c r="S643" s="238" t="str">
        <f>IF(CommitmentsTable[[#This Row],[Commitment / deliverable]]="","",IF(CommitmentsTable[[#This Row],[Revised due]]&lt;&gt;"",CommitmentsTable[[#This Row],[Revised due]],CommitmentsTable[[#This Row],[Original due]]))</f>
        <v/>
      </c>
      <c r="T643" s="237" t="str">
        <f>IF(OR(CommitmentsTable[[#This Row],[Commitment / deliverable]]="",CommitmentsTable[[#This Row],[Owner]]=""),"",IF(CommitmentsTable[[#This Row],[Status2]]="","Open",CommitmentsTable[[#This Row],[Status2]]))</f>
        <v/>
      </c>
      <c r="U643" s="237" t="str">
        <f t="shared" ca="1" si="9"/>
        <v/>
      </c>
      <c r="V643" s="233"/>
      <c r="W643" s="63" t="s">
        <v>1545</v>
      </c>
    </row>
    <row r="644" spans="1:23" ht="26">
      <c r="A644" s="213" t="str">
        <f>IF(OR(CommitmentsTable[[#This Row],[Commitment / deliverable]]="",CommitmentsTable[[#This Row],[Immutable Key]]=""),"",SUBSTITUTE(CommitmentsTable[[#This Row],[Immutable Key]],"-K-","-"))</f>
        <v/>
      </c>
      <c r="B644" s="233"/>
      <c r="C644" s="233"/>
      <c r="D644" s="213"/>
      <c r="E644" s="230"/>
      <c r="F644" s="213"/>
      <c r="G644" s="245" t="str">
        <f ca="1">IF(CommitmentsTable[[#This Row],[Commitment / deliverable]]="","",IF(CommitmentsTable[[#This Row],[Date record entered]]="",TODAY(),CommitmentsTable[[#This Row],[Date record entered]]))</f>
        <v/>
      </c>
      <c r="H644" s="245"/>
      <c r="I644" s="245" t="str">
        <f ca="1">IF(CommitmentsTable[[#This Row],[Date Assigned if different from entry date]]&lt;&gt;"",CommitmentsTable[[#This Row],[Date Assigned if different from entry date]]+90,IF(CommitmentsTable[[#This Row],[Date record entered]]&lt;&gt;"",CommitmentsTable[[#This Row],[Date record entered]]+90,""))</f>
        <v/>
      </c>
      <c r="J644" s="245" t="str">
        <f ca="1">IF(CommitmentsTable[[#This Row],[Date Assigned if different from entry date]]&lt;&gt;"",CommitmentsTable[[#This Row],[Date Assigned if different from entry date]]+30,IF(CommitmentsTable[[#This Row],[Date record entered]]&lt;&gt;"",CommitmentsTable[[#This Row],[Date record entered]]+30,""))</f>
        <v/>
      </c>
      <c r="K644" s="245"/>
      <c r="L644" s="245" t="str">
        <f ca="1">IF(CommitmentsTable[[#This Row],[Date Assigned if different from entry date]]&lt;&gt;"",CommitmentsTable[[#This Row],[Date Assigned if different from entry date]]+60,IF(CommitmentsTable[[#This Row],[Date record entered]]&lt;&gt;"",CommitmentsTable[[#This Row],[Date record entered]]+60,""))</f>
        <v/>
      </c>
      <c r="M644" s="214"/>
      <c r="N644" s="214"/>
      <c r="O644" s="236"/>
      <c r="P644" s="214"/>
      <c r="Q644" s="214"/>
      <c r="R644" s="214"/>
      <c r="S644" s="238" t="str">
        <f>IF(CommitmentsTable[[#This Row],[Commitment / deliverable]]="","",IF(CommitmentsTable[[#This Row],[Revised due]]&lt;&gt;"",CommitmentsTable[[#This Row],[Revised due]],CommitmentsTable[[#This Row],[Original due]]))</f>
        <v/>
      </c>
      <c r="T644" s="237" t="str">
        <f>IF(OR(CommitmentsTable[[#This Row],[Commitment / deliverable]]="",CommitmentsTable[[#This Row],[Owner]]=""),"",IF(CommitmentsTable[[#This Row],[Status2]]="","Open",CommitmentsTable[[#This Row],[Status2]]))</f>
        <v/>
      </c>
      <c r="U644" s="237" t="str">
        <f t="shared" ca="1" si="9"/>
        <v/>
      </c>
      <c r="V644" s="233"/>
      <c r="W644" s="63" t="s">
        <v>1546</v>
      </c>
    </row>
    <row r="645" spans="1:23" ht="26">
      <c r="A645" s="213" t="str">
        <f>IF(OR(CommitmentsTable[[#This Row],[Commitment / deliverable]]="",CommitmentsTable[[#This Row],[Immutable Key]]=""),"",SUBSTITUTE(CommitmentsTable[[#This Row],[Immutable Key]],"-K-","-"))</f>
        <v/>
      </c>
      <c r="B645" s="233"/>
      <c r="C645" s="233"/>
      <c r="D645" s="213"/>
      <c r="E645" s="230"/>
      <c r="F645" s="213"/>
      <c r="G645" s="245" t="str">
        <f ca="1">IF(CommitmentsTable[[#This Row],[Commitment / deliverable]]="","",IF(CommitmentsTable[[#This Row],[Date record entered]]="",TODAY(),CommitmentsTable[[#This Row],[Date record entered]]))</f>
        <v/>
      </c>
      <c r="H645" s="245"/>
      <c r="I645" s="245" t="str">
        <f ca="1">IF(CommitmentsTable[[#This Row],[Date Assigned if different from entry date]]&lt;&gt;"",CommitmentsTable[[#This Row],[Date Assigned if different from entry date]]+90,IF(CommitmentsTable[[#This Row],[Date record entered]]&lt;&gt;"",CommitmentsTable[[#This Row],[Date record entered]]+90,""))</f>
        <v/>
      </c>
      <c r="J645" s="245" t="str">
        <f ca="1">IF(CommitmentsTable[[#This Row],[Date Assigned if different from entry date]]&lt;&gt;"",CommitmentsTable[[#This Row],[Date Assigned if different from entry date]]+30,IF(CommitmentsTable[[#This Row],[Date record entered]]&lt;&gt;"",CommitmentsTable[[#This Row],[Date record entered]]+30,""))</f>
        <v/>
      </c>
      <c r="K645" s="245"/>
      <c r="L645" s="245" t="str">
        <f ca="1">IF(CommitmentsTable[[#This Row],[Date Assigned if different from entry date]]&lt;&gt;"",CommitmentsTable[[#This Row],[Date Assigned if different from entry date]]+60,IF(CommitmentsTable[[#This Row],[Date record entered]]&lt;&gt;"",CommitmentsTable[[#This Row],[Date record entered]]+60,""))</f>
        <v/>
      </c>
      <c r="M645" s="214"/>
      <c r="N645" s="214"/>
      <c r="O645" s="236"/>
      <c r="P645" s="214"/>
      <c r="Q645" s="214"/>
      <c r="R645" s="214"/>
      <c r="S645" s="238" t="str">
        <f>IF(CommitmentsTable[[#This Row],[Commitment / deliverable]]="","",IF(CommitmentsTable[[#This Row],[Revised due]]&lt;&gt;"",CommitmentsTable[[#This Row],[Revised due]],CommitmentsTable[[#This Row],[Original due]]))</f>
        <v/>
      </c>
      <c r="T645" s="237" t="str">
        <f>IF(OR(CommitmentsTable[[#This Row],[Commitment / deliverable]]="",CommitmentsTable[[#This Row],[Owner]]=""),"",IF(CommitmentsTable[[#This Row],[Status2]]="","Open",CommitmentsTable[[#This Row],[Status2]]))</f>
        <v/>
      </c>
      <c r="U645" s="237" t="str">
        <f t="shared" ca="1" si="9"/>
        <v/>
      </c>
      <c r="V645" s="233"/>
      <c r="W645" s="63" t="s">
        <v>1547</v>
      </c>
    </row>
    <row r="646" spans="1:23" ht="26">
      <c r="A646" s="213" t="str">
        <f>IF(OR(CommitmentsTable[[#This Row],[Commitment / deliverable]]="",CommitmentsTable[[#This Row],[Immutable Key]]=""),"",SUBSTITUTE(CommitmentsTable[[#This Row],[Immutable Key]],"-K-","-"))</f>
        <v/>
      </c>
      <c r="B646" s="233"/>
      <c r="C646" s="233"/>
      <c r="D646" s="213"/>
      <c r="E646" s="230"/>
      <c r="F646" s="213"/>
      <c r="G646" s="245" t="str">
        <f ca="1">IF(CommitmentsTable[[#This Row],[Commitment / deliverable]]="","",IF(CommitmentsTable[[#This Row],[Date record entered]]="",TODAY(),CommitmentsTable[[#This Row],[Date record entered]]))</f>
        <v/>
      </c>
      <c r="H646" s="245"/>
      <c r="I646" s="245" t="str">
        <f ca="1">IF(CommitmentsTable[[#This Row],[Date Assigned if different from entry date]]&lt;&gt;"",CommitmentsTable[[#This Row],[Date Assigned if different from entry date]]+90,IF(CommitmentsTable[[#This Row],[Date record entered]]&lt;&gt;"",CommitmentsTable[[#This Row],[Date record entered]]+90,""))</f>
        <v/>
      </c>
      <c r="J646" s="245" t="str">
        <f ca="1">IF(CommitmentsTable[[#This Row],[Date Assigned if different from entry date]]&lt;&gt;"",CommitmentsTable[[#This Row],[Date Assigned if different from entry date]]+30,IF(CommitmentsTable[[#This Row],[Date record entered]]&lt;&gt;"",CommitmentsTable[[#This Row],[Date record entered]]+30,""))</f>
        <v/>
      </c>
      <c r="K646" s="245"/>
      <c r="L646" s="245" t="str">
        <f ca="1">IF(CommitmentsTable[[#This Row],[Date Assigned if different from entry date]]&lt;&gt;"",CommitmentsTable[[#This Row],[Date Assigned if different from entry date]]+60,IF(CommitmentsTable[[#This Row],[Date record entered]]&lt;&gt;"",CommitmentsTable[[#This Row],[Date record entered]]+60,""))</f>
        <v/>
      </c>
      <c r="M646" s="214"/>
      <c r="N646" s="214"/>
      <c r="O646" s="236"/>
      <c r="P646" s="214"/>
      <c r="Q646" s="214"/>
      <c r="R646" s="214"/>
      <c r="S646" s="238" t="str">
        <f>IF(CommitmentsTable[[#This Row],[Commitment / deliverable]]="","",IF(CommitmentsTable[[#This Row],[Revised due]]&lt;&gt;"",CommitmentsTable[[#This Row],[Revised due]],CommitmentsTable[[#This Row],[Original due]]))</f>
        <v/>
      </c>
      <c r="T646" s="237" t="str">
        <f>IF(OR(CommitmentsTable[[#This Row],[Commitment / deliverable]]="",CommitmentsTable[[#This Row],[Owner]]=""),"",IF(CommitmentsTable[[#This Row],[Status2]]="","Open",CommitmentsTable[[#This Row],[Status2]]))</f>
        <v/>
      </c>
      <c r="U646" s="237" t="str">
        <f t="shared" ca="1" si="9"/>
        <v/>
      </c>
      <c r="V646" s="233"/>
      <c r="W646" s="63" t="s">
        <v>1548</v>
      </c>
    </row>
    <row r="647" spans="1:23" ht="26">
      <c r="A647" s="213" t="str">
        <f>IF(OR(CommitmentsTable[[#This Row],[Commitment / deliverable]]="",CommitmentsTable[[#This Row],[Immutable Key]]=""),"",SUBSTITUTE(CommitmentsTable[[#This Row],[Immutable Key]],"-K-","-"))</f>
        <v/>
      </c>
      <c r="B647" s="233"/>
      <c r="C647" s="233"/>
      <c r="D647" s="213"/>
      <c r="E647" s="230"/>
      <c r="F647" s="213"/>
      <c r="G647" s="245" t="str">
        <f ca="1">IF(CommitmentsTable[[#This Row],[Commitment / deliverable]]="","",IF(CommitmentsTable[[#This Row],[Date record entered]]="",TODAY(),CommitmentsTable[[#This Row],[Date record entered]]))</f>
        <v/>
      </c>
      <c r="H647" s="245"/>
      <c r="I647" s="245" t="str">
        <f ca="1">IF(CommitmentsTable[[#This Row],[Date Assigned if different from entry date]]&lt;&gt;"",CommitmentsTable[[#This Row],[Date Assigned if different from entry date]]+90,IF(CommitmentsTable[[#This Row],[Date record entered]]&lt;&gt;"",CommitmentsTable[[#This Row],[Date record entered]]+90,""))</f>
        <v/>
      </c>
      <c r="J647" s="245" t="str">
        <f ca="1">IF(CommitmentsTable[[#This Row],[Date Assigned if different from entry date]]&lt;&gt;"",CommitmentsTable[[#This Row],[Date Assigned if different from entry date]]+30,IF(CommitmentsTable[[#This Row],[Date record entered]]&lt;&gt;"",CommitmentsTable[[#This Row],[Date record entered]]+30,""))</f>
        <v/>
      </c>
      <c r="K647" s="245"/>
      <c r="L647" s="245" t="str">
        <f ca="1">IF(CommitmentsTable[[#This Row],[Date Assigned if different from entry date]]&lt;&gt;"",CommitmentsTable[[#This Row],[Date Assigned if different from entry date]]+60,IF(CommitmentsTable[[#This Row],[Date record entered]]&lt;&gt;"",CommitmentsTable[[#This Row],[Date record entered]]+60,""))</f>
        <v/>
      </c>
      <c r="M647" s="214"/>
      <c r="N647" s="214"/>
      <c r="O647" s="236"/>
      <c r="P647" s="214"/>
      <c r="Q647" s="214"/>
      <c r="R647" s="214"/>
      <c r="S647" s="238" t="str">
        <f>IF(CommitmentsTable[[#This Row],[Commitment / deliverable]]="","",IF(CommitmentsTable[[#This Row],[Revised due]]&lt;&gt;"",CommitmentsTable[[#This Row],[Revised due]],CommitmentsTable[[#This Row],[Original due]]))</f>
        <v/>
      </c>
      <c r="T647" s="237" t="str">
        <f>IF(OR(CommitmentsTable[[#This Row],[Commitment / deliverable]]="",CommitmentsTable[[#This Row],[Owner]]=""),"",IF(CommitmentsTable[[#This Row],[Status2]]="","Open",CommitmentsTable[[#This Row],[Status2]]))</f>
        <v/>
      </c>
      <c r="U647" s="237" t="str">
        <f t="shared" ca="1" si="9"/>
        <v/>
      </c>
      <c r="V647" s="233"/>
      <c r="W647" s="63" t="s">
        <v>1549</v>
      </c>
    </row>
    <row r="648" spans="1:23" ht="26">
      <c r="A648" s="213" t="str">
        <f>IF(OR(CommitmentsTable[[#This Row],[Commitment / deliverable]]="",CommitmentsTable[[#This Row],[Immutable Key]]=""),"",SUBSTITUTE(CommitmentsTable[[#This Row],[Immutable Key]],"-K-","-"))</f>
        <v/>
      </c>
      <c r="B648" s="233"/>
      <c r="C648" s="233"/>
      <c r="D648" s="213"/>
      <c r="E648" s="230"/>
      <c r="F648" s="213"/>
      <c r="G648" s="245" t="str">
        <f ca="1">IF(CommitmentsTable[[#This Row],[Commitment / deliverable]]="","",IF(CommitmentsTable[[#This Row],[Date record entered]]="",TODAY(),CommitmentsTable[[#This Row],[Date record entered]]))</f>
        <v/>
      </c>
      <c r="H648" s="245"/>
      <c r="I648" s="245" t="str">
        <f ca="1">IF(CommitmentsTable[[#This Row],[Date Assigned if different from entry date]]&lt;&gt;"",CommitmentsTable[[#This Row],[Date Assigned if different from entry date]]+90,IF(CommitmentsTable[[#This Row],[Date record entered]]&lt;&gt;"",CommitmentsTable[[#This Row],[Date record entered]]+90,""))</f>
        <v/>
      </c>
      <c r="J648" s="245" t="str">
        <f ca="1">IF(CommitmentsTable[[#This Row],[Date Assigned if different from entry date]]&lt;&gt;"",CommitmentsTable[[#This Row],[Date Assigned if different from entry date]]+30,IF(CommitmentsTable[[#This Row],[Date record entered]]&lt;&gt;"",CommitmentsTable[[#This Row],[Date record entered]]+30,""))</f>
        <v/>
      </c>
      <c r="K648" s="245"/>
      <c r="L648" s="245" t="str">
        <f ca="1">IF(CommitmentsTable[[#This Row],[Date Assigned if different from entry date]]&lt;&gt;"",CommitmentsTable[[#This Row],[Date Assigned if different from entry date]]+60,IF(CommitmentsTable[[#This Row],[Date record entered]]&lt;&gt;"",CommitmentsTable[[#This Row],[Date record entered]]+60,""))</f>
        <v/>
      </c>
      <c r="M648" s="214"/>
      <c r="N648" s="214"/>
      <c r="O648" s="236"/>
      <c r="P648" s="214"/>
      <c r="Q648" s="214"/>
      <c r="R648" s="214"/>
      <c r="S648" s="238" t="str">
        <f>IF(CommitmentsTable[[#This Row],[Commitment / deliverable]]="","",IF(CommitmentsTable[[#This Row],[Revised due]]&lt;&gt;"",CommitmentsTable[[#This Row],[Revised due]],CommitmentsTable[[#This Row],[Original due]]))</f>
        <v/>
      </c>
      <c r="T648" s="237" t="str">
        <f>IF(OR(CommitmentsTable[[#This Row],[Commitment / deliverable]]="",CommitmentsTable[[#This Row],[Owner]]=""),"",IF(CommitmentsTable[[#This Row],[Status2]]="","Open",CommitmentsTable[[#This Row],[Status2]]))</f>
        <v/>
      </c>
      <c r="U648" s="237" t="str">
        <f t="shared" ca="1" si="9"/>
        <v/>
      </c>
      <c r="V648" s="233"/>
      <c r="W648" s="63" t="s">
        <v>1550</v>
      </c>
    </row>
    <row r="649" spans="1:23" ht="26">
      <c r="A649" s="213" t="str">
        <f>IF(OR(CommitmentsTable[[#This Row],[Commitment / deliverable]]="",CommitmentsTable[[#This Row],[Immutable Key]]=""),"",SUBSTITUTE(CommitmentsTable[[#This Row],[Immutable Key]],"-K-","-"))</f>
        <v/>
      </c>
      <c r="B649" s="233"/>
      <c r="C649" s="233"/>
      <c r="D649" s="213"/>
      <c r="E649" s="230"/>
      <c r="F649" s="213"/>
      <c r="G649" s="245" t="str">
        <f ca="1">IF(CommitmentsTable[[#This Row],[Commitment / deliverable]]="","",IF(CommitmentsTable[[#This Row],[Date record entered]]="",TODAY(),CommitmentsTable[[#This Row],[Date record entered]]))</f>
        <v/>
      </c>
      <c r="H649" s="245"/>
      <c r="I649" s="245" t="str">
        <f ca="1">IF(CommitmentsTable[[#This Row],[Date Assigned if different from entry date]]&lt;&gt;"",CommitmentsTable[[#This Row],[Date Assigned if different from entry date]]+90,IF(CommitmentsTable[[#This Row],[Date record entered]]&lt;&gt;"",CommitmentsTable[[#This Row],[Date record entered]]+90,""))</f>
        <v/>
      </c>
      <c r="J649" s="245" t="str">
        <f ca="1">IF(CommitmentsTable[[#This Row],[Date Assigned if different from entry date]]&lt;&gt;"",CommitmentsTable[[#This Row],[Date Assigned if different from entry date]]+30,IF(CommitmentsTable[[#This Row],[Date record entered]]&lt;&gt;"",CommitmentsTable[[#This Row],[Date record entered]]+30,""))</f>
        <v/>
      </c>
      <c r="K649" s="245"/>
      <c r="L649" s="245" t="str">
        <f ca="1">IF(CommitmentsTable[[#This Row],[Date Assigned if different from entry date]]&lt;&gt;"",CommitmentsTable[[#This Row],[Date Assigned if different from entry date]]+60,IF(CommitmentsTable[[#This Row],[Date record entered]]&lt;&gt;"",CommitmentsTable[[#This Row],[Date record entered]]+60,""))</f>
        <v/>
      </c>
      <c r="M649" s="214"/>
      <c r="N649" s="214"/>
      <c r="O649" s="236"/>
      <c r="P649" s="214"/>
      <c r="Q649" s="214"/>
      <c r="R649" s="214"/>
      <c r="S649" s="238" t="str">
        <f>IF(CommitmentsTable[[#This Row],[Commitment / deliverable]]="","",IF(CommitmentsTable[[#This Row],[Revised due]]&lt;&gt;"",CommitmentsTable[[#This Row],[Revised due]],CommitmentsTable[[#This Row],[Original due]]))</f>
        <v/>
      </c>
      <c r="T649" s="237" t="str">
        <f>IF(OR(CommitmentsTable[[#This Row],[Commitment / deliverable]]="",CommitmentsTable[[#This Row],[Owner]]=""),"",IF(CommitmentsTable[[#This Row],[Status2]]="","Open",CommitmentsTable[[#This Row],[Status2]]))</f>
        <v/>
      </c>
      <c r="U649" s="237" t="str">
        <f t="shared" ca="1" si="9"/>
        <v/>
      </c>
      <c r="V649" s="233"/>
      <c r="W649" s="63" t="s">
        <v>1551</v>
      </c>
    </row>
    <row r="650" spans="1:23" ht="26">
      <c r="A650" s="213" t="str">
        <f>IF(OR(CommitmentsTable[[#This Row],[Commitment / deliverable]]="",CommitmentsTable[[#This Row],[Immutable Key]]=""),"",SUBSTITUTE(CommitmentsTable[[#This Row],[Immutable Key]],"-K-","-"))</f>
        <v/>
      </c>
      <c r="B650" s="233"/>
      <c r="C650" s="233"/>
      <c r="D650" s="213"/>
      <c r="E650" s="230"/>
      <c r="F650" s="213"/>
      <c r="G650" s="245" t="str">
        <f ca="1">IF(CommitmentsTable[[#This Row],[Commitment / deliverable]]="","",IF(CommitmentsTable[[#This Row],[Date record entered]]="",TODAY(),CommitmentsTable[[#This Row],[Date record entered]]))</f>
        <v/>
      </c>
      <c r="H650" s="245"/>
      <c r="I650" s="245" t="str">
        <f ca="1">IF(CommitmentsTable[[#This Row],[Date Assigned if different from entry date]]&lt;&gt;"",CommitmentsTable[[#This Row],[Date Assigned if different from entry date]]+90,IF(CommitmentsTable[[#This Row],[Date record entered]]&lt;&gt;"",CommitmentsTable[[#This Row],[Date record entered]]+90,""))</f>
        <v/>
      </c>
      <c r="J650" s="245" t="str">
        <f ca="1">IF(CommitmentsTable[[#This Row],[Date Assigned if different from entry date]]&lt;&gt;"",CommitmentsTable[[#This Row],[Date Assigned if different from entry date]]+30,IF(CommitmentsTable[[#This Row],[Date record entered]]&lt;&gt;"",CommitmentsTable[[#This Row],[Date record entered]]+30,""))</f>
        <v/>
      </c>
      <c r="K650" s="245"/>
      <c r="L650" s="245" t="str">
        <f ca="1">IF(CommitmentsTable[[#This Row],[Date Assigned if different from entry date]]&lt;&gt;"",CommitmentsTable[[#This Row],[Date Assigned if different from entry date]]+60,IF(CommitmentsTable[[#This Row],[Date record entered]]&lt;&gt;"",CommitmentsTable[[#This Row],[Date record entered]]+60,""))</f>
        <v/>
      </c>
      <c r="M650" s="214"/>
      <c r="N650" s="214"/>
      <c r="O650" s="236"/>
      <c r="P650" s="214"/>
      <c r="Q650" s="214"/>
      <c r="R650" s="214"/>
      <c r="S650" s="238" t="str">
        <f>IF(CommitmentsTable[[#This Row],[Commitment / deliverable]]="","",IF(CommitmentsTable[[#This Row],[Revised due]]&lt;&gt;"",CommitmentsTable[[#This Row],[Revised due]],CommitmentsTable[[#This Row],[Original due]]))</f>
        <v/>
      </c>
      <c r="T650" s="237" t="str">
        <f>IF(OR(CommitmentsTable[[#This Row],[Commitment / deliverable]]="",CommitmentsTable[[#This Row],[Owner]]=""),"",IF(CommitmentsTable[[#This Row],[Status2]]="","Open",CommitmentsTable[[#This Row],[Status2]]))</f>
        <v/>
      </c>
      <c r="U650" s="237" t="str">
        <f t="shared" ca="1" si="9"/>
        <v/>
      </c>
      <c r="V650" s="233"/>
      <c r="W650" s="63" t="s">
        <v>1552</v>
      </c>
    </row>
    <row r="651" spans="1:23" ht="26">
      <c r="A651" s="213" t="str">
        <f>IF(OR(CommitmentsTable[[#This Row],[Commitment / deliverable]]="",CommitmentsTable[[#This Row],[Immutable Key]]=""),"",SUBSTITUTE(CommitmentsTable[[#This Row],[Immutable Key]],"-K-","-"))</f>
        <v/>
      </c>
      <c r="B651" s="233"/>
      <c r="C651" s="233"/>
      <c r="D651" s="213"/>
      <c r="E651" s="230"/>
      <c r="F651" s="213"/>
      <c r="G651" s="245" t="str">
        <f ca="1">IF(CommitmentsTable[[#This Row],[Commitment / deliverable]]="","",IF(CommitmentsTable[[#This Row],[Date record entered]]="",TODAY(),CommitmentsTable[[#This Row],[Date record entered]]))</f>
        <v/>
      </c>
      <c r="H651" s="245"/>
      <c r="I651" s="245" t="str">
        <f ca="1">IF(CommitmentsTable[[#This Row],[Date Assigned if different from entry date]]&lt;&gt;"",CommitmentsTable[[#This Row],[Date Assigned if different from entry date]]+90,IF(CommitmentsTable[[#This Row],[Date record entered]]&lt;&gt;"",CommitmentsTable[[#This Row],[Date record entered]]+90,""))</f>
        <v/>
      </c>
      <c r="J651" s="245" t="str">
        <f ca="1">IF(CommitmentsTable[[#This Row],[Date Assigned if different from entry date]]&lt;&gt;"",CommitmentsTable[[#This Row],[Date Assigned if different from entry date]]+30,IF(CommitmentsTable[[#This Row],[Date record entered]]&lt;&gt;"",CommitmentsTable[[#This Row],[Date record entered]]+30,""))</f>
        <v/>
      </c>
      <c r="K651" s="245"/>
      <c r="L651" s="245" t="str">
        <f ca="1">IF(CommitmentsTable[[#This Row],[Date Assigned if different from entry date]]&lt;&gt;"",CommitmentsTable[[#This Row],[Date Assigned if different from entry date]]+60,IF(CommitmentsTable[[#This Row],[Date record entered]]&lt;&gt;"",CommitmentsTable[[#This Row],[Date record entered]]+60,""))</f>
        <v/>
      </c>
      <c r="M651" s="214"/>
      <c r="N651" s="214"/>
      <c r="O651" s="236"/>
      <c r="P651" s="214"/>
      <c r="Q651" s="214"/>
      <c r="R651" s="214"/>
      <c r="S651" s="238" t="str">
        <f>IF(CommitmentsTable[[#This Row],[Commitment / deliverable]]="","",IF(CommitmentsTable[[#This Row],[Revised due]]&lt;&gt;"",CommitmentsTable[[#This Row],[Revised due]],CommitmentsTable[[#This Row],[Original due]]))</f>
        <v/>
      </c>
      <c r="T651" s="237" t="str">
        <f>IF(OR(CommitmentsTable[[#This Row],[Commitment / deliverable]]="",CommitmentsTable[[#This Row],[Owner]]=""),"",IF(CommitmentsTable[[#This Row],[Status2]]="","Open",CommitmentsTable[[#This Row],[Status2]]))</f>
        <v/>
      </c>
      <c r="U651" s="237" t="str">
        <f t="shared" ca="1" si="9"/>
        <v/>
      </c>
      <c r="V651" s="233"/>
      <c r="W651" s="63" t="s">
        <v>1553</v>
      </c>
    </row>
    <row r="652" spans="1:23" ht="26">
      <c r="A652" s="213" t="str">
        <f>IF(OR(CommitmentsTable[[#This Row],[Commitment / deliverable]]="",CommitmentsTable[[#This Row],[Immutable Key]]=""),"",SUBSTITUTE(CommitmentsTable[[#This Row],[Immutable Key]],"-K-","-"))</f>
        <v/>
      </c>
      <c r="B652" s="233"/>
      <c r="C652" s="233"/>
      <c r="D652" s="213"/>
      <c r="E652" s="230"/>
      <c r="F652" s="213"/>
      <c r="G652" s="245" t="str">
        <f ca="1">IF(CommitmentsTable[[#This Row],[Commitment / deliverable]]="","",IF(CommitmentsTable[[#This Row],[Date record entered]]="",TODAY(),CommitmentsTable[[#This Row],[Date record entered]]))</f>
        <v/>
      </c>
      <c r="H652" s="245"/>
      <c r="I652" s="245" t="str">
        <f ca="1">IF(CommitmentsTable[[#This Row],[Date Assigned if different from entry date]]&lt;&gt;"",CommitmentsTable[[#This Row],[Date Assigned if different from entry date]]+90,IF(CommitmentsTable[[#This Row],[Date record entered]]&lt;&gt;"",CommitmentsTable[[#This Row],[Date record entered]]+90,""))</f>
        <v/>
      </c>
      <c r="J652" s="245" t="str">
        <f ca="1">IF(CommitmentsTable[[#This Row],[Date Assigned if different from entry date]]&lt;&gt;"",CommitmentsTable[[#This Row],[Date Assigned if different from entry date]]+30,IF(CommitmentsTable[[#This Row],[Date record entered]]&lt;&gt;"",CommitmentsTable[[#This Row],[Date record entered]]+30,""))</f>
        <v/>
      </c>
      <c r="K652" s="245"/>
      <c r="L652" s="245" t="str">
        <f ca="1">IF(CommitmentsTable[[#This Row],[Date Assigned if different from entry date]]&lt;&gt;"",CommitmentsTable[[#This Row],[Date Assigned if different from entry date]]+60,IF(CommitmentsTable[[#This Row],[Date record entered]]&lt;&gt;"",CommitmentsTable[[#This Row],[Date record entered]]+60,""))</f>
        <v/>
      </c>
      <c r="M652" s="214"/>
      <c r="N652" s="214"/>
      <c r="O652" s="236"/>
      <c r="P652" s="214"/>
      <c r="Q652" s="214"/>
      <c r="R652" s="214"/>
      <c r="S652" s="238" t="str">
        <f>IF(CommitmentsTable[[#This Row],[Commitment / deliverable]]="","",IF(CommitmentsTable[[#This Row],[Revised due]]&lt;&gt;"",CommitmentsTable[[#This Row],[Revised due]],CommitmentsTable[[#This Row],[Original due]]))</f>
        <v/>
      </c>
      <c r="T652" s="237" t="str">
        <f>IF(OR(CommitmentsTable[[#This Row],[Commitment / deliverable]]="",CommitmentsTable[[#This Row],[Owner]]=""),"",IF(CommitmentsTable[[#This Row],[Status2]]="","Open",CommitmentsTable[[#This Row],[Status2]]))</f>
        <v/>
      </c>
      <c r="U652" s="237" t="str">
        <f t="shared" ca="1" si="9"/>
        <v/>
      </c>
      <c r="V652" s="233"/>
      <c r="W652" s="63" t="s">
        <v>1554</v>
      </c>
    </row>
    <row r="653" spans="1:23" ht="26">
      <c r="A653" s="213" t="str">
        <f>IF(OR(CommitmentsTable[[#This Row],[Commitment / deliverable]]="",CommitmentsTable[[#This Row],[Immutable Key]]=""),"",SUBSTITUTE(CommitmentsTable[[#This Row],[Immutable Key]],"-K-","-"))</f>
        <v/>
      </c>
      <c r="B653" s="233"/>
      <c r="C653" s="233"/>
      <c r="D653" s="213"/>
      <c r="E653" s="230"/>
      <c r="F653" s="213"/>
      <c r="G653" s="245" t="str">
        <f ca="1">IF(CommitmentsTable[[#This Row],[Commitment / deliverable]]="","",IF(CommitmentsTable[[#This Row],[Date record entered]]="",TODAY(),CommitmentsTable[[#This Row],[Date record entered]]))</f>
        <v/>
      </c>
      <c r="H653" s="245"/>
      <c r="I653" s="245" t="str">
        <f ca="1">IF(CommitmentsTable[[#This Row],[Date Assigned if different from entry date]]&lt;&gt;"",CommitmentsTable[[#This Row],[Date Assigned if different from entry date]]+90,IF(CommitmentsTable[[#This Row],[Date record entered]]&lt;&gt;"",CommitmentsTable[[#This Row],[Date record entered]]+90,""))</f>
        <v/>
      </c>
      <c r="J653" s="245" t="str">
        <f ca="1">IF(CommitmentsTable[[#This Row],[Date Assigned if different from entry date]]&lt;&gt;"",CommitmentsTable[[#This Row],[Date Assigned if different from entry date]]+30,IF(CommitmentsTable[[#This Row],[Date record entered]]&lt;&gt;"",CommitmentsTable[[#This Row],[Date record entered]]+30,""))</f>
        <v/>
      </c>
      <c r="K653" s="245"/>
      <c r="L653" s="245" t="str">
        <f ca="1">IF(CommitmentsTable[[#This Row],[Date Assigned if different from entry date]]&lt;&gt;"",CommitmentsTable[[#This Row],[Date Assigned if different from entry date]]+60,IF(CommitmentsTable[[#This Row],[Date record entered]]&lt;&gt;"",CommitmentsTable[[#This Row],[Date record entered]]+60,""))</f>
        <v/>
      </c>
      <c r="M653" s="214"/>
      <c r="N653" s="214"/>
      <c r="O653" s="236"/>
      <c r="P653" s="214"/>
      <c r="Q653" s="214"/>
      <c r="R653" s="214"/>
      <c r="S653" s="238" t="str">
        <f>IF(CommitmentsTable[[#This Row],[Commitment / deliverable]]="","",IF(CommitmentsTable[[#This Row],[Revised due]]&lt;&gt;"",CommitmentsTable[[#This Row],[Revised due]],CommitmentsTable[[#This Row],[Original due]]))</f>
        <v/>
      </c>
      <c r="T653" s="237" t="str">
        <f>IF(OR(CommitmentsTable[[#This Row],[Commitment / deliverable]]="",CommitmentsTable[[#This Row],[Owner]]=""),"",IF(CommitmentsTable[[#This Row],[Status2]]="","Open",CommitmentsTable[[#This Row],[Status2]]))</f>
        <v/>
      </c>
      <c r="U653" s="237" t="str">
        <f t="shared" ref="U653:U716" ca="1" si="10">IF(B653="","",IF(T653="Closed","",IF(OR(T653="Slipped",T653="At risk",AND(S653&lt;&gt;"",S653&lt;TODAY())),"Slipped / at risk",IF(G653=TODAY(),"New today",IF(S653=TODAY()+1,"Due tomorrow","")))))</f>
        <v/>
      </c>
      <c r="V653" s="233"/>
      <c r="W653" s="63" t="s">
        <v>1555</v>
      </c>
    </row>
    <row r="654" spans="1:23" ht="26">
      <c r="A654" s="213" t="str">
        <f>IF(OR(CommitmentsTable[[#This Row],[Commitment / deliverable]]="",CommitmentsTable[[#This Row],[Immutable Key]]=""),"",SUBSTITUTE(CommitmentsTable[[#This Row],[Immutable Key]],"-K-","-"))</f>
        <v/>
      </c>
      <c r="B654" s="233"/>
      <c r="C654" s="233"/>
      <c r="D654" s="213"/>
      <c r="E654" s="230"/>
      <c r="F654" s="213"/>
      <c r="G654" s="245" t="str">
        <f ca="1">IF(CommitmentsTable[[#This Row],[Commitment / deliverable]]="","",IF(CommitmentsTable[[#This Row],[Date record entered]]="",TODAY(),CommitmentsTable[[#This Row],[Date record entered]]))</f>
        <v/>
      </c>
      <c r="H654" s="245"/>
      <c r="I654" s="245" t="str">
        <f ca="1">IF(CommitmentsTable[[#This Row],[Date Assigned if different from entry date]]&lt;&gt;"",CommitmentsTable[[#This Row],[Date Assigned if different from entry date]]+90,IF(CommitmentsTable[[#This Row],[Date record entered]]&lt;&gt;"",CommitmentsTable[[#This Row],[Date record entered]]+90,""))</f>
        <v/>
      </c>
      <c r="J654" s="245" t="str">
        <f ca="1">IF(CommitmentsTable[[#This Row],[Date Assigned if different from entry date]]&lt;&gt;"",CommitmentsTable[[#This Row],[Date Assigned if different from entry date]]+30,IF(CommitmentsTable[[#This Row],[Date record entered]]&lt;&gt;"",CommitmentsTable[[#This Row],[Date record entered]]+30,""))</f>
        <v/>
      </c>
      <c r="K654" s="245"/>
      <c r="L654" s="245" t="str">
        <f ca="1">IF(CommitmentsTable[[#This Row],[Date Assigned if different from entry date]]&lt;&gt;"",CommitmentsTable[[#This Row],[Date Assigned if different from entry date]]+60,IF(CommitmentsTable[[#This Row],[Date record entered]]&lt;&gt;"",CommitmentsTable[[#This Row],[Date record entered]]+60,""))</f>
        <v/>
      </c>
      <c r="M654" s="214"/>
      <c r="N654" s="214"/>
      <c r="O654" s="236"/>
      <c r="P654" s="214"/>
      <c r="Q654" s="214"/>
      <c r="R654" s="214"/>
      <c r="S654" s="238" t="str">
        <f>IF(CommitmentsTable[[#This Row],[Commitment / deliverable]]="","",IF(CommitmentsTable[[#This Row],[Revised due]]&lt;&gt;"",CommitmentsTable[[#This Row],[Revised due]],CommitmentsTable[[#This Row],[Original due]]))</f>
        <v/>
      </c>
      <c r="T654" s="237" t="str">
        <f>IF(OR(CommitmentsTable[[#This Row],[Commitment / deliverable]]="",CommitmentsTable[[#This Row],[Owner]]=""),"",IF(CommitmentsTable[[#This Row],[Status2]]="","Open",CommitmentsTable[[#This Row],[Status2]]))</f>
        <v/>
      </c>
      <c r="U654" s="237" t="str">
        <f t="shared" ca="1" si="10"/>
        <v/>
      </c>
      <c r="V654" s="233"/>
      <c r="W654" s="63" t="s">
        <v>1556</v>
      </c>
    </row>
    <row r="655" spans="1:23" ht="26">
      <c r="A655" s="213" t="str">
        <f>IF(OR(CommitmentsTable[[#This Row],[Commitment / deliverable]]="",CommitmentsTable[[#This Row],[Immutable Key]]=""),"",SUBSTITUTE(CommitmentsTable[[#This Row],[Immutable Key]],"-K-","-"))</f>
        <v/>
      </c>
      <c r="B655" s="233"/>
      <c r="C655" s="233"/>
      <c r="D655" s="213"/>
      <c r="E655" s="230"/>
      <c r="F655" s="213"/>
      <c r="G655" s="245" t="str">
        <f ca="1">IF(CommitmentsTable[[#This Row],[Commitment / deliverable]]="","",IF(CommitmentsTable[[#This Row],[Date record entered]]="",TODAY(),CommitmentsTable[[#This Row],[Date record entered]]))</f>
        <v/>
      </c>
      <c r="H655" s="245"/>
      <c r="I655" s="245" t="str">
        <f ca="1">IF(CommitmentsTable[[#This Row],[Date Assigned if different from entry date]]&lt;&gt;"",CommitmentsTable[[#This Row],[Date Assigned if different from entry date]]+90,IF(CommitmentsTable[[#This Row],[Date record entered]]&lt;&gt;"",CommitmentsTable[[#This Row],[Date record entered]]+90,""))</f>
        <v/>
      </c>
      <c r="J655" s="245" t="str">
        <f ca="1">IF(CommitmentsTable[[#This Row],[Date Assigned if different from entry date]]&lt;&gt;"",CommitmentsTable[[#This Row],[Date Assigned if different from entry date]]+30,IF(CommitmentsTable[[#This Row],[Date record entered]]&lt;&gt;"",CommitmentsTable[[#This Row],[Date record entered]]+30,""))</f>
        <v/>
      </c>
      <c r="K655" s="245"/>
      <c r="L655" s="245" t="str">
        <f ca="1">IF(CommitmentsTable[[#This Row],[Date Assigned if different from entry date]]&lt;&gt;"",CommitmentsTable[[#This Row],[Date Assigned if different from entry date]]+60,IF(CommitmentsTable[[#This Row],[Date record entered]]&lt;&gt;"",CommitmentsTable[[#This Row],[Date record entered]]+60,""))</f>
        <v/>
      </c>
      <c r="M655" s="214"/>
      <c r="N655" s="214"/>
      <c r="O655" s="236"/>
      <c r="P655" s="214"/>
      <c r="Q655" s="214"/>
      <c r="R655" s="214"/>
      <c r="S655" s="238" t="str">
        <f>IF(CommitmentsTable[[#This Row],[Commitment / deliverable]]="","",IF(CommitmentsTable[[#This Row],[Revised due]]&lt;&gt;"",CommitmentsTable[[#This Row],[Revised due]],CommitmentsTable[[#This Row],[Original due]]))</f>
        <v/>
      </c>
      <c r="T655" s="237" t="str">
        <f>IF(OR(CommitmentsTable[[#This Row],[Commitment / deliverable]]="",CommitmentsTable[[#This Row],[Owner]]=""),"",IF(CommitmentsTable[[#This Row],[Status2]]="","Open",CommitmentsTable[[#This Row],[Status2]]))</f>
        <v/>
      </c>
      <c r="U655" s="237" t="str">
        <f t="shared" ca="1" si="10"/>
        <v/>
      </c>
      <c r="V655" s="233"/>
      <c r="W655" s="63" t="s">
        <v>1557</v>
      </c>
    </row>
    <row r="656" spans="1:23" ht="26">
      <c r="A656" s="213" t="str">
        <f>IF(OR(CommitmentsTable[[#This Row],[Commitment / deliverable]]="",CommitmentsTable[[#This Row],[Immutable Key]]=""),"",SUBSTITUTE(CommitmentsTable[[#This Row],[Immutable Key]],"-K-","-"))</f>
        <v/>
      </c>
      <c r="B656" s="233"/>
      <c r="C656" s="233"/>
      <c r="D656" s="213"/>
      <c r="E656" s="230"/>
      <c r="F656" s="213"/>
      <c r="G656" s="245" t="str">
        <f ca="1">IF(CommitmentsTable[[#This Row],[Commitment / deliverable]]="","",IF(CommitmentsTable[[#This Row],[Date record entered]]="",TODAY(),CommitmentsTable[[#This Row],[Date record entered]]))</f>
        <v/>
      </c>
      <c r="H656" s="245"/>
      <c r="I656" s="245" t="str">
        <f ca="1">IF(CommitmentsTable[[#This Row],[Date Assigned if different from entry date]]&lt;&gt;"",CommitmentsTable[[#This Row],[Date Assigned if different from entry date]]+90,IF(CommitmentsTable[[#This Row],[Date record entered]]&lt;&gt;"",CommitmentsTable[[#This Row],[Date record entered]]+90,""))</f>
        <v/>
      </c>
      <c r="J656" s="245" t="str">
        <f ca="1">IF(CommitmentsTable[[#This Row],[Date Assigned if different from entry date]]&lt;&gt;"",CommitmentsTable[[#This Row],[Date Assigned if different from entry date]]+30,IF(CommitmentsTable[[#This Row],[Date record entered]]&lt;&gt;"",CommitmentsTable[[#This Row],[Date record entered]]+30,""))</f>
        <v/>
      </c>
      <c r="K656" s="245"/>
      <c r="L656" s="245" t="str">
        <f ca="1">IF(CommitmentsTable[[#This Row],[Date Assigned if different from entry date]]&lt;&gt;"",CommitmentsTable[[#This Row],[Date Assigned if different from entry date]]+60,IF(CommitmentsTable[[#This Row],[Date record entered]]&lt;&gt;"",CommitmentsTable[[#This Row],[Date record entered]]+60,""))</f>
        <v/>
      </c>
      <c r="M656" s="214"/>
      <c r="N656" s="214"/>
      <c r="O656" s="236"/>
      <c r="P656" s="214"/>
      <c r="Q656" s="214"/>
      <c r="R656" s="214"/>
      <c r="S656" s="238" t="str">
        <f>IF(CommitmentsTable[[#This Row],[Commitment / deliverable]]="","",IF(CommitmentsTable[[#This Row],[Revised due]]&lt;&gt;"",CommitmentsTable[[#This Row],[Revised due]],CommitmentsTable[[#This Row],[Original due]]))</f>
        <v/>
      </c>
      <c r="T656" s="237" t="str">
        <f>IF(OR(CommitmentsTable[[#This Row],[Commitment / deliverable]]="",CommitmentsTable[[#This Row],[Owner]]=""),"",IF(CommitmentsTable[[#This Row],[Status2]]="","Open",CommitmentsTable[[#This Row],[Status2]]))</f>
        <v/>
      </c>
      <c r="U656" s="237" t="str">
        <f t="shared" ca="1" si="10"/>
        <v/>
      </c>
      <c r="V656" s="233"/>
      <c r="W656" s="63" t="s">
        <v>1558</v>
      </c>
    </row>
    <row r="657" spans="1:23" ht="26">
      <c r="A657" s="213" t="str">
        <f>IF(OR(CommitmentsTable[[#This Row],[Commitment / deliverable]]="",CommitmentsTable[[#This Row],[Immutable Key]]=""),"",SUBSTITUTE(CommitmentsTable[[#This Row],[Immutable Key]],"-K-","-"))</f>
        <v/>
      </c>
      <c r="B657" s="233"/>
      <c r="C657" s="233"/>
      <c r="D657" s="213"/>
      <c r="E657" s="230"/>
      <c r="F657" s="213"/>
      <c r="G657" s="245" t="str">
        <f ca="1">IF(CommitmentsTable[[#This Row],[Commitment / deliverable]]="","",IF(CommitmentsTable[[#This Row],[Date record entered]]="",TODAY(),CommitmentsTable[[#This Row],[Date record entered]]))</f>
        <v/>
      </c>
      <c r="H657" s="245"/>
      <c r="I657" s="245" t="str">
        <f ca="1">IF(CommitmentsTable[[#This Row],[Date Assigned if different from entry date]]&lt;&gt;"",CommitmentsTable[[#This Row],[Date Assigned if different from entry date]]+90,IF(CommitmentsTable[[#This Row],[Date record entered]]&lt;&gt;"",CommitmentsTable[[#This Row],[Date record entered]]+90,""))</f>
        <v/>
      </c>
      <c r="J657" s="245" t="str">
        <f ca="1">IF(CommitmentsTable[[#This Row],[Date Assigned if different from entry date]]&lt;&gt;"",CommitmentsTable[[#This Row],[Date Assigned if different from entry date]]+30,IF(CommitmentsTable[[#This Row],[Date record entered]]&lt;&gt;"",CommitmentsTable[[#This Row],[Date record entered]]+30,""))</f>
        <v/>
      </c>
      <c r="K657" s="245"/>
      <c r="L657" s="245" t="str">
        <f ca="1">IF(CommitmentsTable[[#This Row],[Date Assigned if different from entry date]]&lt;&gt;"",CommitmentsTable[[#This Row],[Date Assigned if different from entry date]]+60,IF(CommitmentsTable[[#This Row],[Date record entered]]&lt;&gt;"",CommitmentsTable[[#This Row],[Date record entered]]+60,""))</f>
        <v/>
      </c>
      <c r="M657" s="214"/>
      <c r="N657" s="214"/>
      <c r="O657" s="236"/>
      <c r="P657" s="214"/>
      <c r="Q657" s="214"/>
      <c r="R657" s="214"/>
      <c r="S657" s="238" t="str">
        <f>IF(CommitmentsTable[[#This Row],[Commitment / deliverable]]="","",IF(CommitmentsTable[[#This Row],[Revised due]]&lt;&gt;"",CommitmentsTable[[#This Row],[Revised due]],CommitmentsTable[[#This Row],[Original due]]))</f>
        <v/>
      </c>
      <c r="T657" s="237" t="str">
        <f>IF(OR(CommitmentsTable[[#This Row],[Commitment / deliverable]]="",CommitmentsTable[[#This Row],[Owner]]=""),"",IF(CommitmentsTable[[#This Row],[Status2]]="","Open",CommitmentsTable[[#This Row],[Status2]]))</f>
        <v/>
      </c>
      <c r="U657" s="237" t="str">
        <f t="shared" ca="1" si="10"/>
        <v/>
      </c>
      <c r="V657" s="233"/>
      <c r="W657" s="63" t="s">
        <v>1559</v>
      </c>
    </row>
    <row r="658" spans="1:23" ht="26">
      <c r="A658" s="213" t="str">
        <f>IF(OR(CommitmentsTable[[#This Row],[Commitment / deliverable]]="",CommitmentsTable[[#This Row],[Immutable Key]]=""),"",SUBSTITUTE(CommitmentsTable[[#This Row],[Immutable Key]],"-K-","-"))</f>
        <v/>
      </c>
      <c r="B658" s="233"/>
      <c r="C658" s="233"/>
      <c r="D658" s="213"/>
      <c r="E658" s="230"/>
      <c r="F658" s="213"/>
      <c r="G658" s="245" t="str">
        <f ca="1">IF(CommitmentsTable[[#This Row],[Commitment / deliverable]]="","",IF(CommitmentsTable[[#This Row],[Date record entered]]="",TODAY(),CommitmentsTable[[#This Row],[Date record entered]]))</f>
        <v/>
      </c>
      <c r="H658" s="245"/>
      <c r="I658" s="245" t="str">
        <f ca="1">IF(CommitmentsTable[[#This Row],[Date Assigned if different from entry date]]&lt;&gt;"",CommitmentsTable[[#This Row],[Date Assigned if different from entry date]]+90,IF(CommitmentsTable[[#This Row],[Date record entered]]&lt;&gt;"",CommitmentsTable[[#This Row],[Date record entered]]+90,""))</f>
        <v/>
      </c>
      <c r="J658" s="245" t="str">
        <f ca="1">IF(CommitmentsTable[[#This Row],[Date Assigned if different from entry date]]&lt;&gt;"",CommitmentsTable[[#This Row],[Date Assigned if different from entry date]]+30,IF(CommitmentsTable[[#This Row],[Date record entered]]&lt;&gt;"",CommitmentsTable[[#This Row],[Date record entered]]+30,""))</f>
        <v/>
      </c>
      <c r="K658" s="245"/>
      <c r="L658" s="245" t="str">
        <f ca="1">IF(CommitmentsTable[[#This Row],[Date Assigned if different from entry date]]&lt;&gt;"",CommitmentsTable[[#This Row],[Date Assigned if different from entry date]]+60,IF(CommitmentsTable[[#This Row],[Date record entered]]&lt;&gt;"",CommitmentsTable[[#This Row],[Date record entered]]+60,""))</f>
        <v/>
      </c>
      <c r="M658" s="214"/>
      <c r="N658" s="214"/>
      <c r="O658" s="236"/>
      <c r="P658" s="214"/>
      <c r="Q658" s="214"/>
      <c r="R658" s="214"/>
      <c r="S658" s="238" t="str">
        <f>IF(CommitmentsTable[[#This Row],[Commitment / deliverable]]="","",IF(CommitmentsTable[[#This Row],[Revised due]]&lt;&gt;"",CommitmentsTable[[#This Row],[Revised due]],CommitmentsTable[[#This Row],[Original due]]))</f>
        <v/>
      </c>
      <c r="T658" s="237" t="str">
        <f>IF(OR(CommitmentsTable[[#This Row],[Commitment / deliverable]]="",CommitmentsTable[[#This Row],[Owner]]=""),"",IF(CommitmentsTable[[#This Row],[Status2]]="","Open",CommitmentsTable[[#This Row],[Status2]]))</f>
        <v/>
      </c>
      <c r="U658" s="237" t="str">
        <f t="shared" ca="1" si="10"/>
        <v/>
      </c>
      <c r="V658" s="233"/>
      <c r="W658" s="63" t="s">
        <v>1560</v>
      </c>
    </row>
    <row r="659" spans="1:23" ht="26">
      <c r="A659" s="213" t="str">
        <f>IF(OR(CommitmentsTable[[#This Row],[Commitment / deliverable]]="",CommitmentsTable[[#This Row],[Immutable Key]]=""),"",SUBSTITUTE(CommitmentsTable[[#This Row],[Immutable Key]],"-K-","-"))</f>
        <v/>
      </c>
      <c r="B659" s="233"/>
      <c r="C659" s="233"/>
      <c r="D659" s="213"/>
      <c r="E659" s="230"/>
      <c r="F659" s="213"/>
      <c r="G659" s="245" t="str">
        <f ca="1">IF(CommitmentsTable[[#This Row],[Commitment / deliverable]]="","",IF(CommitmentsTable[[#This Row],[Date record entered]]="",TODAY(),CommitmentsTable[[#This Row],[Date record entered]]))</f>
        <v/>
      </c>
      <c r="H659" s="245"/>
      <c r="I659" s="245" t="str">
        <f ca="1">IF(CommitmentsTable[[#This Row],[Date Assigned if different from entry date]]&lt;&gt;"",CommitmentsTable[[#This Row],[Date Assigned if different from entry date]]+90,IF(CommitmentsTable[[#This Row],[Date record entered]]&lt;&gt;"",CommitmentsTable[[#This Row],[Date record entered]]+90,""))</f>
        <v/>
      </c>
      <c r="J659" s="245" t="str">
        <f ca="1">IF(CommitmentsTable[[#This Row],[Date Assigned if different from entry date]]&lt;&gt;"",CommitmentsTable[[#This Row],[Date Assigned if different from entry date]]+30,IF(CommitmentsTable[[#This Row],[Date record entered]]&lt;&gt;"",CommitmentsTable[[#This Row],[Date record entered]]+30,""))</f>
        <v/>
      </c>
      <c r="K659" s="245"/>
      <c r="L659" s="245" t="str">
        <f ca="1">IF(CommitmentsTable[[#This Row],[Date Assigned if different from entry date]]&lt;&gt;"",CommitmentsTable[[#This Row],[Date Assigned if different from entry date]]+60,IF(CommitmentsTable[[#This Row],[Date record entered]]&lt;&gt;"",CommitmentsTable[[#This Row],[Date record entered]]+60,""))</f>
        <v/>
      </c>
      <c r="M659" s="214"/>
      <c r="N659" s="214"/>
      <c r="O659" s="236"/>
      <c r="P659" s="214"/>
      <c r="Q659" s="214"/>
      <c r="R659" s="214"/>
      <c r="S659" s="238" t="str">
        <f>IF(CommitmentsTable[[#This Row],[Commitment / deliverable]]="","",IF(CommitmentsTable[[#This Row],[Revised due]]&lt;&gt;"",CommitmentsTable[[#This Row],[Revised due]],CommitmentsTable[[#This Row],[Original due]]))</f>
        <v/>
      </c>
      <c r="T659" s="237" t="str">
        <f>IF(OR(CommitmentsTable[[#This Row],[Commitment / deliverable]]="",CommitmentsTable[[#This Row],[Owner]]=""),"",IF(CommitmentsTable[[#This Row],[Status2]]="","Open",CommitmentsTable[[#This Row],[Status2]]))</f>
        <v/>
      </c>
      <c r="U659" s="237" t="str">
        <f t="shared" ca="1" si="10"/>
        <v/>
      </c>
      <c r="V659" s="233"/>
      <c r="W659" s="63" t="s">
        <v>1561</v>
      </c>
    </row>
    <row r="660" spans="1:23" ht="26">
      <c r="A660" s="213" t="str">
        <f>IF(OR(CommitmentsTable[[#This Row],[Commitment / deliverable]]="",CommitmentsTable[[#This Row],[Immutable Key]]=""),"",SUBSTITUTE(CommitmentsTable[[#This Row],[Immutable Key]],"-K-","-"))</f>
        <v/>
      </c>
      <c r="B660" s="233"/>
      <c r="C660" s="233"/>
      <c r="D660" s="213"/>
      <c r="E660" s="230"/>
      <c r="F660" s="213"/>
      <c r="G660" s="245" t="str">
        <f ca="1">IF(CommitmentsTable[[#This Row],[Commitment / deliverable]]="","",IF(CommitmentsTable[[#This Row],[Date record entered]]="",TODAY(),CommitmentsTable[[#This Row],[Date record entered]]))</f>
        <v/>
      </c>
      <c r="H660" s="245"/>
      <c r="I660" s="245" t="str">
        <f ca="1">IF(CommitmentsTable[[#This Row],[Date Assigned if different from entry date]]&lt;&gt;"",CommitmentsTable[[#This Row],[Date Assigned if different from entry date]]+90,IF(CommitmentsTable[[#This Row],[Date record entered]]&lt;&gt;"",CommitmentsTable[[#This Row],[Date record entered]]+90,""))</f>
        <v/>
      </c>
      <c r="J660" s="245" t="str">
        <f ca="1">IF(CommitmentsTable[[#This Row],[Date Assigned if different from entry date]]&lt;&gt;"",CommitmentsTable[[#This Row],[Date Assigned if different from entry date]]+30,IF(CommitmentsTable[[#This Row],[Date record entered]]&lt;&gt;"",CommitmentsTable[[#This Row],[Date record entered]]+30,""))</f>
        <v/>
      </c>
      <c r="K660" s="245"/>
      <c r="L660" s="245" t="str">
        <f ca="1">IF(CommitmentsTable[[#This Row],[Date Assigned if different from entry date]]&lt;&gt;"",CommitmentsTable[[#This Row],[Date Assigned if different from entry date]]+60,IF(CommitmentsTable[[#This Row],[Date record entered]]&lt;&gt;"",CommitmentsTable[[#This Row],[Date record entered]]+60,""))</f>
        <v/>
      </c>
      <c r="M660" s="214"/>
      <c r="N660" s="214"/>
      <c r="O660" s="236"/>
      <c r="P660" s="214"/>
      <c r="Q660" s="214"/>
      <c r="R660" s="214"/>
      <c r="S660" s="238" t="str">
        <f>IF(CommitmentsTable[[#This Row],[Commitment / deliverable]]="","",IF(CommitmentsTable[[#This Row],[Revised due]]&lt;&gt;"",CommitmentsTable[[#This Row],[Revised due]],CommitmentsTable[[#This Row],[Original due]]))</f>
        <v/>
      </c>
      <c r="T660" s="237" t="str">
        <f>IF(OR(CommitmentsTable[[#This Row],[Commitment / deliverable]]="",CommitmentsTable[[#This Row],[Owner]]=""),"",IF(CommitmentsTable[[#This Row],[Status2]]="","Open",CommitmentsTable[[#This Row],[Status2]]))</f>
        <v/>
      </c>
      <c r="U660" s="237" t="str">
        <f t="shared" ca="1" si="10"/>
        <v/>
      </c>
      <c r="V660" s="233"/>
      <c r="W660" s="63" t="s">
        <v>1562</v>
      </c>
    </row>
    <row r="661" spans="1:23" ht="26">
      <c r="A661" s="213" t="str">
        <f>IF(OR(CommitmentsTable[[#This Row],[Commitment / deliverable]]="",CommitmentsTable[[#This Row],[Immutable Key]]=""),"",SUBSTITUTE(CommitmentsTable[[#This Row],[Immutable Key]],"-K-","-"))</f>
        <v/>
      </c>
      <c r="B661" s="233"/>
      <c r="C661" s="233"/>
      <c r="D661" s="213"/>
      <c r="E661" s="230"/>
      <c r="F661" s="213"/>
      <c r="G661" s="245" t="str">
        <f ca="1">IF(CommitmentsTable[[#This Row],[Commitment / deliverable]]="","",IF(CommitmentsTable[[#This Row],[Date record entered]]="",TODAY(),CommitmentsTable[[#This Row],[Date record entered]]))</f>
        <v/>
      </c>
      <c r="H661" s="245"/>
      <c r="I661" s="245" t="str">
        <f ca="1">IF(CommitmentsTable[[#This Row],[Date Assigned if different from entry date]]&lt;&gt;"",CommitmentsTable[[#This Row],[Date Assigned if different from entry date]]+90,IF(CommitmentsTable[[#This Row],[Date record entered]]&lt;&gt;"",CommitmentsTable[[#This Row],[Date record entered]]+90,""))</f>
        <v/>
      </c>
      <c r="J661" s="245" t="str">
        <f ca="1">IF(CommitmentsTable[[#This Row],[Date Assigned if different from entry date]]&lt;&gt;"",CommitmentsTable[[#This Row],[Date Assigned if different from entry date]]+30,IF(CommitmentsTable[[#This Row],[Date record entered]]&lt;&gt;"",CommitmentsTable[[#This Row],[Date record entered]]+30,""))</f>
        <v/>
      </c>
      <c r="K661" s="245"/>
      <c r="L661" s="245" t="str">
        <f ca="1">IF(CommitmentsTable[[#This Row],[Date Assigned if different from entry date]]&lt;&gt;"",CommitmentsTable[[#This Row],[Date Assigned if different from entry date]]+60,IF(CommitmentsTable[[#This Row],[Date record entered]]&lt;&gt;"",CommitmentsTable[[#This Row],[Date record entered]]+60,""))</f>
        <v/>
      </c>
      <c r="M661" s="214"/>
      <c r="N661" s="214"/>
      <c r="O661" s="236"/>
      <c r="P661" s="214"/>
      <c r="Q661" s="214"/>
      <c r="R661" s="214"/>
      <c r="S661" s="238" t="str">
        <f>IF(CommitmentsTable[[#This Row],[Commitment / deliverable]]="","",IF(CommitmentsTable[[#This Row],[Revised due]]&lt;&gt;"",CommitmentsTable[[#This Row],[Revised due]],CommitmentsTable[[#This Row],[Original due]]))</f>
        <v/>
      </c>
      <c r="T661" s="237" t="str">
        <f>IF(OR(CommitmentsTable[[#This Row],[Commitment / deliverable]]="",CommitmentsTable[[#This Row],[Owner]]=""),"",IF(CommitmentsTable[[#This Row],[Status2]]="","Open",CommitmentsTable[[#This Row],[Status2]]))</f>
        <v/>
      </c>
      <c r="U661" s="237" t="str">
        <f t="shared" ca="1" si="10"/>
        <v/>
      </c>
      <c r="V661" s="233"/>
      <c r="W661" s="63" t="s">
        <v>1563</v>
      </c>
    </row>
    <row r="662" spans="1:23" ht="26">
      <c r="A662" s="213" t="str">
        <f>IF(OR(CommitmentsTable[[#This Row],[Commitment / deliverable]]="",CommitmentsTable[[#This Row],[Immutable Key]]=""),"",SUBSTITUTE(CommitmentsTable[[#This Row],[Immutable Key]],"-K-","-"))</f>
        <v/>
      </c>
      <c r="B662" s="233"/>
      <c r="C662" s="233"/>
      <c r="D662" s="213"/>
      <c r="E662" s="230"/>
      <c r="F662" s="213"/>
      <c r="G662" s="245" t="str">
        <f ca="1">IF(CommitmentsTable[[#This Row],[Commitment / deliverable]]="","",IF(CommitmentsTable[[#This Row],[Date record entered]]="",TODAY(),CommitmentsTable[[#This Row],[Date record entered]]))</f>
        <v/>
      </c>
      <c r="H662" s="245"/>
      <c r="I662" s="245" t="str">
        <f ca="1">IF(CommitmentsTable[[#This Row],[Date Assigned if different from entry date]]&lt;&gt;"",CommitmentsTable[[#This Row],[Date Assigned if different from entry date]]+90,IF(CommitmentsTable[[#This Row],[Date record entered]]&lt;&gt;"",CommitmentsTable[[#This Row],[Date record entered]]+90,""))</f>
        <v/>
      </c>
      <c r="J662" s="245" t="str">
        <f ca="1">IF(CommitmentsTable[[#This Row],[Date Assigned if different from entry date]]&lt;&gt;"",CommitmentsTable[[#This Row],[Date Assigned if different from entry date]]+30,IF(CommitmentsTable[[#This Row],[Date record entered]]&lt;&gt;"",CommitmentsTable[[#This Row],[Date record entered]]+30,""))</f>
        <v/>
      </c>
      <c r="K662" s="245"/>
      <c r="L662" s="245" t="str">
        <f ca="1">IF(CommitmentsTable[[#This Row],[Date Assigned if different from entry date]]&lt;&gt;"",CommitmentsTable[[#This Row],[Date Assigned if different from entry date]]+60,IF(CommitmentsTable[[#This Row],[Date record entered]]&lt;&gt;"",CommitmentsTable[[#This Row],[Date record entered]]+60,""))</f>
        <v/>
      </c>
      <c r="M662" s="214"/>
      <c r="N662" s="214"/>
      <c r="O662" s="236"/>
      <c r="P662" s="214"/>
      <c r="Q662" s="214"/>
      <c r="R662" s="214"/>
      <c r="S662" s="238" t="str">
        <f>IF(CommitmentsTable[[#This Row],[Commitment / deliverable]]="","",IF(CommitmentsTable[[#This Row],[Revised due]]&lt;&gt;"",CommitmentsTable[[#This Row],[Revised due]],CommitmentsTable[[#This Row],[Original due]]))</f>
        <v/>
      </c>
      <c r="T662" s="237" t="str">
        <f>IF(OR(CommitmentsTable[[#This Row],[Commitment / deliverable]]="",CommitmentsTable[[#This Row],[Owner]]=""),"",IF(CommitmentsTable[[#This Row],[Status2]]="","Open",CommitmentsTable[[#This Row],[Status2]]))</f>
        <v/>
      </c>
      <c r="U662" s="237" t="str">
        <f t="shared" ca="1" si="10"/>
        <v/>
      </c>
      <c r="V662" s="233"/>
      <c r="W662" s="63" t="s">
        <v>1564</v>
      </c>
    </row>
    <row r="663" spans="1:23" ht="26">
      <c r="A663" s="213" t="str">
        <f>IF(OR(CommitmentsTable[[#This Row],[Commitment / deliverable]]="",CommitmentsTable[[#This Row],[Immutable Key]]=""),"",SUBSTITUTE(CommitmentsTable[[#This Row],[Immutable Key]],"-K-","-"))</f>
        <v/>
      </c>
      <c r="B663" s="233"/>
      <c r="C663" s="233"/>
      <c r="D663" s="213"/>
      <c r="E663" s="230"/>
      <c r="F663" s="213"/>
      <c r="G663" s="245" t="str">
        <f ca="1">IF(CommitmentsTable[[#This Row],[Commitment / deliverable]]="","",IF(CommitmentsTable[[#This Row],[Date record entered]]="",TODAY(),CommitmentsTable[[#This Row],[Date record entered]]))</f>
        <v/>
      </c>
      <c r="H663" s="245"/>
      <c r="I663" s="245" t="str">
        <f ca="1">IF(CommitmentsTable[[#This Row],[Date Assigned if different from entry date]]&lt;&gt;"",CommitmentsTable[[#This Row],[Date Assigned if different from entry date]]+90,IF(CommitmentsTable[[#This Row],[Date record entered]]&lt;&gt;"",CommitmentsTable[[#This Row],[Date record entered]]+90,""))</f>
        <v/>
      </c>
      <c r="J663" s="245" t="str">
        <f ca="1">IF(CommitmentsTable[[#This Row],[Date Assigned if different from entry date]]&lt;&gt;"",CommitmentsTable[[#This Row],[Date Assigned if different from entry date]]+30,IF(CommitmentsTable[[#This Row],[Date record entered]]&lt;&gt;"",CommitmentsTable[[#This Row],[Date record entered]]+30,""))</f>
        <v/>
      </c>
      <c r="K663" s="245"/>
      <c r="L663" s="245" t="str">
        <f ca="1">IF(CommitmentsTable[[#This Row],[Date Assigned if different from entry date]]&lt;&gt;"",CommitmentsTable[[#This Row],[Date Assigned if different from entry date]]+60,IF(CommitmentsTable[[#This Row],[Date record entered]]&lt;&gt;"",CommitmentsTable[[#This Row],[Date record entered]]+60,""))</f>
        <v/>
      </c>
      <c r="M663" s="214"/>
      <c r="N663" s="214"/>
      <c r="O663" s="236"/>
      <c r="P663" s="214"/>
      <c r="Q663" s="214"/>
      <c r="R663" s="214"/>
      <c r="S663" s="238" t="str">
        <f>IF(CommitmentsTable[[#This Row],[Commitment / deliverable]]="","",IF(CommitmentsTable[[#This Row],[Revised due]]&lt;&gt;"",CommitmentsTable[[#This Row],[Revised due]],CommitmentsTable[[#This Row],[Original due]]))</f>
        <v/>
      </c>
      <c r="T663" s="237" t="str">
        <f>IF(OR(CommitmentsTable[[#This Row],[Commitment / deliverable]]="",CommitmentsTable[[#This Row],[Owner]]=""),"",IF(CommitmentsTable[[#This Row],[Status2]]="","Open",CommitmentsTable[[#This Row],[Status2]]))</f>
        <v/>
      </c>
      <c r="U663" s="237" t="str">
        <f t="shared" ca="1" si="10"/>
        <v/>
      </c>
      <c r="V663" s="233"/>
      <c r="W663" s="63" t="s">
        <v>1565</v>
      </c>
    </row>
    <row r="664" spans="1:23" ht="26">
      <c r="A664" s="213" t="str">
        <f>IF(OR(CommitmentsTable[[#This Row],[Commitment / deliverable]]="",CommitmentsTable[[#This Row],[Immutable Key]]=""),"",SUBSTITUTE(CommitmentsTable[[#This Row],[Immutable Key]],"-K-","-"))</f>
        <v/>
      </c>
      <c r="B664" s="233"/>
      <c r="C664" s="233"/>
      <c r="D664" s="213"/>
      <c r="E664" s="230"/>
      <c r="F664" s="213"/>
      <c r="G664" s="245" t="str">
        <f ca="1">IF(CommitmentsTable[[#This Row],[Commitment / deliverable]]="","",IF(CommitmentsTable[[#This Row],[Date record entered]]="",TODAY(),CommitmentsTable[[#This Row],[Date record entered]]))</f>
        <v/>
      </c>
      <c r="H664" s="245"/>
      <c r="I664" s="245" t="str">
        <f ca="1">IF(CommitmentsTable[[#This Row],[Date Assigned if different from entry date]]&lt;&gt;"",CommitmentsTable[[#This Row],[Date Assigned if different from entry date]]+90,IF(CommitmentsTable[[#This Row],[Date record entered]]&lt;&gt;"",CommitmentsTable[[#This Row],[Date record entered]]+90,""))</f>
        <v/>
      </c>
      <c r="J664" s="245" t="str">
        <f ca="1">IF(CommitmentsTable[[#This Row],[Date Assigned if different from entry date]]&lt;&gt;"",CommitmentsTable[[#This Row],[Date Assigned if different from entry date]]+30,IF(CommitmentsTable[[#This Row],[Date record entered]]&lt;&gt;"",CommitmentsTable[[#This Row],[Date record entered]]+30,""))</f>
        <v/>
      </c>
      <c r="K664" s="245"/>
      <c r="L664" s="245" t="str">
        <f ca="1">IF(CommitmentsTable[[#This Row],[Date Assigned if different from entry date]]&lt;&gt;"",CommitmentsTable[[#This Row],[Date Assigned if different from entry date]]+60,IF(CommitmentsTable[[#This Row],[Date record entered]]&lt;&gt;"",CommitmentsTable[[#This Row],[Date record entered]]+60,""))</f>
        <v/>
      </c>
      <c r="M664" s="214"/>
      <c r="N664" s="214"/>
      <c r="O664" s="236"/>
      <c r="P664" s="214"/>
      <c r="Q664" s="214"/>
      <c r="R664" s="214"/>
      <c r="S664" s="238" t="str">
        <f>IF(CommitmentsTable[[#This Row],[Commitment / deliverable]]="","",IF(CommitmentsTable[[#This Row],[Revised due]]&lt;&gt;"",CommitmentsTable[[#This Row],[Revised due]],CommitmentsTable[[#This Row],[Original due]]))</f>
        <v/>
      </c>
      <c r="T664" s="237" t="str">
        <f>IF(OR(CommitmentsTable[[#This Row],[Commitment / deliverable]]="",CommitmentsTable[[#This Row],[Owner]]=""),"",IF(CommitmentsTable[[#This Row],[Status2]]="","Open",CommitmentsTable[[#This Row],[Status2]]))</f>
        <v/>
      </c>
      <c r="U664" s="237" t="str">
        <f t="shared" ca="1" si="10"/>
        <v/>
      </c>
      <c r="V664" s="233"/>
      <c r="W664" s="63" t="s">
        <v>1566</v>
      </c>
    </row>
    <row r="665" spans="1:23" ht="26">
      <c r="A665" s="213" t="str">
        <f>IF(OR(CommitmentsTable[[#This Row],[Commitment / deliverable]]="",CommitmentsTable[[#This Row],[Immutable Key]]=""),"",SUBSTITUTE(CommitmentsTable[[#This Row],[Immutable Key]],"-K-","-"))</f>
        <v/>
      </c>
      <c r="B665" s="233"/>
      <c r="C665" s="233"/>
      <c r="D665" s="213"/>
      <c r="E665" s="230"/>
      <c r="F665" s="213"/>
      <c r="G665" s="245" t="str">
        <f ca="1">IF(CommitmentsTable[[#This Row],[Commitment / deliverable]]="","",IF(CommitmentsTable[[#This Row],[Date record entered]]="",TODAY(),CommitmentsTable[[#This Row],[Date record entered]]))</f>
        <v/>
      </c>
      <c r="H665" s="245"/>
      <c r="I665" s="245" t="str">
        <f ca="1">IF(CommitmentsTable[[#This Row],[Date Assigned if different from entry date]]&lt;&gt;"",CommitmentsTable[[#This Row],[Date Assigned if different from entry date]]+90,IF(CommitmentsTable[[#This Row],[Date record entered]]&lt;&gt;"",CommitmentsTable[[#This Row],[Date record entered]]+90,""))</f>
        <v/>
      </c>
      <c r="J665" s="245" t="str">
        <f ca="1">IF(CommitmentsTable[[#This Row],[Date Assigned if different from entry date]]&lt;&gt;"",CommitmentsTable[[#This Row],[Date Assigned if different from entry date]]+30,IF(CommitmentsTable[[#This Row],[Date record entered]]&lt;&gt;"",CommitmentsTable[[#This Row],[Date record entered]]+30,""))</f>
        <v/>
      </c>
      <c r="K665" s="245"/>
      <c r="L665" s="245" t="str">
        <f ca="1">IF(CommitmentsTable[[#This Row],[Date Assigned if different from entry date]]&lt;&gt;"",CommitmentsTable[[#This Row],[Date Assigned if different from entry date]]+60,IF(CommitmentsTable[[#This Row],[Date record entered]]&lt;&gt;"",CommitmentsTable[[#This Row],[Date record entered]]+60,""))</f>
        <v/>
      </c>
      <c r="M665" s="214"/>
      <c r="N665" s="214"/>
      <c r="O665" s="236"/>
      <c r="P665" s="214"/>
      <c r="Q665" s="214"/>
      <c r="R665" s="214"/>
      <c r="S665" s="238" t="str">
        <f>IF(CommitmentsTable[[#This Row],[Commitment / deliverable]]="","",IF(CommitmentsTable[[#This Row],[Revised due]]&lt;&gt;"",CommitmentsTable[[#This Row],[Revised due]],CommitmentsTable[[#This Row],[Original due]]))</f>
        <v/>
      </c>
      <c r="T665" s="237" t="str">
        <f>IF(OR(CommitmentsTable[[#This Row],[Commitment / deliverable]]="",CommitmentsTable[[#This Row],[Owner]]=""),"",IF(CommitmentsTable[[#This Row],[Status2]]="","Open",CommitmentsTable[[#This Row],[Status2]]))</f>
        <v/>
      </c>
      <c r="U665" s="237" t="str">
        <f t="shared" ca="1" si="10"/>
        <v/>
      </c>
      <c r="V665" s="233"/>
      <c r="W665" s="63" t="s">
        <v>1567</v>
      </c>
    </row>
    <row r="666" spans="1:23" ht="26">
      <c r="A666" s="213" t="str">
        <f>IF(OR(CommitmentsTable[[#This Row],[Commitment / deliverable]]="",CommitmentsTable[[#This Row],[Immutable Key]]=""),"",SUBSTITUTE(CommitmentsTable[[#This Row],[Immutable Key]],"-K-","-"))</f>
        <v/>
      </c>
      <c r="B666" s="233"/>
      <c r="C666" s="233"/>
      <c r="D666" s="213"/>
      <c r="E666" s="230"/>
      <c r="F666" s="213"/>
      <c r="G666" s="245" t="str">
        <f ca="1">IF(CommitmentsTable[[#This Row],[Commitment / deliverable]]="","",IF(CommitmentsTable[[#This Row],[Date record entered]]="",TODAY(),CommitmentsTable[[#This Row],[Date record entered]]))</f>
        <v/>
      </c>
      <c r="H666" s="245"/>
      <c r="I666" s="245" t="str">
        <f ca="1">IF(CommitmentsTable[[#This Row],[Date Assigned if different from entry date]]&lt;&gt;"",CommitmentsTable[[#This Row],[Date Assigned if different from entry date]]+90,IF(CommitmentsTable[[#This Row],[Date record entered]]&lt;&gt;"",CommitmentsTable[[#This Row],[Date record entered]]+90,""))</f>
        <v/>
      </c>
      <c r="J666" s="245" t="str">
        <f ca="1">IF(CommitmentsTable[[#This Row],[Date Assigned if different from entry date]]&lt;&gt;"",CommitmentsTable[[#This Row],[Date Assigned if different from entry date]]+30,IF(CommitmentsTable[[#This Row],[Date record entered]]&lt;&gt;"",CommitmentsTable[[#This Row],[Date record entered]]+30,""))</f>
        <v/>
      </c>
      <c r="K666" s="245"/>
      <c r="L666" s="245" t="str">
        <f ca="1">IF(CommitmentsTable[[#This Row],[Date Assigned if different from entry date]]&lt;&gt;"",CommitmentsTable[[#This Row],[Date Assigned if different from entry date]]+60,IF(CommitmentsTable[[#This Row],[Date record entered]]&lt;&gt;"",CommitmentsTable[[#This Row],[Date record entered]]+60,""))</f>
        <v/>
      </c>
      <c r="M666" s="214"/>
      <c r="N666" s="214"/>
      <c r="O666" s="236"/>
      <c r="P666" s="214"/>
      <c r="Q666" s="214"/>
      <c r="R666" s="214"/>
      <c r="S666" s="238" t="str">
        <f>IF(CommitmentsTable[[#This Row],[Commitment / deliverable]]="","",IF(CommitmentsTable[[#This Row],[Revised due]]&lt;&gt;"",CommitmentsTable[[#This Row],[Revised due]],CommitmentsTable[[#This Row],[Original due]]))</f>
        <v/>
      </c>
      <c r="T666" s="237" t="str">
        <f>IF(OR(CommitmentsTable[[#This Row],[Commitment / deliverable]]="",CommitmentsTable[[#This Row],[Owner]]=""),"",IF(CommitmentsTable[[#This Row],[Status2]]="","Open",CommitmentsTable[[#This Row],[Status2]]))</f>
        <v/>
      </c>
      <c r="U666" s="237" t="str">
        <f t="shared" ca="1" si="10"/>
        <v/>
      </c>
      <c r="V666" s="233"/>
      <c r="W666" s="63" t="s">
        <v>1568</v>
      </c>
    </row>
    <row r="667" spans="1:23" ht="26">
      <c r="A667" s="213" t="str">
        <f>IF(OR(CommitmentsTable[[#This Row],[Commitment / deliverable]]="",CommitmentsTable[[#This Row],[Immutable Key]]=""),"",SUBSTITUTE(CommitmentsTable[[#This Row],[Immutable Key]],"-K-","-"))</f>
        <v/>
      </c>
      <c r="B667" s="233"/>
      <c r="C667" s="233"/>
      <c r="D667" s="213"/>
      <c r="E667" s="230"/>
      <c r="F667" s="213"/>
      <c r="G667" s="245" t="str">
        <f ca="1">IF(CommitmentsTable[[#This Row],[Commitment / deliverable]]="","",IF(CommitmentsTable[[#This Row],[Date record entered]]="",TODAY(),CommitmentsTable[[#This Row],[Date record entered]]))</f>
        <v/>
      </c>
      <c r="H667" s="245"/>
      <c r="I667" s="245" t="str">
        <f ca="1">IF(CommitmentsTable[[#This Row],[Date Assigned if different from entry date]]&lt;&gt;"",CommitmentsTable[[#This Row],[Date Assigned if different from entry date]]+90,IF(CommitmentsTable[[#This Row],[Date record entered]]&lt;&gt;"",CommitmentsTable[[#This Row],[Date record entered]]+90,""))</f>
        <v/>
      </c>
      <c r="J667" s="245" t="str">
        <f ca="1">IF(CommitmentsTable[[#This Row],[Date Assigned if different from entry date]]&lt;&gt;"",CommitmentsTable[[#This Row],[Date Assigned if different from entry date]]+30,IF(CommitmentsTable[[#This Row],[Date record entered]]&lt;&gt;"",CommitmentsTable[[#This Row],[Date record entered]]+30,""))</f>
        <v/>
      </c>
      <c r="K667" s="245"/>
      <c r="L667" s="245" t="str">
        <f ca="1">IF(CommitmentsTable[[#This Row],[Date Assigned if different from entry date]]&lt;&gt;"",CommitmentsTable[[#This Row],[Date Assigned if different from entry date]]+60,IF(CommitmentsTable[[#This Row],[Date record entered]]&lt;&gt;"",CommitmentsTable[[#This Row],[Date record entered]]+60,""))</f>
        <v/>
      </c>
      <c r="M667" s="214"/>
      <c r="N667" s="214"/>
      <c r="O667" s="236"/>
      <c r="P667" s="214"/>
      <c r="Q667" s="214"/>
      <c r="R667" s="214"/>
      <c r="S667" s="238" t="str">
        <f>IF(CommitmentsTable[[#This Row],[Commitment / deliverable]]="","",IF(CommitmentsTable[[#This Row],[Revised due]]&lt;&gt;"",CommitmentsTable[[#This Row],[Revised due]],CommitmentsTable[[#This Row],[Original due]]))</f>
        <v/>
      </c>
      <c r="T667" s="237" t="str">
        <f>IF(OR(CommitmentsTable[[#This Row],[Commitment / deliverable]]="",CommitmentsTable[[#This Row],[Owner]]=""),"",IF(CommitmentsTable[[#This Row],[Status2]]="","Open",CommitmentsTable[[#This Row],[Status2]]))</f>
        <v/>
      </c>
      <c r="U667" s="237" t="str">
        <f t="shared" ca="1" si="10"/>
        <v/>
      </c>
      <c r="V667" s="233"/>
      <c r="W667" s="63" t="s">
        <v>1569</v>
      </c>
    </row>
    <row r="668" spans="1:23" ht="26">
      <c r="A668" s="213" t="str">
        <f>IF(OR(CommitmentsTable[[#This Row],[Commitment / deliverable]]="",CommitmentsTable[[#This Row],[Immutable Key]]=""),"",SUBSTITUTE(CommitmentsTable[[#This Row],[Immutable Key]],"-K-","-"))</f>
        <v/>
      </c>
      <c r="B668" s="233"/>
      <c r="C668" s="233"/>
      <c r="D668" s="213"/>
      <c r="E668" s="230"/>
      <c r="F668" s="213"/>
      <c r="G668" s="245" t="str">
        <f ca="1">IF(CommitmentsTable[[#This Row],[Commitment / deliverable]]="","",IF(CommitmentsTable[[#This Row],[Date record entered]]="",TODAY(),CommitmentsTable[[#This Row],[Date record entered]]))</f>
        <v/>
      </c>
      <c r="H668" s="245"/>
      <c r="I668" s="245" t="str">
        <f ca="1">IF(CommitmentsTable[[#This Row],[Date Assigned if different from entry date]]&lt;&gt;"",CommitmentsTable[[#This Row],[Date Assigned if different from entry date]]+90,IF(CommitmentsTable[[#This Row],[Date record entered]]&lt;&gt;"",CommitmentsTable[[#This Row],[Date record entered]]+90,""))</f>
        <v/>
      </c>
      <c r="J668" s="245" t="str">
        <f ca="1">IF(CommitmentsTable[[#This Row],[Date Assigned if different from entry date]]&lt;&gt;"",CommitmentsTable[[#This Row],[Date Assigned if different from entry date]]+30,IF(CommitmentsTable[[#This Row],[Date record entered]]&lt;&gt;"",CommitmentsTable[[#This Row],[Date record entered]]+30,""))</f>
        <v/>
      </c>
      <c r="K668" s="245"/>
      <c r="L668" s="245" t="str">
        <f ca="1">IF(CommitmentsTable[[#This Row],[Date Assigned if different from entry date]]&lt;&gt;"",CommitmentsTable[[#This Row],[Date Assigned if different from entry date]]+60,IF(CommitmentsTable[[#This Row],[Date record entered]]&lt;&gt;"",CommitmentsTable[[#This Row],[Date record entered]]+60,""))</f>
        <v/>
      </c>
      <c r="M668" s="214"/>
      <c r="N668" s="214"/>
      <c r="O668" s="236"/>
      <c r="P668" s="214"/>
      <c r="Q668" s="214"/>
      <c r="R668" s="214"/>
      <c r="S668" s="238" t="str">
        <f>IF(CommitmentsTable[[#This Row],[Commitment / deliverable]]="","",IF(CommitmentsTable[[#This Row],[Revised due]]&lt;&gt;"",CommitmentsTable[[#This Row],[Revised due]],CommitmentsTable[[#This Row],[Original due]]))</f>
        <v/>
      </c>
      <c r="T668" s="237" t="str">
        <f>IF(OR(CommitmentsTable[[#This Row],[Commitment / deliverable]]="",CommitmentsTable[[#This Row],[Owner]]=""),"",IF(CommitmentsTable[[#This Row],[Status2]]="","Open",CommitmentsTable[[#This Row],[Status2]]))</f>
        <v/>
      </c>
      <c r="U668" s="237" t="str">
        <f t="shared" ca="1" si="10"/>
        <v/>
      </c>
      <c r="V668" s="233"/>
      <c r="W668" s="63" t="s">
        <v>1570</v>
      </c>
    </row>
    <row r="669" spans="1:23" ht="26">
      <c r="A669" s="213" t="str">
        <f>IF(OR(CommitmentsTable[[#This Row],[Commitment / deliverable]]="",CommitmentsTable[[#This Row],[Immutable Key]]=""),"",SUBSTITUTE(CommitmentsTable[[#This Row],[Immutable Key]],"-K-","-"))</f>
        <v/>
      </c>
      <c r="B669" s="233"/>
      <c r="C669" s="233"/>
      <c r="D669" s="213"/>
      <c r="E669" s="230"/>
      <c r="F669" s="213"/>
      <c r="G669" s="245" t="str">
        <f ca="1">IF(CommitmentsTable[[#This Row],[Commitment / deliverable]]="","",IF(CommitmentsTable[[#This Row],[Date record entered]]="",TODAY(),CommitmentsTable[[#This Row],[Date record entered]]))</f>
        <v/>
      </c>
      <c r="H669" s="245"/>
      <c r="I669" s="245" t="str">
        <f ca="1">IF(CommitmentsTable[[#This Row],[Date Assigned if different from entry date]]&lt;&gt;"",CommitmentsTable[[#This Row],[Date Assigned if different from entry date]]+90,IF(CommitmentsTable[[#This Row],[Date record entered]]&lt;&gt;"",CommitmentsTable[[#This Row],[Date record entered]]+90,""))</f>
        <v/>
      </c>
      <c r="J669" s="245" t="str">
        <f ca="1">IF(CommitmentsTable[[#This Row],[Date Assigned if different from entry date]]&lt;&gt;"",CommitmentsTable[[#This Row],[Date Assigned if different from entry date]]+30,IF(CommitmentsTable[[#This Row],[Date record entered]]&lt;&gt;"",CommitmentsTable[[#This Row],[Date record entered]]+30,""))</f>
        <v/>
      </c>
      <c r="K669" s="245"/>
      <c r="L669" s="245" t="str">
        <f ca="1">IF(CommitmentsTable[[#This Row],[Date Assigned if different from entry date]]&lt;&gt;"",CommitmentsTable[[#This Row],[Date Assigned if different from entry date]]+60,IF(CommitmentsTable[[#This Row],[Date record entered]]&lt;&gt;"",CommitmentsTable[[#This Row],[Date record entered]]+60,""))</f>
        <v/>
      </c>
      <c r="M669" s="214"/>
      <c r="N669" s="214"/>
      <c r="O669" s="236"/>
      <c r="P669" s="214"/>
      <c r="Q669" s="214"/>
      <c r="R669" s="214"/>
      <c r="S669" s="238" t="str">
        <f>IF(CommitmentsTable[[#This Row],[Commitment / deliverable]]="","",IF(CommitmentsTable[[#This Row],[Revised due]]&lt;&gt;"",CommitmentsTable[[#This Row],[Revised due]],CommitmentsTable[[#This Row],[Original due]]))</f>
        <v/>
      </c>
      <c r="T669" s="237" t="str">
        <f>IF(OR(CommitmentsTable[[#This Row],[Commitment / deliverable]]="",CommitmentsTable[[#This Row],[Owner]]=""),"",IF(CommitmentsTable[[#This Row],[Status2]]="","Open",CommitmentsTable[[#This Row],[Status2]]))</f>
        <v/>
      </c>
      <c r="U669" s="237" t="str">
        <f t="shared" ca="1" si="10"/>
        <v/>
      </c>
      <c r="V669" s="233"/>
      <c r="W669" s="63" t="s">
        <v>1571</v>
      </c>
    </row>
    <row r="670" spans="1:23" ht="26">
      <c r="A670" s="213" t="str">
        <f>IF(OR(CommitmentsTable[[#This Row],[Commitment / deliverable]]="",CommitmentsTable[[#This Row],[Immutable Key]]=""),"",SUBSTITUTE(CommitmentsTable[[#This Row],[Immutable Key]],"-K-","-"))</f>
        <v/>
      </c>
      <c r="B670" s="233"/>
      <c r="C670" s="233"/>
      <c r="D670" s="213"/>
      <c r="E670" s="230"/>
      <c r="F670" s="213"/>
      <c r="G670" s="245" t="str">
        <f ca="1">IF(CommitmentsTable[[#This Row],[Commitment / deliverable]]="","",IF(CommitmentsTable[[#This Row],[Date record entered]]="",TODAY(),CommitmentsTable[[#This Row],[Date record entered]]))</f>
        <v/>
      </c>
      <c r="H670" s="245"/>
      <c r="I670" s="245" t="str">
        <f ca="1">IF(CommitmentsTable[[#This Row],[Date Assigned if different from entry date]]&lt;&gt;"",CommitmentsTable[[#This Row],[Date Assigned if different from entry date]]+90,IF(CommitmentsTable[[#This Row],[Date record entered]]&lt;&gt;"",CommitmentsTable[[#This Row],[Date record entered]]+90,""))</f>
        <v/>
      </c>
      <c r="J670" s="245" t="str">
        <f ca="1">IF(CommitmentsTable[[#This Row],[Date Assigned if different from entry date]]&lt;&gt;"",CommitmentsTable[[#This Row],[Date Assigned if different from entry date]]+30,IF(CommitmentsTable[[#This Row],[Date record entered]]&lt;&gt;"",CommitmentsTable[[#This Row],[Date record entered]]+30,""))</f>
        <v/>
      </c>
      <c r="K670" s="245"/>
      <c r="L670" s="245" t="str">
        <f ca="1">IF(CommitmentsTable[[#This Row],[Date Assigned if different from entry date]]&lt;&gt;"",CommitmentsTable[[#This Row],[Date Assigned if different from entry date]]+60,IF(CommitmentsTable[[#This Row],[Date record entered]]&lt;&gt;"",CommitmentsTable[[#This Row],[Date record entered]]+60,""))</f>
        <v/>
      </c>
      <c r="M670" s="214"/>
      <c r="N670" s="214"/>
      <c r="O670" s="236"/>
      <c r="P670" s="214"/>
      <c r="Q670" s="214"/>
      <c r="R670" s="214"/>
      <c r="S670" s="238" t="str">
        <f>IF(CommitmentsTable[[#This Row],[Commitment / deliverable]]="","",IF(CommitmentsTable[[#This Row],[Revised due]]&lt;&gt;"",CommitmentsTable[[#This Row],[Revised due]],CommitmentsTable[[#This Row],[Original due]]))</f>
        <v/>
      </c>
      <c r="T670" s="237" t="str">
        <f>IF(OR(CommitmentsTable[[#This Row],[Commitment / deliverable]]="",CommitmentsTable[[#This Row],[Owner]]=""),"",IF(CommitmentsTable[[#This Row],[Status2]]="","Open",CommitmentsTable[[#This Row],[Status2]]))</f>
        <v/>
      </c>
      <c r="U670" s="237" t="str">
        <f t="shared" ca="1" si="10"/>
        <v/>
      </c>
      <c r="V670" s="233"/>
      <c r="W670" s="63" t="s">
        <v>1572</v>
      </c>
    </row>
    <row r="671" spans="1:23" ht="26">
      <c r="A671" s="213" t="str">
        <f>IF(OR(CommitmentsTable[[#This Row],[Commitment / deliverable]]="",CommitmentsTable[[#This Row],[Immutable Key]]=""),"",SUBSTITUTE(CommitmentsTable[[#This Row],[Immutable Key]],"-K-","-"))</f>
        <v/>
      </c>
      <c r="B671" s="233"/>
      <c r="C671" s="233"/>
      <c r="D671" s="213"/>
      <c r="E671" s="230"/>
      <c r="F671" s="213"/>
      <c r="G671" s="245" t="str">
        <f ca="1">IF(CommitmentsTable[[#This Row],[Commitment / deliverable]]="","",IF(CommitmentsTable[[#This Row],[Date record entered]]="",TODAY(),CommitmentsTable[[#This Row],[Date record entered]]))</f>
        <v/>
      </c>
      <c r="H671" s="245"/>
      <c r="I671" s="245" t="str">
        <f ca="1">IF(CommitmentsTable[[#This Row],[Date Assigned if different from entry date]]&lt;&gt;"",CommitmentsTable[[#This Row],[Date Assigned if different from entry date]]+90,IF(CommitmentsTable[[#This Row],[Date record entered]]&lt;&gt;"",CommitmentsTable[[#This Row],[Date record entered]]+90,""))</f>
        <v/>
      </c>
      <c r="J671" s="245" t="str">
        <f ca="1">IF(CommitmentsTable[[#This Row],[Date Assigned if different from entry date]]&lt;&gt;"",CommitmentsTable[[#This Row],[Date Assigned if different from entry date]]+30,IF(CommitmentsTable[[#This Row],[Date record entered]]&lt;&gt;"",CommitmentsTable[[#This Row],[Date record entered]]+30,""))</f>
        <v/>
      </c>
      <c r="K671" s="245"/>
      <c r="L671" s="245" t="str">
        <f ca="1">IF(CommitmentsTable[[#This Row],[Date Assigned if different from entry date]]&lt;&gt;"",CommitmentsTable[[#This Row],[Date Assigned if different from entry date]]+60,IF(CommitmentsTable[[#This Row],[Date record entered]]&lt;&gt;"",CommitmentsTable[[#This Row],[Date record entered]]+60,""))</f>
        <v/>
      </c>
      <c r="M671" s="214"/>
      <c r="N671" s="214"/>
      <c r="O671" s="236"/>
      <c r="P671" s="214"/>
      <c r="Q671" s="214"/>
      <c r="R671" s="214"/>
      <c r="S671" s="238" t="str">
        <f>IF(CommitmentsTable[[#This Row],[Commitment / deliverable]]="","",IF(CommitmentsTable[[#This Row],[Revised due]]&lt;&gt;"",CommitmentsTable[[#This Row],[Revised due]],CommitmentsTable[[#This Row],[Original due]]))</f>
        <v/>
      </c>
      <c r="T671" s="237" t="str">
        <f>IF(OR(CommitmentsTable[[#This Row],[Commitment / deliverable]]="",CommitmentsTable[[#This Row],[Owner]]=""),"",IF(CommitmentsTable[[#This Row],[Status2]]="","Open",CommitmentsTable[[#This Row],[Status2]]))</f>
        <v/>
      </c>
      <c r="U671" s="237" t="str">
        <f t="shared" ca="1" si="10"/>
        <v/>
      </c>
      <c r="V671" s="233"/>
      <c r="W671" s="63" t="s">
        <v>1573</v>
      </c>
    </row>
    <row r="672" spans="1:23" ht="26">
      <c r="A672" s="213" t="str">
        <f>IF(OR(CommitmentsTable[[#This Row],[Commitment / deliverable]]="",CommitmentsTable[[#This Row],[Immutable Key]]=""),"",SUBSTITUTE(CommitmentsTable[[#This Row],[Immutable Key]],"-K-","-"))</f>
        <v/>
      </c>
      <c r="B672" s="233"/>
      <c r="C672" s="233"/>
      <c r="D672" s="213"/>
      <c r="E672" s="230"/>
      <c r="F672" s="213"/>
      <c r="G672" s="245" t="str">
        <f ca="1">IF(CommitmentsTable[[#This Row],[Commitment / deliverable]]="","",IF(CommitmentsTable[[#This Row],[Date record entered]]="",TODAY(),CommitmentsTable[[#This Row],[Date record entered]]))</f>
        <v/>
      </c>
      <c r="H672" s="245"/>
      <c r="I672" s="245" t="str">
        <f ca="1">IF(CommitmentsTable[[#This Row],[Date Assigned if different from entry date]]&lt;&gt;"",CommitmentsTable[[#This Row],[Date Assigned if different from entry date]]+90,IF(CommitmentsTable[[#This Row],[Date record entered]]&lt;&gt;"",CommitmentsTable[[#This Row],[Date record entered]]+90,""))</f>
        <v/>
      </c>
      <c r="J672" s="245" t="str">
        <f ca="1">IF(CommitmentsTable[[#This Row],[Date Assigned if different from entry date]]&lt;&gt;"",CommitmentsTable[[#This Row],[Date Assigned if different from entry date]]+30,IF(CommitmentsTable[[#This Row],[Date record entered]]&lt;&gt;"",CommitmentsTable[[#This Row],[Date record entered]]+30,""))</f>
        <v/>
      </c>
      <c r="K672" s="245"/>
      <c r="L672" s="245" t="str">
        <f ca="1">IF(CommitmentsTable[[#This Row],[Date Assigned if different from entry date]]&lt;&gt;"",CommitmentsTable[[#This Row],[Date Assigned if different from entry date]]+60,IF(CommitmentsTable[[#This Row],[Date record entered]]&lt;&gt;"",CommitmentsTable[[#This Row],[Date record entered]]+60,""))</f>
        <v/>
      </c>
      <c r="M672" s="214"/>
      <c r="N672" s="214"/>
      <c r="O672" s="236"/>
      <c r="P672" s="214"/>
      <c r="Q672" s="214"/>
      <c r="R672" s="214"/>
      <c r="S672" s="238" t="str">
        <f>IF(CommitmentsTable[[#This Row],[Commitment / deliverable]]="","",IF(CommitmentsTable[[#This Row],[Revised due]]&lt;&gt;"",CommitmentsTable[[#This Row],[Revised due]],CommitmentsTable[[#This Row],[Original due]]))</f>
        <v/>
      </c>
      <c r="T672" s="237" t="str">
        <f>IF(OR(CommitmentsTable[[#This Row],[Commitment / deliverable]]="",CommitmentsTable[[#This Row],[Owner]]=""),"",IF(CommitmentsTable[[#This Row],[Status2]]="","Open",CommitmentsTable[[#This Row],[Status2]]))</f>
        <v/>
      </c>
      <c r="U672" s="237" t="str">
        <f t="shared" ca="1" si="10"/>
        <v/>
      </c>
      <c r="V672" s="233"/>
      <c r="W672" s="63" t="s">
        <v>1574</v>
      </c>
    </row>
    <row r="673" spans="1:23" ht="26">
      <c r="A673" s="213" t="str">
        <f>IF(OR(CommitmentsTable[[#This Row],[Commitment / deliverable]]="",CommitmentsTable[[#This Row],[Immutable Key]]=""),"",SUBSTITUTE(CommitmentsTable[[#This Row],[Immutable Key]],"-K-","-"))</f>
        <v/>
      </c>
      <c r="B673" s="233"/>
      <c r="C673" s="233"/>
      <c r="D673" s="213"/>
      <c r="E673" s="230"/>
      <c r="F673" s="213"/>
      <c r="G673" s="245" t="str">
        <f ca="1">IF(CommitmentsTable[[#This Row],[Commitment / deliverable]]="","",IF(CommitmentsTable[[#This Row],[Date record entered]]="",TODAY(),CommitmentsTable[[#This Row],[Date record entered]]))</f>
        <v/>
      </c>
      <c r="H673" s="245"/>
      <c r="I673" s="245" t="str">
        <f ca="1">IF(CommitmentsTable[[#This Row],[Date Assigned if different from entry date]]&lt;&gt;"",CommitmentsTable[[#This Row],[Date Assigned if different from entry date]]+90,IF(CommitmentsTable[[#This Row],[Date record entered]]&lt;&gt;"",CommitmentsTable[[#This Row],[Date record entered]]+90,""))</f>
        <v/>
      </c>
      <c r="J673" s="245" t="str">
        <f ca="1">IF(CommitmentsTable[[#This Row],[Date Assigned if different from entry date]]&lt;&gt;"",CommitmentsTable[[#This Row],[Date Assigned if different from entry date]]+30,IF(CommitmentsTable[[#This Row],[Date record entered]]&lt;&gt;"",CommitmentsTable[[#This Row],[Date record entered]]+30,""))</f>
        <v/>
      </c>
      <c r="K673" s="245"/>
      <c r="L673" s="245" t="str">
        <f ca="1">IF(CommitmentsTable[[#This Row],[Date Assigned if different from entry date]]&lt;&gt;"",CommitmentsTable[[#This Row],[Date Assigned if different from entry date]]+60,IF(CommitmentsTable[[#This Row],[Date record entered]]&lt;&gt;"",CommitmentsTable[[#This Row],[Date record entered]]+60,""))</f>
        <v/>
      </c>
      <c r="M673" s="214"/>
      <c r="N673" s="214"/>
      <c r="O673" s="236"/>
      <c r="P673" s="214"/>
      <c r="Q673" s="214"/>
      <c r="R673" s="214"/>
      <c r="S673" s="238" t="str">
        <f>IF(CommitmentsTable[[#This Row],[Commitment / deliverable]]="","",IF(CommitmentsTable[[#This Row],[Revised due]]&lt;&gt;"",CommitmentsTable[[#This Row],[Revised due]],CommitmentsTable[[#This Row],[Original due]]))</f>
        <v/>
      </c>
      <c r="T673" s="237" t="str">
        <f>IF(OR(CommitmentsTable[[#This Row],[Commitment / deliverable]]="",CommitmentsTable[[#This Row],[Owner]]=""),"",IF(CommitmentsTable[[#This Row],[Status2]]="","Open",CommitmentsTable[[#This Row],[Status2]]))</f>
        <v/>
      </c>
      <c r="U673" s="237" t="str">
        <f t="shared" ca="1" si="10"/>
        <v/>
      </c>
      <c r="V673" s="233"/>
      <c r="W673" s="63" t="s">
        <v>1575</v>
      </c>
    </row>
    <row r="674" spans="1:23" ht="26">
      <c r="A674" s="213" t="str">
        <f>IF(OR(CommitmentsTable[[#This Row],[Commitment / deliverable]]="",CommitmentsTable[[#This Row],[Immutable Key]]=""),"",SUBSTITUTE(CommitmentsTable[[#This Row],[Immutable Key]],"-K-","-"))</f>
        <v/>
      </c>
      <c r="B674" s="233"/>
      <c r="C674" s="233"/>
      <c r="D674" s="213"/>
      <c r="E674" s="230"/>
      <c r="F674" s="213"/>
      <c r="G674" s="245" t="str">
        <f ca="1">IF(CommitmentsTable[[#This Row],[Commitment / deliverable]]="","",IF(CommitmentsTable[[#This Row],[Date record entered]]="",TODAY(),CommitmentsTable[[#This Row],[Date record entered]]))</f>
        <v/>
      </c>
      <c r="H674" s="245"/>
      <c r="I674" s="245" t="str">
        <f ca="1">IF(CommitmentsTable[[#This Row],[Date Assigned if different from entry date]]&lt;&gt;"",CommitmentsTable[[#This Row],[Date Assigned if different from entry date]]+90,IF(CommitmentsTable[[#This Row],[Date record entered]]&lt;&gt;"",CommitmentsTable[[#This Row],[Date record entered]]+90,""))</f>
        <v/>
      </c>
      <c r="J674" s="245" t="str">
        <f ca="1">IF(CommitmentsTable[[#This Row],[Date Assigned if different from entry date]]&lt;&gt;"",CommitmentsTable[[#This Row],[Date Assigned if different from entry date]]+30,IF(CommitmentsTable[[#This Row],[Date record entered]]&lt;&gt;"",CommitmentsTable[[#This Row],[Date record entered]]+30,""))</f>
        <v/>
      </c>
      <c r="K674" s="245"/>
      <c r="L674" s="245" t="str">
        <f ca="1">IF(CommitmentsTable[[#This Row],[Date Assigned if different from entry date]]&lt;&gt;"",CommitmentsTable[[#This Row],[Date Assigned if different from entry date]]+60,IF(CommitmentsTable[[#This Row],[Date record entered]]&lt;&gt;"",CommitmentsTable[[#This Row],[Date record entered]]+60,""))</f>
        <v/>
      </c>
      <c r="M674" s="214"/>
      <c r="N674" s="214"/>
      <c r="O674" s="236"/>
      <c r="P674" s="214"/>
      <c r="Q674" s="214"/>
      <c r="R674" s="214"/>
      <c r="S674" s="238" t="str">
        <f>IF(CommitmentsTable[[#This Row],[Commitment / deliverable]]="","",IF(CommitmentsTable[[#This Row],[Revised due]]&lt;&gt;"",CommitmentsTable[[#This Row],[Revised due]],CommitmentsTable[[#This Row],[Original due]]))</f>
        <v/>
      </c>
      <c r="T674" s="237" t="str">
        <f>IF(OR(CommitmentsTable[[#This Row],[Commitment / deliverable]]="",CommitmentsTable[[#This Row],[Owner]]=""),"",IF(CommitmentsTable[[#This Row],[Status2]]="","Open",CommitmentsTable[[#This Row],[Status2]]))</f>
        <v/>
      </c>
      <c r="U674" s="237" t="str">
        <f t="shared" ca="1" si="10"/>
        <v/>
      </c>
      <c r="V674" s="233"/>
      <c r="W674" s="63" t="s">
        <v>1576</v>
      </c>
    </row>
    <row r="675" spans="1:23" ht="26">
      <c r="A675" s="213" t="str">
        <f>IF(OR(CommitmentsTable[[#This Row],[Commitment / deliverable]]="",CommitmentsTable[[#This Row],[Immutable Key]]=""),"",SUBSTITUTE(CommitmentsTable[[#This Row],[Immutable Key]],"-K-","-"))</f>
        <v/>
      </c>
      <c r="B675" s="233"/>
      <c r="C675" s="233"/>
      <c r="D675" s="213"/>
      <c r="E675" s="230"/>
      <c r="F675" s="213"/>
      <c r="G675" s="245" t="str">
        <f ca="1">IF(CommitmentsTable[[#This Row],[Commitment / deliverable]]="","",IF(CommitmentsTable[[#This Row],[Date record entered]]="",TODAY(),CommitmentsTable[[#This Row],[Date record entered]]))</f>
        <v/>
      </c>
      <c r="H675" s="245"/>
      <c r="I675" s="245" t="str">
        <f ca="1">IF(CommitmentsTable[[#This Row],[Date Assigned if different from entry date]]&lt;&gt;"",CommitmentsTable[[#This Row],[Date Assigned if different from entry date]]+90,IF(CommitmentsTable[[#This Row],[Date record entered]]&lt;&gt;"",CommitmentsTable[[#This Row],[Date record entered]]+90,""))</f>
        <v/>
      </c>
      <c r="J675" s="245" t="str">
        <f ca="1">IF(CommitmentsTable[[#This Row],[Date Assigned if different from entry date]]&lt;&gt;"",CommitmentsTable[[#This Row],[Date Assigned if different from entry date]]+30,IF(CommitmentsTable[[#This Row],[Date record entered]]&lt;&gt;"",CommitmentsTable[[#This Row],[Date record entered]]+30,""))</f>
        <v/>
      </c>
      <c r="K675" s="245"/>
      <c r="L675" s="245" t="str">
        <f ca="1">IF(CommitmentsTable[[#This Row],[Date Assigned if different from entry date]]&lt;&gt;"",CommitmentsTable[[#This Row],[Date Assigned if different from entry date]]+60,IF(CommitmentsTable[[#This Row],[Date record entered]]&lt;&gt;"",CommitmentsTable[[#This Row],[Date record entered]]+60,""))</f>
        <v/>
      </c>
      <c r="M675" s="214"/>
      <c r="N675" s="214"/>
      <c r="O675" s="236"/>
      <c r="P675" s="214"/>
      <c r="Q675" s="214"/>
      <c r="R675" s="214"/>
      <c r="S675" s="238" t="str">
        <f>IF(CommitmentsTable[[#This Row],[Commitment / deliverable]]="","",IF(CommitmentsTable[[#This Row],[Revised due]]&lt;&gt;"",CommitmentsTable[[#This Row],[Revised due]],CommitmentsTable[[#This Row],[Original due]]))</f>
        <v/>
      </c>
      <c r="T675" s="237" t="str">
        <f>IF(OR(CommitmentsTable[[#This Row],[Commitment / deliverable]]="",CommitmentsTable[[#This Row],[Owner]]=""),"",IF(CommitmentsTable[[#This Row],[Status2]]="","Open",CommitmentsTable[[#This Row],[Status2]]))</f>
        <v/>
      </c>
      <c r="U675" s="237" t="str">
        <f t="shared" ca="1" si="10"/>
        <v/>
      </c>
      <c r="V675" s="233"/>
      <c r="W675" s="63" t="s">
        <v>1577</v>
      </c>
    </row>
    <row r="676" spans="1:23" ht="26">
      <c r="A676" s="213" t="str">
        <f>IF(OR(CommitmentsTable[[#This Row],[Commitment / deliverable]]="",CommitmentsTable[[#This Row],[Immutable Key]]=""),"",SUBSTITUTE(CommitmentsTable[[#This Row],[Immutable Key]],"-K-","-"))</f>
        <v/>
      </c>
      <c r="B676" s="233"/>
      <c r="C676" s="233"/>
      <c r="D676" s="213"/>
      <c r="E676" s="230"/>
      <c r="F676" s="213"/>
      <c r="G676" s="245" t="str">
        <f ca="1">IF(CommitmentsTable[[#This Row],[Commitment / deliverable]]="","",IF(CommitmentsTable[[#This Row],[Date record entered]]="",TODAY(),CommitmentsTable[[#This Row],[Date record entered]]))</f>
        <v/>
      </c>
      <c r="H676" s="245"/>
      <c r="I676" s="245" t="str">
        <f ca="1">IF(CommitmentsTable[[#This Row],[Date Assigned if different from entry date]]&lt;&gt;"",CommitmentsTable[[#This Row],[Date Assigned if different from entry date]]+90,IF(CommitmentsTable[[#This Row],[Date record entered]]&lt;&gt;"",CommitmentsTable[[#This Row],[Date record entered]]+90,""))</f>
        <v/>
      </c>
      <c r="J676" s="245" t="str">
        <f ca="1">IF(CommitmentsTable[[#This Row],[Date Assigned if different from entry date]]&lt;&gt;"",CommitmentsTable[[#This Row],[Date Assigned if different from entry date]]+30,IF(CommitmentsTable[[#This Row],[Date record entered]]&lt;&gt;"",CommitmentsTable[[#This Row],[Date record entered]]+30,""))</f>
        <v/>
      </c>
      <c r="K676" s="245"/>
      <c r="L676" s="245" t="str">
        <f ca="1">IF(CommitmentsTable[[#This Row],[Date Assigned if different from entry date]]&lt;&gt;"",CommitmentsTable[[#This Row],[Date Assigned if different from entry date]]+60,IF(CommitmentsTable[[#This Row],[Date record entered]]&lt;&gt;"",CommitmentsTable[[#This Row],[Date record entered]]+60,""))</f>
        <v/>
      </c>
      <c r="M676" s="214"/>
      <c r="N676" s="214"/>
      <c r="O676" s="236"/>
      <c r="P676" s="214"/>
      <c r="Q676" s="214"/>
      <c r="R676" s="214"/>
      <c r="S676" s="238" t="str">
        <f>IF(CommitmentsTable[[#This Row],[Commitment / deliverable]]="","",IF(CommitmentsTable[[#This Row],[Revised due]]&lt;&gt;"",CommitmentsTable[[#This Row],[Revised due]],CommitmentsTable[[#This Row],[Original due]]))</f>
        <v/>
      </c>
      <c r="T676" s="237" t="str">
        <f>IF(OR(CommitmentsTable[[#This Row],[Commitment / deliverable]]="",CommitmentsTable[[#This Row],[Owner]]=""),"",IF(CommitmentsTable[[#This Row],[Status2]]="","Open",CommitmentsTable[[#This Row],[Status2]]))</f>
        <v/>
      </c>
      <c r="U676" s="237" t="str">
        <f t="shared" ca="1" si="10"/>
        <v/>
      </c>
      <c r="V676" s="233"/>
      <c r="W676" s="63" t="s">
        <v>1578</v>
      </c>
    </row>
    <row r="677" spans="1:23" ht="26">
      <c r="A677" s="213" t="str">
        <f>IF(OR(CommitmentsTable[[#This Row],[Commitment / deliverable]]="",CommitmentsTable[[#This Row],[Immutable Key]]=""),"",SUBSTITUTE(CommitmentsTable[[#This Row],[Immutable Key]],"-K-","-"))</f>
        <v/>
      </c>
      <c r="B677" s="233"/>
      <c r="C677" s="233"/>
      <c r="D677" s="213"/>
      <c r="E677" s="230"/>
      <c r="F677" s="213"/>
      <c r="G677" s="245" t="str">
        <f ca="1">IF(CommitmentsTable[[#This Row],[Commitment / deliverable]]="","",IF(CommitmentsTable[[#This Row],[Date record entered]]="",TODAY(),CommitmentsTable[[#This Row],[Date record entered]]))</f>
        <v/>
      </c>
      <c r="H677" s="245"/>
      <c r="I677" s="245" t="str">
        <f ca="1">IF(CommitmentsTable[[#This Row],[Date Assigned if different from entry date]]&lt;&gt;"",CommitmentsTable[[#This Row],[Date Assigned if different from entry date]]+90,IF(CommitmentsTable[[#This Row],[Date record entered]]&lt;&gt;"",CommitmentsTable[[#This Row],[Date record entered]]+90,""))</f>
        <v/>
      </c>
      <c r="J677" s="245" t="str">
        <f ca="1">IF(CommitmentsTable[[#This Row],[Date Assigned if different from entry date]]&lt;&gt;"",CommitmentsTable[[#This Row],[Date Assigned if different from entry date]]+30,IF(CommitmentsTable[[#This Row],[Date record entered]]&lt;&gt;"",CommitmentsTable[[#This Row],[Date record entered]]+30,""))</f>
        <v/>
      </c>
      <c r="K677" s="245"/>
      <c r="L677" s="245" t="str">
        <f ca="1">IF(CommitmentsTable[[#This Row],[Date Assigned if different from entry date]]&lt;&gt;"",CommitmentsTable[[#This Row],[Date Assigned if different from entry date]]+60,IF(CommitmentsTable[[#This Row],[Date record entered]]&lt;&gt;"",CommitmentsTable[[#This Row],[Date record entered]]+60,""))</f>
        <v/>
      </c>
      <c r="M677" s="214"/>
      <c r="N677" s="214"/>
      <c r="O677" s="236"/>
      <c r="P677" s="214"/>
      <c r="Q677" s="214"/>
      <c r="R677" s="214"/>
      <c r="S677" s="238" t="str">
        <f>IF(CommitmentsTable[[#This Row],[Commitment / deliverable]]="","",IF(CommitmentsTable[[#This Row],[Revised due]]&lt;&gt;"",CommitmentsTable[[#This Row],[Revised due]],CommitmentsTable[[#This Row],[Original due]]))</f>
        <v/>
      </c>
      <c r="T677" s="237" t="str">
        <f>IF(OR(CommitmentsTable[[#This Row],[Commitment / deliverable]]="",CommitmentsTable[[#This Row],[Owner]]=""),"",IF(CommitmentsTable[[#This Row],[Status2]]="","Open",CommitmentsTable[[#This Row],[Status2]]))</f>
        <v/>
      </c>
      <c r="U677" s="237" t="str">
        <f t="shared" ca="1" si="10"/>
        <v/>
      </c>
      <c r="V677" s="233"/>
      <c r="W677" s="63" t="s">
        <v>1579</v>
      </c>
    </row>
    <row r="678" spans="1:23" ht="26">
      <c r="A678" s="213" t="str">
        <f>IF(OR(CommitmentsTable[[#This Row],[Commitment / deliverable]]="",CommitmentsTable[[#This Row],[Immutable Key]]=""),"",SUBSTITUTE(CommitmentsTable[[#This Row],[Immutable Key]],"-K-","-"))</f>
        <v/>
      </c>
      <c r="B678" s="233"/>
      <c r="C678" s="233"/>
      <c r="D678" s="213"/>
      <c r="E678" s="230"/>
      <c r="F678" s="213"/>
      <c r="G678" s="245" t="str">
        <f ca="1">IF(CommitmentsTable[[#This Row],[Commitment / deliverable]]="","",IF(CommitmentsTable[[#This Row],[Date record entered]]="",TODAY(),CommitmentsTable[[#This Row],[Date record entered]]))</f>
        <v/>
      </c>
      <c r="H678" s="245"/>
      <c r="I678" s="245" t="str">
        <f ca="1">IF(CommitmentsTable[[#This Row],[Date Assigned if different from entry date]]&lt;&gt;"",CommitmentsTable[[#This Row],[Date Assigned if different from entry date]]+90,IF(CommitmentsTable[[#This Row],[Date record entered]]&lt;&gt;"",CommitmentsTable[[#This Row],[Date record entered]]+90,""))</f>
        <v/>
      </c>
      <c r="J678" s="245" t="str">
        <f ca="1">IF(CommitmentsTable[[#This Row],[Date Assigned if different from entry date]]&lt;&gt;"",CommitmentsTable[[#This Row],[Date Assigned if different from entry date]]+30,IF(CommitmentsTable[[#This Row],[Date record entered]]&lt;&gt;"",CommitmentsTable[[#This Row],[Date record entered]]+30,""))</f>
        <v/>
      </c>
      <c r="K678" s="245"/>
      <c r="L678" s="245" t="str">
        <f ca="1">IF(CommitmentsTable[[#This Row],[Date Assigned if different from entry date]]&lt;&gt;"",CommitmentsTable[[#This Row],[Date Assigned if different from entry date]]+60,IF(CommitmentsTable[[#This Row],[Date record entered]]&lt;&gt;"",CommitmentsTable[[#This Row],[Date record entered]]+60,""))</f>
        <v/>
      </c>
      <c r="M678" s="214"/>
      <c r="N678" s="214"/>
      <c r="O678" s="236"/>
      <c r="P678" s="214"/>
      <c r="Q678" s="214"/>
      <c r="R678" s="214"/>
      <c r="S678" s="238" t="str">
        <f>IF(CommitmentsTable[[#This Row],[Commitment / deliverable]]="","",IF(CommitmentsTable[[#This Row],[Revised due]]&lt;&gt;"",CommitmentsTable[[#This Row],[Revised due]],CommitmentsTable[[#This Row],[Original due]]))</f>
        <v/>
      </c>
      <c r="T678" s="237" t="str">
        <f>IF(OR(CommitmentsTable[[#This Row],[Commitment / deliverable]]="",CommitmentsTable[[#This Row],[Owner]]=""),"",IF(CommitmentsTable[[#This Row],[Status2]]="","Open",CommitmentsTable[[#This Row],[Status2]]))</f>
        <v/>
      </c>
      <c r="U678" s="237" t="str">
        <f t="shared" ca="1" si="10"/>
        <v/>
      </c>
      <c r="V678" s="233"/>
      <c r="W678" s="63" t="s">
        <v>1580</v>
      </c>
    </row>
    <row r="679" spans="1:23" ht="26">
      <c r="A679" s="213" t="str">
        <f>IF(OR(CommitmentsTable[[#This Row],[Commitment / deliverable]]="",CommitmentsTable[[#This Row],[Immutable Key]]=""),"",SUBSTITUTE(CommitmentsTable[[#This Row],[Immutable Key]],"-K-","-"))</f>
        <v/>
      </c>
      <c r="B679" s="233"/>
      <c r="C679" s="233"/>
      <c r="D679" s="213"/>
      <c r="E679" s="230"/>
      <c r="F679" s="213"/>
      <c r="G679" s="245" t="str">
        <f ca="1">IF(CommitmentsTable[[#This Row],[Commitment / deliverable]]="","",IF(CommitmentsTable[[#This Row],[Date record entered]]="",TODAY(),CommitmentsTable[[#This Row],[Date record entered]]))</f>
        <v/>
      </c>
      <c r="H679" s="245"/>
      <c r="I679" s="245" t="str">
        <f ca="1">IF(CommitmentsTable[[#This Row],[Date Assigned if different from entry date]]&lt;&gt;"",CommitmentsTable[[#This Row],[Date Assigned if different from entry date]]+90,IF(CommitmentsTable[[#This Row],[Date record entered]]&lt;&gt;"",CommitmentsTable[[#This Row],[Date record entered]]+90,""))</f>
        <v/>
      </c>
      <c r="J679" s="245" t="str">
        <f ca="1">IF(CommitmentsTable[[#This Row],[Date Assigned if different from entry date]]&lt;&gt;"",CommitmentsTable[[#This Row],[Date Assigned if different from entry date]]+30,IF(CommitmentsTable[[#This Row],[Date record entered]]&lt;&gt;"",CommitmentsTable[[#This Row],[Date record entered]]+30,""))</f>
        <v/>
      </c>
      <c r="K679" s="245"/>
      <c r="L679" s="245" t="str">
        <f ca="1">IF(CommitmentsTable[[#This Row],[Date Assigned if different from entry date]]&lt;&gt;"",CommitmentsTable[[#This Row],[Date Assigned if different from entry date]]+60,IF(CommitmentsTable[[#This Row],[Date record entered]]&lt;&gt;"",CommitmentsTable[[#This Row],[Date record entered]]+60,""))</f>
        <v/>
      </c>
      <c r="M679" s="214"/>
      <c r="N679" s="214"/>
      <c r="O679" s="236"/>
      <c r="P679" s="214"/>
      <c r="Q679" s="214"/>
      <c r="R679" s="214"/>
      <c r="S679" s="238" t="str">
        <f>IF(CommitmentsTable[[#This Row],[Commitment / deliverable]]="","",IF(CommitmentsTable[[#This Row],[Revised due]]&lt;&gt;"",CommitmentsTable[[#This Row],[Revised due]],CommitmentsTable[[#This Row],[Original due]]))</f>
        <v/>
      </c>
      <c r="T679" s="237" t="str">
        <f>IF(OR(CommitmentsTable[[#This Row],[Commitment / deliverable]]="",CommitmentsTable[[#This Row],[Owner]]=""),"",IF(CommitmentsTable[[#This Row],[Status2]]="","Open",CommitmentsTable[[#This Row],[Status2]]))</f>
        <v/>
      </c>
      <c r="U679" s="237" t="str">
        <f t="shared" ca="1" si="10"/>
        <v/>
      </c>
      <c r="V679" s="233"/>
      <c r="W679" s="63" t="s">
        <v>1581</v>
      </c>
    </row>
    <row r="680" spans="1:23" ht="26">
      <c r="A680" s="213" t="str">
        <f>IF(OR(CommitmentsTable[[#This Row],[Commitment / deliverable]]="",CommitmentsTable[[#This Row],[Immutable Key]]=""),"",SUBSTITUTE(CommitmentsTable[[#This Row],[Immutable Key]],"-K-","-"))</f>
        <v/>
      </c>
      <c r="B680" s="233"/>
      <c r="C680" s="233"/>
      <c r="D680" s="213"/>
      <c r="E680" s="230"/>
      <c r="F680" s="213"/>
      <c r="G680" s="245" t="str">
        <f ca="1">IF(CommitmentsTable[[#This Row],[Commitment / deliverable]]="","",IF(CommitmentsTable[[#This Row],[Date record entered]]="",TODAY(),CommitmentsTable[[#This Row],[Date record entered]]))</f>
        <v/>
      </c>
      <c r="H680" s="245"/>
      <c r="I680" s="245" t="str">
        <f ca="1">IF(CommitmentsTable[[#This Row],[Date Assigned if different from entry date]]&lt;&gt;"",CommitmentsTable[[#This Row],[Date Assigned if different from entry date]]+90,IF(CommitmentsTable[[#This Row],[Date record entered]]&lt;&gt;"",CommitmentsTable[[#This Row],[Date record entered]]+90,""))</f>
        <v/>
      </c>
      <c r="J680" s="245" t="str">
        <f ca="1">IF(CommitmentsTable[[#This Row],[Date Assigned if different from entry date]]&lt;&gt;"",CommitmentsTable[[#This Row],[Date Assigned if different from entry date]]+30,IF(CommitmentsTable[[#This Row],[Date record entered]]&lt;&gt;"",CommitmentsTable[[#This Row],[Date record entered]]+30,""))</f>
        <v/>
      </c>
      <c r="K680" s="245"/>
      <c r="L680" s="245" t="str">
        <f ca="1">IF(CommitmentsTable[[#This Row],[Date Assigned if different from entry date]]&lt;&gt;"",CommitmentsTable[[#This Row],[Date Assigned if different from entry date]]+60,IF(CommitmentsTable[[#This Row],[Date record entered]]&lt;&gt;"",CommitmentsTable[[#This Row],[Date record entered]]+60,""))</f>
        <v/>
      </c>
      <c r="M680" s="214"/>
      <c r="N680" s="214"/>
      <c r="O680" s="236"/>
      <c r="P680" s="214"/>
      <c r="Q680" s="214"/>
      <c r="R680" s="214"/>
      <c r="S680" s="238" t="str">
        <f>IF(CommitmentsTable[[#This Row],[Commitment / deliverable]]="","",IF(CommitmentsTable[[#This Row],[Revised due]]&lt;&gt;"",CommitmentsTable[[#This Row],[Revised due]],CommitmentsTable[[#This Row],[Original due]]))</f>
        <v/>
      </c>
      <c r="T680" s="237" t="str">
        <f>IF(OR(CommitmentsTable[[#This Row],[Commitment / deliverable]]="",CommitmentsTable[[#This Row],[Owner]]=""),"",IF(CommitmentsTable[[#This Row],[Status2]]="","Open",CommitmentsTable[[#This Row],[Status2]]))</f>
        <v/>
      </c>
      <c r="U680" s="237" t="str">
        <f t="shared" ca="1" si="10"/>
        <v/>
      </c>
      <c r="V680" s="233"/>
      <c r="W680" s="63" t="s">
        <v>1582</v>
      </c>
    </row>
    <row r="681" spans="1:23" ht="26">
      <c r="A681" s="213" t="str">
        <f>IF(OR(CommitmentsTable[[#This Row],[Commitment / deliverable]]="",CommitmentsTable[[#This Row],[Immutable Key]]=""),"",SUBSTITUTE(CommitmentsTable[[#This Row],[Immutable Key]],"-K-","-"))</f>
        <v/>
      </c>
      <c r="B681" s="233"/>
      <c r="C681" s="233"/>
      <c r="D681" s="213"/>
      <c r="E681" s="230"/>
      <c r="F681" s="213"/>
      <c r="G681" s="245" t="str">
        <f ca="1">IF(CommitmentsTable[[#This Row],[Commitment / deliverable]]="","",IF(CommitmentsTable[[#This Row],[Date record entered]]="",TODAY(),CommitmentsTable[[#This Row],[Date record entered]]))</f>
        <v/>
      </c>
      <c r="H681" s="245"/>
      <c r="I681" s="245" t="str">
        <f ca="1">IF(CommitmentsTable[[#This Row],[Date Assigned if different from entry date]]&lt;&gt;"",CommitmentsTable[[#This Row],[Date Assigned if different from entry date]]+90,IF(CommitmentsTable[[#This Row],[Date record entered]]&lt;&gt;"",CommitmentsTable[[#This Row],[Date record entered]]+90,""))</f>
        <v/>
      </c>
      <c r="J681" s="245" t="str">
        <f ca="1">IF(CommitmentsTable[[#This Row],[Date Assigned if different from entry date]]&lt;&gt;"",CommitmentsTable[[#This Row],[Date Assigned if different from entry date]]+30,IF(CommitmentsTable[[#This Row],[Date record entered]]&lt;&gt;"",CommitmentsTable[[#This Row],[Date record entered]]+30,""))</f>
        <v/>
      </c>
      <c r="K681" s="245"/>
      <c r="L681" s="245" t="str">
        <f ca="1">IF(CommitmentsTable[[#This Row],[Date Assigned if different from entry date]]&lt;&gt;"",CommitmentsTable[[#This Row],[Date Assigned if different from entry date]]+60,IF(CommitmentsTable[[#This Row],[Date record entered]]&lt;&gt;"",CommitmentsTable[[#This Row],[Date record entered]]+60,""))</f>
        <v/>
      </c>
      <c r="M681" s="214"/>
      <c r="N681" s="214"/>
      <c r="O681" s="236"/>
      <c r="P681" s="214"/>
      <c r="Q681" s="214"/>
      <c r="R681" s="214"/>
      <c r="S681" s="238" t="str">
        <f>IF(CommitmentsTable[[#This Row],[Commitment / deliverable]]="","",IF(CommitmentsTable[[#This Row],[Revised due]]&lt;&gt;"",CommitmentsTable[[#This Row],[Revised due]],CommitmentsTable[[#This Row],[Original due]]))</f>
        <v/>
      </c>
      <c r="T681" s="237" t="str">
        <f>IF(OR(CommitmentsTable[[#This Row],[Commitment / deliverable]]="",CommitmentsTable[[#This Row],[Owner]]=""),"",IF(CommitmentsTable[[#This Row],[Status2]]="","Open",CommitmentsTable[[#This Row],[Status2]]))</f>
        <v/>
      </c>
      <c r="U681" s="237" t="str">
        <f t="shared" ca="1" si="10"/>
        <v/>
      </c>
      <c r="V681" s="233"/>
      <c r="W681" s="63" t="s">
        <v>1583</v>
      </c>
    </row>
    <row r="682" spans="1:23" ht="26">
      <c r="A682" s="213" t="str">
        <f>IF(OR(CommitmentsTable[[#This Row],[Commitment / deliverable]]="",CommitmentsTable[[#This Row],[Immutable Key]]=""),"",SUBSTITUTE(CommitmentsTable[[#This Row],[Immutable Key]],"-K-","-"))</f>
        <v/>
      </c>
      <c r="B682" s="233"/>
      <c r="C682" s="233"/>
      <c r="D682" s="213"/>
      <c r="E682" s="230"/>
      <c r="F682" s="213"/>
      <c r="G682" s="245" t="str">
        <f ca="1">IF(CommitmentsTable[[#This Row],[Commitment / deliverable]]="","",IF(CommitmentsTable[[#This Row],[Date record entered]]="",TODAY(),CommitmentsTable[[#This Row],[Date record entered]]))</f>
        <v/>
      </c>
      <c r="H682" s="245"/>
      <c r="I682" s="245" t="str">
        <f ca="1">IF(CommitmentsTable[[#This Row],[Date Assigned if different from entry date]]&lt;&gt;"",CommitmentsTable[[#This Row],[Date Assigned if different from entry date]]+90,IF(CommitmentsTable[[#This Row],[Date record entered]]&lt;&gt;"",CommitmentsTable[[#This Row],[Date record entered]]+90,""))</f>
        <v/>
      </c>
      <c r="J682" s="245" t="str">
        <f ca="1">IF(CommitmentsTable[[#This Row],[Date Assigned if different from entry date]]&lt;&gt;"",CommitmentsTable[[#This Row],[Date Assigned if different from entry date]]+30,IF(CommitmentsTable[[#This Row],[Date record entered]]&lt;&gt;"",CommitmentsTable[[#This Row],[Date record entered]]+30,""))</f>
        <v/>
      </c>
      <c r="K682" s="245"/>
      <c r="L682" s="245" t="str">
        <f ca="1">IF(CommitmentsTable[[#This Row],[Date Assigned if different from entry date]]&lt;&gt;"",CommitmentsTable[[#This Row],[Date Assigned if different from entry date]]+60,IF(CommitmentsTable[[#This Row],[Date record entered]]&lt;&gt;"",CommitmentsTable[[#This Row],[Date record entered]]+60,""))</f>
        <v/>
      </c>
      <c r="M682" s="214"/>
      <c r="N682" s="214"/>
      <c r="O682" s="236"/>
      <c r="P682" s="214"/>
      <c r="Q682" s="214"/>
      <c r="R682" s="214"/>
      <c r="S682" s="238" t="str">
        <f>IF(CommitmentsTable[[#This Row],[Commitment / deliverable]]="","",IF(CommitmentsTable[[#This Row],[Revised due]]&lt;&gt;"",CommitmentsTable[[#This Row],[Revised due]],CommitmentsTable[[#This Row],[Original due]]))</f>
        <v/>
      </c>
      <c r="T682" s="237" t="str">
        <f>IF(OR(CommitmentsTable[[#This Row],[Commitment / deliverable]]="",CommitmentsTable[[#This Row],[Owner]]=""),"",IF(CommitmentsTable[[#This Row],[Status2]]="","Open",CommitmentsTable[[#This Row],[Status2]]))</f>
        <v/>
      </c>
      <c r="U682" s="237" t="str">
        <f t="shared" ca="1" si="10"/>
        <v/>
      </c>
      <c r="V682" s="233"/>
      <c r="W682" s="63" t="s">
        <v>1584</v>
      </c>
    </row>
    <row r="683" spans="1:23" ht="26">
      <c r="A683" s="213" t="str">
        <f>IF(OR(CommitmentsTable[[#This Row],[Commitment / deliverable]]="",CommitmentsTable[[#This Row],[Immutable Key]]=""),"",SUBSTITUTE(CommitmentsTable[[#This Row],[Immutable Key]],"-K-","-"))</f>
        <v/>
      </c>
      <c r="B683" s="233"/>
      <c r="C683" s="233"/>
      <c r="D683" s="213"/>
      <c r="E683" s="230"/>
      <c r="F683" s="213"/>
      <c r="G683" s="245" t="str">
        <f ca="1">IF(CommitmentsTable[[#This Row],[Commitment / deliverable]]="","",IF(CommitmentsTable[[#This Row],[Date record entered]]="",TODAY(),CommitmentsTable[[#This Row],[Date record entered]]))</f>
        <v/>
      </c>
      <c r="H683" s="245"/>
      <c r="I683" s="245" t="str">
        <f ca="1">IF(CommitmentsTable[[#This Row],[Date Assigned if different from entry date]]&lt;&gt;"",CommitmentsTable[[#This Row],[Date Assigned if different from entry date]]+90,IF(CommitmentsTable[[#This Row],[Date record entered]]&lt;&gt;"",CommitmentsTable[[#This Row],[Date record entered]]+90,""))</f>
        <v/>
      </c>
      <c r="J683" s="245" t="str">
        <f ca="1">IF(CommitmentsTable[[#This Row],[Date Assigned if different from entry date]]&lt;&gt;"",CommitmentsTable[[#This Row],[Date Assigned if different from entry date]]+30,IF(CommitmentsTable[[#This Row],[Date record entered]]&lt;&gt;"",CommitmentsTable[[#This Row],[Date record entered]]+30,""))</f>
        <v/>
      </c>
      <c r="K683" s="245"/>
      <c r="L683" s="245" t="str">
        <f ca="1">IF(CommitmentsTable[[#This Row],[Date Assigned if different from entry date]]&lt;&gt;"",CommitmentsTable[[#This Row],[Date Assigned if different from entry date]]+60,IF(CommitmentsTable[[#This Row],[Date record entered]]&lt;&gt;"",CommitmentsTable[[#This Row],[Date record entered]]+60,""))</f>
        <v/>
      </c>
      <c r="M683" s="214"/>
      <c r="N683" s="214"/>
      <c r="O683" s="236"/>
      <c r="P683" s="214"/>
      <c r="Q683" s="214"/>
      <c r="R683" s="214"/>
      <c r="S683" s="238" t="str">
        <f>IF(CommitmentsTable[[#This Row],[Commitment / deliverable]]="","",IF(CommitmentsTable[[#This Row],[Revised due]]&lt;&gt;"",CommitmentsTable[[#This Row],[Revised due]],CommitmentsTable[[#This Row],[Original due]]))</f>
        <v/>
      </c>
      <c r="T683" s="237" t="str">
        <f>IF(OR(CommitmentsTable[[#This Row],[Commitment / deliverable]]="",CommitmentsTable[[#This Row],[Owner]]=""),"",IF(CommitmentsTable[[#This Row],[Status2]]="","Open",CommitmentsTable[[#This Row],[Status2]]))</f>
        <v/>
      </c>
      <c r="U683" s="237" t="str">
        <f t="shared" ca="1" si="10"/>
        <v/>
      </c>
      <c r="V683" s="233"/>
      <c r="W683" s="63" t="s">
        <v>1585</v>
      </c>
    </row>
    <row r="684" spans="1:23" ht="26">
      <c r="A684" s="213" t="str">
        <f>IF(OR(CommitmentsTable[[#This Row],[Commitment / deliverable]]="",CommitmentsTable[[#This Row],[Immutable Key]]=""),"",SUBSTITUTE(CommitmentsTable[[#This Row],[Immutable Key]],"-K-","-"))</f>
        <v/>
      </c>
      <c r="B684" s="233"/>
      <c r="C684" s="233"/>
      <c r="D684" s="213"/>
      <c r="E684" s="230"/>
      <c r="F684" s="213"/>
      <c r="G684" s="245" t="str">
        <f ca="1">IF(CommitmentsTable[[#This Row],[Commitment / deliverable]]="","",IF(CommitmentsTable[[#This Row],[Date record entered]]="",TODAY(),CommitmentsTable[[#This Row],[Date record entered]]))</f>
        <v/>
      </c>
      <c r="H684" s="245"/>
      <c r="I684" s="245" t="str">
        <f ca="1">IF(CommitmentsTable[[#This Row],[Date Assigned if different from entry date]]&lt;&gt;"",CommitmentsTable[[#This Row],[Date Assigned if different from entry date]]+90,IF(CommitmentsTable[[#This Row],[Date record entered]]&lt;&gt;"",CommitmentsTable[[#This Row],[Date record entered]]+90,""))</f>
        <v/>
      </c>
      <c r="J684" s="245" t="str">
        <f ca="1">IF(CommitmentsTable[[#This Row],[Date Assigned if different from entry date]]&lt;&gt;"",CommitmentsTable[[#This Row],[Date Assigned if different from entry date]]+30,IF(CommitmentsTable[[#This Row],[Date record entered]]&lt;&gt;"",CommitmentsTable[[#This Row],[Date record entered]]+30,""))</f>
        <v/>
      </c>
      <c r="K684" s="245"/>
      <c r="L684" s="245" t="str">
        <f ca="1">IF(CommitmentsTable[[#This Row],[Date Assigned if different from entry date]]&lt;&gt;"",CommitmentsTable[[#This Row],[Date Assigned if different from entry date]]+60,IF(CommitmentsTable[[#This Row],[Date record entered]]&lt;&gt;"",CommitmentsTable[[#This Row],[Date record entered]]+60,""))</f>
        <v/>
      </c>
      <c r="M684" s="214"/>
      <c r="N684" s="214"/>
      <c r="O684" s="236"/>
      <c r="P684" s="214"/>
      <c r="Q684" s="214"/>
      <c r="R684" s="214"/>
      <c r="S684" s="238" t="str">
        <f>IF(CommitmentsTable[[#This Row],[Commitment / deliverable]]="","",IF(CommitmentsTable[[#This Row],[Revised due]]&lt;&gt;"",CommitmentsTable[[#This Row],[Revised due]],CommitmentsTable[[#This Row],[Original due]]))</f>
        <v/>
      </c>
      <c r="T684" s="237" t="str">
        <f>IF(OR(CommitmentsTable[[#This Row],[Commitment / deliverable]]="",CommitmentsTable[[#This Row],[Owner]]=""),"",IF(CommitmentsTable[[#This Row],[Status2]]="","Open",CommitmentsTable[[#This Row],[Status2]]))</f>
        <v/>
      </c>
      <c r="U684" s="237" t="str">
        <f t="shared" ca="1" si="10"/>
        <v/>
      </c>
      <c r="V684" s="233"/>
      <c r="W684" s="63" t="s">
        <v>1586</v>
      </c>
    </row>
    <row r="685" spans="1:23" ht="26">
      <c r="A685" s="213" t="str">
        <f>IF(OR(CommitmentsTable[[#This Row],[Commitment / deliverable]]="",CommitmentsTable[[#This Row],[Immutable Key]]=""),"",SUBSTITUTE(CommitmentsTable[[#This Row],[Immutable Key]],"-K-","-"))</f>
        <v/>
      </c>
      <c r="B685" s="233"/>
      <c r="C685" s="233"/>
      <c r="D685" s="213"/>
      <c r="E685" s="230"/>
      <c r="F685" s="213"/>
      <c r="G685" s="245" t="str">
        <f ca="1">IF(CommitmentsTable[[#This Row],[Commitment / deliverable]]="","",IF(CommitmentsTable[[#This Row],[Date record entered]]="",TODAY(),CommitmentsTable[[#This Row],[Date record entered]]))</f>
        <v/>
      </c>
      <c r="H685" s="245"/>
      <c r="I685" s="245" t="str">
        <f ca="1">IF(CommitmentsTable[[#This Row],[Date Assigned if different from entry date]]&lt;&gt;"",CommitmentsTable[[#This Row],[Date Assigned if different from entry date]]+90,IF(CommitmentsTable[[#This Row],[Date record entered]]&lt;&gt;"",CommitmentsTable[[#This Row],[Date record entered]]+90,""))</f>
        <v/>
      </c>
      <c r="J685" s="245" t="str">
        <f ca="1">IF(CommitmentsTable[[#This Row],[Date Assigned if different from entry date]]&lt;&gt;"",CommitmentsTable[[#This Row],[Date Assigned if different from entry date]]+30,IF(CommitmentsTable[[#This Row],[Date record entered]]&lt;&gt;"",CommitmentsTable[[#This Row],[Date record entered]]+30,""))</f>
        <v/>
      </c>
      <c r="K685" s="245"/>
      <c r="L685" s="245" t="str">
        <f ca="1">IF(CommitmentsTable[[#This Row],[Date Assigned if different from entry date]]&lt;&gt;"",CommitmentsTable[[#This Row],[Date Assigned if different from entry date]]+60,IF(CommitmentsTable[[#This Row],[Date record entered]]&lt;&gt;"",CommitmentsTable[[#This Row],[Date record entered]]+60,""))</f>
        <v/>
      </c>
      <c r="M685" s="214"/>
      <c r="N685" s="214"/>
      <c r="O685" s="236"/>
      <c r="P685" s="214"/>
      <c r="Q685" s="214"/>
      <c r="R685" s="214"/>
      <c r="S685" s="238" t="str">
        <f>IF(CommitmentsTable[[#This Row],[Commitment / deliverable]]="","",IF(CommitmentsTable[[#This Row],[Revised due]]&lt;&gt;"",CommitmentsTable[[#This Row],[Revised due]],CommitmentsTable[[#This Row],[Original due]]))</f>
        <v/>
      </c>
      <c r="T685" s="237" t="str">
        <f>IF(OR(CommitmentsTable[[#This Row],[Commitment / deliverable]]="",CommitmentsTable[[#This Row],[Owner]]=""),"",IF(CommitmentsTable[[#This Row],[Status2]]="","Open",CommitmentsTable[[#This Row],[Status2]]))</f>
        <v/>
      </c>
      <c r="U685" s="237" t="str">
        <f t="shared" ca="1" si="10"/>
        <v/>
      </c>
      <c r="V685" s="233"/>
      <c r="W685" s="63" t="s">
        <v>1587</v>
      </c>
    </row>
    <row r="686" spans="1:23" ht="26">
      <c r="A686" s="213" t="str">
        <f>IF(OR(CommitmentsTable[[#This Row],[Commitment / deliverable]]="",CommitmentsTable[[#This Row],[Immutable Key]]=""),"",SUBSTITUTE(CommitmentsTable[[#This Row],[Immutable Key]],"-K-","-"))</f>
        <v/>
      </c>
      <c r="B686" s="233"/>
      <c r="C686" s="233"/>
      <c r="D686" s="213"/>
      <c r="E686" s="230"/>
      <c r="F686" s="213"/>
      <c r="G686" s="245" t="str">
        <f ca="1">IF(CommitmentsTable[[#This Row],[Commitment / deliverable]]="","",IF(CommitmentsTable[[#This Row],[Date record entered]]="",TODAY(),CommitmentsTable[[#This Row],[Date record entered]]))</f>
        <v/>
      </c>
      <c r="H686" s="245"/>
      <c r="I686" s="245" t="str">
        <f ca="1">IF(CommitmentsTable[[#This Row],[Date Assigned if different from entry date]]&lt;&gt;"",CommitmentsTable[[#This Row],[Date Assigned if different from entry date]]+90,IF(CommitmentsTable[[#This Row],[Date record entered]]&lt;&gt;"",CommitmentsTable[[#This Row],[Date record entered]]+90,""))</f>
        <v/>
      </c>
      <c r="J686" s="245" t="str">
        <f ca="1">IF(CommitmentsTable[[#This Row],[Date Assigned if different from entry date]]&lt;&gt;"",CommitmentsTable[[#This Row],[Date Assigned if different from entry date]]+30,IF(CommitmentsTable[[#This Row],[Date record entered]]&lt;&gt;"",CommitmentsTable[[#This Row],[Date record entered]]+30,""))</f>
        <v/>
      </c>
      <c r="K686" s="245"/>
      <c r="L686" s="245" t="str">
        <f ca="1">IF(CommitmentsTable[[#This Row],[Date Assigned if different from entry date]]&lt;&gt;"",CommitmentsTable[[#This Row],[Date Assigned if different from entry date]]+60,IF(CommitmentsTable[[#This Row],[Date record entered]]&lt;&gt;"",CommitmentsTable[[#This Row],[Date record entered]]+60,""))</f>
        <v/>
      </c>
      <c r="M686" s="214"/>
      <c r="N686" s="214"/>
      <c r="O686" s="236"/>
      <c r="P686" s="214"/>
      <c r="Q686" s="214"/>
      <c r="R686" s="214"/>
      <c r="S686" s="238" t="str">
        <f>IF(CommitmentsTable[[#This Row],[Commitment / deliverable]]="","",IF(CommitmentsTable[[#This Row],[Revised due]]&lt;&gt;"",CommitmentsTable[[#This Row],[Revised due]],CommitmentsTable[[#This Row],[Original due]]))</f>
        <v/>
      </c>
      <c r="T686" s="237" t="str">
        <f>IF(OR(CommitmentsTable[[#This Row],[Commitment / deliverable]]="",CommitmentsTable[[#This Row],[Owner]]=""),"",IF(CommitmentsTable[[#This Row],[Status2]]="","Open",CommitmentsTable[[#This Row],[Status2]]))</f>
        <v/>
      </c>
      <c r="U686" s="237" t="str">
        <f t="shared" ca="1" si="10"/>
        <v/>
      </c>
      <c r="V686" s="233"/>
      <c r="W686" s="63" t="s">
        <v>1588</v>
      </c>
    </row>
    <row r="687" spans="1:23" ht="26">
      <c r="A687" s="213" t="str">
        <f>IF(OR(CommitmentsTable[[#This Row],[Commitment / deliverable]]="",CommitmentsTable[[#This Row],[Immutable Key]]=""),"",SUBSTITUTE(CommitmentsTable[[#This Row],[Immutable Key]],"-K-","-"))</f>
        <v/>
      </c>
      <c r="B687" s="233"/>
      <c r="C687" s="233"/>
      <c r="D687" s="213"/>
      <c r="E687" s="230"/>
      <c r="F687" s="213"/>
      <c r="G687" s="245" t="str">
        <f ca="1">IF(CommitmentsTable[[#This Row],[Commitment / deliverable]]="","",IF(CommitmentsTable[[#This Row],[Date record entered]]="",TODAY(),CommitmentsTable[[#This Row],[Date record entered]]))</f>
        <v/>
      </c>
      <c r="H687" s="245"/>
      <c r="I687" s="245" t="str">
        <f ca="1">IF(CommitmentsTable[[#This Row],[Date Assigned if different from entry date]]&lt;&gt;"",CommitmentsTable[[#This Row],[Date Assigned if different from entry date]]+90,IF(CommitmentsTable[[#This Row],[Date record entered]]&lt;&gt;"",CommitmentsTable[[#This Row],[Date record entered]]+90,""))</f>
        <v/>
      </c>
      <c r="J687" s="245" t="str">
        <f ca="1">IF(CommitmentsTable[[#This Row],[Date Assigned if different from entry date]]&lt;&gt;"",CommitmentsTable[[#This Row],[Date Assigned if different from entry date]]+30,IF(CommitmentsTable[[#This Row],[Date record entered]]&lt;&gt;"",CommitmentsTable[[#This Row],[Date record entered]]+30,""))</f>
        <v/>
      </c>
      <c r="K687" s="245"/>
      <c r="L687" s="245" t="str">
        <f ca="1">IF(CommitmentsTable[[#This Row],[Date Assigned if different from entry date]]&lt;&gt;"",CommitmentsTable[[#This Row],[Date Assigned if different from entry date]]+60,IF(CommitmentsTable[[#This Row],[Date record entered]]&lt;&gt;"",CommitmentsTable[[#This Row],[Date record entered]]+60,""))</f>
        <v/>
      </c>
      <c r="M687" s="214"/>
      <c r="N687" s="214"/>
      <c r="O687" s="236"/>
      <c r="P687" s="214"/>
      <c r="Q687" s="214"/>
      <c r="R687" s="214"/>
      <c r="S687" s="238" t="str">
        <f>IF(CommitmentsTable[[#This Row],[Commitment / deliverable]]="","",IF(CommitmentsTable[[#This Row],[Revised due]]&lt;&gt;"",CommitmentsTable[[#This Row],[Revised due]],CommitmentsTable[[#This Row],[Original due]]))</f>
        <v/>
      </c>
      <c r="T687" s="237" t="str">
        <f>IF(OR(CommitmentsTable[[#This Row],[Commitment / deliverable]]="",CommitmentsTable[[#This Row],[Owner]]=""),"",IF(CommitmentsTable[[#This Row],[Status2]]="","Open",CommitmentsTable[[#This Row],[Status2]]))</f>
        <v/>
      </c>
      <c r="U687" s="237" t="str">
        <f t="shared" ca="1" si="10"/>
        <v/>
      </c>
      <c r="V687" s="233"/>
      <c r="W687" s="63" t="s">
        <v>1589</v>
      </c>
    </row>
    <row r="688" spans="1:23" ht="26">
      <c r="A688" s="213" t="str">
        <f>IF(OR(CommitmentsTable[[#This Row],[Commitment / deliverable]]="",CommitmentsTable[[#This Row],[Immutable Key]]=""),"",SUBSTITUTE(CommitmentsTable[[#This Row],[Immutable Key]],"-K-","-"))</f>
        <v/>
      </c>
      <c r="B688" s="233"/>
      <c r="C688" s="233"/>
      <c r="D688" s="213"/>
      <c r="E688" s="230"/>
      <c r="F688" s="213"/>
      <c r="G688" s="245" t="str">
        <f ca="1">IF(CommitmentsTable[[#This Row],[Commitment / deliverable]]="","",IF(CommitmentsTable[[#This Row],[Date record entered]]="",TODAY(),CommitmentsTable[[#This Row],[Date record entered]]))</f>
        <v/>
      </c>
      <c r="H688" s="245"/>
      <c r="I688" s="245" t="str">
        <f ca="1">IF(CommitmentsTable[[#This Row],[Date Assigned if different from entry date]]&lt;&gt;"",CommitmentsTable[[#This Row],[Date Assigned if different from entry date]]+90,IF(CommitmentsTable[[#This Row],[Date record entered]]&lt;&gt;"",CommitmentsTable[[#This Row],[Date record entered]]+90,""))</f>
        <v/>
      </c>
      <c r="J688" s="245" t="str">
        <f ca="1">IF(CommitmentsTable[[#This Row],[Date Assigned if different from entry date]]&lt;&gt;"",CommitmentsTable[[#This Row],[Date Assigned if different from entry date]]+30,IF(CommitmentsTable[[#This Row],[Date record entered]]&lt;&gt;"",CommitmentsTable[[#This Row],[Date record entered]]+30,""))</f>
        <v/>
      </c>
      <c r="K688" s="245"/>
      <c r="L688" s="245" t="str">
        <f ca="1">IF(CommitmentsTable[[#This Row],[Date Assigned if different from entry date]]&lt;&gt;"",CommitmentsTable[[#This Row],[Date Assigned if different from entry date]]+60,IF(CommitmentsTable[[#This Row],[Date record entered]]&lt;&gt;"",CommitmentsTable[[#This Row],[Date record entered]]+60,""))</f>
        <v/>
      </c>
      <c r="M688" s="214"/>
      <c r="N688" s="214"/>
      <c r="O688" s="236"/>
      <c r="P688" s="214"/>
      <c r="Q688" s="214"/>
      <c r="R688" s="214"/>
      <c r="S688" s="238" t="str">
        <f>IF(CommitmentsTable[[#This Row],[Commitment / deliverable]]="","",IF(CommitmentsTable[[#This Row],[Revised due]]&lt;&gt;"",CommitmentsTable[[#This Row],[Revised due]],CommitmentsTable[[#This Row],[Original due]]))</f>
        <v/>
      </c>
      <c r="T688" s="237" t="str">
        <f>IF(OR(CommitmentsTable[[#This Row],[Commitment / deliverable]]="",CommitmentsTable[[#This Row],[Owner]]=""),"",IF(CommitmentsTable[[#This Row],[Status2]]="","Open",CommitmentsTable[[#This Row],[Status2]]))</f>
        <v/>
      </c>
      <c r="U688" s="237" t="str">
        <f t="shared" ca="1" si="10"/>
        <v/>
      </c>
      <c r="V688" s="233"/>
      <c r="W688" s="63" t="s">
        <v>1590</v>
      </c>
    </row>
    <row r="689" spans="1:23" ht="26">
      <c r="A689" s="213" t="str">
        <f>IF(OR(CommitmentsTable[[#This Row],[Commitment / deliverable]]="",CommitmentsTable[[#This Row],[Immutable Key]]=""),"",SUBSTITUTE(CommitmentsTable[[#This Row],[Immutable Key]],"-K-","-"))</f>
        <v/>
      </c>
      <c r="B689" s="233"/>
      <c r="C689" s="233"/>
      <c r="D689" s="213"/>
      <c r="E689" s="230"/>
      <c r="F689" s="213"/>
      <c r="G689" s="245" t="str">
        <f ca="1">IF(CommitmentsTable[[#This Row],[Commitment / deliverable]]="","",IF(CommitmentsTable[[#This Row],[Date record entered]]="",TODAY(),CommitmentsTable[[#This Row],[Date record entered]]))</f>
        <v/>
      </c>
      <c r="H689" s="245"/>
      <c r="I689" s="245" t="str">
        <f ca="1">IF(CommitmentsTable[[#This Row],[Date Assigned if different from entry date]]&lt;&gt;"",CommitmentsTable[[#This Row],[Date Assigned if different from entry date]]+90,IF(CommitmentsTable[[#This Row],[Date record entered]]&lt;&gt;"",CommitmentsTable[[#This Row],[Date record entered]]+90,""))</f>
        <v/>
      </c>
      <c r="J689" s="245" t="str">
        <f ca="1">IF(CommitmentsTable[[#This Row],[Date Assigned if different from entry date]]&lt;&gt;"",CommitmentsTable[[#This Row],[Date Assigned if different from entry date]]+30,IF(CommitmentsTable[[#This Row],[Date record entered]]&lt;&gt;"",CommitmentsTable[[#This Row],[Date record entered]]+30,""))</f>
        <v/>
      </c>
      <c r="K689" s="245"/>
      <c r="L689" s="245" t="str">
        <f ca="1">IF(CommitmentsTable[[#This Row],[Date Assigned if different from entry date]]&lt;&gt;"",CommitmentsTable[[#This Row],[Date Assigned if different from entry date]]+60,IF(CommitmentsTable[[#This Row],[Date record entered]]&lt;&gt;"",CommitmentsTable[[#This Row],[Date record entered]]+60,""))</f>
        <v/>
      </c>
      <c r="M689" s="214"/>
      <c r="N689" s="214"/>
      <c r="O689" s="236"/>
      <c r="P689" s="214"/>
      <c r="Q689" s="214"/>
      <c r="R689" s="214"/>
      <c r="S689" s="238" t="str">
        <f>IF(CommitmentsTable[[#This Row],[Commitment / deliverable]]="","",IF(CommitmentsTable[[#This Row],[Revised due]]&lt;&gt;"",CommitmentsTable[[#This Row],[Revised due]],CommitmentsTable[[#This Row],[Original due]]))</f>
        <v/>
      </c>
      <c r="T689" s="237" t="str">
        <f>IF(OR(CommitmentsTable[[#This Row],[Commitment / deliverable]]="",CommitmentsTable[[#This Row],[Owner]]=""),"",IF(CommitmentsTable[[#This Row],[Status2]]="","Open",CommitmentsTable[[#This Row],[Status2]]))</f>
        <v/>
      </c>
      <c r="U689" s="237" t="str">
        <f t="shared" ca="1" si="10"/>
        <v/>
      </c>
      <c r="V689" s="233"/>
      <c r="W689" s="63" t="s">
        <v>1591</v>
      </c>
    </row>
    <row r="690" spans="1:23" ht="26">
      <c r="A690" s="213" t="str">
        <f>IF(OR(CommitmentsTable[[#This Row],[Commitment / deliverable]]="",CommitmentsTable[[#This Row],[Immutable Key]]=""),"",SUBSTITUTE(CommitmentsTable[[#This Row],[Immutable Key]],"-K-","-"))</f>
        <v/>
      </c>
      <c r="B690" s="233"/>
      <c r="C690" s="233"/>
      <c r="D690" s="213"/>
      <c r="E690" s="230"/>
      <c r="F690" s="213"/>
      <c r="G690" s="245" t="str">
        <f ca="1">IF(CommitmentsTable[[#This Row],[Commitment / deliverable]]="","",IF(CommitmentsTable[[#This Row],[Date record entered]]="",TODAY(),CommitmentsTable[[#This Row],[Date record entered]]))</f>
        <v/>
      </c>
      <c r="H690" s="245"/>
      <c r="I690" s="245" t="str">
        <f ca="1">IF(CommitmentsTable[[#This Row],[Date Assigned if different from entry date]]&lt;&gt;"",CommitmentsTable[[#This Row],[Date Assigned if different from entry date]]+90,IF(CommitmentsTable[[#This Row],[Date record entered]]&lt;&gt;"",CommitmentsTable[[#This Row],[Date record entered]]+90,""))</f>
        <v/>
      </c>
      <c r="J690" s="245" t="str">
        <f ca="1">IF(CommitmentsTable[[#This Row],[Date Assigned if different from entry date]]&lt;&gt;"",CommitmentsTable[[#This Row],[Date Assigned if different from entry date]]+30,IF(CommitmentsTable[[#This Row],[Date record entered]]&lt;&gt;"",CommitmentsTable[[#This Row],[Date record entered]]+30,""))</f>
        <v/>
      </c>
      <c r="K690" s="245"/>
      <c r="L690" s="245" t="str">
        <f ca="1">IF(CommitmentsTable[[#This Row],[Date Assigned if different from entry date]]&lt;&gt;"",CommitmentsTable[[#This Row],[Date Assigned if different from entry date]]+60,IF(CommitmentsTable[[#This Row],[Date record entered]]&lt;&gt;"",CommitmentsTable[[#This Row],[Date record entered]]+60,""))</f>
        <v/>
      </c>
      <c r="M690" s="214"/>
      <c r="N690" s="214"/>
      <c r="O690" s="236"/>
      <c r="P690" s="214"/>
      <c r="Q690" s="214"/>
      <c r="R690" s="214"/>
      <c r="S690" s="238" t="str">
        <f>IF(CommitmentsTable[[#This Row],[Commitment / deliverable]]="","",IF(CommitmentsTable[[#This Row],[Revised due]]&lt;&gt;"",CommitmentsTable[[#This Row],[Revised due]],CommitmentsTable[[#This Row],[Original due]]))</f>
        <v/>
      </c>
      <c r="T690" s="237" t="str">
        <f>IF(OR(CommitmentsTable[[#This Row],[Commitment / deliverable]]="",CommitmentsTable[[#This Row],[Owner]]=""),"",IF(CommitmentsTable[[#This Row],[Status2]]="","Open",CommitmentsTable[[#This Row],[Status2]]))</f>
        <v/>
      </c>
      <c r="U690" s="237" t="str">
        <f t="shared" ca="1" si="10"/>
        <v/>
      </c>
      <c r="V690" s="233"/>
      <c r="W690" s="63" t="s">
        <v>1592</v>
      </c>
    </row>
    <row r="691" spans="1:23" ht="26">
      <c r="A691" s="213" t="str">
        <f>IF(OR(CommitmentsTable[[#This Row],[Commitment / deliverable]]="",CommitmentsTable[[#This Row],[Immutable Key]]=""),"",SUBSTITUTE(CommitmentsTable[[#This Row],[Immutable Key]],"-K-","-"))</f>
        <v/>
      </c>
      <c r="B691" s="233"/>
      <c r="C691" s="233"/>
      <c r="D691" s="213"/>
      <c r="E691" s="230"/>
      <c r="F691" s="213"/>
      <c r="G691" s="245" t="str">
        <f ca="1">IF(CommitmentsTable[[#This Row],[Commitment / deliverable]]="","",IF(CommitmentsTable[[#This Row],[Date record entered]]="",TODAY(),CommitmentsTable[[#This Row],[Date record entered]]))</f>
        <v/>
      </c>
      <c r="H691" s="245"/>
      <c r="I691" s="245" t="str">
        <f ca="1">IF(CommitmentsTable[[#This Row],[Date Assigned if different from entry date]]&lt;&gt;"",CommitmentsTable[[#This Row],[Date Assigned if different from entry date]]+90,IF(CommitmentsTable[[#This Row],[Date record entered]]&lt;&gt;"",CommitmentsTable[[#This Row],[Date record entered]]+90,""))</f>
        <v/>
      </c>
      <c r="J691" s="245" t="str">
        <f ca="1">IF(CommitmentsTable[[#This Row],[Date Assigned if different from entry date]]&lt;&gt;"",CommitmentsTable[[#This Row],[Date Assigned if different from entry date]]+30,IF(CommitmentsTable[[#This Row],[Date record entered]]&lt;&gt;"",CommitmentsTable[[#This Row],[Date record entered]]+30,""))</f>
        <v/>
      </c>
      <c r="K691" s="245"/>
      <c r="L691" s="245" t="str">
        <f ca="1">IF(CommitmentsTable[[#This Row],[Date Assigned if different from entry date]]&lt;&gt;"",CommitmentsTable[[#This Row],[Date Assigned if different from entry date]]+60,IF(CommitmentsTable[[#This Row],[Date record entered]]&lt;&gt;"",CommitmentsTable[[#This Row],[Date record entered]]+60,""))</f>
        <v/>
      </c>
      <c r="M691" s="214"/>
      <c r="N691" s="214"/>
      <c r="O691" s="236"/>
      <c r="P691" s="214"/>
      <c r="Q691" s="214"/>
      <c r="R691" s="214"/>
      <c r="S691" s="238" t="str">
        <f>IF(CommitmentsTable[[#This Row],[Commitment / deliverable]]="","",IF(CommitmentsTable[[#This Row],[Revised due]]&lt;&gt;"",CommitmentsTable[[#This Row],[Revised due]],CommitmentsTable[[#This Row],[Original due]]))</f>
        <v/>
      </c>
      <c r="T691" s="237" t="str">
        <f>IF(OR(CommitmentsTable[[#This Row],[Commitment / deliverable]]="",CommitmentsTable[[#This Row],[Owner]]=""),"",IF(CommitmentsTable[[#This Row],[Status2]]="","Open",CommitmentsTable[[#This Row],[Status2]]))</f>
        <v/>
      </c>
      <c r="U691" s="237" t="str">
        <f t="shared" ca="1" si="10"/>
        <v/>
      </c>
      <c r="V691" s="233"/>
      <c r="W691" s="63" t="s">
        <v>1593</v>
      </c>
    </row>
    <row r="692" spans="1:23" ht="26">
      <c r="A692" s="213" t="str">
        <f>IF(OR(CommitmentsTable[[#This Row],[Commitment / deliverable]]="",CommitmentsTable[[#This Row],[Immutable Key]]=""),"",SUBSTITUTE(CommitmentsTable[[#This Row],[Immutable Key]],"-K-","-"))</f>
        <v/>
      </c>
      <c r="B692" s="233"/>
      <c r="C692" s="233"/>
      <c r="D692" s="213"/>
      <c r="E692" s="230"/>
      <c r="F692" s="213"/>
      <c r="G692" s="245" t="str">
        <f ca="1">IF(CommitmentsTable[[#This Row],[Commitment / deliverable]]="","",IF(CommitmentsTable[[#This Row],[Date record entered]]="",TODAY(),CommitmentsTable[[#This Row],[Date record entered]]))</f>
        <v/>
      </c>
      <c r="H692" s="245"/>
      <c r="I692" s="245" t="str">
        <f ca="1">IF(CommitmentsTable[[#This Row],[Date Assigned if different from entry date]]&lt;&gt;"",CommitmentsTable[[#This Row],[Date Assigned if different from entry date]]+90,IF(CommitmentsTable[[#This Row],[Date record entered]]&lt;&gt;"",CommitmentsTable[[#This Row],[Date record entered]]+90,""))</f>
        <v/>
      </c>
      <c r="J692" s="245" t="str">
        <f ca="1">IF(CommitmentsTable[[#This Row],[Date Assigned if different from entry date]]&lt;&gt;"",CommitmentsTable[[#This Row],[Date Assigned if different from entry date]]+30,IF(CommitmentsTable[[#This Row],[Date record entered]]&lt;&gt;"",CommitmentsTable[[#This Row],[Date record entered]]+30,""))</f>
        <v/>
      </c>
      <c r="K692" s="245"/>
      <c r="L692" s="245" t="str">
        <f ca="1">IF(CommitmentsTable[[#This Row],[Date Assigned if different from entry date]]&lt;&gt;"",CommitmentsTable[[#This Row],[Date Assigned if different from entry date]]+60,IF(CommitmentsTable[[#This Row],[Date record entered]]&lt;&gt;"",CommitmentsTable[[#This Row],[Date record entered]]+60,""))</f>
        <v/>
      </c>
      <c r="M692" s="214"/>
      <c r="N692" s="214"/>
      <c r="O692" s="236"/>
      <c r="P692" s="214"/>
      <c r="Q692" s="214"/>
      <c r="R692" s="214"/>
      <c r="S692" s="238" t="str">
        <f>IF(CommitmentsTable[[#This Row],[Commitment / deliverable]]="","",IF(CommitmentsTable[[#This Row],[Revised due]]&lt;&gt;"",CommitmentsTable[[#This Row],[Revised due]],CommitmentsTable[[#This Row],[Original due]]))</f>
        <v/>
      </c>
      <c r="T692" s="237" t="str">
        <f>IF(OR(CommitmentsTable[[#This Row],[Commitment / deliverable]]="",CommitmentsTable[[#This Row],[Owner]]=""),"",IF(CommitmentsTable[[#This Row],[Status2]]="","Open",CommitmentsTable[[#This Row],[Status2]]))</f>
        <v/>
      </c>
      <c r="U692" s="237" t="str">
        <f t="shared" ca="1" si="10"/>
        <v/>
      </c>
      <c r="V692" s="233"/>
      <c r="W692" s="63" t="s">
        <v>1594</v>
      </c>
    </row>
    <row r="693" spans="1:23" ht="26">
      <c r="A693" s="213" t="str">
        <f>IF(OR(CommitmentsTable[[#This Row],[Commitment / deliverable]]="",CommitmentsTable[[#This Row],[Immutable Key]]=""),"",SUBSTITUTE(CommitmentsTable[[#This Row],[Immutable Key]],"-K-","-"))</f>
        <v/>
      </c>
      <c r="B693" s="233"/>
      <c r="C693" s="233"/>
      <c r="D693" s="213"/>
      <c r="E693" s="230"/>
      <c r="F693" s="213"/>
      <c r="G693" s="245" t="str">
        <f ca="1">IF(CommitmentsTable[[#This Row],[Commitment / deliverable]]="","",IF(CommitmentsTable[[#This Row],[Date record entered]]="",TODAY(),CommitmentsTable[[#This Row],[Date record entered]]))</f>
        <v/>
      </c>
      <c r="H693" s="245"/>
      <c r="I693" s="245" t="str">
        <f ca="1">IF(CommitmentsTable[[#This Row],[Date Assigned if different from entry date]]&lt;&gt;"",CommitmentsTable[[#This Row],[Date Assigned if different from entry date]]+90,IF(CommitmentsTable[[#This Row],[Date record entered]]&lt;&gt;"",CommitmentsTable[[#This Row],[Date record entered]]+90,""))</f>
        <v/>
      </c>
      <c r="J693" s="245" t="str">
        <f ca="1">IF(CommitmentsTable[[#This Row],[Date Assigned if different from entry date]]&lt;&gt;"",CommitmentsTable[[#This Row],[Date Assigned if different from entry date]]+30,IF(CommitmentsTable[[#This Row],[Date record entered]]&lt;&gt;"",CommitmentsTable[[#This Row],[Date record entered]]+30,""))</f>
        <v/>
      </c>
      <c r="K693" s="245"/>
      <c r="L693" s="245" t="str">
        <f ca="1">IF(CommitmentsTable[[#This Row],[Date Assigned if different from entry date]]&lt;&gt;"",CommitmentsTable[[#This Row],[Date Assigned if different from entry date]]+60,IF(CommitmentsTable[[#This Row],[Date record entered]]&lt;&gt;"",CommitmentsTable[[#This Row],[Date record entered]]+60,""))</f>
        <v/>
      </c>
      <c r="M693" s="214"/>
      <c r="N693" s="214"/>
      <c r="O693" s="236"/>
      <c r="P693" s="214"/>
      <c r="Q693" s="214"/>
      <c r="R693" s="214"/>
      <c r="S693" s="238" t="str">
        <f>IF(CommitmentsTable[[#This Row],[Commitment / deliverable]]="","",IF(CommitmentsTable[[#This Row],[Revised due]]&lt;&gt;"",CommitmentsTable[[#This Row],[Revised due]],CommitmentsTable[[#This Row],[Original due]]))</f>
        <v/>
      </c>
      <c r="T693" s="237" t="str">
        <f>IF(OR(CommitmentsTable[[#This Row],[Commitment / deliverable]]="",CommitmentsTable[[#This Row],[Owner]]=""),"",IF(CommitmentsTable[[#This Row],[Status2]]="","Open",CommitmentsTable[[#This Row],[Status2]]))</f>
        <v/>
      </c>
      <c r="U693" s="237" t="str">
        <f t="shared" ca="1" si="10"/>
        <v/>
      </c>
      <c r="V693" s="233"/>
      <c r="W693" s="63" t="s">
        <v>1595</v>
      </c>
    </row>
    <row r="694" spans="1:23" ht="26">
      <c r="A694" s="213" t="str">
        <f>IF(OR(CommitmentsTable[[#This Row],[Commitment / deliverable]]="",CommitmentsTable[[#This Row],[Immutable Key]]=""),"",SUBSTITUTE(CommitmentsTable[[#This Row],[Immutable Key]],"-K-","-"))</f>
        <v/>
      </c>
      <c r="B694" s="233"/>
      <c r="C694" s="233"/>
      <c r="D694" s="213"/>
      <c r="E694" s="230"/>
      <c r="F694" s="213"/>
      <c r="G694" s="245" t="str">
        <f ca="1">IF(CommitmentsTable[[#This Row],[Commitment / deliverable]]="","",IF(CommitmentsTable[[#This Row],[Date record entered]]="",TODAY(),CommitmentsTable[[#This Row],[Date record entered]]))</f>
        <v/>
      </c>
      <c r="H694" s="245"/>
      <c r="I694" s="245" t="str">
        <f ca="1">IF(CommitmentsTable[[#This Row],[Date Assigned if different from entry date]]&lt;&gt;"",CommitmentsTable[[#This Row],[Date Assigned if different from entry date]]+90,IF(CommitmentsTable[[#This Row],[Date record entered]]&lt;&gt;"",CommitmentsTable[[#This Row],[Date record entered]]+90,""))</f>
        <v/>
      </c>
      <c r="J694" s="245" t="str">
        <f ca="1">IF(CommitmentsTable[[#This Row],[Date Assigned if different from entry date]]&lt;&gt;"",CommitmentsTable[[#This Row],[Date Assigned if different from entry date]]+30,IF(CommitmentsTable[[#This Row],[Date record entered]]&lt;&gt;"",CommitmentsTable[[#This Row],[Date record entered]]+30,""))</f>
        <v/>
      </c>
      <c r="K694" s="245"/>
      <c r="L694" s="245" t="str">
        <f ca="1">IF(CommitmentsTable[[#This Row],[Date Assigned if different from entry date]]&lt;&gt;"",CommitmentsTable[[#This Row],[Date Assigned if different from entry date]]+60,IF(CommitmentsTable[[#This Row],[Date record entered]]&lt;&gt;"",CommitmentsTable[[#This Row],[Date record entered]]+60,""))</f>
        <v/>
      </c>
      <c r="M694" s="214"/>
      <c r="N694" s="214"/>
      <c r="O694" s="236"/>
      <c r="P694" s="214"/>
      <c r="Q694" s="214"/>
      <c r="R694" s="214"/>
      <c r="S694" s="238" t="str">
        <f>IF(CommitmentsTable[[#This Row],[Commitment / deliverable]]="","",IF(CommitmentsTable[[#This Row],[Revised due]]&lt;&gt;"",CommitmentsTable[[#This Row],[Revised due]],CommitmentsTable[[#This Row],[Original due]]))</f>
        <v/>
      </c>
      <c r="T694" s="237" t="str">
        <f>IF(OR(CommitmentsTable[[#This Row],[Commitment / deliverable]]="",CommitmentsTable[[#This Row],[Owner]]=""),"",IF(CommitmentsTable[[#This Row],[Status2]]="","Open",CommitmentsTable[[#This Row],[Status2]]))</f>
        <v/>
      </c>
      <c r="U694" s="237" t="str">
        <f t="shared" ca="1" si="10"/>
        <v/>
      </c>
      <c r="V694" s="233"/>
      <c r="W694" s="63" t="s">
        <v>1596</v>
      </c>
    </row>
    <row r="695" spans="1:23" ht="26">
      <c r="A695" s="213" t="str">
        <f>IF(OR(CommitmentsTable[[#This Row],[Commitment / deliverable]]="",CommitmentsTable[[#This Row],[Immutable Key]]=""),"",SUBSTITUTE(CommitmentsTable[[#This Row],[Immutable Key]],"-K-","-"))</f>
        <v/>
      </c>
      <c r="B695" s="233"/>
      <c r="C695" s="233"/>
      <c r="D695" s="213"/>
      <c r="E695" s="230"/>
      <c r="F695" s="213"/>
      <c r="G695" s="245" t="str">
        <f ca="1">IF(CommitmentsTable[[#This Row],[Commitment / deliverable]]="","",IF(CommitmentsTable[[#This Row],[Date record entered]]="",TODAY(),CommitmentsTable[[#This Row],[Date record entered]]))</f>
        <v/>
      </c>
      <c r="H695" s="245"/>
      <c r="I695" s="245" t="str">
        <f ca="1">IF(CommitmentsTable[[#This Row],[Date Assigned if different from entry date]]&lt;&gt;"",CommitmentsTable[[#This Row],[Date Assigned if different from entry date]]+90,IF(CommitmentsTable[[#This Row],[Date record entered]]&lt;&gt;"",CommitmentsTable[[#This Row],[Date record entered]]+90,""))</f>
        <v/>
      </c>
      <c r="J695" s="245" t="str">
        <f ca="1">IF(CommitmentsTable[[#This Row],[Date Assigned if different from entry date]]&lt;&gt;"",CommitmentsTable[[#This Row],[Date Assigned if different from entry date]]+30,IF(CommitmentsTable[[#This Row],[Date record entered]]&lt;&gt;"",CommitmentsTable[[#This Row],[Date record entered]]+30,""))</f>
        <v/>
      </c>
      <c r="K695" s="245"/>
      <c r="L695" s="245" t="str">
        <f ca="1">IF(CommitmentsTable[[#This Row],[Date Assigned if different from entry date]]&lt;&gt;"",CommitmentsTable[[#This Row],[Date Assigned if different from entry date]]+60,IF(CommitmentsTable[[#This Row],[Date record entered]]&lt;&gt;"",CommitmentsTable[[#This Row],[Date record entered]]+60,""))</f>
        <v/>
      </c>
      <c r="M695" s="214"/>
      <c r="N695" s="214"/>
      <c r="O695" s="236"/>
      <c r="P695" s="214"/>
      <c r="Q695" s="214"/>
      <c r="R695" s="214"/>
      <c r="S695" s="238" t="str">
        <f>IF(CommitmentsTable[[#This Row],[Commitment / deliverable]]="","",IF(CommitmentsTable[[#This Row],[Revised due]]&lt;&gt;"",CommitmentsTable[[#This Row],[Revised due]],CommitmentsTable[[#This Row],[Original due]]))</f>
        <v/>
      </c>
      <c r="T695" s="237" t="str">
        <f>IF(OR(CommitmentsTable[[#This Row],[Commitment / deliverable]]="",CommitmentsTable[[#This Row],[Owner]]=""),"",IF(CommitmentsTable[[#This Row],[Status2]]="","Open",CommitmentsTable[[#This Row],[Status2]]))</f>
        <v/>
      </c>
      <c r="U695" s="237" t="str">
        <f t="shared" ca="1" si="10"/>
        <v/>
      </c>
      <c r="V695" s="233"/>
      <c r="W695" s="63" t="s">
        <v>1597</v>
      </c>
    </row>
    <row r="696" spans="1:23" ht="26">
      <c r="A696" s="213" t="str">
        <f>IF(OR(CommitmentsTable[[#This Row],[Commitment / deliverable]]="",CommitmentsTable[[#This Row],[Immutable Key]]=""),"",SUBSTITUTE(CommitmentsTable[[#This Row],[Immutable Key]],"-K-","-"))</f>
        <v/>
      </c>
      <c r="B696" s="233"/>
      <c r="C696" s="233"/>
      <c r="D696" s="213"/>
      <c r="E696" s="230"/>
      <c r="F696" s="213"/>
      <c r="G696" s="245" t="str">
        <f ca="1">IF(CommitmentsTable[[#This Row],[Commitment / deliverable]]="","",IF(CommitmentsTable[[#This Row],[Date record entered]]="",TODAY(),CommitmentsTable[[#This Row],[Date record entered]]))</f>
        <v/>
      </c>
      <c r="H696" s="245"/>
      <c r="I696" s="245" t="str">
        <f ca="1">IF(CommitmentsTable[[#This Row],[Date Assigned if different from entry date]]&lt;&gt;"",CommitmentsTable[[#This Row],[Date Assigned if different from entry date]]+90,IF(CommitmentsTable[[#This Row],[Date record entered]]&lt;&gt;"",CommitmentsTable[[#This Row],[Date record entered]]+90,""))</f>
        <v/>
      </c>
      <c r="J696" s="245" t="str">
        <f ca="1">IF(CommitmentsTable[[#This Row],[Date Assigned if different from entry date]]&lt;&gt;"",CommitmentsTable[[#This Row],[Date Assigned if different from entry date]]+30,IF(CommitmentsTable[[#This Row],[Date record entered]]&lt;&gt;"",CommitmentsTable[[#This Row],[Date record entered]]+30,""))</f>
        <v/>
      </c>
      <c r="K696" s="245"/>
      <c r="L696" s="245" t="str">
        <f ca="1">IF(CommitmentsTable[[#This Row],[Date Assigned if different from entry date]]&lt;&gt;"",CommitmentsTable[[#This Row],[Date Assigned if different from entry date]]+60,IF(CommitmentsTable[[#This Row],[Date record entered]]&lt;&gt;"",CommitmentsTable[[#This Row],[Date record entered]]+60,""))</f>
        <v/>
      </c>
      <c r="M696" s="214"/>
      <c r="N696" s="214"/>
      <c r="O696" s="236"/>
      <c r="P696" s="214"/>
      <c r="Q696" s="214"/>
      <c r="R696" s="214"/>
      <c r="S696" s="238" t="str">
        <f>IF(CommitmentsTable[[#This Row],[Commitment / deliverable]]="","",IF(CommitmentsTable[[#This Row],[Revised due]]&lt;&gt;"",CommitmentsTable[[#This Row],[Revised due]],CommitmentsTable[[#This Row],[Original due]]))</f>
        <v/>
      </c>
      <c r="T696" s="237" t="str">
        <f>IF(OR(CommitmentsTable[[#This Row],[Commitment / deliverable]]="",CommitmentsTable[[#This Row],[Owner]]=""),"",IF(CommitmentsTable[[#This Row],[Status2]]="","Open",CommitmentsTable[[#This Row],[Status2]]))</f>
        <v/>
      </c>
      <c r="U696" s="237" t="str">
        <f t="shared" ca="1" si="10"/>
        <v/>
      </c>
      <c r="V696" s="233"/>
      <c r="W696" s="63" t="s">
        <v>1598</v>
      </c>
    </row>
    <row r="697" spans="1:23" ht="26">
      <c r="A697" s="213" t="str">
        <f>IF(OR(CommitmentsTable[[#This Row],[Commitment / deliverable]]="",CommitmentsTable[[#This Row],[Immutable Key]]=""),"",SUBSTITUTE(CommitmentsTable[[#This Row],[Immutable Key]],"-K-","-"))</f>
        <v/>
      </c>
      <c r="B697" s="233"/>
      <c r="C697" s="233"/>
      <c r="D697" s="213"/>
      <c r="E697" s="230"/>
      <c r="F697" s="213"/>
      <c r="G697" s="245" t="str">
        <f ca="1">IF(CommitmentsTable[[#This Row],[Commitment / deliverable]]="","",IF(CommitmentsTable[[#This Row],[Date record entered]]="",TODAY(),CommitmentsTable[[#This Row],[Date record entered]]))</f>
        <v/>
      </c>
      <c r="H697" s="245"/>
      <c r="I697" s="245" t="str">
        <f ca="1">IF(CommitmentsTable[[#This Row],[Date Assigned if different from entry date]]&lt;&gt;"",CommitmentsTable[[#This Row],[Date Assigned if different from entry date]]+90,IF(CommitmentsTable[[#This Row],[Date record entered]]&lt;&gt;"",CommitmentsTable[[#This Row],[Date record entered]]+90,""))</f>
        <v/>
      </c>
      <c r="J697" s="245" t="str">
        <f ca="1">IF(CommitmentsTable[[#This Row],[Date Assigned if different from entry date]]&lt;&gt;"",CommitmentsTable[[#This Row],[Date Assigned if different from entry date]]+30,IF(CommitmentsTable[[#This Row],[Date record entered]]&lt;&gt;"",CommitmentsTable[[#This Row],[Date record entered]]+30,""))</f>
        <v/>
      </c>
      <c r="K697" s="245"/>
      <c r="L697" s="245" t="str">
        <f ca="1">IF(CommitmentsTable[[#This Row],[Date Assigned if different from entry date]]&lt;&gt;"",CommitmentsTable[[#This Row],[Date Assigned if different from entry date]]+60,IF(CommitmentsTable[[#This Row],[Date record entered]]&lt;&gt;"",CommitmentsTable[[#This Row],[Date record entered]]+60,""))</f>
        <v/>
      </c>
      <c r="M697" s="214"/>
      <c r="N697" s="214"/>
      <c r="O697" s="236"/>
      <c r="P697" s="214"/>
      <c r="Q697" s="214"/>
      <c r="R697" s="214"/>
      <c r="S697" s="238" t="str">
        <f>IF(CommitmentsTable[[#This Row],[Commitment / deliverable]]="","",IF(CommitmentsTable[[#This Row],[Revised due]]&lt;&gt;"",CommitmentsTable[[#This Row],[Revised due]],CommitmentsTable[[#This Row],[Original due]]))</f>
        <v/>
      </c>
      <c r="T697" s="237" t="str">
        <f>IF(OR(CommitmentsTable[[#This Row],[Commitment / deliverable]]="",CommitmentsTable[[#This Row],[Owner]]=""),"",IF(CommitmentsTable[[#This Row],[Status2]]="","Open",CommitmentsTable[[#This Row],[Status2]]))</f>
        <v/>
      </c>
      <c r="U697" s="237" t="str">
        <f t="shared" ca="1" si="10"/>
        <v/>
      </c>
      <c r="V697" s="233"/>
      <c r="W697" s="63" t="s">
        <v>1599</v>
      </c>
    </row>
    <row r="698" spans="1:23" ht="26">
      <c r="A698" s="213" t="str">
        <f>IF(OR(CommitmentsTable[[#This Row],[Commitment / deliverable]]="",CommitmentsTable[[#This Row],[Immutable Key]]=""),"",SUBSTITUTE(CommitmentsTable[[#This Row],[Immutable Key]],"-K-","-"))</f>
        <v/>
      </c>
      <c r="B698" s="233"/>
      <c r="C698" s="233"/>
      <c r="D698" s="213"/>
      <c r="E698" s="230"/>
      <c r="F698" s="213"/>
      <c r="G698" s="245" t="str">
        <f ca="1">IF(CommitmentsTable[[#This Row],[Commitment / deliverable]]="","",IF(CommitmentsTable[[#This Row],[Date record entered]]="",TODAY(),CommitmentsTable[[#This Row],[Date record entered]]))</f>
        <v/>
      </c>
      <c r="H698" s="245"/>
      <c r="I698" s="245" t="str">
        <f ca="1">IF(CommitmentsTable[[#This Row],[Date Assigned if different from entry date]]&lt;&gt;"",CommitmentsTable[[#This Row],[Date Assigned if different from entry date]]+90,IF(CommitmentsTable[[#This Row],[Date record entered]]&lt;&gt;"",CommitmentsTable[[#This Row],[Date record entered]]+90,""))</f>
        <v/>
      </c>
      <c r="J698" s="245" t="str">
        <f ca="1">IF(CommitmentsTable[[#This Row],[Date Assigned if different from entry date]]&lt;&gt;"",CommitmentsTable[[#This Row],[Date Assigned if different from entry date]]+30,IF(CommitmentsTable[[#This Row],[Date record entered]]&lt;&gt;"",CommitmentsTable[[#This Row],[Date record entered]]+30,""))</f>
        <v/>
      </c>
      <c r="K698" s="245"/>
      <c r="L698" s="245" t="str">
        <f ca="1">IF(CommitmentsTable[[#This Row],[Date Assigned if different from entry date]]&lt;&gt;"",CommitmentsTable[[#This Row],[Date Assigned if different from entry date]]+60,IF(CommitmentsTable[[#This Row],[Date record entered]]&lt;&gt;"",CommitmentsTable[[#This Row],[Date record entered]]+60,""))</f>
        <v/>
      </c>
      <c r="M698" s="214"/>
      <c r="N698" s="214"/>
      <c r="O698" s="236"/>
      <c r="P698" s="214"/>
      <c r="Q698" s="214"/>
      <c r="R698" s="214"/>
      <c r="S698" s="238" t="str">
        <f>IF(CommitmentsTable[[#This Row],[Commitment / deliverable]]="","",IF(CommitmentsTable[[#This Row],[Revised due]]&lt;&gt;"",CommitmentsTable[[#This Row],[Revised due]],CommitmentsTable[[#This Row],[Original due]]))</f>
        <v/>
      </c>
      <c r="T698" s="237" t="str">
        <f>IF(OR(CommitmentsTable[[#This Row],[Commitment / deliverable]]="",CommitmentsTable[[#This Row],[Owner]]=""),"",IF(CommitmentsTable[[#This Row],[Status2]]="","Open",CommitmentsTable[[#This Row],[Status2]]))</f>
        <v/>
      </c>
      <c r="U698" s="237" t="str">
        <f t="shared" ca="1" si="10"/>
        <v/>
      </c>
      <c r="V698" s="233"/>
      <c r="W698" s="63" t="s">
        <v>1600</v>
      </c>
    </row>
    <row r="699" spans="1:23" ht="26">
      <c r="A699" s="213" t="str">
        <f>IF(OR(CommitmentsTable[[#This Row],[Commitment / deliverable]]="",CommitmentsTable[[#This Row],[Immutable Key]]=""),"",SUBSTITUTE(CommitmentsTable[[#This Row],[Immutable Key]],"-K-","-"))</f>
        <v/>
      </c>
      <c r="B699" s="233"/>
      <c r="C699" s="233"/>
      <c r="D699" s="213"/>
      <c r="E699" s="230"/>
      <c r="F699" s="213"/>
      <c r="G699" s="245" t="str">
        <f ca="1">IF(CommitmentsTable[[#This Row],[Commitment / deliverable]]="","",IF(CommitmentsTable[[#This Row],[Date record entered]]="",TODAY(),CommitmentsTable[[#This Row],[Date record entered]]))</f>
        <v/>
      </c>
      <c r="H699" s="245"/>
      <c r="I699" s="245" t="str">
        <f ca="1">IF(CommitmentsTable[[#This Row],[Date Assigned if different from entry date]]&lt;&gt;"",CommitmentsTable[[#This Row],[Date Assigned if different from entry date]]+90,IF(CommitmentsTable[[#This Row],[Date record entered]]&lt;&gt;"",CommitmentsTable[[#This Row],[Date record entered]]+90,""))</f>
        <v/>
      </c>
      <c r="J699" s="245" t="str">
        <f ca="1">IF(CommitmentsTable[[#This Row],[Date Assigned if different from entry date]]&lt;&gt;"",CommitmentsTable[[#This Row],[Date Assigned if different from entry date]]+30,IF(CommitmentsTable[[#This Row],[Date record entered]]&lt;&gt;"",CommitmentsTable[[#This Row],[Date record entered]]+30,""))</f>
        <v/>
      </c>
      <c r="K699" s="245"/>
      <c r="L699" s="245" t="str">
        <f ca="1">IF(CommitmentsTable[[#This Row],[Date Assigned if different from entry date]]&lt;&gt;"",CommitmentsTable[[#This Row],[Date Assigned if different from entry date]]+60,IF(CommitmentsTable[[#This Row],[Date record entered]]&lt;&gt;"",CommitmentsTable[[#This Row],[Date record entered]]+60,""))</f>
        <v/>
      </c>
      <c r="M699" s="214"/>
      <c r="N699" s="214"/>
      <c r="O699" s="236"/>
      <c r="P699" s="214"/>
      <c r="Q699" s="214"/>
      <c r="R699" s="214"/>
      <c r="S699" s="238" t="str">
        <f>IF(CommitmentsTable[[#This Row],[Commitment / deliverable]]="","",IF(CommitmentsTable[[#This Row],[Revised due]]&lt;&gt;"",CommitmentsTable[[#This Row],[Revised due]],CommitmentsTable[[#This Row],[Original due]]))</f>
        <v/>
      </c>
      <c r="T699" s="237" t="str">
        <f>IF(OR(CommitmentsTable[[#This Row],[Commitment / deliverable]]="",CommitmentsTable[[#This Row],[Owner]]=""),"",IF(CommitmentsTable[[#This Row],[Status2]]="","Open",CommitmentsTable[[#This Row],[Status2]]))</f>
        <v/>
      </c>
      <c r="U699" s="237" t="str">
        <f t="shared" ca="1" si="10"/>
        <v/>
      </c>
      <c r="V699" s="233"/>
      <c r="W699" s="63" t="s">
        <v>1601</v>
      </c>
    </row>
    <row r="700" spans="1:23" ht="26">
      <c r="A700" s="213" t="str">
        <f>IF(OR(CommitmentsTable[[#This Row],[Commitment / deliverable]]="",CommitmentsTable[[#This Row],[Immutable Key]]=""),"",SUBSTITUTE(CommitmentsTable[[#This Row],[Immutable Key]],"-K-","-"))</f>
        <v/>
      </c>
      <c r="B700" s="233"/>
      <c r="C700" s="233"/>
      <c r="D700" s="213"/>
      <c r="E700" s="230"/>
      <c r="F700" s="213"/>
      <c r="G700" s="245" t="str">
        <f ca="1">IF(CommitmentsTable[[#This Row],[Commitment / deliverable]]="","",IF(CommitmentsTable[[#This Row],[Date record entered]]="",TODAY(),CommitmentsTable[[#This Row],[Date record entered]]))</f>
        <v/>
      </c>
      <c r="H700" s="245"/>
      <c r="I700" s="245" t="str">
        <f ca="1">IF(CommitmentsTable[[#This Row],[Date Assigned if different from entry date]]&lt;&gt;"",CommitmentsTable[[#This Row],[Date Assigned if different from entry date]]+90,IF(CommitmentsTable[[#This Row],[Date record entered]]&lt;&gt;"",CommitmentsTable[[#This Row],[Date record entered]]+90,""))</f>
        <v/>
      </c>
      <c r="J700" s="245" t="str">
        <f ca="1">IF(CommitmentsTable[[#This Row],[Date Assigned if different from entry date]]&lt;&gt;"",CommitmentsTable[[#This Row],[Date Assigned if different from entry date]]+30,IF(CommitmentsTable[[#This Row],[Date record entered]]&lt;&gt;"",CommitmentsTable[[#This Row],[Date record entered]]+30,""))</f>
        <v/>
      </c>
      <c r="K700" s="245"/>
      <c r="L700" s="245" t="str">
        <f ca="1">IF(CommitmentsTable[[#This Row],[Date Assigned if different from entry date]]&lt;&gt;"",CommitmentsTable[[#This Row],[Date Assigned if different from entry date]]+60,IF(CommitmentsTable[[#This Row],[Date record entered]]&lt;&gt;"",CommitmentsTable[[#This Row],[Date record entered]]+60,""))</f>
        <v/>
      </c>
      <c r="M700" s="214"/>
      <c r="N700" s="214"/>
      <c r="O700" s="236"/>
      <c r="P700" s="214"/>
      <c r="Q700" s="214"/>
      <c r="R700" s="214"/>
      <c r="S700" s="238" t="str">
        <f>IF(CommitmentsTable[[#This Row],[Commitment / deliverable]]="","",IF(CommitmentsTable[[#This Row],[Revised due]]&lt;&gt;"",CommitmentsTable[[#This Row],[Revised due]],CommitmentsTable[[#This Row],[Original due]]))</f>
        <v/>
      </c>
      <c r="T700" s="237" t="str">
        <f>IF(OR(CommitmentsTable[[#This Row],[Commitment / deliverable]]="",CommitmentsTable[[#This Row],[Owner]]=""),"",IF(CommitmentsTable[[#This Row],[Status2]]="","Open",CommitmentsTable[[#This Row],[Status2]]))</f>
        <v/>
      </c>
      <c r="U700" s="237" t="str">
        <f t="shared" ca="1" si="10"/>
        <v/>
      </c>
      <c r="V700" s="233"/>
      <c r="W700" s="63" t="s">
        <v>1602</v>
      </c>
    </row>
    <row r="701" spans="1:23" ht="26">
      <c r="A701" s="213" t="str">
        <f>IF(OR(CommitmentsTable[[#This Row],[Commitment / deliverable]]="",CommitmentsTable[[#This Row],[Immutable Key]]=""),"",SUBSTITUTE(CommitmentsTable[[#This Row],[Immutable Key]],"-K-","-"))</f>
        <v/>
      </c>
      <c r="B701" s="233"/>
      <c r="C701" s="233"/>
      <c r="D701" s="213"/>
      <c r="E701" s="230"/>
      <c r="F701" s="213"/>
      <c r="G701" s="245" t="str">
        <f ca="1">IF(CommitmentsTable[[#This Row],[Commitment / deliverable]]="","",IF(CommitmentsTable[[#This Row],[Date record entered]]="",TODAY(),CommitmentsTable[[#This Row],[Date record entered]]))</f>
        <v/>
      </c>
      <c r="H701" s="245"/>
      <c r="I701" s="245" t="str">
        <f ca="1">IF(CommitmentsTable[[#This Row],[Date Assigned if different from entry date]]&lt;&gt;"",CommitmentsTable[[#This Row],[Date Assigned if different from entry date]]+90,IF(CommitmentsTable[[#This Row],[Date record entered]]&lt;&gt;"",CommitmentsTable[[#This Row],[Date record entered]]+90,""))</f>
        <v/>
      </c>
      <c r="J701" s="245" t="str">
        <f ca="1">IF(CommitmentsTable[[#This Row],[Date Assigned if different from entry date]]&lt;&gt;"",CommitmentsTable[[#This Row],[Date Assigned if different from entry date]]+30,IF(CommitmentsTable[[#This Row],[Date record entered]]&lt;&gt;"",CommitmentsTable[[#This Row],[Date record entered]]+30,""))</f>
        <v/>
      </c>
      <c r="K701" s="245"/>
      <c r="L701" s="245" t="str">
        <f ca="1">IF(CommitmentsTable[[#This Row],[Date Assigned if different from entry date]]&lt;&gt;"",CommitmentsTable[[#This Row],[Date Assigned if different from entry date]]+60,IF(CommitmentsTable[[#This Row],[Date record entered]]&lt;&gt;"",CommitmentsTable[[#This Row],[Date record entered]]+60,""))</f>
        <v/>
      </c>
      <c r="M701" s="214"/>
      <c r="N701" s="214"/>
      <c r="O701" s="236"/>
      <c r="P701" s="214"/>
      <c r="Q701" s="214"/>
      <c r="R701" s="214"/>
      <c r="S701" s="238" t="str">
        <f>IF(CommitmentsTable[[#This Row],[Commitment / deliverable]]="","",IF(CommitmentsTable[[#This Row],[Revised due]]&lt;&gt;"",CommitmentsTable[[#This Row],[Revised due]],CommitmentsTable[[#This Row],[Original due]]))</f>
        <v/>
      </c>
      <c r="T701" s="237" t="str">
        <f>IF(OR(CommitmentsTable[[#This Row],[Commitment / deliverable]]="",CommitmentsTable[[#This Row],[Owner]]=""),"",IF(CommitmentsTable[[#This Row],[Status2]]="","Open",CommitmentsTable[[#This Row],[Status2]]))</f>
        <v/>
      </c>
      <c r="U701" s="237" t="str">
        <f t="shared" ca="1" si="10"/>
        <v/>
      </c>
      <c r="V701" s="233"/>
      <c r="W701" s="63" t="s">
        <v>1603</v>
      </c>
    </row>
    <row r="702" spans="1:23" ht="26">
      <c r="A702" s="213" t="str">
        <f>IF(OR(CommitmentsTable[[#This Row],[Commitment / deliverable]]="",CommitmentsTable[[#This Row],[Immutable Key]]=""),"",SUBSTITUTE(CommitmentsTable[[#This Row],[Immutable Key]],"-K-","-"))</f>
        <v/>
      </c>
      <c r="B702" s="233"/>
      <c r="C702" s="233"/>
      <c r="D702" s="213"/>
      <c r="E702" s="230"/>
      <c r="F702" s="213"/>
      <c r="G702" s="245" t="str">
        <f ca="1">IF(CommitmentsTable[[#This Row],[Commitment / deliverable]]="","",IF(CommitmentsTable[[#This Row],[Date record entered]]="",TODAY(),CommitmentsTable[[#This Row],[Date record entered]]))</f>
        <v/>
      </c>
      <c r="H702" s="245"/>
      <c r="I702" s="245" t="str">
        <f ca="1">IF(CommitmentsTable[[#This Row],[Date Assigned if different from entry date]]&lt;&gt;"",CommitmentsTable[[#This Row],[Date Assigned if different from entry date]]+90,IF(CommitmentsTable[[#This Row],[Date record entered]]&lt;&gt;"",CommitmentsTable[[#This Row],[Date record entered]]+90,""))</f>
        <v/>
      </c>
      <c r="J702" s="245" t="str">
        <f ca="1">IF(CommitmentsTable[[#This Row],[Date Assigned if different from entry date]]&lt;&gt;"",CommitmentsTable[[#This Row],[Date Assigned if different from entry date]]+30,IF(CommitmentsTable[[#This Row],[Date record entered]]&lt;&gt;"",CommitmentsTable[[#This Row],[Date record entered]]+30,""))</f>
        <v/>
      </c>
      <c r="K702" s="245"/>
      <c r="L702" s="245" t="str">
        <f ca="1">IF(CommitmentsTable[[#This Row],[Date Assigned if different from entry date]]&lt;&gt;"",CommitmentsTable[[#This Row],[Date Assigned if different from entry date]]+60,IF(CommitmentsTable[[#This Row],[Date record entered]]&lt;&gt;"",CommitmentsTable[[#This Row],[Date record entered]]+60,""))</f>
        <v/>
      </c>
      <c r="M702" s="214"/>
      <c r="N702" s="214"/>
      <c r="O702" s="236"/>
      <c r="P702" s="214"/>
      <c r="Q702" s="214"/>
      <c r="R702" s="214"/>
      <c r="S702" s="238" t="str">
        <f>IF(CommitmentsTable[[#This Row],[Commitment / deliverable]]="","",IF(CommitmentsTable[[#This Row],[Revised due]]&lt;&gt;"",CommitmentsTable[[#This Row],[Revised due]],CommitmentsTable[[#This Row],[Original due]]))</f>
        <v/>
      </c>
      <c r="T702" s="237" t="str">
        <f>IF(OR(CommitmentsTable[[#This Row],[Commitment / deliverable]]="",CommitmentsTable[[#This Row],[Owner]]=""),"",IF(CommitmentsTable[[#This Row],[Status2]]="","Open",CommitmentsTable[[#This Row],[Status2]]))</f>
        <v/>
      </c>
      <c r="U702" s="237" t="str">
        <f t="shared" ca="1" si="10"/>
        <v/>
      </c>
      <c r="V702" s="233"/>
      <c r="W702" s="63" t="s">
        <v>1604</v>
      </c>
    </row>
    <row r="703" spans="1:23" ht="26">
      <c r="A703" s="213" t="str">
        <f>IF(OR(CommitmentsTable[[#This Row],[Commitment / deliverable]]="",CommitmentsTable[[#This Row],[Immutable Key]]=""),"",SUBSTITUTE(CommitmentsTable[[#This Row],[Immutable Key]],"-K-","-"))</f>
        <v/>
      </c>
      <c r="B703" s="233"/>
      <c r="C703" s="233"/>
      <c r="D703" s="213"/>
      <c r="E703" s="230"/>
      <c r="F703" s="213"/>
      <c r="G703" s="245" t="str">
        <f ca="1">IF(CommitmentsTable[[#This Row],[Commitment / deliverable]]="","",IF(CommitmentsTable[[#This Row],[Date record entered]]="",TODAY(),CommitmentsTable[[#This Row],[Date record entered]]))</f>
        <v/>
      </c>
      <c r="H703" s="245"/>
      <c r="I703" s="245" t="str">
        <f ca="1">IF(CommitmentsTable[[#This Row],[Date Assigned if different from entry date]]&lt;&gt;"",CommitmentsTable[[#This Row],[Date Assigned if different from entry date]]+90,IF(CommitmentsTable[[#This Row],[Date record entered]]&lt;&gt;"",CommitmentsTable[[#This Row],[Date record entered]]+90,""))</f>
        <v/>
      </c>
      <c r="J703" s="245" t="str">
        <f ca="1">IF(CommitmentsTable[[#This Row],[Date Assigned if different from entry date]]&lt;&gt;"",CommitmentsTable[[#This Row],[Date Assigned if different from entry date]]+30,IF(CommitmentsTable[[#This Row],[Date record entered]]&lt;&gt;"",CommitmentsTable[[#This Row],[Date record entered]]+30,""))</f>
        <v/>
      </c>
      <c r="K703" s="245"/>
      <c r="L703" s="245" t="str">
        <f ca="1">IF(CommitmentsTable[[#This Row],[Date Assigned if different from entry date]]&lt;&gt;"",CommitmentsTable[[#This Row],[Date Assigned if different from entry date]]+60,IF(CommitmentsTable[[#This Row],[Date record entered]]&lt;&gt;"",CommitmentsTable[[#This Row],[Date record entered]]+60,""))</f>
        <v/>
      </c>
      <c r="M703" s="214"/>
      <c r="N703" s="214"/>
      <c r="O703" s="236"/>
      <c r="P703" s="214"/>
      <c r="Q703" s="214"/>
      <c r="R703" s="214"/>
      <c r="S703" s="238" t="str">
        <f>IF(CommitmentsTable[[#This Row],[Commitment / deliverable]]="","",IF(CommitmentsTable[[#This Row],[Revised due]]&lt;&gt;"",CommitmentsTable[[#This Row],[Revised due]],CommitmentsTable[[#This Row],[Original due]]))</f>
        <v/>
      </c>
      <c r="T703" s="237" t="str">
        <f>IF(OR(CommitmentsTable[[#This Row],[Commitment / deliverable]]="",CommitmentsTable[[#This Row],[Owner]]=""),"",IF(CommitmentsTable[[#This Row],[Status2]]="","Open",CommitmentsTable[[#This Row],[Status2]]))</f>
        <v/>
      </c>
      <c r="U703" s="237" t="str">
        <f t="shared" ca="1" si="10"/>
        <v/>
      </c>
      <c r="V703" s="233"/>
      <c r="W703" s="63" t="s">
        <v>1605</v>
      </c>
    </row>
    <row r="704" spans="1:23" ht="26">
      <c r="A704" s="213" t="str">
        <f>IF(OR(CommitmentsTable[[#This Row],[Commitment / deliverable]]="",CommitmentsTable[[#This Row],[Immutable Key]]=""),"",SUBSTITUTE(CommitmentsTable[[#This Row],[Immutable Key]],"-K-","-"))</f>
        <v/>
      </c>
      <c r="B704" s="233"/>
      <c r="C704" s="233"/>
      <c r="D704" s="213"/>
      <c r="E704" s="230"/>
      <c r="F704" s="213"/>
      <c r="G704" s="245" t="str">
        <f ca="1">IF(CommitmentsTable[[#This Row],[Commitment / deliverable]]="","",IF(CommitmentsTable[[#This Row],[Date record entered]]="",TODAY(),CommitmentsTable[[#This Row],[Date record entered]]))</f>
        <v/>
      </c>
      <c r="H704" s="245"/>
      <c r="I704" s="245" t="str">
        <f ca="1">IF(CommitmentsTable[[#This Row],[Date Assigned if different from entry date]]&lt;&gt;"",CommitmentsTable[[#This Row],[Date Assigned if different from entry date]]+90,IF(CommitmentsTable[[#This Row],[Date record entered]]&lt;&gt;"",CommitmentsTable[[#This Row],[Date record entered]]+90,""))</f>
        <v/>
      </c>
      <c r="J704" s="245" t="str">
        <f ca="1">IF(CommitmentsTable[[#This Row],[Date Assigned if different from entry date]]&lt;&gt;"",CommitmentsTable[[#This Row],[Date Assigned if different from entry date]]+30,IF(CommitmentsTable[[#This Row],[Date record entered]]&lt;&gt;"",CommitmentsTable[[#This Row],[Date record entered]]+30,""))</f>
        <v/>
      </c>
      <c r="K704" s="245"/>
      <c r="L704" s="245" t="str">
        <f ca="1">IF(CommitmentsTable[[#This Row],[Date Assigned if different from entry date]]&lt;&gt;"",CommitmentsTable[[#This Row],[Date Assigned if different from entry date]]+60,IF(CommitmentsTable[[#This Row],[Date record entered]]&lt;&gt;"",CommitmentsTable[[#This Row],[Date record entered]]+60,""))</f>
        <v/>
      </c>
      <c r="M704" s="214"/>
      <c r="N704" s="214"/>
      <c r="O704" s="236"/>
      <c r="P704" s="214"/>
      <c r="Q704" s="214"/>
      <c r="R704" s="214"/>
      <c r="S704" s="238" t="str">
        <f>IF(CommitmentsTable[[#This Row],[Commitment / deliverable]]="","",IF(CommitmentsTable[[#This Row],[Revised due]]&lt;&gt;"",CommitmentsTable[[#This Row],[Revised due]],CommitmentsTable[[#This Row],[Original due]]))</f>
        <v/>
      </c>
      <c r="T704" s="237" t="str">
        <f>IF(OR(CommitmentsTable[[#This Row],[Commitment / deliverable]]="",CommitmentsTable[[#This Row],[Owner]]=""),"",IF(CommitmentsTable[[#This Row],[Status2]]="","Open",CommitmentsTable[[#This Row],[Status2]]))</f>
        <v/>
      </c>
      <c r="U704" s="237" t="str">
        <f t="shared" ca="1" si="10"/>
        <v/>
      </c>
      <c r="V704" s="233"/>
      <c r="W704" s="63" t="s">
        <v>1606</v>
      </c>
    </row>
    <row r="705" spans="1:23" ht="26">
      <c r="A705" s="213" t="str">
        <f>IF(OR(CommitmentsTable[[#This Row],[Commitment / deliverable]]="",CommitmentsTable[[#This Row],[Immutable Key]]=""),"",SUBSTITUTE(CommitmentsTable[[#This Row],[Immutable Key]],"-K-","-"))</f>
        <v/>
      </c>
      <c r="B705" s="233"/>
      <c r="C705" s="233"/>
      <c r="D705" s="213"/>
      <c r="E705" s="230"/>
      <c r="F705" s="213"/>
      <c r="G705" s="245" t="str">
        <f ca="1">IF(CommitmentsTable[[#This Row],[Commitment / deliverable]]="","",IF(CommitmentsTable[[#This Row],[Date record entered]]="",TODAY(),CommitmentsTable[[#This Row],[Date record entered]]))</f>
        <v/>
      </c>
      <c r="H705" s="245"/>
      <c r="I705" s="245" t="str">
        <f ca="1">IF(CommitmentsTable[[#This Row],[Date Assigned if different from entry date]]&lt;&gt;"",CommitmentsTable[[#This Row],[Date Assigned if different from entry date]]+90,IF(CommitmentsTable[[#This Row],[Date record entered]]&lt;&gt;"",CommitmentsTable[[#This Row],[Date record entered]]+90,""))</f>
        <v/>
      </c>
      <c r="J705" s="245" t="str">
        <f ca="1">IF(CommitmentsTable[[#This Row],[Date Assigned if different from entry date]]&lt;&gt;"",CommitmentsTable[[#This Row],[Date Assigned if different from entry date]]+30,IF(CommitmentsTable[[#This Row],[Date record entered]]&lt;&gt;"",CommitmentsTable[[#This Row],[Date record entered]]+30,""))</f>
        <v/>
      </c>
      <c r="K705" s="245"/>
      <c r="L705" s="245" t="str">
        <f ca="1">IF(CommitmentsTable[[#This Row],[Date Assigned if different from entry date]]&lt;&gt;"",CommitmentsTable[[#This Row],[Date Assigned if different from entry date]]+60,IF(CommitmentsTable[[#This Row],[Date record entered]]&lt;&gt;"",CommitmentsTable[[#This Row],[Date record entered]]+60,""))</f>
        <v/>
      </c>
      <c r="M705" s="214"/>
      <c r="N705" s="214"/>
      <c r="O705" s="236"/>
      <c r="P705" s="214"/>
      <c r="Q705" s="214"/>
      <c r="R705" s="214"/>
      <c r="S705" s="238" t="str">
        <f>IF(CommitmentsTable[[#This Row],[Commitment / deliverable]]="","",IF(CommitmentsTable[[#This Row],[Revised due]]&lt;&gt;"",CommitmentsTable[[#This Row],[Revised due]],CommitmentsTable[[#This Row],[Original due]]))</f>
        <v/>
      </c>
      <c r="T705" s="237" t="str">
        <f>IF(OR(CommitmentsTable[[#This Row],[Commitment / deliverable]]="",CommitmentsTable[[#This Row],[Owner]]=""),"",IF(CommitmentsTable[[#This Row],[Status2]]="","Open",CommitmentsTable[[#This Row],[Status2]]))</f>
        <v/>
      </c>
      <c r="U705" s="237" t="str">
        <f t="shared" ca="1" si="10"/>
        <v/>
      </c>
      <c r="V705" s="233"/>
      <c r="W705" s="63" t="s">
        <v>1607</v>
      </c>
    </row>
    <row r="706" spans="1:23" ht="26">
      <c r="A706" s="213" t="str">
        <f>IF(OR(CommitmentsTable[[#This Row],[Commitment / deliverable]]="",CommitmentsTable[[#This Row],[Immutable Key]]=""),"",SUBSTITUTE(CommitmentsTable[[#This Row],[Immutable Key]],"-K-","-"))</f>
        <v/>
      </c>
      <c r="B706" s="233"/>
      <c r="C706" s="233"/>
      <c r="D706" s="213"/>
      <c r="E706" s="230"/>
      <c r="F706" s="213"/>
      <c r="G706" s="245" t="str">
        <f ca="1">IF(CommitmentsTable[[#This Row],[Commitment / deliverable]]="","",IF(CommitmentsTable[[#This Row],[Date record entered]]="",TODAY(),CommitmentsTable[[#This Row],[Date record entered]]))</f>
        <v/>
      </c>
      <c r="H706" s="245"/>
      <c r="I706" s="245" t="str">
        <f ca="1">IF(CommitmentsTable[[#This Row],[Date Assigned if different from entry date]]&lt;&gt;"",CommitmentsTable[[#This Row],[Date Assigned if different from entry date]]+90,IF(CommitmentsTable[[#This Row],[Date record entered]]&lt;&gt;"",CommitmentsTable[[#This Row],[Date record entered]]+90,""))</f>
        <v/>
      </c>
      <c r="J706" s="245" t="str">
        <f ca="1">IF(CommitmentsTable[[#This Row],[Date Assigned if different from entry date]]&lt;&gt;"",CommitmentsTable[[#This Row],[Date Assigned if different from entry date]]+30,IF(CommitmentsTable[[#This Row],[Date record entered]]&lt;&gt;"",CommitmentsTable[[#This Row],[Date record entered]]+30,""))</f>
        <v/>
      </c>
      <c r="K706" s="245"/>
      <c r="L706" s="245" t="str">
        <f ca="1">IF(CommitmentsTable[[#This Row],[Date Assigned if different from entry date]]&lt;&gt;"",CommitmentsTable[[#This Row],[Date Assigned if different from entry date]]+60,IF(CommitmentsTable[[#This Row],[Date record entered]]&lt;&gt;"",CommitmentsTable[[#This Row],[Date record entered]]+60,""))</f>
        <v/>
      </c>
      <c r="M706" s="214"/>
      <c r="N706" s="214"/>
      <c r="O706" s="236"/>
      <c r="P706" s="214"/>
      <c r="Q706" s="214"/>
      <c r="R706" s="214"/>
      <c r="S706" s="238" t="str">
        <f>IF(CommitmentsTable[[#This Row],[Commitment / deliverable]]="","",IF(CommitmentsTable[[#This Row],[Revised due]]&lt;&gt;"",CommitmentsTable[[#This Row],[Revised due]],CommitmentsTable[[#This Row],[Original due]]))</f>
        <v/>
      </c>
      <c r="T706" s="237" t="str">
        <f>IF(OR(CommitmentsTable[[#This Row],[Commitment / deliverable]]="",CommitmentsTable[[#This Row],[Owner]]=""),"",IF(CommitmentsTable[[#This Row],[Status2]]="","Open",CommitmentsTable[[#This Row],[Status2]]))</f>
        <v/>
      </c>
      <c r="U706" s="237" t="str">
        <f t="shared" ca="1" si="10"/>
        <v/>
      </c>
      <c r="V706" s="233"/>
      <c r="W706" s="63" t="s">
        <v>1608</v>
      </c>
    </row>
    <row r="707" spans="1:23" ht="26">
      <c r="A707" s="213" t="str">
        <f>IF(OR(CommitmentsTable[[#This Row],[Commitment / deliverable]]="",CommitmentsTable[[#This Row],[Immutable Key]]=""),"",SUBSTITUTE(CommitmentsTable[[#This Row],[Immutable Key]],"-K-","-"))</f>
        <v/>
      </c>
      <c r="B707" s="233"/>
      <c r="C707" s="233"/>
      <c r="D707" s="213"/>
      <c r="E707" s="230"/>
      <c r="F707" s="213"/>
      <c r="G707" s="245" t="str">
        <f ca="1">IF(CommitmentsTable[[#This Row],[Commitment / deliverable]]="","",IF(CommitmentsTable[[#This Row],[Date record entered]]="",TODAY(),CommitmentsTable[[#This Row],[Date record entered]]))</f>
        <v/>
      </c>
      <c r="H707" s="245"/>
      <c r="I707" s="245" t="str">
        <f ca="1">IF(CommitmentsTable[[#This Row],[Date Assigned if different from entry date]]&lt;&gt;"",CommitmentsTable[[#This Row],[Date Assigned if different from entry date]]+90,IF(CommitmentsTable[[#This Row],[Date record entered]]&lt;&gt;"",CommitmentsTable[[#This Row],[Date record entered]]+90,""))</f>
        <v/>
      </c>
      <c r="J707" s="245" t="str">
        <f ca="1">IF(CommitmentsTable[[#This Row],[Date Assigned if different from entry date]]&lt;&gt;"",CommitmentsTable[[#This Row],[Date Assigned if different from entry date]]+30,IF(CommitmentsTable[[#This Row],[Date record entered]]&lt;&gt;"",CommitmentsTable[[#This Row],[Date record entered]]+30,""))</f>
        <v/>
      </c>
      <c r="K707" s="245"/>
      <c r="L707" s="245" t="str">
        <f ca="1">IF(CommitmentsTable[[#This Row],[Date Assigned if different from entry date]]&lt;&gt;"",CommitmentsTable[[#This Row],[Date Assigned if different from entry date]]+60,IF(CommitmentsTable[[#This Row],[Date record entered]]&lt;&gt;"",CommitmentsTable[[#This Row],[Date record entered]]+60,""))</f>
        <v/>
      </c>
      <c r="M707" s="214"/>
      <c r="N707" s="214"/>
      <c r="O707" s="236"/>
      <c r="P707" s="214"/>
      <c r="Q707" s="214"/>
      <c r="R707" s="214"/>
      <c r="S707" s="238" t="str">
        <f>IF(CommitmentsTable[[#This Row],[Commitment / deliverable]]="","",IF(CommitmentsTable[[#This Row],[Revised due]]&lt;&gt;"",CommitmentsTable[[#This Row],[Revised due]],CommitmentsTable[[#This Row],[Original due]]))</f>
        <v/>
      </c>
      <c r="T707" s="237" t="str">
        <f>IF(OR(CommitmentsTable[[#This Row],[Commitment / deliverable]]="",CommitmentsTable[[#This Row],[Owner]]=""),"",IF(CommitmentsTable[[#This Row],[Status2]]="","Open",CommitmentsTable[[#This Row],[Status2]]))</f>
        <v/>
      </c>
      <c r="U707" s="237" t="str">
        <f t="shared" ca="1" si="10"/>
        <v/>
      </c>
      <c r="V707" s="233"/>
      <c r="W707" s="63" t="s">
        <v>1609</v>
      </c>
    </row>
    <row r="708" spans="1:23" ht="26">
      <c r="A708" s="213" t="str">
        <f>IF(OR(CommitmentsTable[[#This Row],[Commitment / deliverable]]="",CommitmentsTable[[#This Row],[Immutable Key]]=""),"",SUBSTITUTE(CommitmentsTable[[#This Row],[Immutable Key]],"-K-","-"))</f>
        <v/>
      </c>
      <c r="B708" s="233"/>
      <c r="C708" s="233"/>
      <c r="D708" s="213"/>
      <c r="E708" s="230"/>
      <c r="F708" s="213"/>
      <c r="G708" s="245" t="str">
        <f ca="1">IF(CommitmentsTable[[#This Row],[Commitment / deliverable]]="","",IF(CommitmentsTable[[#This Row],[Date record entered]]="",TODAY(),CommitmentsTable[[#This Row],[Date record entered]]))</f>
        <v/>
      </c>
      <c r="H708" s="245"/>
      <c r="I708" s="245" t="str">
        <f ca="1">IF(CommitmentsTable[[#This Row],[Date Assigned if different from entry date]]&lt;&gt;"",CommitmentsTable[[#This Row],[Date Assigned if different from entry date]]+90,IF(CommitmentsTable[[#This Row],[Date record entered]]&lt;&gt;"",CommitmentsTable[[#This Row],[Date record entered]]+90,""))</f>
        <v/>
      </c>
      <c r="J708" s="245" t="str">
        <f ca="1">IF(CommitmentsTable[[#This Row],[Date Assigned if different from entry date]]&lt;&gt;"",CommitmentsTable[[#This Row],[Date Assigned if different from entry date]]+30,IF(CommitmentsTable[[#This Row],[Date record entered]]&lt;&gt;"",CommitmentsTable[[#This Row],[Date record entered]]+30,""))</f>
        <v/>
      </c>
      <c r="K708" s="245"/>
      <c r="L708" s="245" t="str">
        <f ca="1">IF(CommitmentsTable[[#This Row],[Date Assigned if different from entry date]]&lt;&gt;"",CommitmentsTable[[#This Row],[Date Assigned if different from entry date]]+60,IF(CommitmentsTable[[#This Row],[Date record entered]]&lt;&gt;"",CommitmentsTable[[#This Row],[Date record entered]]+60,""))</f>
        <v/>
      </c>
      <c r="M708" s="214"/>
      <c r="N708" s="214"/>
      <c r="O708" s="236"/>
      <c r="P708" s="214"/>
      <c r="Q708" s="214"/>
      <c r="R708" s="214"/>
      <c r="S708" s="238" t="str">
        <f>IF(CommitmentsTable[[#This Row],[Commitment / deliverable]]="","",IF(CommitmentsTable[[#This Row],[Revised due]]&lt;&gt;"",CommitmentsTable[[#This Row],[Revised due]],CommitmentsTable[[#This Row],[Original due]]))</f>
        <v/>
      </c>
      <c r="T708" s="237" t="str">
        <f>IF(OR(CommitmentsTable[[#This Row],[Commitment / deliverable]]="",CommitmentsTable[[#This Row],[Owner]]=""),"",IF(CommitmentsTable[[#This Row],[Status2]]="","Open",CommitmentsTable[[#This Row],[Status2]]))</f>
        <v/>
      </c>
      <c r="U708" s="237" t="str">
        <f t="shared" ca="1" si="10"/>
        <v/>
      </c>
      <c r="V708" s="233"/>
      <c r="W708" s="63" t="s">
        <v>1610</v>
      </c>
    </row>
    <row r="709" spans="1:23" ht="26">
      <c r="A709" s="213" t="str">
        <f>IF(OR(CommitmentsTable[[#This Row],[Commitment / deliverable]]="",CommitmentsTable[[#This Row],[Immutable Key]]=""),"",SUBSTITUTE(CommitmentsTable[[#This Row],[Immutable Key]],"-K-","-"))</f>
        <v/>
      </c>
      <c r="B709" s="233"/>
      <c r="C709" s="233"/>
      <c r="D709" s="213"/>
      <c r="E709" s="230"/>
      <c r="F709" s="213"/>
      <c r="G709" s="245" t="str">
        <f ca="1">IF(CommitmentsTable[[#This Row],[Commitment / deliverable]]="","",IF(CommitmentsTable[[#This Row],[Date record entered]]="",TODAY(),CommitmentsTable[[#This Row],[Date record entered]]))</f>
        <v/>
      </c>
      <c r="H709" s="245"/>
      <c r="I709" s="245" t="str">
        <f ca="1">IF(CommitmentsTable[[#This Row],[Date Assigned if different from entry date]]&lt;&gt;"",CommitmentsTable[[#This Row],[Date Assigned if different from entry date]]+90,IF(CommitmentsTable[[#This Row],[Date record entered]]&lt;&gt;"",CommitmentsTable[[#This Row],[Date record entered]]+90,""))</f>
        <v/>
      </c>
      <c r="J709" s="245" t="str">
        <f ca="1">IF(CommitmentsTable[[#This Row],[Date Assigned if different from entry date]]&lt;&gt;"",CommitmentsTable[[#This Row],[Date Assigned if different from entry date]]+30,IF(CommitmentsTable[[#This Row],[Date record entered]]&lt;&gt;"",CommitmentsTable[[#This Row],[Date record entered]]+30,""))</f>
        <v/>
      </c>
      <c r="K709" s="245"/>
      <c r="L709" s="245" t="str">
        <f ca="1">IF(CommitmentsTable[[#This Row],[Date Assigned if different from entry date]]&lt;&gt;"",CommitmentsTable[[#This Row],[Date Assigned if different from entry date]]+60,IF(CommitmentsTable[[#This Row],[Date record entered]]&lt;&gt;"",CommitmentsTable[[#This Row],[Date record entered]]+60,""))</f>
        <v/>
      </c>
      <c r="M709" s="214"/>
      <c r="N709" s="214"/>
      <c r="O709" s="236"/>
      <c r="P709" s="214"/>
      <c r="Q709" s="214"/>
      <c r="R709" s="214"/>
      <c r="S709" s="238" t="str">
        <f>IF(CommitmentsTable[[#This Row],[Commitment / deliverable]]="","",IF(CommitmentsTable[[#This Row],[Revised due]]&lt;&gt;"",CommitmentsTable[[#This Row],[Revised due]],CommitmentsTable[[#This Row],[Original due]]))</f>
        <v/>
      </c>
      <c r="T709" s="237" t="str">
        <f>IF(OR(CommitmentsTable[[#This Row],[Commitment / deliverable]]="",CommitmentsTable[[#This Row],[Owner]]=""),"",IF(CommitmentsTable[[#This Row],[Status2]]="","Open",CommitmentsTable[[#This Row],[Status2]]))</f>
        <v/>
      </c>
      <c r="U709" s="237" t="str">
        <f t="shared" ca="1" si="10"/>
        <v/>
      </c>
      <c r="V709" s="233"/>
      <c r="W709" s="63" t="s">
        <v>1611</v>
      </c>
    </row>
    <row r="710" spans="1:23" ht="26">
      <c r="A710" s="213" t="str">
        <f>IF(OR(CommitmentsTable[[#This Row],[Commitment / deliverable]]="",CommitmentsTable[[#This Row],[Immutable Key]]=""),"",SUBSTITUTE(CommitmentsTable[[#This Row],[Immutable Key]],"-K-","-"))</f>
        <v/>
      </c>
      <c r="B710" s="233"/>
      <c r="C710" s="233"/>
      <c r="D710" s="213"/>
      <c r="E710" s="230"/>
      <c r="F710" s="213"/>
      <c r="G710" s="245" t="str">
        <f ca="1">IF(CommitmentsTable[[#This Row],[Commitment / deliverable]]="","",IF(CommitmentsTable[[#This Row],[Date record entered]]="",TODAY(),CommitmentsTable[[#This Row],[Date record entered]]))</f>
        <v/>
      </c>
      <c r="H710" s="245"/>
      <c r="I710" s="245" t="str">
        <f ca="1">IF(CommitmentsTable[[#This Row],[Date Assigned if different from entry date]]&lt;&gt;"",CommitmentsTable[[#This Row],[Date Assigned if different from entry date]]+90,IF(CommitmentsTable[[#This Row],[Date record entered]]&lt;&gt;"",CommitmentsTable[[#This Row],[Date record entered]]+90,""))</f>
        <v/>
      </c>
      <c r="J710" s="245" t="str">
        <f ca="1">IF(CommitmentsTable[[#This Row],[Date Assigned if different from entry date]]&lt;&gt;"",CommitmentsTable[[#This Row],[Date Assigned if different from entry date]]+30,IF(CommitmentsTable[[#This Row],[Date record entered]]&lt;&gt;"",CommitmentsTable[[#This Row],[Date record entered]]+30,""))</f>
        <v/>
      </c>
      <c r="K710" s="245"/>
      <c r="L710" s="245" t="str">
        <f ca="1">IF(CommitmentsTable[[#This Row],[Date Assigned if different from entry date]]&lt;&gt;"",CommitmentsTable[[#This Row],[Date Assigned if different from entry date]]+60,IF(CommitmentsTable[[#This Row],[Date record entered]]&lt;&gt;"",CommitmentsTable[[#This Row],[Date record entered]]+60,""))</f>
        <v/>
      </c>
      <c r="M710" s="214"/>
      <c r="N710" s="214"/>
      <c r="O710" s="236"/>
      <c r="P710" s="214"/>
      <c r="Q710" s="214"/>
      <c r="R710" s="214"/>
      <c r="S710" s="238" t="str">
        <f>IF(CommitmentsTable[[#This Row],[Commitment / deliverable]]="","",IF(CommitmentsTable[[#This Row],[Revised due]]&lt;&gt;"",CommitmentsTable[[#This Row],[Revised due]],CommitmentsTable[[#This Row],[Original due]]))</f>
        <v/>
      </c>
      <c r="T710" s="237" t="str">
        <f>IF(OR(CommitmentsTable[[#This Row],[Commitment / deliverable]]="",CommitmentsTable[[#This Row],[Owner]]=""),"",IF(CommitmentsTable[[#This Row],[Status2]]="","Open",CommitmentsTable[[#This Row],[Status2]]))</f>
        <v/>
      </c>
      <c r="U710" s="237" t="str">
        <f t="shared" ca="1" si="10"/>
        <v/>
      </c>
      <c r="V710" s="233"/>
      <c r="W710" s="63" t="s">
        <v>1612</v>
      </c>
    </row>
    <row r="711" spans="1:23" ht="26">
      <c r="A711" s="213" t="str">
        <f>IF(OR(CommitmentsTable[[#This Row],[Commitment / deliverable]]="",CommitmentsTable[[#This Row],[Immutable Key]]=""),"",SUBSTITUTE(CommitmentsTable[[#This Row],[Immutable Key]],"-K-","-"))</f>
        <v/>
      </c>
      <c r="B711" s="233"/>
      <c r="C711" s="233"/>
      <c r="D711" s="213"/>
      <c r="E711" s="230"/>
      <c r="F711" s="213"/>
      <c r="G711" s="245" t="str">
        <f ca="1">IF(CommitmentsTable[[#This Row],[Commitment / deliverable]]="","",IF(CommitmentsTable[[#This Row],[Date record entered]]="",TODAY(),CommitmentsTable[[#This Row],[Date record entered]]))</f>
        <v/>
      </c>
      <c r="H711" s="245"/>
      <c r="I711" s="245" t="str">
        <f ca="1">IF(CommitmentsTable[[#This Row],[Date Assigned if different from entry date]]&lt;&gt;"",CommitmentsTable[[#This Row],[Date Assigned if different from entry date]]+90,IF(CommitmentsTable[[#This Row],[Date record entered]]&lt;&gt;"",CommitmentsTable[[#This Row],[Date record entered]]+90,""))</f>
        <v/>
      </c>
      <c r="J711" s="245" t="str">
        <f ca="1">IF(CommitmentsTable[[#This Row],[Date Assigned if different from entry date]]&lt;&gt;"",CommitmentsTable[[#This Row],[Date Assigned if different from entry date]]+30,IF(CommitmentsTable[[#This Row],[Date record entered]]&lt;&gt;"",CommitmentsTable[[#This Row],[Date record entered]]+30,""))</f>
        <v/>
      </c>
      <c r="K711" s="245"/>
      <c r="L711" s="245" t="str">
        <f ca="1">IF(CommitmentsTable[[#This Row],[Date Assigned if different from entry date]]&lt;&gt;"",CommitmentsTable[[#This Row],[Date Assigned if different from entry date]]+60,IF(CommitmentsTable[[#This Row],[Date record entered]]&lt;&gt;"",CommitmentsTable[[#This Row],[Date record entered]]+60,""))</f>
        <v/>
      </c>
      <c r="M711" s="214"/>
      <c r="N711" s="214"/>
      <c r="O711" s="236"/>
      <c r="P711" s="214"/>
      <c r="Q711" s="214"/>
      <c r="R711" s="214"/>
      <c r="S711" s="238" t="str">
        <f>IF(CommitmentsTable[[#This Row],[Commitment / deliverable]]="","",IF(CommitmentsTable[[#This Row],[Revised due]]&lt;&gt;"",CommitmentsTable[[#This Row],[Revised due]],CommitmentsTable[[#This Row],[Original due]]))</f>
        <v/>
      </c>
      <c r="T711" s="237" t="str">
        <f>IF(OR(CommitmentsTable[[#This Row],[Commitment / deliverable]]="",CommitmentsTable[[#This Row],[Owner]]=""),"",IF(CommitmentsTable[[#This Row],[Status2]]="","Open",CommitmentsTable[[#This Row],[Status2]]))</f>
        <v/>
      </c>
      <c r="U711" s="237" t="str">
        <f t="shared" ca="1" si="10"/>
        <v/>
      </c>
      <c r="V711" s="233"/>
      <c r="W711" s="63" t="s">
        <v>1613</v>
      </c>
    </row>
    <row r="712" spans="1:23" ht="26">
      <c r="A712" s="213" t="str">
        <f>IF(OR(CommitmentsTable[[#This Row],[Commitment / deliverable]]="",CommitmentsTable[[#This Row],[Immutable Key]]=""),"",SUBSTITUTE(CommitmentsTable[[#This Row],[Immutable Key]],"-K-","-"))</f>
        <v/>
      </c>
      <c r="B712" s="233"/>
      <c r="C712" s="233"/>
      <c r="D712" s="213"/>
      <c r="E712" s="230"/>
      <c r="F712" s="213"/>
      <c r="G712" s="245" t="str">
        <f ca="1">IF(CommitmentsTable[[#This Row],[Commitment / deliverable]]="","",IF(CommitmentsTable[[#This Row],[Date record entered]]="",TODAY(),CommitmentsTable[[#This Row],[Date record entered]]))</f>
        <v/>
      </c>
      <c r="H712" s="245"/>
      <c r="I712" s="245" t="str">
        <f ca="1">IF(CommitmentsTable[[#This Row],[Date Assigned if different from entry date]]&lt;&gt;"",CommitmentsTable[[#This Row],[Date Assigned if different from entry date]]+90,IF(CommitmentsTable[[#This Row],[Date record entered]]&lt;&gt;"",CommitmentsTable[[#This Row],[Date record entered]]+90,""))</f>
        <v/>
      </c>
      <c r="J712" s="245" t="str">
        <f ca="1">IF(CommitmentsTable[[#This Row],[Date Assigned if different from entry date]]&lt;&gt;"",CommitmentsTable[[#This Row],[Date Assigned if different from entry date]]+30,IF(CommitmentsTable[[#This Row],[Date record entered]]&lt;&gt;"",CommitmentsTable[[#This Row],[Date record entered]]+30,""))</f>
        <v/>
      </c>
      <c r="K712" s="245"/>
      <c r="L712" s="245" t="str">
        <f ca="1">IF(CommitmentsTable[[#This Row],[Date Assigned if different from entry date]]&lt;&gt;"",CommitmentsTable[[#This Row],[Date Assigned if different from entry date]]+60,IF(CommitmentsTable[[#This Row],[Date record entered]]&lt;&gt;"",CommitmentsTable[[#This Row],[Date record entered]]+60,""))</f>
        <v/>
      </c>
      <c r="M712" s="214"/>
      <c r="N712" s="214"/>
      <c r="O712" s="236"/>
      <c r="P712" s="214"/>
      <c r="Q712" s="214"/>
      <c r="R712" s="214"/>
      <c r="S712" s="238" t="str">
        <f>IF(CommitmentsTable[[#This Row],[Commitment / deliverable]]="","",IF(CommitmentsTable[[#This Row],[Revised due]]&lt;&gt;"",CommitmentsTable[[#This Row],[Revised due]],CommitmentsTable[[#This Row],[Original due]]))</f>
        <v/>
      </c>
      <c r="T712" s="237" t="str">
        <f>IF(OR(CommitmentsTable[[#This Row],[Commitment / deliverable]]="",CommitmentsTable[[#This Row],[Owner]]=""),"",IF(CommitmentsTable[[#This Row],[Status2]]="","Open",CommitmentsTable[[#This Row],[Status2]]))</f>
        <v/>
      </c>
      <c r="U712" s="237" t="str">
        <f t="shared" ca="1" si="10"/>
        <v/>
      </c>
      <c r="V712" s="233"/>
      <c r="W712" s="63" t="s">
        <v>1614</v>
      </c>
    </row>
    <row r="713" spans="1:23" ht="26">
      <c r="A713" s="213" t="str">
        <f>IF(OR(CommitmentsTable[[#This Row],[Commitment / deliverable]]="",CommitmentsTable[[#This Row],[Immutable Key]]=""),"",SUBSTITUTE(CommitmentsTable[[#This Row],[Immutable Key]],"-K-","-"))</f>
        <v/>
      </c>
      <c r="B713" s="233"/>
      <c r="C713" s="233"/>
      <c r="D713" s="213"/>
      <c r="E713" s="230"/>
      <c r="F713" s="213"/>
      <c r="G713" s="245" t="str">
        <f ca="1">IF(CommitmentsTable[[#This Row],[Commitment / deliverable]]="","",IF(CommitmentsTable[[#This Row],[Date record entered]]="",TODAY(),CommitmentsTable[[#This Row],[Date record entered]]))</f>
        <v/>
      </c>
      <c r="H713" s="245"/>
      <c r="I713" s="245" t="str">
        <f ca="1">IF(CommitmentsTable[[#This Row],[Date Assigned if different from entry date]]&lt;&gt;"",CommitmentsTable[[#This Row],[Date Assigned if different from entry date]]+90,IF(CommitmentsTable[[#This Row],[Date record entered]]&lt;&gt;"",CommitmentsTable[[#This Row],[Date record entered]]+90,""))</f>
        <v/>
      </c>
      <c r="J713" s="245" t="str">
        <f ca="1">IF(CommitmentsTable[[#This Row],[Date Assigned if different from entry date]]&lt;&gt;"",CommitmentsTable[[#This Row],[Date Assigned if different from entry date]]+30,IF(CommitmentsTable[[#This Row],[Date record entered]]&lt;&gt;"",CommitmentsTable[[#This Row],[Date record entered]]+30,""))</f>
        <v/>
      </c>
      <c r="K713" s="245"/>
      <c r="L713" s="245" t="str">
        <f ca="1">IF(CommitmentsTable[[#This Row],[Date Assigned if different from entry date]]&lt;&gt;"",CommitmentsTable[[#This Row],[Date Assigned if different from entry date]]+60,IF(CommitmentsTable[[#This Row],[Date record entered]]&lt;&gt;"",CommitmentsTable[[#This Row],[Date record entered]]+60,""))</f>
        <v/>
      </c>
      <c r="M713" s="214"/>
      <c r="N713" s="214"/>
      <c r="O713" s="236"/>
      <c r="P713" s="214"/>
      <c r="Q713" s="214"/>
      <c r="R713" s="214"/>
      <c r="S713" s="238" t="str">
        <f>IF(CommitmentsTable[[#This Row],[Commitment / deliverable]]="","",IF(CommitmentsTable[[#This Row],[Revised due]]&lt;&gt;"",CommitmentsTable[[#This Row],[Revised due]],CommitmentsTable[[#This Row],[Original due]]))</f>
        <v/>
      </c>
      <c r="T713" s="237" t="str">
        <f>IF(OR(CommitmentsTable[[#This Row],[Commitment / deliverable]]="",CommitmentsTable[[#This Row],[Owner]]=""),"",IF(CommitmentsTable[[#This Row],[Status2]]="","Open",CommitmentsTable[[#This Row],[Status2]]))</f>
        <v/>
      </c>
      <c r="U713" s="237" t="str">
        <f t="shared" ca="1" si="10"/>
        <v/>
      </c>
      <c r="V713" s="233"/>
      <c r="W713" s="63" t="s">
        <v>1615</v>
      </c>
    </row>
    <row r="714" spans="1:23" ht="26">
      <c r="A714" s="213" t="str">
        <f>IF(OR(CommitmentsTable[[#This Row],[Commitment / deliverable]]="",CommitmentsTable[[#This Row],[Immutable Key]]=""),"",SUBSTITUTE(CommitmentsTable[[#This Row],[Immutable Key]],"-K-","-"))</f>
        <v/>
      </c>
      <c r="B714" s="233"/>
      <c r="C714" s="233"/>
      <c r="D714" s="213"/>
      <c r="E714" s="230"/>
      <c r="F714" s="213"/>
      <c r="G714" s="245" t="str">
        <f ca="1">IF(CommitmentsTable[[#This Row],[Commitment / deliverable]]="","",IF(CommitmentsTable[[#This Row],[Date record entered]]="",TODAY(),CommitmentsTable[[#This Row],[Date record entered]]))</f>
        <v/>
      </c>
      <c r="H714" s="245"/>
      <c r="I714" s="245" t="str">
        <f ca="1">IF(CommitmentsTable[[#This Row],[Date Assigned if different from entry date]]&lt;&gt;"",CommitmentsTable[[#This Row],[Date Assigned if different from entry date]]+90,IF(CommitmentsTable[[#This Row],[Date record entered]]&lt;&gt;"",CommitmentsTable[[#This Row],[Date record entered]]+90,""))</f>
        <v/>
      </c>
      <c r="J714" s="245" t="str">
        <f ca="1">IF(CommitmentsTable[[#This Row],[Date Assigned if different from entry date]]&lt;&gt;"",CommitmentsTable[[#This Row],[Date Assigned if different from entry date]]+30,IF(CommitmentsTable[[#This Row],[Date record entered]]&lt;&gt;"",CommitmentsTable[[#This Row],[Date record entered]]+30,""))</f>
        <v/>
      </c>
      <c r="K714" s="245"/>
      <c r="L714" s="245" t="str">
        <f ca="1">IF(CommitmentsTable[[#This Row],[Date Assigned if different from entry date]]&lt;&gt;"",CommitmentsTable[[#This Row],[Date Assigned if different from entry date]]+60,IF(CommitmentsTable[[#This Row],[Date record entered]]&lt;&gt;"",CommitmentsTable[[#This Row],[Date record entered]]+60,""))</f>
        <v/>
      </c>
      <c r="M714" s="214"/>
      <c r="N714" s="214"/>
      <c r="O714" s="236"/>
      <c r="P714" s="214"/>
      <c r="Q714" s="214"/>
      <c r="R714" s="214"/>
      <c r="S714" s="238" t="str">
        <f>IF(CommitmentsTable[[#This Row],[Commitment / deliverable]]="","",IF(CommitmentsTable[[#This Row],[Revised due]]&lt;&gt;"",CommitmentsTable[[#This Row],[Revised due]],CommitmentsTable[[#This Row],[Original due]]))</f>
        <v/>
      </c>
      <c r="T714" s="237" t="str">
        <f>IF(OR(CommitmentsTable[[#This Row],[Commitment / deliverable]]="",CommitmentsTable[[#This Row],[Owner]]=""),"",IF(CommitmentsTable[[#This Row],[Status2]]="","Open",CommitmentsTable[[#This Row],[Status2]]))</f>
        <v/>
      </c>
      <c r="U714" s="237" t="str">
        <f t="shared" ca="1" si="10"/>
        <v/>
      </c>
      <c r="V714" s="233"/>
      <c r="W714" s="63" t="s">
        <v>1616</v>
      </c>
    </row>
    <row r="715" spans="1:23" ht="26">
      <c r="A715" s="213" t="str">
        <f>IF(OR(CommitmentsTable[[#This Row],[Commitment / deliverable]]="",CommitmentsTable[[#This Row],[Immutable Key]]=""),"",SUBSTITUTE(CommitmentsTable[[#This Row],[Immutable Key]],"-K-","-"))</f>
        <v/>
      </c>
      <c r="B715" s="233"/>
      <c r="C715" s="233"/>
      <c r="D715" s="213"/>
      <c r="E715" s="230"/>
      <c r="F715" s="213"/>
      <c r="G715" s="245" t="str">
        <f ca="1">IF(CommitmentsTable[[#This Row],[Commitment / deliverable]]="","",IF(CommitmentsTable[[#This Row],[Date record entered]]="",TODAY(),CommitmentsTable[[#This Row],[Date record entered]]))</f>
        <v/>
      </c>
      <c r="H715" s="245"/>
      <c r="I715" s="245" t="str">
        <f ca="1">IF(CommitmentsTable[[#This Row],[Date Assigned if different from entry date]]&lt;&gt;"",CommitmentsTable[[#This Row],[Date Assigned if different from entry date]]+90,IF(CommitmentsTable[[#This Row],[Date record entered]]&lt;&gt;"",CommitmentsTable[[#This Row],[Date record entered]]+90,""))</f>
        <v/>
      </c>
      <c r="J715" s="245" t="str">
        <f ca="1">IF(CommitmentsTable[[#This Row],[Date Assigned if different from entry date]]&lt;&gt;"",CommitmentsTable[[#This Row],[Date Assigned if different from entry date]]+30,IF(CommitmentsTable[[#This Row],[Date record entered]]&lt;&gt;"",CommitmentsTable[[#This Row],[Date record entered]]+30,""))</f>
        <v/>
      </c>
      <c r="K715" s="245"/>
      <c r="L715" s="245" t="str">
        <f ca="1">IF(CommitmentsTable[[#This Row],[Date Assigned if different from entry date]]&lt;&gt;"",CommitmentsTable[[#This Row],[Date Assigned if different from entry date]]+60,IF(CommitmentsTable[[#This Row],[Date record entered]]&lt;&gt;"",CommitmentsTable[[#This Row],[Date record entered]]+60,""))</f>
        <v/>
      </c>
      <c r="M715" s="214"/>
      <c r="N715" s="214"/>
      <c r="O715" s="236"/>
      <c r="P715" s="214"/>
      <c r="Q715" s="214"/>
      <c r="R715" s="214"/>
      <c r="S715" s="238" t="str">
        <f>IF(CommitmentsTable[[#This Row],[Commitment / deliverable]]="","",IF(CommitmentsTable[[#This Row],[Revised due]]&lt;&gt;"",CommitmentsTable[[#This Row],[Revised due]],CommitmentsTable[[#This Row],[Original due]]))</f>
        <v/>
      </c>
      <c r="T715" s="237" t="str">
        <f>IF(OR(CommitmentsTable[[#This Row],[Commitment / deliverable]]="",CommitmentsTable[[#This Row],[Owner]]=""),"",IF(CommitmentsTable[[#This Row],[Status2]]="","Open",CommitmentsTable[[#This Row],[Status2]]))</f>
        <v/>
      </c>
      <c r="U715" s="237" t="str">
        <f t="shared" ca="1" si="10"/>
        <v/>
      </c>
      <c r="V715" s="233"/>
      <c r="W715" s="63" t="s">
        <v>1617</v>
      </c>
    </row>
    <row r="716" spans="1:23" ht="26">
      <c r="A716" s="213" t="str">
        <f>IF(OR(CommitmentsTable[[#This Row],[Commitment / deliverable]]="",CommitmentsTable[[#This Row],[Immutable Key]]=""),"",SUBSTITUTE(CommitmentsTable[[#This Row],[Immutable Key]],"-K-","-"))</f>
        <v/>
      </c>
      <c r="B716" s="233"/>
      <c r="C716" s="233"/>
      <c r="D716" s="213"/>
      <c r="E716" s="230"/>
      <c r="F716" s="213"/>
      <c r="G716" s="245" t="str">
        <f ca="1">IF(CommitmentsTable[[#This Row],[Commitment / deliverable]]="","",IF(CommitmentsTable[[#This Row],[Date record entered]]="",TODAY(),CommitmentsTable[[#This Row],[Date record entered]]))</f>
        <v/>
      </c>
      <c r="H716" s="245"/>
      <c r="I716" s="245" t="str">
        <f ca="1">IF(CommitmentsTable[[#This Row],[Date Assigned if different from entry date]]&lt;&gt;"",CommitmentsTable[[#This Row],[Date Assigned if different from entry date]]+90,IF(CommitmentsTable[[#This Row],[Date record entered]]&lt;&gt;"",CommitmentsTable[[#This Row],[Date record entered]]+90,""))</f>
        <v/>
      </c>
      <c r="J716" s="245" t="str">
        <f ca="1">IF(CommitmentsTable[[#This Row],[Date Assigned if different from entry date]]&lt;&gt;"",CommitmentsTable[[#This Row],[Date Assigned if different from entry date]]+30,IF(CommitmentsTable[[#This Row],[Date record entered]]&lt;&gt;"",CommitmentsTable[[#This Row],[Date record entered]]+30,""))</f>
        <v/>
      </c>
      <c r="K716" s="245"/>
      <c r="L716" s="245" t="str">
        <f ca="1">IF(CommitmentsTable[[#This Row],[Date Assigned if different from entry date]]&lt;&gt;"",CommitmentsTable[[#This Row],[Date Assigned if different from entry date]]+60,IF(CommitmentsTable[[#This Row],[Date record entered]]&lt;&gt;"",CommitmentsTable[[#This Row],[Date record entered]]+60,""))</f>
        <v/>
      </c>
      <c r="M716" s="214"/>
      <c r="N716" s="214"/>
      <c r="O716" s="236"/>
      <c r="P716" s="214"/>
      <c r="Q716" s="214"/>
      <c r="R716" s="214"/>
      <c r="S716" s="238" t="str">
        <f>IF(CommitmentsTable[[#This Row],[Commitment / deliverable]]="","",IF(CommitmentsTable[[#This Row],[Revised due]]&lt;&gt;"",CommitmentsTable[[#This Row],[Revised due]],CommitmentsTable[[#This Row],[Original due]]))</f>
        <v/>
      </c>
      <c r="T716" s="237" t="str">
        <f>IF(OR(CommitmentsTable[[#This Row],[Commitment / deliverable]]="",CommitmentsTable[[#This Row],[Owner]]=""),"",IF(CommitmentsTable[[#This Row],[Status2]]="","Open",CommitmentsTable[[#This Row],[Status2]]))</f>
        <v/>
      </c>
      <c r="U716" s="237" t="str">
        <f t="shared" ca="1" si="10"/>
        <v/>
      </c>
      <c r="V716" s="233"/>
      <c r="W716" s="63" t="s">
        <v>1618</v>
      </c>
    </row>
    <row r="717" spans="1:23" ht="26">
      <c r="A717" s="213" t="str">
        <f>IF(OR(CommitmentsTable[[#This Row],[Commitment / deliverable]]="",CommitmentsTable[[#This Row],[Immutable Key]]=""),"",SUBSTITUTE(CommitmentsTable[[#This Row],[Immutable Key]],"-K-","-"))</f>
        <v/>
      </c>
      <c r="B717" s="233"/>
      <c r="C717" s="233"/>
      <c r="D717" s="213"/>
      <c r="E717" s="230"/>
      <c r="F717" s="213"/>
      <c r="G717" s="245" t="str">
        <f ca="1">IF(CommitmentsTable[[#This Row],[Commitment / deliverable]]="","",IF(CommitmentsTable[[#This Row],[Date record entered]]="",TODAY(),CommitmentsTable[[#This Row],[Date record entered]]))</f>
        <v/>
      </c>
      <c r="H717" s="245"/>
      <c r="I717" s="245" t="str">
        <f ca="1">IF(CommitmentsTable[[#This Row],[Date Assigned if different from entry date]]&lt;&gt;"",CommitmentsTable[[#This Row],[Date Assigned if different from entry date]]+90,IF(CommitmentsTable[[#This Row],[Date record entered]]&lt;&gt;"",CommitmentsTable[[#This Row],[Date record entered]]+90,""))</f>
        <v/>
      </c>
      <c r="J717" s="245" t="str">
        <f ca="1">IF(CommitmentsTable[[#This Row],[Date Assigned if different from entry date]]&lt;&gt;"",CommitmentsTable[[#This Row],[Date Assigned if different from entry date]]+30,IF(CommitmentsTable[[#This Row],[Date record entered]]&lt;&gt;"",CommitmentsTable[[#This Row],[Date record entered]]+30,""))</f>
        <v/>
      </c>
      <c r="K717" s="245"/>
      <c r="L717" s="245" t="str">
        <f ca="1">IF(CommitmentsTable[[#This Row],[Date Assigned if different from entry date]]&lt;&gt;"",CommitmentsTable[[#This Row],[Date Assigned if different from entry date]]+60,IF(CommitmentsTable[[#This Row],[Date record entered]]&lt;&gt;"",CommitmentsTable[[#This Row],[Date record entered]]+60,""))</f>
        <v/>
      </c>
      <c r="M717" s="214"/>
      <c r="N717" s="214"/>
      <c r="O717" s="236"/>
      <c r="P717" s="214"/>
      <c r="Q717" s="214"/>
      <c r="R717" s="214"/>
      <c r="S717" s="238" t="str">
        <f>IF(CommitmentsTable[[#This Row],[Commitment / deliverable]]="","",IF(CommitmentsTable[[#This Row],[Revised due]]&lt;&gt;"",CommitmentsTable[[#This Row],[Revised due]],CommitmentsTable[[#This Row],[Original due]]))</f>
        <v/>
      </c>
      <c r="T717" s="237" t="str">
        <f>IF(OR(CommitmentsTable[[#This Row],[Commitment / deliverable]]="",CommitmentsTable[[#This Row],[Owner]]=""),"",IF(CommitmentsTable[[#This Row],[Status2]]="","Open",CommitmentsTable[[#This Row],[Status2]]))</f>
        <v/>
      </c>
      <c r="U717" s="237" t="str">
        <f t="shared" ref="U717:U780" ca="1" si="11">IF(B717="","",IF(T717="Closed","",IF(OR(T717="Slipped",T717="At risk",AND(S717&lt;&gt;"",S717&lt;TODAY())),"Slipped / at risk",IF(G717=TODAY(),"New today",IF(S717=TODAY()+1,"Due tomorrow","")))))</f>
        <v/>
      </c>
      <c r="V717" s="233"/>
      <c r="W717" s="63" t="s">
        <v>1619</v>
      </c>
    </row>
    <row r="718" spans="1:23" ht="26">
      <c r="A718" s="213" t="str">
        <f>IF(OR(CommitmentsTable[[#This Row],[Commitment / deliverable]]="",CommitmentsTable[[#This Row],[Immutable Key]]=""),"",SUBSTITUTE(CommitmentsTable[[#This Row],[Immutable Key]],"-K-","-"))</f>
        <v/>
      </c>
      <c r="B718" s="233"/>
      <c r="C718" s="233"/>
      <c r="D718" s="213"/>
      <c r="E718" s="230"/>
      <c r="F718" s="213"/>
      <c r="G718" s="245" t="str">
        <f ca="1">IF(CommitmentsTable[[#This Row],[Commitment / deliverable]]="","",IF(CommitmentsTable[[#This Row],[Date record entered]]="",TODAY(),CommitmentsTable[[#This Row],[Date record entered]]))</f>
        <v/>
      </c>
      <c r="H718" s="245"/>
      <c r="I718" s="245" t="str">
        <f ca="1">IF(CommitmentsTable[[#This Row],[Date Assigned if different from entry date]]&lt;&gt;"",CommitmentsTable[[#This Row],[Date Assigned if different from entry date]]+90,IF(CommitmentsTable[[#This Row],[Date record entered]]&lt;&gt;"",CommitmentsTable[[#This Row],[Date record entered]]+90,""))</f>
        <v/>
      </c>
      <c r="J718" s="245" t="str">
        <f ca="1">IF(CommitmentsTable[[#This Row],[Date Assigned if different from entry date]]&lt;&gt;"",CommitmentsTable[[#This Row],[Date Assigned if different from entry date]]+30,IF(CommitmentsTable[[#This Row],[Date record entered]]&lt;&gt;"",CommitmentsTable[[#This Row],[Date record entered]]+30,""))</f>
        <v/>
      </c>
      <c r="K718" s="245"/>
      <c r="L718" s="245" t="str">
        <f ca="1">IF(CommitmentsTable[[#This Row],[Date Assigned if different from entry date]]&lt;&gt;"",CommitmentsTable[[#This Row],[Date Assigned if different from entry date]]+60,IF(CommitmentsTable[[#This Row],[Date record entered]]&lt;&gt;"",CommitmentsTable[[#This Row],[Date record entered]]+60,""))</f>
        <v/>
      </c>
      <c r="M718" s="214"/>
      <c r="N718" s="214"/>
      <c r="O718" s="236"/>
      <c r="P718" s="214"/>
      <c r="Q718" s="214"/>
      <c r="R718" s="214"/>
      <c r="S718" s="238" t="str">
        <f>IF(CommitmentsTable[[#This Row],[Commitment / deliverable]]="","",IF(CommitmentsTable[[#This Row],[Revised due]]&lt;&gt;"",CommitmentsTable[[#This Row],[Revised due]],CommitmentsTable[[#This Row],[Original due]]))</f>
        <v/>
      </c>
      <c r="T718" s="237" t="str">
        <f>IF(OR(CommitmentsTable[[#This Row],[Commitment / deliverable]]="",CommitmentsTable[[#This Row],[Owner]]=""),"",IF(CommitmentsTable[[#This Row],[Status2]]="","Open",CommitmentsTable[[#This Row],[Status2]]))</f>
        <v/>
      </c>
      <c r="U718" s="237" t="str">
        <f t="shared" ca="1" si="11"/>
        <v/>
      </c>
      <c r="V718" s="233"/>
      <c r="W718" s="63" t="s">
        <v>1620</v>
      </c>
    </row>
    <row r="719" spans="1:23" ht="26">
      <c r="A719" s="213" t="str">
        <f>IF(OR(CommitmentsTable[[#This Row],[Commitment / deliverable]]="",CommitmentsTable[[#This Row],[Immutable Key]]=""),"",SUBSTITUTE(CommitmentsTable[[#This Row],[Immutable Key]],"-K-","-"))</f>
        <v/>
      </c>
      <c r="B719" s="233"/>
      <c r="C719" s="233"/>
      <c r="D719" s="213"/>
      <c r="E719" s="230"/>
      <c r="F719" s="213"/>
      <c r="G719" s="245" t="str">
        <f ca="1">IF(CommitmentsTable[[#This Row],[Commitment / deliverable]]="","",IF(CommitmentsTable[[#This Row],[Date record entered]]="",TODAY(),CommitmentsTable[[#This Row],[Date record entered]]))</f>
        <v/>
      </c>
      <c r="H719" s="245"/>
      <c r="I719" s="245" t="str">
        <f ca="1">IF(CommitmentsTable[[#This Row],[Date Assigned if different from entry date]]&lt;&gt;"",CommitmentsTable[[#This Row],[Date Assigned if different from entry date]]+90,IF(CommitmentsTable[[#This Row],[Date record entered]]&lt;&gt;"",CommitmentsTable[[#This Row],[Date record entered]]+90,""))</f>
        <v/>
      </c>
      <c r="J719" s="245" t="str">
        <f ca="1">IF(CommitmentsTable[[#This Row],[Date Assigned if different from entry date]]&lt;&gt;"",CommitmentsTable[[#This Row],[Date Assigned if different from entry date]]+30,IF(CommitmentsTable[[#This Row],[Date record entered]]&lt;&gt;"",CommitmentsTable[[#This Row],[Date record entered]]+30,""))</f>
        <v/>
      </c>
      <c r="K719" s="245"/>
      <c r="L719" s="245" t="str">
        <f ca="1">IF(CommitmentsTable[[#This Row],[Date Assigned if different from entry date]]&lt;&gt;"",CommitmentsTable[[#This Row],[Date Assigned if different from entry date]]+60,IF(CommitmentsTable[[#This Row],[Date record entered]]&lt;&gt;"",CommitmentsTable[[#This Row],[Date record entered]]+60,""))</f>
        <v/>
      </c>
      <c r="M719" s="214"/>
      <c r="N719" s="214"/>
      <c r="O719" s="236"/>
      <c r="P719" s="214"/>
      <c r="Q719" s="214"/>
      <c r="R719" s="214"/>
      <c r="S719" s="238" t="str">
        <f>IF(CommitmentsTable[[#This Row],[Commitment / deliverable]]="","",IF(CommitmentsTable[[#This Row],[Revised due]]&lt;&gt;"",CommitmentsTable[[#This Row],[Revised due]],CommitmentsTable[[#This Row],[Original due]]))</f>
        <v/>
      </c>
      <c r="T719" s="237" t="str">
        <f>IF(OR(CommitmentsTable[[#This Row],[Commitment / deliverable]]="",CommitmentsTable[[#This Row],[Owner]]=""),"",IF(CommitmentsTable[[#This Row],[Status2]]="","Open",CommitmentsTable[[#This Row],[Status2]]))</f>
        <v/>
      </c>
      <c r="U719" s="237" t="str">
        <f t="shared" ca="1" si="11"/>
        <v/>
      </c>
      <c r="V719" s="233"/>
      <c r="W719" s="63" t="s">
        <v>1621</v>
      </c>
    </row>
    <row r="720" spans="1:23" ht="26">
      <c r="A720" s="213" t="str">
        <f>IF(OR(CommitmentsTable[[#This Row],[Commitment / deliverable]]="",CommitmentsTable[[#This Row],[Immutable Key]]=""),"",SUBSTITUTE(CommitmentsTable[[#This Row],[Immutable Key]],"-K-","-"))</f>
        <v/>
      </c>
      <c r="B720" s="233"/>
      <c r="C720" s="233"/>
      <c r="D720" s="213"/>
      <c r="E720" s="230"/>
      <c r="F720" s="213"/>
      <c r="G720" s="245" t="str">
        <f ca="1">IF(CommitmentsTable[[#This Row],[Commitment / deliverable]]="","",IF(CommitmentsTable[[#This Row],[Date record entered]]="",TODAY(),CommitmentsTable[[#This Row],[Date record entered]]))</f>
        <v/>
      </c>
      <c r="H720" s="245"/>
      <c r="I720" s="245" t="str">
        <f ca="1">IF(CommitmentsTable[[#This Row],[Date Assigned if different from entry date]]&lt;&gt;"",CommitmentsTable[[#This Row],[Date Assigned if different from entry date]]+90,IF(CommitmentsTable[[#This Row],[Date record entered]]&lt;&gt;"",CommitmentsTable[[#This Row],[Date record entered]]+90,""))</f>
        <v/>
      </c>
      <c r="J720" s="245" t="str">
        <f ca="1">IF(CommitmentsTable[[#This Row],[Date Assigned if different from entry date]]&lt;&gt;"",CommitmentsTable[[#This Row],[Date Assigned if different from entry date]]+30,IF(CommitmentsTable[[#This Row],[Date record entered]]&lt;&gt;"",CommitmentsTable[[#This Row],[Date record entered]]+30,""))</f>
        <v/>
      </c>
      <c r="K720" s="245"/>
      <c r="L720" s="245" t="str">
        <f ca="1">IF(CommitmentsTable[[#This Row],[Date Assigned if different from entry date]]&lt;&gt;"",CommitmentsTable[[#This Row],[Date Assigned if different from entry date]]+60,IF(CommitmentsTable[[#This Row],[Date record entered]]&lt;&gt;"",CommitmentsTable[[#This Row],[Date record entered]]+60,""))</f>
        <v/>
      </c>
      <c r="M720" s="214"/>
      <c r="N720" s="214"/>
      <c r="O720" s="236"/>
      <c r="P720" s="214"/>
      <c r="Q720" s="214"/>
      <c r="R720" s="214"/>
      <c r="S720" s="238" t="str">
        <f>IF(CommitmentsTable[[#This Row],[Commitment / deliverable]]="","",IF(CommitmentsTable[[#This Row],[Revised due]]&lt;&gt;"",CommitmentsTable[[#This Row],[Revised due]],CommitmentsTable[[#This Row],[Original due]]))</f>
        <v/>
      </c>
      <c r="T720" s="237" t="str">
        <f>IF(OR(CommitmentsTable[[#This Row],[Commitment / deliverable]]="",CommitmentsTable[[#This Row],[Owner]]=""),"",IF(CommitmentsTable[[#This Row],[Status2]]="","Open",CommitmentsTable[[#This Row],[Status2]]))</f>
        <v/>
      </c>
      <c r="U720" s="237" t="str">
        <f t="shared" ca="1" si="11"/>
        <v/>
      </c>
      <c r="V720" s="233"/>
      <c r="W720" s="63" t="s">
        <v>1622</v>
      </c>
    </row>
    <row r="721" spans="1:23" ht="26">
      <c r="A721" s="213" t="str">
        <f>IF(OR(CommitmentsTable[[#This Row],[Commitment / deliverable]]="",CommitmentsTable[[#This Row],[Immutable Key]]=""),"",SUBSTITUTE(CommitmentsTable[[#This Row],[Immutable Key]],"-K-","-"))</f>
        <v/>
      </c>
      <c r="B721" s="233"/>
      <c r="C721" s="233"/>
      <c r="D721" s="213"/>
      <c r="E721" s="230"/>
      <c r="F721" s="213"/>
      <c r="G721" s="245" t="str">
        <f ca="1">IF(CommitmentsTable[[#This Row],[Commitment / deliverable]]="","",IF(CommitmentsTable[[#This Row],[Date record entered]]="",TODAY(),CommitmentsTable[[#This Row],[Date record entered]]))</f>
        <v/>
      </c>
      <c r="H721" s="245"/>
      <c r="I721" s="245" t="str">
        <f ca="1">IF(CommitmentsTable[[#This Row],[Date Assigned if different from entry date]]&lt;&gt;"",CommitmentsTable[[#This Row],[Date Assigned if different from entry date]]+90,IF(CommitmentsTable[[#This Row],[Date record entered]]&lt;&gt;"",CommitmentsTable[[#This Row],[Date record entered]]+90,""))</f>
        <v/>
      </c>
      <c r="J721" s="245" t="str">
        <f ca="1">IF(CommitmentsTable[[#This Row],[Date Assigned if different from entry date]]&lt;&gt;"",CommitmentsTable[[#This Row],[Date Assigned if different from entry date]]+30,IF(CommitmentsTable[[#This Row],[Date record entered]]&lt;&gt;"",CommitmentsTable[[#This Row],[Date record entered]]+30,""))</f>
        <v/>
      </c>
      <c r="K721" s="245"/>
      <c r="L721" s="245" t="str">
        <f ca="1">IF(CommitmentsTable[[#This Row],[Date Assigned if different from entry date]]&lt;&gt;"",CommitmentsTable[[#This Row],[Date Assigned if different from entry date]]+60,IF(CommitmentsTable[[#This Row],[Date record entered]]&lt;&gt;"",CommitmentsTable[[#This Row],[Date record entered]]+60,""))</f>
        <v/>
      </c>
      <c r="M721" s="214"/>
      <c r="N721" s="214"/>
      <c r="O721" s="236"/>
      <c r="P721" s="214"/>
      <c r="Q721" s="214"/>
      <c r="R721" s="214"/>
      <c r="S721" s="238" t="str">
        <f>IF(CommitmentsTable[[#This Row],[Commitment / deliverable]]="","",IF(CommitmentsTable[[#This Row],[Revised due]]&lt;&gt;"",CommitmentsTable[[#This Row],[Revised due]],CommitmentsTable[[#This Row],[Original due]]))</f>
        <v/>
      </c>
      <c r="T721" s="237" t="str">
        <f>IF(OR(CommitmentsTable[[#This Row],[Commitment / deliverable]]="",CommitmentsTable[[#This Row],[Owner]]=""),"",IF(CommitmentsTable[[#This Row],[Status2]]="","Open",CommitmentsTable[[#This Row],[Status2]]))</f>
        <v/>
      </c>
      <c r="U721" s="237" t="str">
        <f t="shared" ca="1" si="11"/>
        <v/>
      </c>
      <c r="V721" s="233"/>
      <c r="W721" s="63" t="s">
        <v>1623</v>
      </c>
    </row>
    <row r="722" spans="1:23" ht="26">
      <c r="A722" s="213" t="str">
        <f>IF(OR(CommitmentsTable[[#This Row],[Commitment / deliverable]]="",CommitmentsTable[[#This Row],[Immutable Key]]=""),"",SUBSTITUTE(CommitmentsTable[[#This Row],[Immutable Key]],"-K-","-"))</f>
        <v/>
      </c>
      <c r="B722" s="233"/>
      <c r="C722" s="233"/>
      <c r="D722" s="213"/>
      <c r="E722" s="230"/>
      <c r="F722" s="213"/>
      <c r="G722" s="245" t="str">
        <f ca="1">IF(CommitmentsTable[[#This Row],[Commitment / deliverable]]="","",IF(CommitmentsTable[[#This Row],[Date record entered]]="",TODAY(),CommitmentsTable[[#This Row],[Date record entered]]))</f>
        <v/>
      </c>
      <c r="H722" s="245"/>
      <c r="I722" s="245" t="str">
        <f ca="1">IF(CommitmentsTable[[#This Row],[Date Assigned if different from entry date]]&lt;&gt;"",CommitmentsTable[[#This Row],[Date Assigned if different from entry date]]+90,IF(CommitmentsTable[[#This Row],[Date record entered]]&lt;&gt;"",CommitmentsTable[[#This Row],[Date record entered]]+90,""))</f>
        <v/>
      </c>
      <c r="J722" s="245" t="str">
        <f ca="1">IF(CommitmentsTable[[#This Row],[Date Assigned if different from entry date]]&lt;&gt;"",CommitmentsTable[[#This Row],[Date Assigned if different from entry date]]+30,IF(CommitmentsTable[[#This Row],[Date record entered]]&lt;&gt;"",CommitmentsTable[[#This Row],[Date record entered]]+30,""))</f>
        <v/>
      </c>
      <c r="K722" s="245"/>
      <c r="L722" s="245" t="str">
        <f ca="1">IF(CommitmentsTable[[#This Row],[Date Assigned if different from entry date]]&lt;&gt;"",CommitmentsTable[[#This Row],[Date Assigned if different from entry date]]+60,IF(CommitmentsTable[[#This Row],[Date record entered]]&lt;&gt;"",CommitmentsTable[[#This Row],[Date record entered]]+60,""))</f>
        <v/>
      </c>
      <c r="M722" s="214"/>
      <c r="N722" s="214"/>
      <c r="O722" s="236"/>
      <c r="P722" s="214"/>
      <c r="Q722" s="214"/>
      <c r="R722" s="214"/>
      <c r="S722" s="238" t="str">
        <f>IF(CommitmentsTable[[#This Row],[Commitment / deliverable]]="","",IF(CommitmentsTable[[#This Row],[Revised due]]&lt;&gt;"",CommitmentsTable[[#This Row],[Revised due]],CommitmentsTable[[#This Row],[Original due]]))</f>
        <v/>
      </c>
      <c r="T722" s="237" t="str">
        <f>IF(OR(CommitmentsTable[[#This Row],[Commitment / deliverable]]="",CommitmentsTable[[#This Row],[Owner]]=""),"",IF(CommitmentsTable[[#This Row],[Status2]]="","Open",CommitmentsTable[[#This Row],[Status2]]))</f>
        <v/>
      </c>
      <c r="U722" s="237" t="str">
        <f t="shared" ca="1" si="11"/>
        <v/>
      </c>
      <c r="V722" s="233"/>
      <c r="W722" s="63" t="s">
        <v>1624</v>
      </c>
    </row>
    <row r="723" spans="1:23" ht="26">
      <c r="A723" s="213" t="str">
        <f>IF(OR(CommitmentsTable[[#This Row],[Commitment / deliverable]]="",CommitmentsTable[[#This Row],[Immutable Key]]=""),"",SUBSTITUTE(CommitmentsTable[[#This Row],[Immutable Key]],"-K-","-"))</f>
        <v/>
      </c>
      <c r="B723" s="233"/>
      <c r="C723" s="233"/>
      <c r="D723" s="213"/>
      <c r="E723" s="230"/>
      <c r="F723" s="213"/>
      <c r="G723" s="245" t="str">
        <f ca="1">IF(CommitmentsTable[[#This Row],[Commitment / deliverable]]="","",IF(CommitmentsTable[[#This Row],[Date record entered]]="",TODAY(),CommitmentsTable[[#This Row],[Date record entered]]))</f>
        <v/>
      </c>
      <c r="H723" s="245"/>
      <c r="I723" s="245" t="str">
        <f ca="1">IF(CommitmentsTable[[#This Row],[Date Assigned if different from entry date]]&lt;&gt;"",CommitmentsTable[[#This Row],[Date Assigned if different from entry date]]+90,IF(CommitmentsTable[[#This Row],[Date record entered]]&lt;&gt;"",CommitmentsTable[[#This Row],[Date record entered]]+90,""))</f>
        <v/>
      </c>
      <c r="J723" s="245" t="str">
        <f ca="1">IF(CommitmentsTable[[#This Row],[Date Assigned if different from entry date]]&lt;&gt;"",CommitmentsTable[[#This Row],[Date Assigned if different from entry date]]+30,IF(CommitmentsTable[[#This Row],[Date record entered]]&lt;&gt;"",CommitmentsTable[[#This Row],[Date record entered]]+30,""))</f>
        <v/>
      </c>
      <c r="K723" s="245"/>
      <c r="L723" s="245" t="str">
        <f ca="1">IF(CommitmentsTable[[#This Row],[Date Assigned if different from entry date]]&lt;&gt;"",CommitmentsTable[[#This Row],[Date Assigned if different from entry date]]+60,IF(CommitmentsTable[[#This Row],[Date record entered]]&lt;&gt;"",CommitmentsTable[[#This Row],[Date record entered]]+60,""))</f>
        <v/>
      </c>
      <c r="M723" s="214"/>
      <c r="N723" s="214"/>
      <c r="O723" s="236"/>
      <c r="P723" s="214"/>
      <c r="Q723" s="214"/>
      <c r="R723" s="214"/>
      <c r="S723" s="238" t="str">
        <f>IF(CommitmentsTable[[#This Row],[Commitment / deliverable]]="","",IF(CommitmentsTable[[#This Row],[Revised due]]&lt;&gt;"",CommitmentsTable[[#This Row],[Revised due]],CommitmentsTable[[#This Row],[Original due]]))</f>
        <v/>
      </c>
      <c r="T723" s="237" t="str">
        <f>IF(OR(CommitmentsTable[[#This Row],[Commitment / deliverable]]="",CommitmentsTable[[#This Row],[Owner]]=""),"",IF(CommitmentsTable[[#This Row],[Status2]]="","Open",CommitmentsTable[[#This Row],[Status2]]))</f>
        <v/>
      </c>
      <c r="U723" s="237" t="str">
        <f t="shared" ca="1" si="11"/>
        <v/>
      </c>
      <c r="V723" s="233"/>
      <c r="W723" s="63" t="s">
        <v>1625</v>
      </c>
    </row>
    <row r="724" spans="1:23" ht="26">
      <c r="A724" s="213" t="str">
        <f>IF(OR(CommitmentsTable[[#This Row],[Commitment / deliverable]]="",CommitmentsTable[[#This Row],[Immutable Key]]=""),"",SUBSTITUTE(CommitmentsTable[[#This Row],[Immutable Key]],"-K-","-"))</f>
        <v/>
      </c>
      <c r="B724" s="233"/>
      <c r="C724" s="233"/>
      <c r="D724" s="213"/>
      <c r="E724" s="230"/>
      <c r="F724" s="213"/>
      <c r="G724" s="245" t="str">
        <f ca="1">IF(CommitmentsTable[[#This Row],[Commitment / deliverable]]="","",IF(CommitmentsTable[[#This Row],[Date record entered]]="",TODAY(),CommitmentsTable[[#This Row],[Date record entered]]))</f>
        <v/>
      </c>
      <c r="H724" s="245"/>
      <c r="I724" s="245" t="str">
        <f ca="1">IF(CommitmentsTable[[#This Row],[Date Assigned if different from entry date]]&lt;&gt;"",CommitmentsTable[[#This Row],[Date Assigned if different from entry date]]+90,IF(CommitmentsTable[[#This Row],[Date record entered]]&lt;&gt;"",CommitmentsTable[[#This Row],[Date record entered]]+90,""))</f>
        <v/>
      </c>
      <c r="J724" s="245" t="str">
        <f ca="1">IF(CommitmentsTable[[#This Row],[Date Assigned if different from entry date]]&lt;&gt;"",CommitmentsTable[[#This Row],[Date Assigned if different from entry date]]+30,IF(CommitmentsTable[[#This Row],[Date record entered]]&lt;&gt;"",CommitmentsTable[[#This Row],[Date record entered]]+30,""))</f>
        <v/>
      </c>
      <c r="K724" s="245"/>
      <c r="L724" s="245" t="str">
        <f ca="1">IF(CommitmentsTable[[#This Row],[Date Assigned if different from entry date]]&lt;&gt;"",CommitmentsTable[[#This Row],[Date Assigned if different from entry date]]+60,IF(CommitmentsTable[[#This Row],[Date record entered]]&lt;&gt;"",CommitmentsTable[[#This Row],[Date record entered]]+60,""))</f>
        <v/>
      </c>
      <c r="M724" s="214"/>
      <c r="N724" s="214"/>
      <c r="O724" s="236"/>
      <c r="P724" s="214"/>
      <c r="Q724" s="214"/>
      <c r="R724" s="214"/>
      <c r="S724" s="238" t="str">
        <f>IF(CommitmentsTable[[#This Row],[Commitment / deliverable]]="","",IF(CommitmentsTable[[#This Row],[Revised due]]&lt;&gt;"",CommitmentsTable[[#This Row],[Revised due]],CommitmentsTable[[#This Row],[Original due]]))</f>
        <v/>
      </c>
      <c r="T724" s="237" t="str">
        <f>IF(OR(CommitmentsTable[[#This Row],[Commitment / deliverable]]="",CommitmentsTable[[#This Row],[Owner]]=""),"",IF(CommitmentsTable[[#This Row],[Status2]]="","Open",CommitmentsTable[[#This Row],[Status2]]))</f>
        <v/>
      </c>
      <c r="U724" s="237" t="str">
        <f t="shared" ca="1" si="11"/>
        <v/>
      </c>
      <c r="V724" s="233"/>
      <c r="W724" s="63" t="s">
        <v>1626</v>
      </c>
    </row>
    <row r="725" spans="1:23" ht="26">
      <c r="A725" s="213" t="str">
        <f>IF(OR(CommitmentsTable[[#This Row],[Commitment / deliverable]]="",CommitmentsTable[[#This Row],[Immutable Key]]=""),"",SUBSTITUTE(CommitmentsTable[[#This Row],[Immutable Key]],"-K-","-"))</f>
        <v/>
      </c>
      <c r="B725" s="233"/>
      <c r="C725" s="233"/>
      <c r="D725" s="213"/>
      <c r="E725" s="230"/>
      <c r="F725" s="213"/>
      <c r="G725" s="245" t="str">
        <f ca="1">IF(CommitmentsTable[[#This Row],[Commitment / deliverable]]="","",IF(CommitmentsTable[[#This Row],[Date record entered]]="",TODAY(),CommitmentsTable[[#This Row],[Date record entered]]))</f>
        <v/>
      </c>
      <c r="H725" s="245"/>
      <c r="I725" s="245" t="str">
        <f ca="1">IF(CommitmentsTable[[#This Row],[Date Assigned if different from entry date]]&lt;&gt;"",CommitmentsTable[[#This Row],[Date Assigned if different from entry date]]+90,IF(CommitmentsTable[[#This Row],[Date record entered]]&lt;&gt;"",CommitmentsTable[[#This Row],[Date record entered]]+90,""))</f>
        <v/>
      </c>
      <c r="J725" s="245" t="str">
        <f ca="1">IF(CommitmentsTable[[#This Row],[Date Assigned if different from entry date]]&lt;&gt;"",CommitmentsTable[[#This Row],[Date Assigned if different from entry date]]+30,IF(CommitmentsTable[[#This Row],[Date record entered]]&lt;&gt;"",CommitmentsTable[[#This Row],[Date record entered]]+30,""))</f>
        <v/>
      </c>
      <c r="K725" s="245"/>
      <c r="L725" s="245" t="str">
        <f ca="1">IF(CommitmentsTable[[#This Row],[Date Assigned if different from entry date]]&lt;&gt;"",CommitmentsTable[[#This Row],[Date Assigned if different from entry date]]+60,IF(CommitmentsTable[[#This Row],[Date record entered]]&lt;&gt;"",CommitmentsTable[[#This Row],[Date record entered]]+60,""))</f>
        <v/>
      </c>
      <c r="M725" s="214"/>
      <c r="N725" s="214"/>
      <c r="O725" s="236"/>
      <c r="P725" s="214"/>
      <c r="Q725" s="214"/>
      <c r="R725" s="214"/>
      <c r="S725" s="238" t="str">
        <f>IF(CommitmentsTable[[#This Row],[Commitment / deliverable]]="","",IF(CommitmentsTable[[#This Row],[Revised due]]&lt;&gt;"",CommitmentsTable[[#This Row],[Revised due]],CommitmentsTable[[#This Row],[Original due]]))</f>
        <v/>
      </c>
      <c r="T725" s="237" t="str">
        <f>IF(OR(CommitmentsTable[[#This Row],[Commitment / deliverable]]="",CommitmentsTable[[#This Row],[Owner]]=""),"",IF(CommitmentsTable[[#This Row],[Status2]]="","Open",CommitmentsTable[[#This Row],[Status2]]))</f>
        <v/>
      </c>
      <c r="U725" s="237" t="str">
        <f t="shared" ca="1" si="11"/>
        <v/>
      </c>
      <c r="V725" s="233"/>
      <c r="W725" s="63" t="s">
        <v>1627</v>
      </c>
    </row>
    <row r="726" spans="1:23" ht="26">
      <c r="A726" s="213" t="str">
        <f>IF(OR(CommitmentsTable[[#This Row],[Commitment / deliverable]]="",CommitmentsTable[[#This Row],[Immutable Key]]=""),"",SUBSTITUTE(CommitmentsTable[[#This Row],[Immutable Key]],"-K-","-"))</f>
        <v/>
      </c>
      <c r="B726" s="233"/>
      <c r="C726" s="233"/>
      <c r="D726" s="213"/>
      <c r="E726" s="230"/>
      <c r="F726" s="213"/>
      <c r="G726" s="245" t="str">
        <f ca="1">IF(CommitmentsTable[[#This Row],[Commitment / deliverable]]="","",IF(CommitmentsTable[[#This Row],[Date record entered]]="",TODAY(),CommitmentsTable[[#This Row],[Date record entered]]))</f>
        <v/>
      </c>
      <c r="H726" s="245"/>
      <c r="I726" s="245" t="str">
        <f ca="1">IF(CommitmentsTable[[#This Row],[Date Assigned if different from entry date]]&lt;&gt;"",CommitmentsTable[[#This Row],[Date Assigned if different from entry date]]+90,IF(CommitmentsTable[[#This Row],[Date record entered]]&lt;&gt;"",CommitmentsTable[[#This Row],[Date record entered]]+90,""))</f>
        <v/>
      </c>
      <c r="J726" s="245" t="str">
        <f ca="1">IF(CommitmentsTable[[#This Row],[Date Assigned if different from entry date]]&lt;&gt;"",CommitmentsTable[[#This Row],[Date Assigned if different from entry date]]+30,IF(CommitmentsTable[[#This Row],[Date record entered]]&lt;&gt;"",CommitmentsTable[[#This Row],[Date record entered]]+30,""))</f>
        <v/>
      </c>
      <c r="K726" s="245"/>
      <c r="L726" s="245" t="str">
        <f ca="1">IF(CommitmentsTable[[#This Row],[Date Assigned if different from entry date]]&lt;&gt;"",CommitmentsTable[[#This Row],[Date Assigned if different from entry date]]+60,IF(CommitmentsTable[[#This Row],[Date record entered]]&lt;&gt;"",CommitmentsTable[[#This Row],[Date record entered]]+60,""))</f>
        <v/>
      </c>
      <c r="M726" s="214"/>
      <c r="N726" s="214"/>
      <c r="O726" s="236"/>
      <c r="P726" s="214"/>
      <c r="Q726" s="214"/>
      <c r="R726" s="214"/>
      <c r="S726" s="238" t="str">
        <f>IF(CommitmentsTable[[#This Row],[Commitment / deliverable]]="","",IF(CommitmentsTable[[#This Row],[Revised due]]&lt;&gt;"",CommitmentsTable[[#This Row],[Revised due]],CommitmentsTable[[#This Row],[Original due]]))</f>
        <v/>
      </c>
      <c r="T726" s="237" t="str">
        <f>IF(OR(CommitmentsTable[[#This Row],[Commitment / deliverable]]="",CommitmentsTable[[#This Row],[Owner]]=""),"",IF(CommitmentsTable[[#This Row],[Status2]]="","Open",CommitmentsTable[[#This Row],[Status2]]))</f>
        <v/>
      </c>
      <c r="U726" s="237" t="str">
        <f t="shared" ca="1" si="11"/>
        <v/>
      </c>
      <c r="V726" s="233"/>
      <c r="W726" s="63" t="s">
        <v>1628</v>
      </c>
    </row>
    <row r="727" spans="1:23" ht="26">
      <c r="A727" s="213" t="str">
        <f>IF(OR(CommitmentsTable[[#This Row],[Commitment / deliverable]]="",CommitmentsTable[[#This Row],[Immutable Key]]=""),"",SUBSTITUTE(CommitmentsTable[[#This Row],[Immutable Key]],"-K-","-"))</f>
        <v/>
      </c>
      <c r="B727" s="233"/>
      <c r="C727" s="233"/>
      <c r="D727" s="213"/>
      <c r="E727" s="230"/>
      <c r="F727" s="213"/>
      <c r="G727" s="245" t="str">
        <f ca="1">IF(CommitmentsTable[[#This Row],[Commitment / deliverable]]="","",IF(CommitmentsTable[[#This Row],[Date record entered]]="",TODAY(),CommitmentsTable[[#This Row],[Date record entered]]))</f>
        <v/>
      </c>
      <c r="H727" s="245"/>
      <c r="I727" s="245" t="str">
        <f ca="1">IF(CommitmentsTable[[#This Row],[Date Assigned if different from entry date]]&lt;&gt;"",CommitmentsTable[[#This Row],[Date Assigned if different from entry date]]+90,IF(CommitmentsTable[[#This Row],[Date record entered]]&lt;&gt;"",CommitmentsTable[[#This Row],[Date record entered]]+90,""))</f>
        <v/>
      </c>
      <c r="J727" s="245" t="str">
        <f ca="1">IF(CommitmentsTable[[#This Row],[Date Assigned if different from entry date]]&lt;&gt;"",CommitmentsTable[[#This Row],[Date Assigned if different from entry date]]+30,IF(CommitmentsTable[[#This Row],[Date record entered]]&lt;&gt;"",CommitmentsTable[[#This Row],[Date record entered]]+30,""))</f>
        <v/>
      </c>
      <c r="K727" s="245"/>
      <c r="L727" s="245" t="str">
        <f ca="1">IF(CommitmentsTable[[#This Row],[Date Assigned if different from entry date]]&lt;&gt;"",CommitmentsTable[[#This Row],[Date Assigned if different from entry date]]+60,IF(CommitmentsTable[[#This Row],[Date record entered]]&lt;&gt;"",CommitmentsTable[[#This Row],[Date record entered]]+60,""))</f>
        <v/>
      </c>
      <c r="M727" s="214"/>
      <c r="N727" s="214"/>
      <c r="O727" s="236"/>
      <c r="P727" s="214"/>
      <c r="Q727" s="214"/>
      <c r="R727" s="214"/>
      <c r="S727" s="238" t="str">
        <f>IF(CommitmentsTable[[#This Row],[Commitment / deliverable]]="","",IF(CommitmentsTable[[#This Row],[Revised due]]&lt;&gt;"",CommitmentsTable[[#This Row],[Revised due]],CommitmentsTable[[#This Row],[Original due]]))</f>
        <v/>
      </c>
      <c r="T727" s="237" t="str">
        <f>IF(OR(CommitmentsTable[[#This Row],[Commitment / deliverable]]="",CommitmentsTable[[#This Row],[Owner]]=""),"",IF(CommitmentsTable[[#This Row],[Status2]]="","Open",CommitmentsTable[[#This Row],[Status2]]))</f>
        <v/>
      </c>
      <c r="U727" s="237" t="str">
        <f t="shared" ca="1" si="11"/>
        <v/>
      </c>
      <c r="V727" s="233"/>
      <c r="W727" s="63" t="s">
        <v>1629</v>
      </c>
    </row>
    <row r="728" spans="1:23" ht="26">
      <c r="A728" s="213" t="str">
        <f>IF(OR(CommitmentsTable[[#This Row],[Commitment / deliverable]]="",CommitmentsTable[[#This Row],[Immutable Key]]=""),"",SUBSTITUTE(CommitmentsTable[[#This Row],[Immutable Key]],"-K-","-"))</f>
        <v/>
      </c>
      <c r="B728" s="233"/>
      <c r="C728" s="233"/>
      <c r="D728" s="213"/>
      <c r="E728" s="230"/>
      <c r="F728" s="213"/>
      <c r="G728" s="245" t="str">
        <f ca="1">IF(CommitmentsTable[[#This Row],[Commitment / deliverable]]="","",IF(CommitmentsTable[[#This Row],[Date record entered]]="",TODAY(),CommitmentsTable[[#This Row],[Date record entered]]))</f>
        <v/>
      </c>
      <c r="H728" s="245"/>
      <c r="I728" s="245" t="str">
        <f ca="1">IF(CommitmentsTable[[#This Row],[Date Assigned if different from entry date]]&lt;&gt;"",CommitmentsTable[[#This Row],[Date Assigned if different from entry date]]+90,IF(CommitmentsTable[[#This Row],[Date record entered]]&lt;&gt;"",CommitmentsTable[[#This Row],[Date record entered]]+90,""))</f>
        <v/>
      </c>
      <c r="J728" s="245" t="str">
        <f ca="1">IF(CommitmentsTable[[#This Row],[Date Assigned if different from entry date]]&lt;&gt;"",CommitmentsTable[[#This Row],[Date Assigned if different from entry date]]+30,IF(CommitmentsTable[[#This Row],[Date record entered]]&lt;&gt;"",CommitmentsTable[[#This Row],[Date record entered]]+30,""))</f>
        <v/>
      </c>
      <c r="K728" s="245"/>
      <c r="L728" s="245" t="str">
        <f ca="1">IF(CommitmentsTable[[#This Row],[Date Assigned if different from entry date]]&lt;&gt;"",CommitmentsTable[[#This Row],[Date Assigned if different from entry date]]+60,IF(CommitmentsTable[[#This Row],[Date record entered]]&lt;&gt;"",CommitmentsTable[[#This Row],[Date record entered]]+60,""))</f>
        <v/>
      </c>
      <c r="M728" s="214"/>
      <c r="N728" s="214"/>
      <c r="O728" s="236"/>
      <c r="P728" s="214"/>
      <c r="Q728" s="214"/>
      <c r="R728" s="214"/>
      <c r="S728" s="238" t="str">
        <f>IF(CommitmentsTable[[#This Row],[Commitment / deliverable]]="","",IF(CommitmentsTable[[#This Row],[Revised due]]&lt;&gt;"",CommitmentsTable[[#This Row],[Revised due]],CommitmentsTable[[#This Row],[Original due]]))</f>
        <v/>
      </c>
      <c r="T728" s="237" t="str">
        <f>IF(OR(CommitmentsTable[[#This Row],[Commitment / deliverable]]="",CommitmentsTable[[#This Row],[Owner]]=""),"",IF(CommitmentsTable[[#This Row],[Status2]]="","Open",CommitmentsTable[[#This Row],[Status2]]))</f>
        <v/>
      </c>
      <c r="U728" s="237" t="str">
        <f t="shared" ca="1" si="11"/>
        <v/>
      </c>
      <c r="V728" s="233"/>
      <c r="W728" s="63" t="s">
        <v>1630</v>
      </c>
    </row>
    <row r="729" spans="1:23" ht="26">
      <c r="A729" s="213" t="str">
        <f>IF(OR(CommitmentsTable[[#This Row],[Commitment / deliverable]]="",CommitmentsTable[[#This Row],[Immutable Key]]=""),"",SUBSTITUTE(CommitmentsTable[[#This Row],[Immutable Key]],"-K-","-"))</f>
        <v/>
      </c>
      <c r="B729" s="233"/>
      <c r="C729" s="233"/>
      <c r="D729" s="213"/>
      <c r="E729" s="230"/>
      <c r="F729" s="213"/>
      <c r="G729" s="245" t="str">
        <f ca="1">IF(CommitmentsTable[[#This Row],[Commitment / deliverable]]="","",IF(CommitmentsTable[[#This Row],[Date record entered]]="",TODAY(),CommitmentsTable[[#This Row],[Date record entered]]))</f>
        <v/>
      </c>
      <c r="H729" s="245"/>
      <c r="I729" s="245" t="str">
        <f ca="1">IF(CommitmentsTable[[#This Row],[Date Assigned if different from entry date]]&lt;&gt;"",CommitmentsTable[[#This Row],[Date Assigned if different from entry date]]+90,IF(CommitmentsTable[[#This Row],[Date record entered]]&lt;&gt;"",CommitmentsTable[[#This Row],[Date record entered]]+90,""))</f>
        <v/>
      </c>
      <c r="J729" s="245" t="str">
        <f ca="1">IF(CommitmentsTable[[#This Row],[Date Assigned if different from entry date]]&lt;&gt;"",CommitmentsTable[[#This Row],[Date Assigned if different from entry date]]+30,IF(CommitmentsTable[[#This Row],[Date record entered]]&lt;&gt;"",CommitmentsTable[[#This Row],[Date record entered]]+30,""))</f>
        <v/>
      </c>
      <c r="K729" s="245"/>
      <c r="L729" s="245" t="str">
        <f ca="1">IF(CommitmentsTable[[#This Row],[Date Assigned if different from entry date]]&lt;&gt;"",CommitmentsTable[[#This Row],[Date Assigned if different from entry date]]+60,IF(CommitmentsTable[[#This Row],[Date record entered]]&lt;&gt;"",CommitmentsTable[[#This Row],[Date record entered]]+60,""))</f>
        <v/>
      </c>
      <c r="M729" s="214"/>
      <c r="N729" s="214"/>
      <c r="O729" s="236"/>
      <c r="P729" s="214"/>
      <c r="Q729" s="214"/>
      <c r="R729" s="214"/>
      <c r="S729" s="238" t="str">
        <f>IF(CommitmentsTable[[#This Row],[Commitment / deliverable]]="","",IF(CommitmentsTable[[#This Row],[Revised due]]&lt;&gt;"",CommitmentsTable[[#This Row],[Revised due]],CommitmentsTable[[#This Row],[Original due]]))</f>
        <v/>
      </c>
      <c r="T729" s="237" t="str">
        <f>IF(OR(CommitmentsTable[[#This Row],[Commitment / deliverable]]="",CommitmentsTable[[#This Row],[Owner]]=""),"",IF(CommitmentsTable[[#This Row],[Status2]]="","Open",CommitmentsTable[[#This Row],[Status2]]))</f>
        <v/>
      </c>
      <c r="U729" s="237" t="str">
        <f t="shared" ca="1" si="11"/>
        <v/>
      </c>
      <c r="V729" s="233"/>
      <c r="W729" s="63" t="s">
        <v>1631</v>
      </c>
    </row>
    <row r="730" spans="1:23" ht="26">
      <c r="A730" s="213" t="str">
        <f>IF(OR(CommitmentsTable[[#This Row],[Commitment / deliverable]]="",CommitmentsTable[[#This Row],[Immutable Key]]=""),"",SUBSTITUTE(CommitmentsTable[[#This Row],[Immutable Key]],"-K-","-"))</f>
        <v/>
      </c>
      <c r="B730" s="233"/>
      <c r="C730" s="233"/>
      <c r="D730" s="213"/>
      <c r="E730" s="230"/>
      <c r="F730" s="213"/>
      <c r="G730" s="245" t="str">
        <f ca="1">IF(CommitmentsTable[[#This Row],[Commitment / deliverable]]="","",IF(CommitmentsTable[[#This Row],[Date record entered]]="",TODAY(),CommitmentsTable[[#This Row],[Date record entered]]))</f>
        <v/>
      </c>
      <c r="H730" s="245"/>
      <c r="I730" s="245" t="str">
        <f ca="1">IF(CommitmentsTable[[#This Row],[Date Assigned if different from entry date]]&lt;&gt;"",CommitmentsTable[[#This Row],[Date Assigned if different from entry date]]+90,IF(CommitmentsTable[[#This Row],[Date record entered]]&lt;&gt;"",CommitmentsTable[[#This Row],[Date record entered]]+90,""))</f>
        <v/>
      </c>
      <c r="J730" s="245" t="str">
        <f ca="1">IF(CommitmentsTable[[#This Row],[Date Assigned if different from entry date]]&lt;&gt;"",CommitmentsTable[[#This Row],[Date Assigned if different from entry date]]+30,IF(CommitmentsTable[[#This Row],[Date record entered]]&lt;&gt;"",CommitmentsTable[[#This Row],[Date record entered]]+30,""))</f>
        <v/>
      </c>
      <c r="K730" s="245"/>
      <c r="L730" s="245" t="str">
        <f ca="1">IF(CommitmentsTable[[#This Row],[Date Assigned if different from entry date]]&lt;&gt;"",CommitmentsTable[[#This Row],[Date Assigned if different from entry date]]+60,IF(CommitmentsTable[[#This Row],[Date record entered]]&lt;&gt;"",CommitmentsTable[[#This Row],[Date record entered]]+60,""))</f>
        <v/>
      </c>
      <c r="M730" s="214"/>
      <c r="N730" s="214"/>
      <c r="O730" s="236"/>
      <c r="P730" s="214"/>
      <c r="Q730" s="214"/>
      <c r="R730" s="214"/>
      <c r="S730" s="238" t="str">
        <f>IF(CommitmentsTable[[#This Row],[Commitment / deliverable]]="","",IF(CommitmentsTable[[#This Row],[Revised due]]&lt;&gt;"",CommitmentsTable[[#This Row],[Revised due]],CommitmentsTable[[#This Row],[Original due]]))</f>
        <v/>
      </c>
      <c r="T730" s="237" t="str">
        <f>IF(OR(CommitmentsTable[[#This Row],[Commitment / deliverable]]="",CommitmentsTable[[#This Row],[Owner]]=""),"",IF(CommitmentsTable[[#This Row],[Status2]]="","Open",CommitmentsTable[[#This Row],[Status2]]))</f>
        <v/>
      </c>
      <c r="U730" s="237" t="str">
        <f t="shared" ca="1" si="11"/>
        <v/>
      </c>
      <c r="V730" s="233"/>
      <c r="W730" s="63" t="s">
        <v>1632</v>
      </c>
    </row>
    <row r="731" spans="1:23" ht="26">
      <c r="A731" s="213" t="str">
        <f>IF(OR(CommitmentsTable[[#This Row],[Commitment / deliverable]]="",CommitmentsTable[[#This Row],[Immutable Key]]=""),"",SUBSTITUTE(CommitmentsTable[[#This Row],[Immutable Key]],"-K-","-"))</f>
        <v/>
      </c>
      <c r="B731" s="233"/>
      <c r="C731" s="233"/>
      <c r="D731" s="213"/>
      <c r="E731" s="230"/>
      <c r="F731" s="213"/>
      <c r="G731" s="245" t="str">
        <f ca="1">IF(CommitmentsTable[[#This Row],[Commitment / deliverable]]="","",IF(CommitmentsTable[[#This Row],[Date record entered]]="",TODAY(),CommitmentsTable[[#This Row],[Date record entered]]))</f>
        <v/>
      </c>
      <c r="H731" s="245"/>
      <c r="I731" s="245" t="str">
        <f ca="1">IF(CommitmentsTable[[#This Row],[Date Assigned if different from entry date]]&lt;&gt;"",CommitmentsTable[[#This Row],[Date Assigned if different from entry date]]+90,IF(CommitmentsTable[[#This Row],[Date record entered]]&lt;&gt;"",CommitmentsTable[[#This Row],[Date record entered]]+90,""))</f>
        <v/>
      </c>
      <c r="J731" s="245" t="str">
        <f ca="1">IF(CommitmentsTable[[#This Row],[Date Assigned if different from entry date]]&lt;&gt;"",CommitmentsTable[[#This Row],[Date Assigned if different from entry date]]+30,IF(CommitmentsTable[[#This Row],[Date record entered]]&lt;&gt;"",CommitmentsTable[[#This Row],[Date record entered]]+30,""))</f>
        <v/>
      </c>
      <c r="K731" s="245"/>
      <c r="L731" s="245" t="str">
        <f ca="1">IF(CommitmentsTable[[#This Row],[Date Assigned if different from entry date]]&lt;&gt;"",CommitmentsTable[[#This Row],[Date Assigned if different from entry date]]+60,IF(CommitmentsTable[[#This Row],[Date record entered]]&lt;&gt;"",CommitmentsTable[[#This Row],[Date record entered]]+60,""))</f>
        <v/>
      </c>
      <c r="M731" s="214"/>
      <c r="N731" s="214"/>
      <c r="O731" s="236"/>
      <c r="P731" s="214"/>
      <c r="Q731" s="214"/>
      <c r="R731" s="214"/>
      <c r="S731" s="238" t="str">
        <f>IF(CommitmentsTable[[#This Row],[Commitment / deliverable]]="","",IF(CommitmentsTable[[#This Row],[Revised due]]&lt;&gt;"",CommitmentsTable[[#This Row],[Revised due]],CommitmentsTable[[#This Row],[Original due]]))</f>
        <v/>
      </c>
      <c r="T731" s="237" t="str">
        <f>IF(OR(CommitmentsTable[[#This Row],[Commitment / deliverable]]="",CommitmentsTable[[#This Row],[Owner]]=""),"",IF(CommitmentsTable[[#This Row],[Status2]]="","Open",CommitmentsTable[[#This Row],[Status2]]))</f>
        <v/>
      </c>
      <c r="U731" s="237" t="str">
        <f t="shared" ca="1" si="11"/>
        <v/>
      </c>
      <c r="V731" s="233"/>
      <c r="W731" s="63" t="s">
        <v>1633</v>
      </c>
    </row>
    <row r="732" spans="1:23" ht="26">
      <c r="A732" s="213" t="str">
        <f>IF(OR(CommitmentsTable[[#This Row],[Commitment / deliverable]]="",CommitmentsTable[[#This Row],[Immutable Key]]=""),"",SUBSTITUTE(CommitmentsTable[[#This Row],[Immutable Key]],"-K-","-"))</f>
        <v/>
      </c>
      <c r="B732" s="233"/>
      <c r="C732" s="233"/>
      <c r="D732" s="213"/>
      <c r="E732" s="230"/>
      <c r="F732" s="213"/>
      <c r="G732" s="245" t="str">
        <f ca="1">IF(CommitmentsTable[[#This Row],[Commitment / deliverable]]="","",IF(CommitmentsTable[[#This Row],[Date record entered]]="",TODAY(),CommitmentsTable[[#This Row],[Date record entered]]))</f>
        <v/>
      </c>
      <c r="H732" s="245"/>
      <c r="I732" s="245" t="str">
        <f ca="1">IF(CommitmentsTable[[#This Row],[Date Assigned if different from entry date]]&lt;&gt;"",CommitmentsTable[[#This Row],[Date Assigned if different from entry date]]+90,IF(CommitmentsTable[[#This Row],[Date record entered]]&lt;&gt;"",CommitmentsTable[[#This Row],[Date record entered]]+90,""))</f>
        <v/>
      </c>
      <c r="J732" s="245" t="str">
        <f ca="1">IF(CommitmentsTable[[#This Row],[Date Assigned if different from entry date]]&lt;&gt;"",CommitmentsTable[[#This Row],[Date Assigned if different from entry date]]+30,IF(CommitmentsTable[[#This Row],[Date record entered]]&lt;&gt;"",CommitmentsTable[[#This Row],[Date record entered]]+30,""))</f>
        <v/>
      </c>
      <c r="K732" s="245"/>
      <c r="L732" s="245" t="str">
        <f ca="1">IF(CommitmentsTable[[#This Row],[Date Assigned if different from entry date]]&lt;&gt;"",CommitmentsTable[[#This Row],[Date Assigned if different from entry date]]+60,IF(CommitmentsTable[[#This Row],[Date record entered]]&lt;&gt;"",CommitmentsTable[[#This Row],[Date record entered]]+60,""))</f>
        <v/>
      </c>
      <c r="M732" s="214"/>
      <c r="N732" s="214"/>
      <c r="O732" s="236"/>
      <c r="P732" s="214"/>
      <c r="Q732" s="214"/>
      <c r="R732" s="214"/>
      <c r="S732" s="238" t="str">
        <f>IF(CommitmentsTable[[#This Row],[Commitment / deliverable]]="","",IF(CommitmentsTable[[#This Row],[Revised due]]&lt;&gt;"",CommitmentsTable[[#This Row],[Revised due]],CommitmentsTable[[#This Row],[Original due]]))</f>
        <v/>
      </c>
      <c r="T732" s="237" t="str">
        <f>IF(OR(CommitmentsTable[[#This Row],[Commitment / deliverable]]="",CommitmentsTable[[#This Row],[Owner]]=""),"",IF(CommitmentsTable[[#This Row],[Status2]]="","Open",CommitmentsTable[[#This Row],[Status2]]))</f>
        <v/>
      </c>
      <c r="U732" s="237" t="str">
        <f t="shared" ca="1" si="11"/>
        <v/>
      </c>
      <c r="V732" s="233"/>
      <c r="W732" s="63" t="s">
        <v>1634</v>
      </c>
    </row>
    <row r="733" spans="1:23" ht="26">
      <c r="A733" s="213" t="str">
        <f>IF(OR(CommitmentsTable[[#This Row],[Commitment / deliverable]]="",CommitmentsTable[[#This Row],[Immutable Key]]=""),"",SUBSTITUTE(CommitmentsTable[[#This Row],[Immutable Key]],"-K-","-"))</f>
        <v/>
      </c>
      <c r="B733" s="233"/>
      <c r="C733" s="233"/>
      <c r="D733" s="213"/>
      <c r="E733" s="230"/>
      <c r="F733" s="213"/>
      <c r="G733" s="245" t="str">
        <f ca="1">IF(CommitmentsTable[[#This Row],[Commitment / deliverable]]="","",IF(CommitmentsTable[[#This Row],[Date record entered]]="",TODAY(),CommitmentsTable[[#This Row],[Date record entered]]))</f>
        <v/>
      </c>
      <c r="H733" s="245"/>
      <c r="I733" s="245" t="str">
        <f ca="1">IF(CommitmentsTable[[#This Row],[Date Assigned if different from entry date]]&lt;&gt;"",CommitmentsTable[[#This Row],[Date Assigned if different from entry date]]+90,IF(CommitmentsTable[[#This Row],[Date record entered]]&lt;&gt;"",CommitmentsTable[[#This Row],[Date record entered]]+90,""))</f>
        <v/>
      </c>
      <c r="J733" s="245" t="str">
        <f ca="1">IF(CommitmentsTable[[#This Row],[Date Assigned if different from entry date]]&lt;&gt;"",CommitmentsTable[[#This Row],[Date Assigned if different from entry date]]+30,IF(CommitmentsTable[[#This Row],[Date record entered]]&lt;&gt;"",CommitmentsTable[[#This Row],[Date record entered]]+30,""))</f>
        <v/>
      </c>
      <c r="K733" s="245"/>
      <c r="L733" s="245" t="str">
        <f ca="1">IF(CommitmentsTable[[#This Row],[Date Assigned if different from entry date]]&lt;&gt;"",CommitmentsTable[[#This Row],[Date Assigned if different from entry date]]+60,IF(CommitmentsTable[[#This Row],[Date record entered]]&lt;&gt;"",CommitmentsTable[[#This Row],[Date record entered]]+60,""))</f>
        <v/>
      </c>
      <c r="M733" s="214"/>
      <c r="N733" s="214"/>
      <c r="O733" s="236"/>
      <c r="P733" s="214"/>
      <c r="Q733" s="214"/>
      <c r="R733" s="214"/>
      <c r="S733" s="238" t="str">
        <f>IF(CommitmentsTable[[#This Row],[Commitment / deliverable]]="","",IF(CommitmentsTable[[#This Row],[Revised due]]&lt;&gt;"",CommitmentsTable[[#This Row],[Revised due]],CommitmentsTable[[#This Row],[Original due]]))</f>
        <v/>
      </c>
      <c r="T733" s="237" t="str">
        <f>IF(OR(CommitmentsTable[[#This Row],[Commitment / deliverable]]="",CommitmentsTable[[#This Row],[Owner]]=""),"",IF(CommitmentsTable[[#This Row],[Status2]]="","Open",CommitmentsTable[[#This Row],[Status2]]))</f>
        <v/>
      </c>
      <c r="U733" s="237" t="str">
        <f t="shared" ca="1" si="11"/>
        <v/>
      </c>
      <c r="V733" s="233"/>
      <c r="W733" s="63" t="s">
        <v>1635</v>
      </c>
    </row>
    <row r="734" spans="1:23" ht="26">
      <c r="A734" s="213" t="str">
        <f>IF(OR(CommitmentsTable[[#This Row],[Commitment / deliverable]]="",CommitmentsTable[[#This Row],[Immutable Key]]=""),"",SUBSTITUTE(CommitmentsTable[[#This Row],[Immutable Key]],"-K-","-"))</f>
        <v/>
      </c>
      <c r="B734" s="233"/>
      <c r="C734" s="233"/>
      <c r="D734" s="213"/>
      <c r="E734" s="230"/>
      <c r="F734" s="213"/>
      <c r="G734" s="245" t="str">
        <f ca="1">IF(CommitmentsTable[[#This Row],[Commitment / deliverable]]="","",IF(CommitmentsTable[[#This Row],[Date record entered]]="",TODAY(),CommitmentsTable[[#This Row],[Date record entered]]))</f>
        <v/>
      </c>
      <c r="H734" s="245"/>
      <c r="I734" s="245" t="str">
        <f ca="1">IF(CommitmentsTable[[#This Row],[Date Assigned if different from entry date]]&lt;&gt;"",CommitmentsTable[[#This Row],[Date Assigned if different from entry date]]+90,IF(CommitmentsTable[[#This Row],[Date record entered]]&lt;&gt;"",CommitmentsTable[[#This Row],[Date record entered]]+90,""))</f>
        <v/>
      </c>
      <c r="J734" s="245" t="str">
        <f ca="1">IF(CommitmentsTable[[#This Row],[Date Assigned if different from entry date]]&lt;&gt;"",CommitmentsTable[[#This Row],[Date Assigned if different from entry date]]+30,IF(CommitmentsTable[[#This Row],[Date record entered]]&lt;&gt;"",CommitmentsTable[[#This Row],[Date record entered]]+30,""))</f>
        <v/>
      </c>
      <c r="K734" s="245"/>
      <c r="L734" s="245" t="str">
        <f ca="1">IF(CommitmentsTable[[#This Row],[Date Assigned if different from entry date]]&lt;&gt;"",CommitmentsTable[[#This Row],[Date Assigned if different from entry date]]+60,IF(CommitmentsTable[[#This Row],[Date record entered]]&lt;&gt;"",CommitmentsTable[[#This Row],[Date record entered]]+60,""))</f>
        <v/>
      </c>
      <c r="M734" s="214"/>
      <c r="N734" s="214"/>
      <c r="O734" s="236"/>
      <c r="P734" s="214"/>
      <c r="Q734" s="214"/>
      <c r="R734" s="214"/>
      <c r="S734" s="238" t="str">
        <f>IF(CommitmentsTable[[#This Row],[Commitment / deliverable]]="","",IF(CommitmentsTable[[#This Row],[Revised due]]&lt;&gt;"",CommitmentsTable[[#This Row],[Revised due]],CommitmentsTable[[#This Row],[Original due]]))</f>
        <v/>
      </c>
      <c r="T734" s="237" t="str">
        <f>IF(OR(CommitmentsTable[[#This Row],[Commitment / deliverable]]="",CommitmentsTable[[#This Row],[Owner]]=""),"",IF(CommitmentsTable[[#This Row],[Status2]]="","Open",CommitmentsTable[[#This Row],[Status2]]))</f>
        <v/>
      </c>
      <c r="U734" s="237" t="str">
        <f t="shared" ca="1" si="11"/>
        <v/>
      </c>
      <c r="V734" s="233"/>
      <c r="W734" s="63" t="s">
        <v>1636</v>
      </c>
    </row>
    <row r="735" spans="1:23" ht="26">
      <c r="A735" s="213" t="str">
        <f>IF(OR(CommitmentsTable[[#This Row],[Commitment / deliverable]]="",CommitmentsTable[[#This Row],[Immutable Key]]=""),"",SUBSTITUTE(CommitmentsTable[[#This Row],[Immutable Key]],"-K-","-"))</f>
        <v/>
      </c>
      <c r="B735" s="233"/>
      <c r="C735" s="233"/>
      <c r="D735" s="213"/>
      <c r="E735" s="230"/>
      <c r="F735" s="213"/>
      <c r="G735" s="245" t="str">
        <f ca="1">IF(CommitmentsTable[[#This Row],[Commitment / deliverable]]="","",IF(CommitmentsTable[[#This Row],[Date record entered]]="",TODAY(),CommitmentsTable[[#This Row],[Date record entered]]))</f>
        <v/>
      </c>
      <c r="H735" s="245"/>
      <c r="I735" s="245" t="str">
        <f ca="1">IF(CommitmentsTable[[#This Row],[Date Assigned if different from entry date]]&lt;&gt;"",CommitmentsTable[[#This Row],[Date Assigned if different from entry date]]+90,IF(CommitmentsTable[[#This Row],[Date record entered]]&lt;&gt;"",CommitmentsTable[[#This Row],[Date record entered]]+90,""))</f>
        <v/>
      </c>
      <c r="J735" s="245" t="str">
        <f ca="1">IF(CommitmentsTable[[#This Row],[Date Assigned if different from entry date]]&lt;&gt;"",CommitmentsTable[[#This Row],[Date Assigned if different from entry date]]+30,IF(CommitmentsTable[[#This Row],[Date record entered]]&lt;&gt;"",CommitmentsTable[[#This Row],[Date record entered]]+30,""))</f>
        <v/>
      </c>
      <c r="K735" s="245"/>
      <c r="L735" s="245" t="str">
        <f ca="1">IF(CommitmentsTable[[#This Row],[Date Assigned if different from entry date]]&lt;&gt;"",CommitmentsTable[[#This Row],[Date Assigned if different from entry date]]+60,IF(CommitmentsTable[[#This Row],[Date record entered]]&lt;&gt;"",CommitmentsTable[[#This Row],[Date record entered]]+60,""))</f>
        <v/>
      </c>
      <c r="M735" s="214"/>
      <c r="N735" s="214"/>
      <c r="O735" s="236"/>
      <c r="P735" s="214"/>
      <c r="Q735" s="214"/>
      <c r="R735" s="214"/>
      <c r="S735" s="238" t="str">
        <f>IF(CommitmentsTable[[#This Row],[Commitment / deliverable]]="","",IF(CommitmentsTable[[#This Row],[Revised due]]&lt;&gt;"",CommitmentsTable[[#This Row],[Revised due]],CommitmentsTable[[#This Row],[Original due]]))</f>
        <v/>
      </c>
      <c r="T735" s="237" t="str">
        <f>IF(OR(CommitmentsTable[[#This Row],[Commitment / deliverable]]="",CommitmentsTable[[#This Row],[Owner]]=""),"",IF(CommitmentsTable[[#This Row],[Status2]]="","Open",CommitmentsTable[[#This Row],[Status2]]))</f>
        <v/>
      </c>
      <c r="U735" s="237" t="str">
        <f t="shared" ca="1" si="11"/>
        <v/>
      </c>
      <c r="V735" s="233"/>
      <c r="W735" s="63" t="s">
        <v>1637</v>
      </c>
    </row>
    <row r="736" spans="1:23" ht="26">
      <c r="A736" s="213" t="str">
        <f>IF(OR(CommitmentsTable[[#This Row],[Commitment / deliverable]]="",CommitmentsTable[[#This Row],[Immutable Key]]=""),"",SUBSTITUTE(CommitmentsTable[[#This Row],[Immutable Key]],"-K-","-"))</f>
        <v/>
      </c>
      <c r="B736" s="233"/>
      <c r="C736" s="233"/>
      <c r="D736" s="213"/>
      <c r="E736" s="230"/>
      <c r="F736" s="213"/>
      <c r="G736" s="245" t="str">
        <f ca="1">IF(CommitmentsTable[[#This Row],[Commitment / deliverable]]="","",IF(CommitmentsTable[[#This Row],[Date record entered]]="",TODAY(),CommitmentsTable[[#This Row],[Date record entered]]))</f>
        <v/>
      </c>
      <c r="H736" s="245"/>
      <c r="I736" s="245" t="str">
        <f ca="1">IF(CommitmentsTable[[#This Row],[Date Assigned if different from entry date]]&lt;&gt;"",CommitmentsTable[[#This Row],[Date Assigned if different from entry date]]+90,IF(CommitmentsTable[[#This Row],[Date record entered]]&lt;&gt;"",CommitmentsTable[[#This Row],[Date record entered]]+90,""))</f>
        <v/>
      </c>
      <c r="J736" s="245" t="str">
        <f ca="1">IF(CommitmentsTable[[#This Row],[Date Assigned if different from entry date]]&lt;&gt;"",CommitmentsTable[[#This Row],[Date Assigned if different from entry date]]+30,IF(CommitmentsTable[[#This Row],[Date record entered]]&lt;&gt;"",CommitmentsTable[[#This Row],[Date record entered]]+30,""))</f>
        <v/>
      </c>
      <c r="K736" s="245"/>
      <c r="L736" s="245" t="str">
        <f ca="1">IF(CommitmentsTable[[#This Row],[Date Assigned if different from entry date]]&lt;&gt;"",CommitmentsTable[[#This Row],[Date Assigned if different from entry date]]+60,IF(CommitmentsTable[[#This Row],[Date record entered]]&lt;&gt;"",CommitmentsTable[[#This Row],[Date record entered]]+60,""))</f>
        <v/>
      </c>
      <c r="M736" s="214"/>
      <c r="N736" s="214"/>
      <c r="O736" s="236"/>
      <c r="P736" s="214"/>
      <c r="Q736" s="214"/>
      <c r="R736" s="214"/>
      <c r="S736" s="238" t="str">
        <f>IF(CommitmentsTable[[#This Row],[Commitment / deliverable]]="","",IF(CommitmentsTable[[#This Row],[Revised due]]&lt;&gt;"",CommitmentsTable[[#This Row],[Revised due]],CommitmentsTable[[#This Row],[Original due]]))</f>
        <v/>
      </c>
      <c r="T736" s="237" t="str">
        <f>IF(OR(CommitmentsTable[[#This Row],[Commitment / deliverable]]="",CommitmentsTable[[#This Row],[Owner]]=""),"",IF(CommitmentsTable[[#This Row],[Status2]]="","Open",CommitmentsTable[[#This Row],[Status2]]))</f>
        <v/>
      </c>
      <c r="U736" s="237" t="str">
        <f t="shared" ca="1" si="11"/>
        <v/>
      </c>
      <c r="V736" s="233"/>
      <c r="W736" s="63" t="s">
        <v>1638</v>
      </c>
    </row>
    <row r="737" spans="1:23" ht="26">
      <c r="A737" s="213" t="str">
        <f>IF(OR(CommitmentsTable[[#This Row],[Commitment / deliverable]]="",CommitmentsTable[[#This Row],[Immutable Key]]=""),"",SUBSTITUTE(CommitmentsTable[[#This Row],[Immutable Key]],"-K-","-"))</f>
        <v/>
      </c>
      <c r="B737" s="233"/>
      <c r="C737" s="233"/>
      <c r="D737" s="213"/>
      <c r="E737" s="230"/>
      <c r="F737" s="213"/>
      <c r="G737" s="245" t="str">
        <f ca="1">IF(CommitmentsTable[[#This Row],[Commitment / deliverable]]="","",IF(CommitmentsTable[[#This Row],[Date record entered]]="",TODAY(),CommitmentsTable[[#This Row],[Date record entered]]))</f>
        <v/>
      </c>
      <c r="H737" s="245"/>
      <c r="I737" s="245" t="str">
        <f ca="1">IF(CommitmentsTable[[#This Row],[Date Assigned if different from entry date]]&lt;&gt;"",CommitmentsTable[[#This Row],[Date Assigned if different from entry date]]+90,IF(CommitmentsTable[[#This Row],[Date record entered]]&lt;&gt;"",CommitmentsTable[[#This Row],[Date record entered]]+90,""))</f>
        <v/>
      </c>
      <c r="J737" s="245" t="str">
        <f ca="1">IF(CommitmentsTable[[#This Row],[Date Assigned if different from entry date]]&lt;&gt;"",CommitmentsTable[[#This Row],[Date Assigned if different from entry date]]+30,IF(CommitmentsTable[[#This Row],[Date record entered]]&lt;&gt;"",CommitmentsTable[[#This Row],[Date record entered]]+30,""))</f>
        <v/>
      </c>
      <c r="K737" s="245"/>
      <c r="L737" s="245" t="str">
        <f ca="1">IF(CommitmentsTable[[#This Row],[Date Assigned if different from entry date]]&lt;&gt;"",CommitmentsTable[[#This Row],[Date Assigned if different from entry date]]+60,IF(CommitmentsTable[[#This Row],[Date record entered]]&lt;&gt;"",CommitmentsTable[[#This Row],[Date record entered]]+60,""))</f>
        <v/>
      </c>
      <c r="M737" s="214"/>
      <c r="N737" s="214"/>
      <c r="O737" s="236"/>
      <c r="P737" s="214"/>
      <c r="Q737" s="214"/>
      <c r="R737" s="214"/>
      <c r="S737" s="238" t="str">
        <f>IF(CommitmentsTable[[#This Row],[Commitment / deliverable]]="","",IF(CommitmentsTable[[#This Row],[Revised due]]&lt;&gt;"",CommitmentsTable[[#This Row],[Revised due]],CommitmentsTable[[#This Row],[Original due]]))</f>
        <v/>
      </c>
      <c r="T737" s="237" t="str">
        <f>IF(OR(CommitmentsTable[[#This Row],[Commitment / deliverable]]="",CommitmentsTable[[#This Row],[Owner]]=""),"",IF(CommitmentsTable[[#This Row],[Status2]]="","Open",CommitmentsTable[[#This Row],[Status2]]))</f>
        <v/>
      </c>
      <c r="U737" s="237" t="str">
        <f t="shared" ca="1" si="11"/>
        <v/>
      </c>
      <c r="V737" s="233"/>
      <c r="W737" s="63" t="s">
        <v>1639</v>
      </c>
    </row>
    <row r="738" spans="1:23" ht="26">
      <c r="A738" s="213" t="str">
        <f>IF(OR(CommitmentsTable[[#This Row],[Commitment / deliverable]]="",CommitmentsTable[[#This Row],[Immutable Key]]=""),"",SUBSTITUTE(CommitmentsTable[[#This Row],[Immutable Key]],"-K-","-"))</f>
        <v/>
      </c>
      <c r="B738" s="233"/>
      <c r="C738" s="233"/>
      <c r="D738" s="213"/>
      <c r="E738" s="230"/>
      <c r="F738" s="213"/>
      <c r="G738" s="245" t="str">
        <f ca="1">IF(CommitmentsTable[[#This Row],[Commitment / deliverable]]="","",IF(CommitmentsTable[[#This Row],[Date record entered]]="",TODAY(),CommitmentsTable[[#This Row],[Date record entered]]))</f>
        <v/>
      </c>
      <c r="H738" s="245"/>
      <c r="I738" s="245" t="str">
        <f ca="1">IF(CommitmentsTable[[#This Row],[Date Assigned if different from entry date]]&lt;&gt;"",CommitmentsTable[[#This Row],[Date Assigned if different from entry date]]+90,IF(CommitmentsTable[[#This Row],[Date record entered]]&lt;&gt;"",CommitmentsTable[[#This Row],[Date record entered]]+90,""))</f>
        <v/>
      </c>
      <c r="J738" s="245" t="str">
        <f ca="1">IF(CommitmentsTable[[#This Row],[Date Assigned if different from entry date]]&lt;&gt;"",CommitmentsTable[[#This Row],[Date Assigned if different from entry date]]+30,IF(CommitmentsTable[[#This Row],[Date record entered]]&lt;&gt;"",CommitmentsTable[[#This Row],[Date record entered]]+30,""))</f>
        <v/>
      </c>
      <c r="K738" s="245"/>
      <c r="L738" s="245" t="str">
        <f ca="1">IF(CommitmentsTable[[#This Row],[Date Assigned if different from entry date]]&lt;&gt;"",CommitmentsTable[[#This Row],[Date Assigned if different from entry date]]+60,IF(CommitmentsTable[[#This Row],[Date record entered]]&lt;&gt;"",CommitmentsTable[[#This Row],[Date record entered]]+60,""))</f>
        <v/>
      </c>
      <c r="M738" s="214"/>
      <c r="N738" s="214"/>
      <c r="O738" s="236"/>
      <c r="P738" s="214"/>
      <c r="Q738" s="214"/>
      <c r="R738" s="214"/>
      <c r="S738" s="238" t="str">
        <f>IF(CommitmentsTable[[#This Row],[Commitment / deliverable]]="","",IF(CommitmentsTable[[#This Row],[Revised due]]&lt;&gt;"",CommitmentsTable[[#This Row],[Revised due]],CommitmentsTable[[#This Row],[Original due]]))</f>
        <v/>
      </c>
      <c r="T738" s="237" t="str">
        <f>IF(OR(CommitmentsTable[[#This Row],[Commitment / deliverable]]="",CommitmentsTable[[#This Row],[Owner]]=""),"",IF(CommitmentsTable[[#This Row],[Status2]]="","Open",CommitmentsTable[[#This Row],[Status2]]))</f>
        <v/>
      </c>
      <c r="U738" s="237" t="str">
        <f t="shared" ca="1" si="11"/>
        <v/>
      </c>
      <c r="V738" s="233"/>
      <c r="W738" s="63" t="s">
        <v>1640</v>
      </c>
    </row>
    <row r="739" spans="1:23" ht="26">
      <c r="A739" s="213" t="str">
        <f>IF(OR(CommitmentsTable[[#This Row],[Commitment / deliverable]]="",CommitmentsTable[[#This Row],[Immutable Key]]=""),"",SUBSTITUTE(CommitmentsTable[[#This Row],[Immutable Key]],"-K-","-"))</f>
        <v/>
      </c>
      <c r="B739" s="233"/>
      <c r="C739" s="233"/>
      <c r="D739" s="213"/>
      <c r="E739" s="230"/>
      <c r="F739" s="213"/>
      <c r="G739" s="245" t="str">
        <f ca="1">IF(CommitmentsTable[[#This Row],[Commitment / deliverable]]="","",IF(CommitmentsTable[[#This Row],[Date record entered]]="",TODAY(),CommitmentsTable[[#This Row],[Date record entered]]))</f>
        <v/>
      </c>
      <c r="H739" s="245"/>
      <c r="I739" s="245" t="str">
        <f ca="1">IF(CommitmentsTable[[#This Row],[Date Assigned if different from entry date]]&lt;&gt;"",CommitmentsTable[[#This Row],[Date Assigned if different from entry date]]+90,IF(CommitmentsTable[[#This Row],[Date record entered]]&lt;&gt;"",CommitmentsTable[[#This Row],[Date record entered]]+90,""))</f>
        <v/>
      </c>
      <c r="J739" s="245" t="str">
        <f ca="1">IF(CommitmentsTable[[#This Row],[Date Assigned if different from entry date]]&lt;&gt;"",CommitmentsTable[[#This Row],[Date Assigned if different from entry date]]+30,IF(CommitmentsTable[[#This Row],[Date record entered]]&lt;&gt;"",CommitmentsTable[[#This Row],[Date record entered]]+30,""))</f>
        <v/>
      </c>
      <c r="K739" s="245"/>
      <c r="L739" s="245" t="str">
        <f ca="1">IF(CommitmentsTable[[#This Row],[Date Assigned if different from entry date]]&lt;&gt;"",CommitmentsTable[[#This Row],[Date Assigned if different from entry date]]+60,IF(CommitmentsTable[[#This Row],[Date record entered]]&lt;&gt;"",CommitmentsTable[[#This Row],[Date record entered]]+60,""))</f>
        <v/>
      </c>
      <c r="M739" s="214"/>
      <c r="N739" s="214"/>
      <c r="O739" s="236"/>
      <c r="P739" s="214"/>
      <c r="Q739" s="214"/>
      <c r="R739" s="214"/>
      <c r="S739" s="238" t="str">
        <f>IF(CommitmentsTable[[#This Row],[Commitment / deliverable]]="","",IF(CommitmentsTable[[#This Row],[Revised due]]&lt;&gt;"",CommitmentsTable[[#This Row],[Revised due]],CommitmentsTable[[#This Row],[Original due]]))</f>
        <v/>
      </c>
      <c r="T739" s="237" t="str">
        <f>IF(OR(CommitmentsTable[[#This Row],[Commitment / deliverable]]="",CommitmentsTable[[#This Row],[Owner]]=""),"",IF(CommitmentsTable[[#This Row],[Status2]]="","Open",CommitmentsTable[[#This Row],[Status2]]))</f>
        <v/>
      </c>
      <c r="U739" s="237" t="str">
        <f t="shared" ca="1" si="11"/>
        <v/>
      </c>
      <c r="V739" s="233"/>
      <c r="W739" s="63" t="s">
        <v>1641</v>
      </c>
    </row>
    <row r="740" spans="1:23" ht="26">
      <c r="A740" s="213" t="str">
        <f>IF(OR(CommitmentsTable[[#This Row],[Commitment / deliverable]]="",CommitmentsTable[[#This Row],[Immutable Key]]=""),"",SUBSTITUTE(CommitmentsTable[[#This Row],[Immutable Key]],"-K-","-"))</f>
        <v/>
      </c>
      <c r="B740" s="233"/>
      <c r="C740" s="233"/>
      <c r="D740" s="213"/>
      <c r="E740" s="230"/>
      <c r="F740" s="213"/>
      <c r="G740" s="245" t="str">
        <f ca="1">IF(CommitmentsTable[[#This Row],[Commitment / deliverable]]="","",IF(CommitmentsTable[[#This Row],[Date record entered]]="",TODAY(),CommitmentsTable[[#This Row],[Date record entered]]))</f>
        <v/>
      </c>
      <c r="H740" s="245"/>
      <c r="I740" s="245" t="str">
        <f ca="1">IF(CommitmentsTable[[#This Row],[Date Assigned if different from entry date]]&lt;&gt;"",CommitmentsTable[[#This Row],[Date Assigned if different from entry date]]+90,IF(CommitmentsTable[[#This Row],[Date record entered]]&lt;&gt;"",CommitmentsTable[[#This Row],[Date record entered]]+90,""))</f>
        <v/>
      </c>
      <c r="J740" s="245" t="str">
        <f ca="1">IF(CommitmentsTable[[#This Row],[Date Assigned if different from entry date]]&lt;&gt;"",CommitmentsTable[[#This Row],[Date Assigned if different from entry date]]+30,IF(CommitmentsTable[[#This Row],[Date record entered]]&lt;&gt;"",CommitmentsTable[[#This Row],[Date record entered]]+30,""))</f>
        <v/>
      </c>
      <c r="K740" s="245"/>
      <c r="L740" s="245" t="str">
        <f ca="1">IF(CommitmentsTable[[#This Row],[Date Assigned if different from entry date]]&lt;&gt;"",CommitmentsTable[[#This Row],[Date Assigned if different from entry date]]+60,IF(CommitmentsTable[[#This Row],[Date record entered]]&lt;&gt;"",CommitmentsTable[[#This Row],[Date record entered]]+60,""))</f>
        <v/>
      </c>
      <c r="M740" s="214"/>
      <c r="N740" s="214"/>
      <c r="O740" s="236"/>
      <c r="P740" s="214"/>
      <c r="Q740" s="214"/>
      <c r="R740" s="214"/>
      <c r="S740" s="238" t="str">
        <f>IF(CommitmentsTable[[#This Row],[Commitment / deliverable]]="","",IF(CommitmentsTable[[#This Row],[Revised due]]&lt;&gt;"",CommitmentsTable[[#This Row],[Revised due]],CommitmentsTable[[#This Row],[Original due]]))</f>
        <v/>
      </c>
      <c r="T740" s="237" t="str">
        <f>IF(OR(CommitmentsTable[[#This Row],[Commitment / deliverable]]="",CommitmentsTable[[#This Row],[Owner]]=""),"",IF(CommitmentsTable[[#This Row],[Status2]]="","Open",CommitmentsTable[[#This Row],[Status2]]))</f>
        <v/>
      </c>
      <c r="U740" s="237" t="str">
        <f t="shared" ca="1" si="11"/>
        <v/>
      </c>
      <c r="V740" s="233"/>
      <c r="W740" s="63" t="s">
        <v>1642</v>
      </c>
    </row>
    <row r="741" spans="1:23" ht="26">
      <c r="A741" s="213" t="str">
        <f>IF(OR(CommitmentsTable[[#This Row],[Commitment / deliverable]]="",CommitmentsTable[[#This Row],[Immutable Key]]=""),"",SUBSTITUTE(CommitmentsTable[[#This Row],[Immutable Key]],"-K-","-"))</f>
        <v/>
      </c>
      <c r="B741" s="233"/>
      <c r="C741" s="233"/>
      <c r="D741" s="213"/>
      <c r="E741" s="230"/>
      <c r="F741" s="213"/>
      <c r="G741" s="245" t="str">
        <f ca="1">IF(CommitmentsTable[[#This Row],[Commitment / deliverable]]="","",IF(CommitmentsTable[[#This Row],[Date record entered]]="",TODAY(),CommitmentsTable[[#This Row],[Date record entered]]))</f>
        <v/>
      </c>
      <c r="H741" s="245"/>
      <c r="I741" s="245" t="str">
        <f ca="1">IF(CommitmentsTable[[#This Row],[Date Assigned if different from entry date]]&lt;&gt;"",CommitmentsTable[[#This Row],[Date Assigned if different from entry date]]+90,IF(CommitmentsTable[[#This Row],[Date record entered]]&lt;&gt;"",CommitmentsTable[[#This Row],[Date record entered]]+90,""))</f>
        <v/>
      </c>
      <c r="J741" s="245" t="str">
        <f ca="1">IF(CommitmentsTable[[#This Row],[Date Assigned if different from entry date]]&lt;&gt;"",CommitmentsTable[[#This Row],[Date Assigned if different from entry date]]+30,IF(CommitmentsTable[[#This Row],[Date record entered]]&lt;&gt;"",CommitmentsTable[[#This Row],[Date record entered]]+30,""))</f>
        <v/>
      </c>
      <c r="K741" s="245"/>
      <c r="L741" s="245" t="str">
        <f ca="1">IF(CommitmentsTable[[#This Row],[Date Assigned if different from entry date]]&lt;&gt;"",CommitmentsTable[[#This Row],[Date Assigned if different from entry date]]+60,IF(CommitmentsTable[[#This Row],[Date record entered]]&lt;&gt;"",CommitmentsTable[[#This Row],[Date record entered]]+60,""))</f>
        <v/>
      </c>
      <c r="M741" s="214"/>
      <c r="N741" s="214"/>
      <c r="O741" s="236"/>
      <c r="P741" s="214"/>
      <c r="Q741" s="214"/>
      <c r="R741" s="214"/>
      <c r="S741" s="238" t="str">
        <f>IF(CommitmentsTable[[#This Row],[Commitment / deliverable]]="","",IF(CommitmentsTable[[#This Row],[Revised due]]&lt;&gt;"",CommitmentsTable[[#This Row],[Revised due]],CommitmentsTable[[#This Row],[Original due]]))</f>
        <v/>
      </c>
      <c r="T741" s="237" t="str">
        <f>IF(OR(CommitmentsTable[[#This Row],[Commitment / deliverable]]="",CommitmentsTable[[#This Row],[Owner]]=""),"",IF(CommitmentsTable[[#This Row],[Status2]]="","Open",CommitmentsTable[[#This Row],[Status2]]))</f>
        <v/>
      </c>
      <c r="U741" s="237" t="str">
        <f t="shared" ca="1" si="11"/>
        <v/>
      </c>
      <c r="V741" s="233"/>
      <c r="W741" s="63" t="s">
        <v>1643</v>
      </c>
    </row>
    <row r="742" spans="1:23" ht="26">
      <c r="A742" s="213" t="str">
        <f>IF(OR(CommitmentsTable[[#This Row],[Commitment / deliverable]]="",CommitmentsTable[[#This Row],[Immutable Key]]=""),"",SUBSTITUTE(CommitmentsTable[[#This Row],[Immutable Key]],"-K-","-"))</f>
        <v/>
      </c>
      <c r="B742" s="233"/>
      <c r="C742" s="233"/>
      <c r="D742" s="213"/>
      <c r="E742" s="230"/>
      <c r="F742" s="213"/>
      <c r="G742" s="245" t="str">
        <f ca="1">IF(CommitmentsTable[[#This Row],[Commitment / deliverable]]="","",IF(CommitmentsTable[[#This Row],[Date record entered]]="",TODAY(),CommitmentsTable[[#This Row],[Date record entered]]))</f>
        <v/>
      </c>
      <c r="H742" s="245"/>
      <c r="I742" s="245" t="str">
        <f ca="1">IF(CommitmentsTable[[#This Row],[Date Assigned if different from entry date]]&lt;&gt;"",CommitmentsTable[[#This Row],[Date Assigned if different from entry date]]+90,IF(CommitmentsTable[[#This Row],[Date record entered]]&lt;&gt;"",CommitmentsTable[[#This Row],[Date record entered]]+90,""))</f>
        <v/>
      </c>
      <c r="J742" s="245" t="str">
        <f ca="1">IF(CommitmentsTable[[#This Row],[Date Assigned if different from entry date]]&lt;&gt;"",CommitmentsTable[[#This Row],[Date Assigned if different from entry date]]+30,IF(CommitmentsTable[[#This Row],[Date record entered]]&lt;&gt;"",CommitmentsTable[[#This Row],[Date record entered]]+30,""))</f>
        <v/>
      </c>
      <c r="K742" s="245"/>
      <c r="L742" s="245" t="str">
        <f ca="1">IF(CommitmentsTable[[#This Row],[Date Assigned if different from entry date]]&lt;&gt;"",CommitmentsTable[[#This Row],[Date Assigned if different from entry date]]+60,IF(CommitmentsTable[[#This Row],[Date record entered]]&lt;&gt;"",CommitmentsTable[[#This Row],[Date record entered]]+60,""))</f>
        <v/>
      </c>
      <c r="M742" s="214"/>
      <c r="N742" s="214"/>
      <c r="O742" s="236"/>
      <c r="P742" s="214"/>
      <c r="Q742" s="214"/>
      <c r="R742" s="214"/>
      <c r="S742" s="238" t="str">
        <f>IF(CommitmentsTable[[#This Row],[Commitment / deliverable]]="","",IF(CommitmentsTable[[#This Row],[Revised due]]&lt;&gt;"",CommitmentsTable[[#This Row],[Revised due]],CommitmentsTable[[#This Row],[Original due]]))</f>
        <v/>
      </c>
      <c r="T742" s="237" t="str">
        <f>IF(OR(CommitmentsTable[[#This Row],[Commitment / deliverable]]="",CommitmentsTable[[#This Row],[Owner]]=""),"",IF(CommitmentsTable[[#This Row],[Status2]]="","Open",CommitmentsTable[[#This Row],[Status2]]))</f>
        <v/>
      </c>
      <c r="U742" s="237" t="str">
        <f t="shared" ca="1" si="11"/>
        <v/>
      </c>
      <c r="V742" s="233"/>
      <c r="W742" s="63" t="s">
        <v>1644</v>
      </c>
    </row>
    <row r="743" spans="1:23" ht="26">
      <c r="A743" s="213" t="str">
        <f>IF(OR(CommitmentsTable[[#This Row],[Commitment / deliverable]]="",CommitmentsTable[[#This Row],[Immutable Key]]=""),"",SUBSTITUTE(CommitmentsTable[[#This Row],[Immutable Key]],"-K-","-"))</f>
        <v/>
      </c>
      <c r="B743" s="233"/>
      <c r="C743" s="233"/>
      <c r="D743" s="213"/>
      <c r="E743" s="230"/>
      <c r="F743" s="213"/>
      <c r="G743" s="245" t="str">
        <f ca="1">IF(CommitmentsTable[[#This Row],[Commitment / deliverable]]="","",IF(CommitmentsTable[[#This Row],[Date record entered]]="",TODAY(),CommitmentsTable[[#This Row],[Date record entered]]))</f>
        <v/>
      </c>
      <c r="H743" s="245"/>
      <c r="I743" s="245" t="str">
        <f ca="1">IF(CommitmentsTable[[#This Row],[Date Assigned if different from entry date]]&lt;&gt;"",CommitmentsTable[[#This Row],[Date Assigned if different from entry date]]+90,IF(CommitmentsTable[[#This Row],[Date record entered]]&lt;&gt;"",CommitmentsTable[[#This Row],[Date record entered]]+90,""))</f>
        <v/>
      </c>
      <c r="J743" s="245" t="str">
        <f ca="1">IF(CommitmentsTable[[#This Row],[Date Assigned if different from entry date]]&lt;&gt;"",CommitmentsTable[[#This Row],[Date Assigned if different from entry date]]+30,IF(CommitmentsTable[[#This Row],[Date record entered]]&lt;&gt;"",CommitmentsTable[[#This Row],[Date record entered]]+30,""))</f>
        <v/>
      </c>
      <c r="K743" s="245"/>
      <c r="L743" s="245" t="str">
        <f ca="1">IF(CommitmentsTable[[#This Row],[Date Assigned if different from entry date]]&lt;&gt;"",CommitmentsTable[[#This Row],[Date Assigned if different from entry date]]+60,IF(CommitmentsTable[[#This Row],[Date record entered]]&lt;&gt;"",CommitmentsTable[[#This Row],[Date record entered]]+60,""))</f>
        <v/>
      </c>
      <c r="M743" s="214"/>
      <c r="N743" s="214"/>
      <c r="O743" s="236"/>
      <c r="P743" s="214"/>
      <c r="Q743" s="214"/>
      <c r="R743" s="214"/>
      <c r="S743" s="238" t="str">
        <f>IF(CommitmentsTable[[#This Row],[Commitment / deliverable]]="","",IF(CommitmentsTable[[#This Row],[Revised due]]&lt;&gt;"",CommitmentsTable[[#This Row],[Revised due]],CommitmentsTable[[#This Row],[Original due]]))</f>
        <v/>
      </c>
      <c r="T743" s="237" t="str">
        <f>IF(OR(CommitmentsTable[[#This Row],[Commitment / deliverable]]="",CommitmentsTable[[#This Row],[Owner]]=""),"",IF(CommitmentsTable[[#This Row],[Status2]]="","Open",CommitmentsTable[[#This Row],[Status2]]))</f>
        <v/>
      </c>
      <c r="U743" s="237" t="str">
        <f t="shared" ca="1" si="11"/>
        <v/>
      </c>
      <c r="V743" s="233"/>
      <c r="W743" s="63" t="s">
        <v>1645</v>
      </c>
    </row>
    <row r="744" spans="1:23" ht="26">
      <c r="A744" s="213" t="str">
        <f>IF(OR(CommitmentsTable[[#This Row],[Commitment / deliverable]]="",CommitmentsTable[[#This Row],[Immutable Key]]=""),"",SUBSTITUTE(CommitmentsTable[[#This Row],[Immutable Key]],"-K-","-"))</f>
        <v/>
      </c>
      <c r="B744" s="233"/>
      <c r="C744" s="233"/>
      <c r="D744" s="213"/>
      <c r="E744" s="230"/>
      <c r="F744" s="213"/>
      <c r="G744" s="245" t="str">
        <f ca="1">IF(CommitmentsTable[[#This Row],[Commitment / deliverable]]="","",IF(CommitmentsTable[[#This Row],[Date record entered]]="",TODAY(),CommitmentsTable[[#This Row],[Date record entered]]))</f>
        <v/>
      </c>
      <c r="H744" s="245"/>
      <c r="I744" s="245" t="str">
        <f ca="1">IF(CommitmentsTable[[#This Row],[Date Assigned if different from entry date]]&lt;&gt;"",CommitmentsTable[[#This Row],[Date Assigned if different from entry date]]+90,IF(CommitmentsTable[[#This Row],[Date record entered]]&lt;&gt;"",CommitmentsTable[[#This Row],[Date record entered]]+90,""))</f>
        <v/>
      </c>
      <c r="J744" s="245" t="str">
        <f ca="1">IF(CommitmentsTable[[#This Row],[Date Assigned if different from entry date]]&lt;&gt;"",CommitmentsTable[[#This Row],[Date Assigned if different from entry date]]+30,IF(CommitmentsTable[[#This Row],[Date record entered]]&lt;&gt;"",CommitmentsTable[[#This Row],[Date record entered]]+30,""))</f>
        <v/>
      </c>
      <c r="K744" s="245"/>
      <c r="L744" s="245" t="str">
        <f ca="1">IF(CommitmentsTable[[#This Row],[Date Assigned if different from entry date]]&lt;&gt;"",CommitmentsTable[[#This Row],[Date Assigned if different from entry date]]+60,IF(CommitmentsTable[[#This Row],[Date record entered]]&lt;&gt;"",CommitmentsTable[[#This Row],[Date record entered]]+60,""))</f>
        <v/>
      </c>
      <c r="M744" s="214"/>
      <c r="N744" s="214"/>
      <c r="O744" s="236"/>
      <c r="P744" s="214"/>
      <c r="Q744" s="214"/>
      <c r="R744" s="214"/>
      <c r="S744" s="238" t="str">
        <f>IF(CommitmentsTable[[#This Row],[Commitment / deliverable]]="","",IF(CommitmentsTable[[#This Row],[Revised due]]&lt;&gt;"",CommitmentsTable[[#This Row],[Revised due]],CommitmentsTable[[#This Row],[Original due]]))</f>
        <v/>
      </c>
      <c r="T744" s="237" t="str">
        <f>IF(OR(CommitmentsTable[[#This Row],[Commitment / deliverable]]="",CommitmentsTable[[#This Row],[Owner]]=""),"",IF(CommitmentsTable[[#This Row],[Status2]]="","Open",CommitmentsTable[[#This Row],[Status2]]))</f>
        <v/>
      </c>
      <c r="U744" s="237" t="str">
        <f t="shared" ca="1" si="11"/>
        <v/>
      </c>
      <c r="V744" s="233"/>
      <c r="W744" s="63" t="s">
        <v>1646</v>
      </c>
    </row>
    <row r="745" spans="1:23" ht="26">
      <c r="A745" s="213" t="str">
        <f>IF(OR(CommitmentsTable[[#This Row],[Commitment / deliverable]]="",CommitmentsTable[[#This Row],[Immutable Key]]=""),"",SUBSTITUTE(CommitmentsTable[[#This Row],[Immutable Key]],"-K-","-"))</f>
        <v/>
      </c>
      <c r="B745" s="233"/>
      <c r="C745" s="233"/>
      <c r="D745" s="213"/>
      <c r="E745" s="230"/>
      <c r="F745" s="213"/>
      <c r="G745" s="245" t="str">
        <f ca="1">IF(CommitmentsTable[[#This Row],[Commitment / deliverable]]="","",IF(CommitmentsTable[[#This Row],[Date record entered]]="",TODAY(),CommitmentsTable[[#This Row],[Date record entered]]))</f>
        <v/>
      </c>
      <c r="H745" s="245"/>
      <c r="I745" s="245" t="str">
        <f ca="1">IF(CommitmentsTable[[#This Row],[Date Assigned if different from entry date]]&lt;&gt;"",CommitmentsTable[[#This Row],[Date Assigned if different from entry date]]+90,IF(CommitmentsTable[[#This Row],[Date record entered]]&lt;&gt;"",CommitmentsTable[[#This Row],[Date record entered]]+90,""))</f>
        <v/>
      </c>
      <c r="J745" s="245" t="str">
        <f ca="1">IF(CommitmentsTable[[#This Row],[Date Assigned if different from entry date]]&lt;&gt;"",CommitmentsTable[[#This Row],[Date Assigned if different from entry date]]+30,IF(CommitmentsTable[[#This Row],[Date record entered]]&lt;&gt;"",CommitmentsTable[[#This Row],[Date record entered]]+30,""))</f>
        <v/>
      </c>
      <c r="K745" s="245"/>
      <c r="L745" s="245" t="str">
        <f ca="1">IF(CommitmentsTable[[#This Row],[Date Assigned if different from entry date]]&lt;&gt;"",CommitmentsTable[[#This Row],[Date Assigned if different from entry date]]+60,IF(CommitmentsTable[[#This Row],[Date record entered]]&lt;&gt;"",CommitmentsTable[[#This Row],[Date record entered]]+60,""))</f>
        <v/>
      </c>
      <c r="M745" s="214"/>
      <c r="N745" s="214"/>
      <c r="O745" s="236"/>
      <c r="P745" s="214"/>
      <c r="Q745" s="214"/>
      <c r="R745" s="214"/>
      <c r="S745" s="238" t="str">
        <f>IF(CommitmentsTable[[#This Row],[Commitment / deliverable]]="","",IF(CommitmentsTable[[#This Row],[Revised due]]&lt;&gt;"",CommitmentsTable[[#This Row],[Revised due]],CommitmentsTable[[#This Row],[Original due]]))</f>
        <v/>
      </c>
      <c r="T745" s="237" t="str">
        <f>IF(OR(CommitmentsTable[[#This Row],[Commitment / deliverable]]="",CommitmentsTable[[#This Row],[Owner]]=""),"",IF(CommitmentsTable[[#This Row],[Status2]]="","Open",CommitmentsTable[[#This Row],[Status2]]))</f>
        <v/>
      </c>
      <c r="U745" s="237" t="str">
        <f t="shared" ca="1" si="11"/>
        <v/>
      </c>
      <c r="V745" s="233"/>
      <c r="W745" s="63" t="s">
        <v>1647</v>
      </c>
    </row>
    <row r="746" spans="1:23" ht="26">
      <c r="A746" s="213" t="str">
        <f>IF(OR(CommitmentsTable[[#This Row],[Commitment / deliverable]]="",CommitmentsTable[[#This Row],[Immutable Key]]=""),"",SUBSTITUTE(CommitmentsTable[[#This Row],[Immutable Key]],"-K-","-"))</f>
        <v/>
      </c>
      <c r="B746" s="233"/>
      <c r="C746" s="233"/>
      <c r="D746" s="213"/>
      <c r="E746" s="230"/>
      <c r="F746" s="213"/>
      <c r="G746" s="245" t="str">
        <f ca="1">IF(CommitmentsTable[[#This Row],[Commitment / deliverable]]="","",IF(CommitmentsTable[[#This Row],[Date record entered]]="",TODAY(),CommitmentsTable[[#This Row],[Date record entered]]))</f>
        <v/>
      </c>
      <c r="H746" s="245"/>
      <c r="I746" s="245" t="str">
        <f ca="1">IF(CommitmentsTable[[#This Row],[Date Assigned if different from entry date]]&lt;&gt;"",CommitmentsTable[[#This Row],[Date Assigned if different from entry date]]+90,IF(CommitmentsTable[[#This Row],[Date record entered]]&lt;&gt;"",CommitmentsTable[[#This Row],[Date record entered]]+90,""))</f>
        <v/>
      </c>
      <c r="J746" s="245" t="str">
        <f ca="1">IF(CommitmentsTable[[#This Row],[Date Assigned if different from entry date]]&lt;&gt;"",CommitmentsTable[[#This Row],[Date Assigned if different from entry date]]+30,IF(CommitmentsTable[[#This Row],[Date record entered]]&lt;&gt;"",CommitmentsTable[[#This Row],[Date record entered]]+30,""))</f>
        <v/>
      </c>
      <c r="K746" s="245"/>
      <c r="L746" s="245" t="str">
        <f ca="1">IF(CommitmentsTable[[#This Row],[Date Assigned if different from entry date]]&lt;&gt;"",CommitmentsTable[[#This Row],[Date Assigned if different from entry date]]+60,IF(CommitmentsTable[[#This Row],[Date record entered]]&lt;&gt;"",CommitmentsTable[[#This Row],[Date record entered]]+60,""))</f>
        <v/>
      </c>
      <c r="M746" s="214"/>
      <c r="N746" s="214"/>
      <c r="O746" s="236"/>
      <c r="P746" s="214"/>
      <c r="Q746" s="214"/>
      <c r="R746" s="214"/>
      <c r="S746" s="238" t="str">
        <f>IF(CommitmentsTable[[#This Row],[Commitment / deliverable]]="","",IF(CommitmentsTable[[#This Row],[Revised due]]&lt;&gt;"",CommitmentsTable[[#This Row],[Revised due]],CommitmentsTable[[#This Row],[Original due]]))</f>
        <v/>
      </c>
      <c r="T746" s="237" t="str">
        <f>IF(OR(CommitmentsTable[[#This Row],[Commitment / deliverable]]="",CommitmentsTable[[#This Row],[Owner]]=""),"",IF(CommitmentsTable[[#This Row],[Status2]]="","Open",CommitmentsTable[[#This Row],[Status2]]))</f>
        <v/>
      </c>
      <c r="U746" s="237" t="str">
        <f t="shared" ca="1" si="11"/>
        <v/>
      </c>
      <c r="V746" s="233"/>
      <c r="W746" s="63" t="s">
        <v>1648</v>
      </c>
    </row>
    <row r="747" spans="1:23" ht="26">
      <c r="A747" s="213" t="str">
        <f>IF(OR(CommitmentsTable[[#This Row],[Commitment / deliverable]]="",CommitmentsTable[[#This Row],[Immutable Key]]=""),"",SUBSTITUTE(CommitmentsTable[[#This Row],[Immutable Key]],"-K-","-"))</f>
        <v/>
      </c>
      <c r="B747" s="233"/>
      <c r="C747" s="233"/>
      <c r="D747" s="213"/>
      <c r="E747" s="230"/>
      <c r="F747" s="213"/>
      <c r="G747" s="245" t="str">
        <f ca="1">IF(CommitmentsTable[[#This Row],[Commitment / deliverable]]="","",IF(CommitmentsTable[[#This Row],[Date record entered]]="",TODAY(),CommitmentsTable[[#This Row],[Date record entered]]))</f>
        <v/>
      </c>
      <c r="H747" s="245"/>
      <c r="I747" s="245" t="str">
        <f ca="1">IF(CommitmentsTable[[#This Row],[Date Assigned if different from entry date]]&lt;&gt;"",CommitmentsTable[[#This Row],[Date Assigned if different from entry date]]+90,IF(CommitmentsTable[[#This Row],[Date record entered]]&lt;&gt;"",CommitmentsTable[[#This Row],[Date record entered]]+90,""))</f>
        <v/>
      </c>
      <c r="J747" s="245" t="str">
        <f ca="1">IF(CommitmentsTable[[#This Row],[Date Assigned if different from entry date]]&lt;&gt;"",CommitmentsTable[[#This Row],[Date Assigned if different from entry date]]+30,IF(CommitmentsTable[[#This Row],[Date record entered]]&lt;&gt;"",CommitmentsTable[[#This Row],[Date record entered]]+30,""))</f>
        <v/>
      </c>
      <c r="K747" s="245"/>
      <c r="L747" s="245" t="str">
        <f ca="1">IF(CommitmentsTable[[#This Row],[Date Assigned if different from entry date]]&lt;&gt;"",CommitmentsTable[[#This Row],[Date Assigned if different from entry date]]+60,IF(CommitmentsTable[[#This Row],[Date record entered]]&lt;&gt;"",CommitmentsTable[[#This Row],[Date record entered]]+60,""))</f>
        <v/>
      </c>
      <c r="M747" s="214"/>
      <c r="N747" s="214"/>
      <c r="O747" s="236"/>
      <c r="P747" s="214"/>
      <c r="Q747" s="214"/>
      <c r="R747" s="214"/>
      <c r="S747" s="238" t="str">
        <f>IF(CommitmentsTable[[#This Row],[Commitment / deliverable]]="","",IF(CommitmentsTable[[#This Row],[Revised due]]&lt;&gt;"",CommitmentsTable[[#This Row],[Revised due]],CommitmentsTable[[#This Row],[Original due]]))</f>
        <v/>
      </c>
      <c r="T747" s="237" t="str">
        <f>IF(OR(CommitmentsTable[[#This Row],[Commitment / deliverable]]="",CommitmentsTable[[#This Row],[Owner]]=""),"",IF(CommitmentsTable[[#This Row],[Status2]]="","Open",CommitmentsTable[[#This Row],[Status2]]))</f>
        <v/>
      </c>
      <c r="U747" s="237" t="str">
        <f t="shared" ca="1" si="11"/>
        <v/>
      </c>
      <c r="V747" s="233"/>
      <c r="W747" s="63" t="s">
        <v>1649</v>
      </c>
    </row>
    <row r="748" spans="1:23" ht="26">
      <c r="A748" s="213" t="str">
        <f>IF(OR(CommitmentsTable[[#This Row],[Commitment / deliverable]]="",CommitmentsTable[[#This Row],[Immutable Key]]=""),"",SUBSTITUTE(CommitmentsTable[[#This Row],[Immutable Key]],"-K-","-"))</f>
        <v/>
      </c>
      <c r="B748" s="233"/>
      <c r="C748" s="233"/>
      <c r="D748" s="213"/>
      <c r="E748" s="230"/>
      <c r="F748" s="213"/>
      <c r="G748" s="245" t="str">
        <f ca="1">IF(CommitmentsTable[[#This Row],[Commitment / deliverable]]="","",IF(CommitmentsTable[[#This Row],[Date record entered]]="",TODAY(),CommitmentsTable[[#This Row],[Date record entered]]))</f>
        <v/>
      </c>
      <c r="H748" s="245"/>
      <c r="I748" s="245" t="str">
        <f ca="1">IF(CommitmentsTable[[#This Row],[Date Assigned if different from entry date]]&lt;&gt;"",CommitmentsTable[[#This Row],[Date Assigned if different from entry date]]+90,IF(CommitmentsTable[[#This Row],[Date record entered]]&lt;&gt;"",CommitmentsTable[[#This Row],[Date record entered]]+90,""))</f>
        <v/>
      </c>
      <c r="J748" s="245" t="str">
        <f ca="1">IF(CommitmentsTable[[#This Row],[Date Assigned if different from entry date]]&lt;&gt;"",CommitmentsTable[[#This Row],[Date Assigned if different from entry date]]+30,IF(CommitmentsTable[[#This Row],[Date record entered]]&lt;&gt;"",CommitmentsTable[[#This Row],[Date record entered]]+30,""))</f>
        <v/>
      </c>
      <c r="K748" s="245"/>
      <c r="L748" s="245" t="str">
        <f ca="1">IF(CommitmentsTable[[#This Row],[Date Assigned if different from entry date]]&lt;&gt;"",CommitmentsTable[[#This Row],[Date Assigned if different from entry date]]+60,IF(CommitmentsTable[[#This Row],[Date record entered]]&lt;&gt;"",CommitmentsTable[[#This Row],[Date record entered]]+60,""))</f>
        <v/>
      </c>
      <c r="M748" s="214"/>
      <c r="N748" s="214"/>
      <c r="O748" s="236"/>
      <c r="P748" s="214"/>
      <c r="Q748" s="214"/>
      <c r="R748" s="214"/>
      <c r="S748" s="238" t="str">
        <f>IF(CommitmentsTable[[#This Row],[Commitment / deliverable]]="","",IF(CommitmentsTable[[#This Row],[Revised due]]&lt;&gt;"",CommitmentsTable[[#This Row],[Revised due]],CommitmentsTable[[#This Row],[Original due]]))</f>
        <v/>
      </c>
      <c r="T748" s="237" t="str">
        <f>IF(OR(CommitmentsTable[[#This Row],[Commitment / deliverable]]="",CommitmentsTable[[#This Row],[Owner]]=""),"",IF(CommitmentsTable[[#This Row],[Status2]]="","Open",CommitmentsTable[[#This Row],[Status2]]))</f>
        <v/>
      </c>
      <c r="U748" s="237" t="str">
        <f t="shared" ca="1" si="11"/>
        <v/>
      </c>
      <c r="V748" s="233"/>
      <c r="W748" s="63" t="s">
        <v>1650</v>
      </c>
    </row>
    <row r="749" spans="1:23" ht="26">
      <c r="A749" s="213" t="str">
        <f>IF(OR(CommitmentsTable[[#This Row],[Commitment / deliverable]]="",CommitmentsTable[[#This Row],[Immutable Key]]=""),"",SUBSTITUTE(CommitmentsTable[[#This Row],[Immutable Key]],"-K-","-"))</f>
        <v/>
      </c>
      <c r="B749" s="233"/>
      <c r="C749" s="233"/>
      <c r="D749" s="213"/>
      <c r="E749" s="230"/>
      <c r="F749" s="213"/>
      <c r="G749" s="245" t="str">
        <f ca="1">IF(CommitmentsTable[[#This Row],[Commitment / deliverable]]="","",IF(CommitmentsTable[[#This Row],[Date record entered]]="",TODAY(),CommitmentsTable[[#This Row],[Date record entered]]))</f>
        <v/>
      </c>
      <c r="H749" s="245"/>
      <c r="I749" s="245" t="str">
        <f ca="1">IF(CommitmentsTable[[#This Row],[Date Assigned if different from entry date]]&lt;&gt;"",CommitmentsTable[[#This Row],[Date Assigned if different from entry date]]+90,IF(CommitmentsTable[[#This Row],[Date record entered]]&lt;&gt;"",CommitmentsTable[[#This Row],[Date record entered]]+90,""))</f>
        <v/>
      </c>
      <c r="J749" s="245" t="str">
        <f ca="1">IF(CommitmentsTable[[#This Row],[Date Assigned if different from entry date]]&lt;&gt;"",CommitmentsTable[[#This Row],[Date Assigned if different from entry date]]+30,IF(CommitmentsTable[[#This Row],[Date record entered]]&lt;&gt;"",CommitmentsTable[[#This Row],[Date record entered]]+30,""))</f>
        <v/>
      </c>
      <c r="K749" s="245"/>
      <c r="L749" s="245" t="str">
        <f ca="1">IF(CommitmentsTable[[#This Row],[Date Assigned if different from entry date]]&lt;&gt;"",CommitmentsTable[[#This Row],[Date Assigned if different from entry date]]+60,IF(CommitmentsTable[[#This Row],[Date record entered]]&lt;&gt;"",CommitmentsTable[[#This Row],[Date record entered]]+60,""))</f>
        <v/>
      </c>
      <c r="M749" s="214"/>
      <c r="N749" s="214"/>
      <c r="O749" s="236"/>
      <c r="P749" s="214"/>
      <c r="Q749" s="214"/>
      <c r="R749" s="214"/>
      <c r="S749" s="238" t="str">
        <f>IF(CommitmentsTable[[#This Row],[Commitment / deliverable]]="","",IF(CommitmentsTable[[#This Row],[Revised due]]&lt;&gt;"",CommitmentsTable[[#This Row],[Revised due]],CommitmentsTable[[#This Row],[Original due]]))</f>
        <v/>
      </c>
      <c r="T749" s="237" t="str">
        <f>IF(OR(CommitmentsTable[[#This Row],[Commitment / deliverable]]="",CommitmentsTable[[#This Row],[Owner]]=""),"",IF(CommitmentsTable[[#This Row],[Status2]]="","Open",CommitmentsTable[[#This Row],[Status2]]))</f>
        <v/>
      </c>
      <c r="U749" s="237" t="str">
        <f t="shared" ca="1" si="11"/>
        <v/>
      </c>
      <c r="V749" s="233"/>
      <c r="W749" s="63" t="s">
        <v>1651</v>
      </c>
    </row>
    <row r="750" spans="1:23" ht="26">
      <c r="A750" s="213" t="str">
        <f>IF(OR(CommitmentsTable[[#This Row],[Commitment / deliverable]]="",CommitmentsTable[[#This Row],[Immutable Key]]=""),"",SUBSTITUTE(CommitmentsTable[[#This Row],[Immutable Key]],"-K-","-"))</f>
        <v/>
      </c>
      <c r="B750" s="233"/>
      <c r="C750" s="233"/>
      <c r="D750" s="213"/>
      <c r="E750" s="230"/>
      <c r="F750" s="213"/>
      <c r="G750" s="245" t="str">
        <f ca="1">IF(CommitmentsTable[[#This Row],[Commitment / deliverable]]="","",IF(CommitmentsTable[[#This Row],[Date record entered]]="",TODAY(),CommitmentsTable[[#This Row],[Date record entered]]))</f>
        <v/>
      </c>
      <c r="H750" s="245"/>
      <c r="I750" s="245" t="str">
        <f ca="1">IF(CommitmentsTable[[#This Row],[Date Assigned if different from entry date]]&lt;&gt;"",CommitmentsTable[[#This Row],[Date Assigned if different from entry date]]+90,IF(CommitmentsTable[[#This Row],[Date record entered]]&lt;&gt;"",CommitmentsTable[[#This Row],[Date record entered]]+90,""))</f>
        <v/>
      </c>
      <c r="J750" s="245" t="str">
        <f ca="1">IF(CommitmentsTable[[#This Row],[Date Assigned if different from entry date]]&lt;&gt;"",CommitmentsTable[[#This Row],[Date Assigned if different from entry date]]+30,IF(CommitmentsTable[[#This Row],[Date record entered]]&lt;&gt;"",CommitmentsTable[[#This Row],[Date record entered]]+30,""))</f>
        <v/>
      </c>
      <c r="K750" s="245"/>
      <c r="L750" s="245" t="str">
        <f ca="1">IF(CommitmentsTable[[#This Row],[Date Assigned if different from entry date]]&lt;&gt;"",CommitmentsTable[[#This Row],[Date Assigned if different from entry date]]+60,IF(CommitmentsTable[[#This Row],[Date record entered]]&lt;&gt;"",CommitmentsTable[[#This Row],[Date record entered]]+60,""))</f>
        <v/>
      </c>
      <c r="M750" s="214"/>
      <c r="N750" s="214"/>
      <c r="O750" s="236"/>
      <c r="P750" s="214"/>
      <c r="Q750" s="214"/>
      <c r="R750" s="214"/>
      <c r="S750" s="238" t="str">
        <f>IF(CommitmentsTable[[#This Row],[Commitment / deliverable]]="","",IF(CommitmentsTable[[#This Row],[Revised due]]&lt;&gt;"",CommitmentsTable[[#This Row],[Revised due]],CommitmentsTable[[#This Row],[Original due]]))</f>
        <v/>
      </c>
      <c r="T750" s="237" t="str">
        <f>IF(OR(CommitmentsTable[[#This Row],[Commitment / deliverable]]="",CommitmentsTable[[#This Row],[Owner]]=""),"",IF(CommitmentsTable[[#This Row],[Status2]]="","Open",CommitmentsTable[[#This Row],[Status2]]))</f>
        <v/>
      </c>
      <c r="U750" s="237" t="str">
        <f t="shared" ca="1" si="11"/>
        <v/>
      </c>
      <c r="V750" s="233"/>
      <c r="W750" s="63" t="s">
        <v>1652</v>
      </c>
    </row>
    <row r="751" spans="1:23" ht="26">
      <c r="A751" s="213" t="str">
        <f>IF(OR(CommitmentsTable[[#This Row],[Commitment / deliverable]]="",CommitmentsTable[[#This Row],[Immutable Key]]=""),"",SUBSTITUTE(CommitmentsTable[[#This Row],[Immutable Key]],"-K-","-"))</f>
        <v/>
      </c>
      <c r="B751" s="233"/>
      <c r="C751" s="233"/>
      <c r="D751" s="213"/>
      <c r="E751" s="230"/>
      <c r="F751" s="213"/>
      <c r="G751" s="245" t="str">
        <f ca="1">IF(CommitmentsTable[[#This Row],[Commitment / deliverable]]="","",IF(CommitmentsTable[[#This Row],[Date record entered]]="",TODAY(),CommitmentsTable[[#This Row],[Date record entered]]))</f>
        <v/>
      </c>
      <c r="H751" s="245"/>
      <c r="I751" s="245" t="str">
        <f ca="1">IF(CommitmentsTable[[#This Row],[Date Assigned if different from entry date]]&lt;&gt;"",CommitmentsTable[[#This Row],[Date Assigned if different from entry date]]+90,IF(CommitmentsTable[[#This Row],[Date record entered]]&lt;&gt;"",CommitmentsTable[[#This Row],[Date record entered]]+90,""))</f>
        <v/>
      </c>
      <c r="J751" s="245" t="str">
        <f ca="1">IF(CommitmentsTable[[#This Row],[Date Assigned if different from entry date]]&lt;&gt;"",CommitmentsTable[[#This Row],[Date Assigned if different from entry date]]+30,IF(CommitmentsTable[[#This Row],[Date record entered]]&lt;&gt;"",CommitmentsTable[[#This Row],[Date record entered]]+30,""))</f>
        <v/>
      </c>
      <c r="K751" s="245"/>
      <c r="L751" s="245" t="str">
        <f ca="1">IF(CommitmentsTable[[#This Row],[Date Assigned if different from entry date]]&lt;&gt;"",CommitmentsTable[[#This Row],[Date Assigned if different from entry date]]+60,IF(CommitmentsTable[[#This Row],[Date record entered]]&lt;&gt;"",CommitmentsTable[[#This Row],[Date record entered]]+60,""))</f>
        <v/>
      </c>
      <c r="M751" s="214"/>
      <c r="N751" s="214"/>
      <c r="O751" s="236"/>
      <c r="P751" s="214"/>
      <c r="Q751" s="214"/>
      <c r="R751" s="214"/>
      <c r="S751" s="238" t="str">
        <f>IF(CommitmentsTable[[#This Row],[Commitment / deliverable]]="","",IF(CommitmentsTable[[#This Row],[Revised due]]&lt;&gt;"",CommitmentsTable[[#This Row],[Revised due]],CommitmentsTable[[#This Row],[Original due]]))</f>
        <v/>
      </c>
      <c r="T751" s="237" t="str">
        <f>IF(OR(CommitmentsTable[[#This Row],[Commitment / deliverable]]="",CommitmentsTable[[#This Row],[Owner]]=""),"",IF(CommitmentsTable[[#This Row],[Status2]]="","Open",CommitmentsTable[[#This Row],[Status2]]))</f>
        <v/>
      </c>
      <c r="U751" s="237" t="str">
        <f t="shared" ca="1" si="11"/>
        <v/>
      </c>
      <c r="V751" s="233"/>
      <c r="W751" s="63" t="s">
        <v>1653</v>
      </c>
    </row>
    <row r="752" spans="1:23" ht="26">
      <c r="A752" s="213" t="str">
        <f>IF(OR(CommitmentsTable[[#This Row],[Commitment / deliverable]]="",CommitmentsTable[[#This Row],[Immutable Key]]=""),"",SUBSTITUTE(CommitmentsTable[[#This Row],[Immutable Key]],"-K-","-"))</f>
        <v/>
      </c>
      <c r="B752" s="233"/>
      <c r="C752" s="233"/>
      <c r="D752" s="213"/>
      <c r="E752" s="230"/>
      <c r="F752" s="213"/>
      <c r="G752" s="245" t="str">
        <f ca="1">IF(CommitmentsTable[[#This Row],[Commitment / deliverable]]="","",IF(CommitmentsTable[[#This Row],[Date record entered]]="",TODAY(),CommitmentsTable[[#This Row],[Date record entered]]))</f>
        <v/>
      </c>
      <c r="H752" s="245"/>
      <c r="I752" s="245" t="str">
        <f ca="1">IF(CommitmentsTable[[#This Row],[Date Assigned if different from entry date]]&lt;&gt;"",CommitmentsTable[[#This Row],[Date Assigned if different from entry date]]+90,IF(CommitmentsTable[[#This Row],[Date record entered]]&lt;&gt;"",CommitmentsTable[[#This Row],[Date record entered]]+90,""))</f>
        <v/>
      </c>
      <c r="J752" s="245" t="str">
        <f ca="1">IF(CommitmentsTable[[#This Row],[Date Assigned if different from entry date]]&lt;&gt;"",CommitmentsTable[[#This Row],[Date Assigned if different from entry date]]+30,IF(CommitmentsTable[[#This Row],[Date record entered]]&lt;&gt;"",CommitmentsTable[[#This Row],[Date record entered]]+30,""))</f>
        <v/>
      </c>
      <c r="K752" s="245"/>
      <c r="L752" s="245" t="str">
        <f ca="1">IF(CommitmentsTable[[#This Row],[Date Assigned if different from entry date]]&lt;&gt;"",CommitmentsTable[[#This Row],[Date Assigned if different from entry date]]+60,IF(CommitmentsTable[[#This Row],[Date record entered]]&lt;&gt;"",CommitmentsTable[[#This Row],[Date record entered]]+60,""))</f>
        <v/>
      </c>
      <c r="M752" s="214"/>
      <c r="N752" s="214"/>
      <c r="O752" s="236"/>
      <c r="P752" s="214"/>
      <c r="Q752" s="214"/>
      <c r="R752" s="214"/>
      <c r="S752" s="238" t="str">
        <f>IF(CommitmentsTable[[#This Row],[Commitment / deliverable]]="","",IF(CommitmentsTable[[#This Row],[Revised due]]&lt;&gt;"",CommitmentsTable[[#This Row],[Revised due]],CommitmentsTable[[#This Row],[Original due]]))</f>
        <v/>
      </c>
      <c r="T752" s="237" t="str">
        <f>IF(OR(CommitmentsTable[[#This Row],[Commitment / deliverable]]="",CommitmentsTable[[#This Row],[Owner]]=""),"",IF(CommitmentsTable[[#This Row],[Status2]]="","Open",CommitmentsTable[[#This Row],[Status2]]))</f>
        <v/>
      </c>
      <c r="U752" s="237" t="str">
        <f t="shared" ca="1" si="11"/>
        <v/>
      </c>
      <c r="V752" s="233"/>
      <c r="W752" s="63" t="s">
        <v>1654</v>
      </c>
    </row>
    <row r="753" spans="1:23" ht="26">
      <c r="A753" s="213" t="str">
        <f>IF(OR(CommitmentsTable[[#This Row],[Commitment / deliverable]]="",CommitmentsTable[[#This Row],[Immutable Key]]=""),"",SUBSTITUTE(CommitmentsTable[[#This Row],[Immutable Key]],"-K-","-"))</f>
        <v/>
      </c>
      <c r="B753" s="233"/>
      <c r="C753" s="233"/>
      <c r="D753" s="213"/>
      <c r="E753" s="230"/>
      <c r="F753" s="213"/>
      <c r="G753" s="245" t="str">
        <f ca="1">IF(CommitmentsTable[[#This Row],[Commitment / deliverable]]="","",IF(CommitmentsTable[[#This Row],[Date record entered]]="",TODAY(),CommitmentsTable[[#This Row],[Date record entered]]))</f>
        <v/>
      </c>
      <c r="H753" s="245"/>
      <c r="I753" s="245" t="str">
        <f ca="1">IF(CommitmentsTable[[#This Row],[Date Assigned if different from entry date]]&lt;&gt;"",CommitmentsTable[[#This Row],[Date Assigned if different from entry date]]+90,IF(CommitmentsTable[[#This Row],[Date record entered]]&lt;&gt;"",CommitmentsTable[[#This Row],[Date record entered]]+90,""))</f>
        <v/>
      </c>
      <c r="J753" s="245" t="str">
        <f ca="1">IF(CommitmentsTable[[#This Row],[Date Assigned if different from entry date]]&lt;&gt;"",CommitmentsTable[[#This Row],[Date Assigned if different from entry date]]+30,IF(CommitmentsTable[[#This Row],[Date record entered]]&lt;&gt;"",CommitmentsTable[[#This Row],[Date record entered]]+30,""))</f>
        <v/>
      </c>
      <c r="K753" s="245"/>
      <c r="L753" s="245" t="str">
        <f ca="1">IF(CommitmentsTable[[#This Row],[Date Assigned if different from entry date]]&lt;&gt;"",CommitmentsTable[[#This Row],[Date Assigned if different from entry date]]+60,IF(CommitmentsTable[[#This Row],[Date record entered]]&lt;&gt;"",CommitmentsTable[[#This Row],[Date record entered]]+60,""))</f>
        <v/>
      </c>
      <c r="M753" s="214"/>
      <c r="N753" s="214"/>
      <c r="O753" s="236"/>
      <c r="P753" s="214"/>
      <c r="Q753" s="214"/>
      <c r="R753" s="214"/>
      <c r="S753" s="238" t="str">
        <f>IF(CommitmentsTable[[#This Row],[Commitment / deliverable]]="","",IF(CommitmentsTable[[#This Row],[Revised due]]&lt;&gt;"",CommitmentsTable[[#This Row],[Revised due]],CommitmentsTable[[#This Row],[Original due]]))</f>
        <v/>
      </c>
      <c r="T753" s="237" t="str">
        <f>IF(OR(CommitmentsTable[[#This Row],[Commitment / deliverable]]="",CommitmentsTable[[#This Row],[Owner]]=""),"",IF(CommitmentsTable[[#This Row],[Status2]]="","Open",CommitmentsTable[[#This Row],[Status2]]))</f>
        <v/>
      </c>
      <c r="U753" s="237" t="str">
        <f t="shared" ca="1" si="11"/>
        <v/>
      </c>
      <c r="V753" s="233"/>
      <c r="W753" s="63" t="s">
        <v>1655</v>
      </c>
    </row>
    <row r="754" spans="1:23" ht="26">
      <c r="A754" s="213" t="str">
        <f>IF(OR(CommitmentsTable[[#This Row],[Commitment / deliverable]]="",CommitmentsTable[[#This Row],[Immutable Key]]=""),"",SUBSTITUTE(CommitmentsTable[[#This Row],[Immutable Key]],"-K-","-"))</f>
        <v/>
      </c>
      <c r="B754" s="233"/>
      <c r="C754" s="233"/>
      <c r="D754" s="213"/>
      <c r="E754" s="230"/>
      <c r="F754" s="213"/>
      <c r="G754" s="245" t="str">
        <f ca="1">IF(CommitmentsTable[[#This Row],[Commitment / deliverable]]="","",IF(CommitmentsTable[[#This Row],[Date record entered]]="",TODAY(),CommitmentsTable[[#This Row],[Date record entered]]))</f>
        <v/>
      </c>
      <c r="H754" s="245"/>
      <c r="I754" s="245" t="str">
        <f ca="1">IF(CommitmentsTable[[#This Row],[Date Assigned if different from entry date]]&lt;&gt;"",CommitmentsTable[[#This Row],[Date Assigned if different from entry date]]+90,IF(CommitmentsTable[[#This Row],[Date record entered]]&lt;&gt;"",CommitmentsTable[[#This Row],[Date record entered]]+90,""))</f>
        <v/>
      </c>
      <c r="J754" s="245" t="str">
        <f ca="1">IF(CommitmentsTable[[#This Row],[Date Assigned if different from entry date]]&lt;&gt;"",CommitmentsTable[[#This Row],[Date Assigned if different from entry date]]+30,IF(CommitmentsTable[[#This Row],[Date record entered]]&lt;&gt;"",CommitmentsTable[[#This Row],[Date record entered]]+30,""))</f>
        <v/>
      </c>
      <c r="K754" s="245"/>
      <c r="L754" s="245" t="str">
        <f ca="1">IF(CommitmentsTable[[#This Row],[Date Assigned if different from entry date]]&lt;&gt;"",CommitmentsTable[[#This Row],[Date Assigned if different from entry date]]+60,IF(CommitmentsTable[[#This Row],[Date record entered]]&lt;&gt;"",CommitmentsTable[[#This Row],[Date record entered]]+60,""))</f>
        <v/>
      </c>
      <c r="M754" s="214"/>
      <c r="N754" s="214"/>
      <c r="O754" s="236"/>
      <c r="P754" s="214"/>
      <c r="Q754" s="214"/>
      <c r="R754" s="214"/>
      <c r="S754" s="238" t="str">
        <f>IF(CommitmentsTable[[#This Row],[Commitment / deliverable]]="","",IF(CommitmentsTable[[#This Row],[Revised due]]&lt;&gt;"",CommitmentsTable[[#This Row],[Revised due]],CommitmentsTable[[#This Row],[Original due]]))</f>
        <v/>
      </c>
      <c r="T754" s="237" t="str">
        <f>IF(OR(CommitmentsTable[[#This Row],[Commitment / deliverable]]="",CommitmentsTable[[#This Row],[Owner]]=""),"",IF(CommitmentsTable[[#This Row],[Status2]]="","Open",CommitmentsTable[[#This Row],[Status2]]))</f>
        <v/>
      </c>
      <c r="U754" s="237" t="str">
        <f t="shared" ca="1" si="11"/>
        <v/>
      </c>
      <c r="V754" s="233"/>
      <c r="W754" s="63" t="s">
        <v>1656</v>
      </c>
    </row>
    <row r="755" spans="1:23" ht="26">
      <c r="A755" s="213" t="str">
        <f>IF(OR(CommitmentsTable[[#This Row],[Commitment / deliverable]]="",CommitmentsTable[[#This Row],[Immutable Key]]=""),"",SUBSTITUTE(CommitmentsTable[[#This Row],[Immutable Key]],"-K-","-"))</f>
        <v/>
      </c>
      <c r="B755" s="233"/>
      <c r="C755" s="233"/>
      <c r="D755" s="213"/>
      <c r="E755" s="230"/>
      <c r="F755" s="213"/>
      <c r="G755" s="245" t="str">
        <f ca="1">IF(CommitmentsTable[[#This Row],[Commitment / deliverable]]="","",IF(CommitmentsTable[[#This Row],[Date record entered]]="",TODAY(),CommitmentsTable[[#This Row],[Date record entered]]))</f>
        <v/>
      </c>
      <c r="H755" s="245"/>
      <c r="I755" s="245" t="str">
        <f ca="1">IF(CommitmentsTable[[#This Row],[Date Assigned if different from entry date]]&lt;&gt;"",CommitmentsTable[[#This Row],[Date Assigned if different from entry date]]+90,IF(CommitmentsTable[[#This Row],[Date record entered]]&lt;&gt;"",CommitmentsTable[[#This Row],[Date record entered]]+90,""))</f>
        <v/>
      </c>
      <c r="J755" s="245" t="str">
        <f ca="1">IF(CommitmentsTable[[#This Row],[Date Assigned if different from entry date]]&lt;&gt;"",CommitmentsTable[[#This Row],[Date Assigned if different from entry date]]+30,IF(CommitmentsTable[[#This Row],[Date record entered]]&lt;&gt;"",CommitmentsTable[[#This Row],[Date record entered]]+30,""))</f>
        <v/>
      </c>
      <c r="K755" s="245"/>
      <c r="L755" s="245" t="str">
        <f ca="1">IF(CommitmentsTable[[#This Row],[Date Assigned if different from entry date]]&lt;&gt;"",CommitmentsTable[[#This Row],[Date Assigned if different from entry date]]+60,IF(CommitmentsTable[[#This Row],[Date record entered]]&lt;&gt;"",CommitmentsTable[[#This Row],[Date record entered]]+60,""))</f>
        <v/>
      </c>
      <c r="M755" s="214"/>
      <c r="N755" s="214"/>
      <c r="O755" s="236"/>
      <c r="P755" s="214"/>
      <c r="Q755" s="214"/>
      <c r="R755" s="214"/>
      <c r="S755" s="238" t="str">
        <f>IF(CommitmentsTable[[#This Row],[Commitment / deliverable]]="","",IF(CommitmentsTable[[#This Row],[Revised due]]&lt;&gt;"",CommitmentsTable[[#This Row],[Revised due]],CommitmentsTable[[#This Row],[Original due]]))</f>
        <v/>
      </c>
      <c r="T755" s="237" t="str">
        <f>IF(OR(CommitmentsTable[[#This Row],[Commitment / deliverable]]="",CommitmentsTable[[#This Row],[Owner]]=""),"",IF(CommitmentsTable[[#This Row],[Status2]]="","Open",CommitmentsTable[[#This Row],[Status2]]))</f>
        <v/>
      </c>
      <c r="U755" s="237" t="str">
        <f t="shared" ca="1" si="11"/>
        <v/>
      </c>
      <c r="V755" s="233"/>
      <c r="W755" s="63" t="s">
        <v>1657</v>
      </c>
    </row>
    <row r="756" spans="1:23" ht="26">
      <c r="A756" s="213" t="str">
        <f>IF(OR(CommitmentsTable[[#This Row],[Commitment / deliverable]]="",CommitmentsTable[[#This Row],[Immutable Key]]=""),"",SUBSTITUTE(CommitmentsTable[[#This Row],[Immutable Key]],"-K-","-"))</f>
        <v/>
      </c>
      <c r="B756" s="233"/>
      <c r="C756" s="233"/>
      <c r="D756" s="213"/>
      <c r="E756" s="230"/>
      <c r="F756" s="213"/>
      <c r="G756" s="245" t="str">
        <f ca="1">IF(CommitmentsTable[[#This Row],[Commitment / deliverable]]="","",IF(CommitmentsTable[[#This Row],[Date record entered]]="",TODAY(),CommitmentsTable[[#This Row],[Date record entered]]))</f>
        <v/>
      </c>
      <c r="H756" s="245"/>
      <c r="I756" s="245" t="str">
        <f ca="1">IF(CommitmentsTable[[#This Row],[Date Assigned if different from entry date]]&lt;&gt;"",CommitmentsTable[[#This Row],[Date Assigned if different from entry date]]+90,IF(CommitmentsTable[[#This Row],[Date record entered]]&lt;&gt;"",CommitmentsTable[[#This Row],[Date record entered]]+90,""))</f>
        <v/>
      </c>
      <c r="J756" s="245" t="str">
        <f ca="1">IF(CommitmentsTable[[#This Row],[Date Assigned if different from entry date]]&lt;&gt;"",CommitmentsTable[[#This Row],[Date Assigned if different from entry date]]+30,IF(CommitmentsTable[[#This Row],[Date record entered]]&lt;&gt;"",CommitmentsTable[[#This Row],[Date record entered]]+30,""))</f>
        <v/>
      </c>
      <c r="K756" s="245"/>
      <c r="L756" s="245" t="str">
        <f ca="1">IF(CommitmentsTable[[#This Row],[Date Assigned if different from entry date]]&lt;&gt;"",CommitmentsTable[[#This Row],[Date Assigned if different from entry date]]+60,IF(CommitmentsTable[[#This Row],[Date record entered]]&lt;&gt;"",CommitmentsTable[[#This Row],[Date record entered]]+60,""))</f>
        <v/>
      </c>
      <c r="M756" s="214"/>
      <c r="N756" s="214"/>
      <c r="O756" s="236"/>
      <c r="P756" s="214"/>
      <c r="Q756" s="214"/>
      <c r="R756" s="214"/>
      <c r="S756" s="238" t="str">
        <f>IF(CommitmentsTable[[#This Row],[Commitment / deliverable]]="","",IF(CommitmentsTable[[#This Row],[Revised due]]&lt;&gt;"",CommitmentsTable[[#This Row],[Revised due]],CommitmentsTable[[#This Row],[Original due]]))</f>
        <v/>
      </c>
      <c r="T756" s="237" t="str">
        <f>IF(OR(CommitmentsTable[[#This Row],[Commitment / deliverable]]="",CommitmentsTable[[#This Row],[Owner]]=""),"",IF(CommitmentsTable[[#This Row],[Status2]]="","Open",CommitmentsTable[[#This Row],[Status2]]))</f>
        <v/>
      </c>
      <c r="U756" s="237" t="str">
        <f t="shared" ca="1" si="11"/>
        <v/>
      </c>
      <c r="V756" s="233"/>
      <c r="W756" s="63" t="s">
        <v>1658</v>
      </c>
    </row>
    <row r="757" spans="1:23" ht="26">
      <c r="A757" s="213" t="str">
        <f>IF(OR(CommitmentsTable[[#This Row],[Commitment / deliverable]]="",CommitmentsTable[[#This Row],[Immutable Key]]=""),"",SUBSTITUTE(CommitmentsTable[[#This Row],[Immutable Key]],"-K-","-"))</f>
        <v/>
      </c>
      <c r="B757" s="233"/>
      <c r="C757" s="233"/>
      <c r="D757" s="213"/>
      <c r="E757" s="230"/>
      <c r="F757" s="213"/>
      <c r="G757" s="245" t="str">
        <f ca="1">IF(CommitmentsTable[[#This Row],[Commitment / deliverable]]="","",IF(CommitmentsTable[[#This Row],[Date record entered]]="",TODAY(),CommitmentsTable[[#This Row],[Date record entered]]))</f>
        <v/>
      </c>
      <c r="H757" s="245"/>
      <c r="I757" s="245" t="str">
        <f ca="1">IF(CommitmentsTable[[#This Row],[Date Assigned if different from entry date]]&lt;&gt;"",CommitmentsTable[[#This Row],[Date Assigned if different from entry date]]+90,IF(CommitmentsTable[[#This Row],[Date record entered]]&lt;&gt;"",CommitmentsTable[[#This Row],[Date record entered]]+90,""))</f>
        <v/>
      </c>
      <c r="J757" s="245" t="str">
        <f ca="1">IF(CommitmentsTable[[#This Row],[Date Assigned if different from entry date]]&lt;&gt;"",CommitmentsTable[[#This Row],[Date Assigned if different from entry date]]+30,IF(CommitmentsTable[[#This Row],[Date record entered]]&lt;&gt;"",CommitmentsTable[[#This Row],[Date record entered]]+30,""))</f>
        <v/>
      </c>
      <c r="K757" s="245"/>
      <c r="L757" s="245" t="str">
        <f ca="1">IF(CommitmentsTable[[#This Row],[Date Assigned if different from entry date]]&lt;&gt;"",CommitmentsTable[[#This Row],[Date Assigned if different from entry date]]+60,IF(CommitmentsTable[[#This Row],[Date record entered]]&lt;&gt;"",CommitmentsTable[[#This Row],[Date record entered]]+60,""))</f>
        <v/>
      </c>
      <c r="M757" s="214"/>
      <c r="N757" s="214"/>
      <c r="O757" s="236"/>
      <c r="P757" s="214"/>
      <c r="Q757" s="214"/>
      <c r="R757" s="214"/>
      <c r="S757" s="238" t="str">
        <f>IF(CommitmentsTable[[#This Row],[Commitment / deliverable]]="","",IF(CommitmentsTable[[#This Row],[Revised due]]&lt;&gt;"",CommitmentsTable[[#This Row],[Revised due]],CommitmentsTable[[#This Row],[Original due]]))</f>
        <v/>
      </c>
      <c r="T757" s="237" t="str">
        <f>IF(OR(CommitmentsTable[[#This Row],[Commitment / deliverable]]="",CommitmentsTable[[#This Row],[Owner]]=""),"",IF(CommitmentsTable[[#This Row],[Status2]]="","Open",CommitmentsTable[[#This Row],[Status2]]))</f>
        <v/>
      </c>
      <c r="U757" s="237" t="str">
        <f t="shared" ca="1" si="11"/>
        <v/>
      </c>
      <c r="V757" s="233"/>
      <c r="W757" s="63" t="s">
        <v>1659</v>
      </c>
    </row>
    <row r="758" spans="1:23" ht="26">
      <c r="A758" s="213" t="str">
        <f>IF(OR(CommitmentsTable[[#This Row],[Commitment / deliverable]]="",CommitmentsTable[[#This Row],[Immutable Key]]=""),"",SUBSTITUTE(CommitmentsTable[[#This Row],[Immutable Key]],"-K-","-"))</f>
        <v/>
      </c>
      <c r="B758" s="233"/>
      <c r="C758" s="233"/>
      <c r="D758" s="213"/>
      <c r="E758" s="230"/>
      <c r="F758" s="213"/>
      <c r="G758" s="245" t="str">
        <f ca="1">IF(CommitmentsTable[[#This Row],[Commitment / deliverable]]="","",IF(CommitmentsTable[[#This Row],[Date record entered]]="",TODAY(),CommitmentsTable[[#This Row],[Date record entered]]))</f>
        <v/>
      </c>
      <c r="H758" s="245"/>
      <c r="I758" s="245" t="str">
        <f ca="1">IF(CommitmentsTable[[#This Row],[Date Assigned if different from entry date]]&lt;&gt;"",CommitmentsTable[[#This Row],[Date Assigned if different from entry date]]+90,IF(CommitmentsTable[[#This Row],[Date record entered]]&lt;&gt;"",CommitmentsTable[[#This Row],[Date record entered]]+90,""))</f>
        <v/>
      </c>
      <c r="J758" s="245" t="str">
        <f ca="1">IF(CommitmentsTable[[#This Row],[Date Assigned if different from entry date]]&lt;&gt;"",CommitmentsTable[[#This Row],[Date Assigned if different from entry date]]+30,IF(CommitmentsTable[[#This Row],[Date record entered]]&lt;&gt;"",CommitmentsTable[[#This Row],[Date record entered]]+30,""))</f>
        <v/>
      </c>
      <c r="K758" s="245"/>
      <c r="L758" s="245" t="str">
        <f ca="1">IF(CommitmentsTable[[#This Row],[Date Assigned if different from entry date]]&lt;&gt;"",CommitmentsTable[[#This Row],[Date Assigned if different from entry date]]+60,IF(CommitmentsTable[[#This Row],[Date record entered]]&lt;&gt;"",CommitmentsTable[[#This Row],[Date record entered]]+60,""))</f>
        <v/>
      </c>
      <c r="M758" s="214"/>
      <c r="N758" s="214"/>
      <c r="O758" s="236"/>
      <c r="P758" s="214"/>
      <c r="Q758" s="214"/>
      <c r="R758" s="214"/>
      <c r="S758" s="238" t="str">
        <f>IF(CommitmentsTable[[#This Row],[Commitment / deliverable]]="","",IF(CommitmentsTable[[#This Row],[Revised due]]&lt;&gt;"",CommitmentsTable[[#This Row],[Revised due]],CommitmentsTable[[#This Row],[Original due]]))</f>
        <v/>
      </c>
      <c r="T758" s="237" t="str">
        <f>IF(OR(CommitmentsTable[[#This Row],[Commitment / deliverable]]="",CommitmentsTable[[#This Row],[Owner]]=""),"",IF(CommitmentsTable[[#This Row],[Status2]]="","Open",CommitmentsTable[[#This Row],[Status2]]))</f>
        <v/>
      </c>
      <c r="U758" s="237" t="str">
        <f t="shared" ca="1" si="11"/>
        <v/>
      </c>
      <c r="V758" s="233"/>
      <c r="W758" s="63" t="s">
        <v>1660</v>
      </c>
    </row>
    <row r="759" spans="1:23" ht="26">
      <c r="A759" s="213" t="str">
        <f>IF(OR(CommitmentsTable[[#This Row],[Commitment / deliverable]]="",CommitmentsTable[[#This Row],[Immutable Key]]=""),"",SUBSTITUTE(CommitmentsTable[[#This Row],[Immutable Key]],"-K-","-"))</f>
        <v/>
      </c>
      <c r="B759" s="233"/>
      <c r="C759" s="233"/>
      <c r="D759" s="213"/>
      <c r="E759" s="230"/>
      <c r="F759" s="213"/>
      <c r="G759" s="245" t="str">
        <f ca="1">IF(CommitmentsTable[[#This Row],[Commitment / deliverable]]="","",IF(CommitmentsTable[[#This Row],[Date record entered]]="",TODAY(),CommitmentsTable[[#This Row],[Date record entered]]))</f>
        <v/>
      </c>
      <c r="H759" s="245"/>
      <c r="I759" s="245" t="str">
        <f ca="1">IF(CommitmentsTable[[#This Row],[Date Assigned if different from entry date]]&lt;&gt;"",CommitmentsTable[[#This Row],[Date Assigned if different from entry date]]+90,IF(CommitmentsTable[[#This Row],[Date record entered]]&lt;&gt;"",CommitmentsTable[[#This Row],[Date record entered]]+90,""))</f>
        <v/>
      </c>
      <c r="J759" s="245" t="str">
        <f ca="1">IF(CommitmentsTable[[#This Row],[Date Assigned if different from entry date]]&lt;&gt;"",CommitmentsTable[[#This Row],[Date Assigned if different from entry date]]+30,IF(CommitmentsTable[[#This Row],[Date record entered]]&lt;&gt;"",CommitmentsTable[[#This Row],[Date record entered]]+30,""))</f>
        <v/>
      </c>
      <c r="K759" s="245"/>
      <c r="L759" s="245" t="str">
        <f ca="1">IF(CommitmentsTable[[#This Row],[Date Assigned if different from entry date]]&lt;&gt;"",CommitmentsTable[[#This Row],[Date Assigned if different from entry date]]+60,IF(CommitmentsTable[[#This Row],[Date record entered]]&lt;&gt;"",CommitmentsTable[[#This Row],[Date record entered]]+60,""))</f>
        <v/>
      </c>
      <c r="M759" s="214"/>
      <c r="N759" s="214"/>
      <c r="O759" s="236"/>
      <c r="P759" s="214"/>
      <c r="Q759" s="214"/>
      <c r="R759" s="214"/>
      <c r="S759" s="238" t="str">
        <f>IF(CommitmentsTable[[#This Row],[Commitment / deliverable]]="","",IF(CommitmentsTable[[#This Row],[Revised due]]&lt;&gt;"",CommitmentsTable[[#This Row],[Revised due]],CommitmentsTable[[#This Row],[Original due]]))</f>
        <v/>
      </c>
      <c r="T759" s="237" t="str">
        <f>IF(OR(CommitmentsTable[[#This Row],[Commitment / deliverable]]="",CommitmentsTable[[#This Row],[Owner]]=""),"",IF(CommitmentsTable[[#This Row],[Status2]]="","Open",CommitmentsTable[[#This Row],[Status2]]))</f>
        <v/>
      </c>
      <c r="U759" s="237" t="str">
        <f t="shared" ca="1" si="11"/>
        <v/>
      </c>
      <c r="V759" s="233"/>
      <c r="W759" s="63" t="s">
        <v>1661</v>
      </c>
    </row>
    <row r="760" spans="1:23" ht="26">
      <c r="A760" s="213" t="str">
        <f>IF(OR(CommitmentsTable[[#This Row],[Commitment / deliverable]]="",CommitmentsTable[[#This Row],[Immutable Key]]=""),"",SUBSTITUTE(CommitmentsTable[[#This Row],[Immutable Key]],"-K-","-"))</f>
        <v/>
      </c>
      <c r="B760" s="233"/>
      <c r="C760" s="233"/>
      <c r="D760" s="213"/>
      <c r="E760" s="230"/>
      <c r="F760" s="213"/>
      <c r="G760" s="245" t="str">
        <f ca="1">IF(CommitmentsTable[[#This Row],[Commitment / deliverable]]="","",IF(CommitmentsTable[[#This Row],[Date record entered]]="",TODAY(),CommitmentsTable[[#This Row],[Date record entered]]))</f>
        <v/>
      </c>
      <c r="H760" s="245"/>
      <c r="I760" s="245" t="str">
        <f ca="1">IF(CommitmentsTable[[#This Row],[Date Assigned if different from entry date]]&lt;&gt;"",CommitmentsTable[[#This Row],[Date Assigned if different from entry date]]+90,IF(CommitmentsTable[[#This Row],[Date record entered]]&lt;&gt;"",CommitmentsTable[[#This Row],[Date record entered]]+90,""))</f>
        <v/>
      </c>
      <c r="J760" s="245" t="str">
        <f ca="1">IF(CommitmentsTable[[#This Row],[Date Assigned if different from entry date]]&lt;&gt;"",CommitmentsTable[[#This Row],[Date Assigned if different from entry date]]+30,IF(CommitmentsTable[[#This Row],[Date record entered]]&lt;&gt;"",CommitmentsTable[[#This Row],[Date record entered]]+30,""))</f>
        <v/>
      </c>
      <c r="K760" s="245"/>
      <c r="L760" s="245" t="str">
        <f ca="1">IF(CommitmentsTable[[#This Row],[Date Assigned if different from entry date]]&lt;&gt;"",CommitmentsTable[[#This Row],[Date Assigned if different from entry date]]+60,IF(CommitmentsTable[[#This Row],[Date record entered]]&lt;&gt;"",CommitmentsTable[[#This Row],[Date record entered]]+60,""))</f>
        <v/>
      </c>
      <c r="M760" s="214"/>
      <c r="N760" s="214"/>
      <c r="O760" s="236"/>
      <c r="P760" s="214"/>
      <c r="Q760" s="214"/>
      <c r="R760" s="214"/>
      <c r="S760" s="238" t="str">
        <f>IF(CommitmentsTable[[#This Row],[Commitment / deliverable]]="","",IF(CommitmentsTable[[#This Row],[Revised due]]&lt;&gt;"",CommitmentsTable[[#This Row],[Revised due]],CommitmentsTable[[#This Row],[Original due]]))</f>
        <v/>
      </c>
      <c r="T760" s="237" t="str">
        <f>IF(OR(CommitmentsTable[[#This Row],[Commitment / deliverable]]="",CommitmentsTable[[#This Row],[Owner]]=""),"",IF(CommitmentsTable[[#This Row],[Status2]]="","Open",CommitmentsTable[[#This Row],[Status2]]))</f>
        <v/>
      </c>
      <c r="U760" s="237" t="str">
        <f t="shared" ca="1" si="11"/>
        <v/>
      </c>
      <c r="V760" s="233"/>
      <c r="W760" s="63" t="s">
        <v>1662</v>
      </c>
    </row>
    <row r="761" spans="1:23" ht="26">
      <c r="A761" s="213" t="str">
        <f>IF(OR(CommitmentsTable[[#This Row],[Commitment / deliverable]]="",CommitmentsTable[[#This Row],[Immutable Key]]=""),"",SUBSTITUTE(CommitmentsTable[[#This Row],[Immutable Key]],"-K-","-"))</f>
        <v/>
      </c>
      <c r="B761" s="233"/>
      <c r="C761" s="233"/>
      <c r="D761" s="213"/>
      <c r="E761" s="230"/>
      <c r="F761" s="213"/>
      <c r="G761" s="245" t="str">
        <f ca="1">IF(CommitmentsTable[[#This Row],[Commitment / deliverable]]="","",IF(CommitmentsTable[[#This Row],[Date record entered]]="",TODAY(),CommitmentsTable[[#This Row],[Date record entered]]))</f>
        <v/>
      </c>
      <c r="H761" s="245"/>
      <c r="I761" s="245" t="str">
        <f ca="1">IF(CommitmentsTable[[#This Row],[Date Assigned if different from entry date]]&lt;&gt;"",CommitmentsTable[[#This Row],[Date Assigned if different from entry date]]+90,IF(CommitmentsTable[[#This Row],[Date record entered]]&lt;&gt;"",CommitmentsTable[[#This Row],[Date record entered]]+90,""))</f>
        <v/>
      </c>
      <c r="J761" s="245" t="str">
        <f ca="1">IF(CommitmentsTable[[#This Row],[Date Assigned if different from entry date]]&lt;&gt;"",CommitmentsTable[[#This Row],[Date Assigned if different from entry date]]+30,IF(CommitmentsTable[[#This Row],[Date record entered]]&lt;&gt;"",CommitmentsTable[[#This Row],[Date record entered]]+30,""))</f>
        <v/>
      </c>
      <c r="K761" s="245"/>
      <c r="L761" s="245" t="str">
        <f ca="1">IF(CommitmentsTable[[#This Row],[Date Assigned if different from entry date]]&lt;&gt;"",CommitmentsTable[[#This Row],[Date Assigned if different from entry date]]+60,IF(CommitmentsTable[[#This Row],[Date record entered]]&lt;&gt;"",CommitmentsTable[[#This Row],[Date record entered]]+60,""))</f>
        <v/>
      </c>
      <c r="M761" s="214"/>
      <c r="N761" s="214"/>
      <c r="O761" s="236"/>
      <c r="P761" s="214"/>
      <c r="Q761" s="214"/>
      <c r="R761" s="214"/>
      <c r="S761" s="238" t="str">
        <f>IF(CommitmentsTable[[#This Row],[Commitment / deliverable]]="","",IF(CommitmentsTable[[#This Row],[Revised due]]&lt;&gt;"",CommitmentsTable[[#This Row],[Revised due]],CommitmentsTable[[#This Row],[Original due]]))</f>
        <v/>
      </c>
      <c r="T761" s="237" t="str">
        <f>IF(OR(CommitmentsTable[[#This Row],[Commitment / deliverable]]="",CommitmentsTable[[#This Row],[Owner]]=""),"",IF(CommitmentsTable[[#This Row],[Status2]]="","Open",CommitmentsTable[[#This Row],[Status2]]))</f>
        <v/>
      </c>
      <c r="U761" s="237" t="str">
        <f t="shared" ca="1" si="11"/>
        <v/>
      </c>
      <c r="V761" s="233"/>
      <c r="W761" s="63" t="s">
        <v>1663</v>
      </c>
    </row>
    <row r="762" spans="1:23" ht="26">
      <c r="A762" s="213" t="str">
        <f>IF(OR(CommitmentsTable[[#This Row],[Commitment / deliverable]]="",CommitmentsTable[[#This Row],[Immutable Key]]=""),"",SUBSTITUTE(CommitmentsTable[[#This Row],[Immutable Key]],"-K-","-"))</f>
        <v/>
      </c>
      <c r="B762" s="233"/>
      <c r="C762" s="233"/>
      <c r="D762" s="213"/>
      <c r="E762" s="230"/>
      <c r="F762" s="213"/>
      <c r="G762" s="245" t="str">
        <f ca="1">IF(CommitmentsTable[[#This Row],[Commitment / deliverable]]="","",IF(CommitmentsTable[[#This Row],[Date record entered]]="",TODAY(),CommitmentsTable[[#This Row],[Date record entered]]))</f>
        <v/>
      </c>
      <c r="H762" s="245"/>
      <c r="I762" s="245" t="str">
        <f ca="1">IF(CommitmentsTable[[#This Row],[Date Assigned if different from entry date]]&lt;&gt;"",CommitmentsTable[[#This Row],[Date Assigned if different from entry date]]+90,IF(CommitmentsTable[[#This Row],[Date record entered]]&lt;&gt;"",CommitmentsTable[[#This Row],[Date record entered]]+90,""))</f>
        <v/>
      </c>
      <c r="J762" s="245" t="str">
        <f ca="1">IF(CommitmentsTable[[#This Row],[Date Assigned if different from entry date]]&lt;&gt;"",CommitmentsTable[[#This Row],[Date Assigned if different from entry date]]+30,IF(CommitmentsTable[[#This Row],[Date record entered]]&lt;&gt;"",CommitmentsTable[[#This Row],[Date record entered]]+30,""))</f>
        <v/>
      </c>
      <c r="K762" s="245"/>
      <c r="L762" s="245" t="str">
        <f ca="1">IF(CommitmentsTable[[#This Row],[Date Assigned if different from entry date]]&lt;&gt;"",CommitmentsTable[[#This Row],[Date Assigned if different from entry date]]+60,IF(CommitmentsTable[[#This Row],[Date record entered]]&lt;&gt;"",CommitmentsTable[[#This Row],[Date record entered]]+60,""))</f>
        <v/>
      </c>
      <c r="M762" s="214"/>
      <c r="N762" s="214"/>
      <c r="O762" s="236"/>
      <c r="P762" s="214"/>
      <c r="Q762" s="214"/>
      <c r="R762" s="214"/>
      <c r="S762" s="238" t="str">
        <f>IF(CommitmentsTable[[#This Row],[Commitment / deliverable]]="","",IF(CommitmentsTable[[#This Row],[Revised due]]&lt;&gt;"",CommitmentsTable[[#This Row],[Revised due]],CommitmentsTable[[#This Row],[Original due]]))</f>
        <v/>
      </c>
      <c r="T762" s="237" t="str">
        <f>IF(OR(CommitmentsTable[[#This Row],[Commitment / deliverable]]="",CommitmentsTable[[#This Row],[Owner]]=""),"",IF(CommitmentsTable[[#This Row],[Status2]]="","Open",CommitmentsTable[[#This Row],[Status2]]))</f>
        <v/>
      </c>
      <c r="U762" s="237" t="str">
        <f t="shared" ca="1" si="11"/>
        <v/>
      </c>
      <c r="V762" s="233"/>
      <c r="W762" s="63" t="s">
        <v>1664</v>
      </c>
    </row>
    <row r="763" spans="1:23" ht="26">
      <c r="A763" s="213" t="str">
        <f>IF(OR(CommitmentsTable[[#This Row],[Commitment / deliverable]]="",CommitmentsTable[[#This Row],[Immutable Key]]=""),"",SUBSTITUTE(CommitmentsTable[[#This Row],[Immutable Key]],"-K-","-"))</f>
        <v/>
      </c>
      <c r="B763" s="233"/>
      <c r="C763" s="233"/>
      <c r="D763" s="213"/>
      <c r="E763" s="230"/>
      <c r="F763" s="213"/>
      <c r="G763" s="245" t="str">
        <f ca="1">IF(CommitmentsTable[[#This Row],[Commitment / deliverable]]="","",IF(CommitmentsTable[[#This Row],[Date record entered]]="",TODAY(),CommitmentsTable[[#This Row],[Date record entered]]))</f>
        <v/>
      </c>
      <c r="H763" s="245"/>
      <c r="I763" s="245" t="str">
        <f ca="1">IF(CommitmentsTable[[#This Row],[Date Assigned if different from entry date]]&lt;&gt;"",CommitmentsTable[[#This Row],[Date Assigned if different from entry date]]+90,IF(CommitmentsTable[[#This Row],[Date record entered]]&lt;&gt;"",CommitmentsTable[[#This Row],[Date record entered]]+90,""))</f>
        <v/>
      </c>
      <c r="J763" s="245" t="str">
        <f ca="1">IF(CommitmentsTable[[#This Row],[Date Assigned if different from entry date]]&lt;&gt;"",CommitmentsTable[[#This Row],[Date Assigned if different from entry date]]+30,IF(CommitmentsTable[[#This Row],[Date record entered]]&lt;&gt;"",CommitmentsTable[[#This Row],[Date record entered]]+30,""))</f>
        <v/>
      </c>
      <c r="K763" s="245"/>
      <c r="L763" s="245" t="str">
        <f ca="1">IF(CommitmentsTable[[#This Row],[Date Assigned if different from entry date]]&lt;&gt;"",CommitmentsTable[[#This Row],[Date Assigned if different from entry date]]+60,IF(CommitmentsTable[[#This Row],[Date record entered]]&lt;&gt;"",CommitmentsTable[[#This Row],[Date record entered]]+60,""))</f>
        <v/>
      </c>
      <c r="M763" s="214"/>
      <c r="N763" s="214"/>
      <c r="O763" s="236"/>
      <c r="P763" s="214"/>
      <c r="Q763" s="214"/>
      <c r="R763" s="214"/>
      <c r="S763" s="238" t="str">
        <f>IF(CommitmentsTable[[#This Row],[Commitment / deliverable]]="","",IF(CommitmentsTable[[#This Row],[Revised due]]&lt;&gt;"",CommitmentsTable[[#This Row],[Revised due]],CommitmentsTable[[#This Row],[Original due]]))</f>
        <v/>
      </c>
      <c r="T763" s="237" t="str">
        <f>IF(OR(CommitmentsTable[[#This Row],[Commitment / deliverable]]="",CommitmentsTable[[#This Row],[Owner]]=""),"",IF(CommitmentsTable[[#This Row],[Status2]]="","Open",CommitmentsTable[[#This Row],[Status2]]))</f>
        <v/>
      </c>
      <c r="U763" s="237" t="str">
        <f t="shared" ca="1" si="11"/>
        <v/>
      </c>
      <c r="V763" s="233"/>
      <c r="W763" s="63" t="s">
        <v>1665</v>
      </c>
    </row>
    <row r="764" spans="1:23" ht="26">
      <c r="A764" s="213" t="str">
        <f>IF(OR(CommitmentsTable[[#This Row],[Commitment / deliverable]]="",CommitmentsTable[[#This Row],[Immutable Key]]=""),"",SUBSTITUTE(CommitmentsTable[[#This Row],[Immutable Key]],"-K-","-"))</f>
        <v/>
      </c>
      <c r="B764" s="233"/>
      <c r="C764" s="233"/>
      <c r="D764" s="213"/>
      <c r="E764" s="230"/>
      <c r="F764" s="213"/>
      <c r="G764" s="245" t="str">
        <f ca="1">IF(CommitmentsTable[[#This Row],[Commitment / deliverable]]="","",IF(CommitmentsTable[[#This Row],[Date record entered]]="",TODAY(),CommitmentsTable[[#This Row],[Date record entered]]))</f>
        <v/>
      </c>
      <c r="H764" s="245"/>
      <c r="I764" s="245" t="str">
        <f ca="1">IF(CommitmentsTable[[#This Row],[Date Assigned if different from entry date]]&lt;&gt;"",CommitmentsTable[[#This Row],[Date Assigned if different from entry date]]+90,IF(CommitmentsTable[[#This Row],[Date record entered]]&lt;&gt;"",CommitmentsTable[[#This Row],[Date record entered]]+90,""))</f>
        <v/>
      </c>
      <c r="J764" s="245" t="str">
        <f ca="1">IF(CommitmentsTable[[#This Row],[Date Assigned if different from entry date]]&lt;&gt;"",CommitmentsTable[[#This Row],[Date Assigned if different from entry date]]+30,IF(CommitmentsTable[[#This Row],[Date record entered]]&lt;&gt;"",CommitmentsTable[[#This Row],[Date record entered]]+30,""))</f>
        <v/>
      </c>
      <c r="K764" s="245"/>
      <c r="L764" s="245" t="str">
        <f ca="1">IF(CommitmentsTable[[#This Row],[Date Assigned if different from entry date]]&lt;&gt;"",CommitmentsTable[[#This Row],[Date Assigned if different from entry date]]+60,IF(CommitmentsTable[[#This Row],[Date record entered]]&lt;&gt;"",CommitmentsTable[[#This Row],[Date record entered]]+60,""))</f>
        <v/>
      </c>
      <c r="M764" s="214"/>
      <c r="N764" s="214"/>
      <c r="O764" s="236"/>
      <c r="P764" s="214"/>
      <c r="Q764" s="214"/>
      <c r="R764" s="214"/>
      <c r="S764" s="238" t="str">
        <f>IF(CommitmentsTable[[#This Row],[Commitment / deliverable]]="","",IF(CommitmentsTable[[#This Row],[Revised due]]&lt;&gt;"",CommitmentsTable[[#This Row],[Revised due]],CommitmentsTable[[#This Row],[Original due]]))</f>
        <v/>
      </c>
      <c r="T764" s="237" t="str">
        <f>IF(OR(CommitmentsTable[[#This Row],[Commitment / deliverable]]="",CommitmentsTable[[#This Row],[Owner]]=""),"",IF(CommitmentsTable[[#This Row],[Status2]]="","Open",CommitmentsTable[[#This Row],[Status2]]))</f>
        <v/>
      </c>
      <c r="U764" s="237" t="str">
        <f t="shared" ca="1" si="11"/>
        <v/>
      </c>
      <c r="V764" s="233"/>
      <c r="W764" s="63" t="s">
        <v>1666</v>
      </c>
    </row>
    <row r="765" spans="1:23" ht="26">
      <c r="A765" s="213" t="str">
        <f>IF(OR(CommitmentsTable[[#This Row],[Commitment / deliverable]]="",CommitmentsTable[[#This Row],[Immutable Key]]=""),"",SUBSTITUTE(CommitmentsTable[[#This Row],[Immutable Key]],"-K-","-"))</f>
        <v/>
      </c>
      <c r="B765" s="233"/>
      <c r="C765" s="233"/>
      <c r="D765" s="213"/>
      <c r="E765" s="230"/>
      <c r="F765" s="213"/>
      <c r="G765" s="245" t="str">
        <f ca="1">IF(CommitmentsTable[[#This Row],[Commitment / deliverable]]="","",IF(CommitmentsTable[[#This Row],[Date record entered]]="",TODAY(),CommitmentsTable[[#This Row],[Date record entered]]))</f>
        <v/>
      </c>
      <c r="H765" s="245"/>
      <c r="I765" s="245" t="str">
        <f ca="1">IF(CommitmentsTable[[#This Row],[Date Assigned if different from entry date]]&lt;&gt;"",CommitmentsTable[[#This Row],[Date Assigned if different from entry date]]+90,IF(CommitmentsTable[[#This Row],[Date record entered]]&lt;&gt;"",CommitmentsTable[[#This Row],[Date record entered]]+90,""))</f>
        <v/>
      </c>
      <c r="J765" s="245" t="str">
        <f ca="1">IF(CommitmentsTable[[#This Row],[Date Assigned if different from entry date]]&lt;&gt;"",CommitmentsTable[[#This Row],[Date Assigned if different from entry date]]+30,IF(CommitmentsTable[[#This Row],[Date record entered]]&lt;&gt;"",CommitmentsTable[[#This Row],[Date record entered]]+30,""))</f>
        <v/>
      </c>
      <c r="K765" s="245"/>
      <c r="L765" s="245" t="str">
        <f ca="1">IF(CommitmentsTable[[#This Row],[Date Assigned if different from entry date]]&lt;&gt;"",CommitmentsTable[[#This Row],[Date Assigned if different from entry date]]+60,IF(CommitmentsTable[[#This Row],[Date record entered]]&lt;&gt;"",CommitmentsTable[[#This Row],[Date record entered]]+60,""))</f>
        <v/>
      </c>
      <c r="M765" s="214"/>
      <c r="N765" s="214"/>
      <c r="O765" s="236"/>
      <c r="P765" s="214"/>
      <c r="Q765" s="214"/>
      <c r="R765" s="214"/>
      <c r="S765" s="238" t="str">
        <f>IF(CommitmentsTable[[#This Row],[Commitment / deliverable]]="","",IF(CommitmentsTable[[#This Row],[Revised due]]&lt;&gt;"",CommitmentsTable[[#This Row],[Revised due]],CommitmentsTable[[#This Row],[Original due]]))</f>
        <v/>
      </c>
      <c r="T765" s="237" t="str">
        <f>IF(OR(CommitmentsTable[[#This Row],[Commitment / deliverable]]="",CommitmentsTable[[#This Row],[Owner]]=""),"",IF(CommitmentsTable[[#This Row],[Status2]]="","Open",CommitmentsTable[[#This Row],[Status2]]))</f>
        <v/>
      </c>
      <c r="U765" s="237" t="str">
        <f t="shared" ca="1" si="11"/>
        <v/>
      </c>
      <c r="V765" s="233"/>
      <c r="W765" s="63" t="s">
        <v>1667</v>
      </c>
    </row>
    <row r="766" spans="1:23" ht="26">
      <c r="A766" s="213" t="str">
        <f>IF(OR(CommitmentsTable[[#This Row],[Commitment / deliverable]]="",CommitmentsTable[[#This Row],[Immutable Key]]=""),"",SUBSTITUTE(CommitmentsTable[[#This Row],[Immutable Key]],"-K-","-"))</f>
        <v/>
      </c>
      <c r="B766" s="233"/>
      <c r="C766" s="233"/>
      <c r="D766" s="213"/>
      <c r="E766" s="230"/>
      <c r="F766" s="213"/>
      <c r="G766" s="245" t="str">
        <f ca="1">IF(CommitmentsTable[[#This Row],[Commitment / deliverable]]="","",IF(CommitmentsTable[[#This Row],[Date record entered]]="",TODAY(),CommitmentsTable[[#This Row],[Date record entered]]))</f>
        <v/>
      </c>
      <c r="H766" s="245"/>
      <c r="I766" s="245" t="str">
        <f ca="1">IF(CommitmentsTable[[#This Row],[Date Assigned if different from entry date]]&lt;&gt;"",CommitmentsTable[[#This Row],[Date Assigned if different from entry date]]+90,IF(CommitmentsTable[[#This Row],[Date record entered]]&lt;&gt;"",CommitmentsTable[[#This Row],[Date record entered]]+90,""))</f>
        <v/>
      </c>
      <c r="J766" s="245" t="str">
        <f ca="1">IF(CommitmentsTable[[#This Row],[Date Assigned if different from entry date]]&lt;&gt;"",CommitmentsTable[[#This Row],[Date Assigned if different from entry date]]+30,IF(CommitmentsTable[[#This Row],[Date record entered]]&lt;&gt;"",CommitmentsTable[[#This Row],[Date record entered]]+30,""))</f>
        <v/>
      </c>
      <c r="K766" s="245"/>
      <c r="L766" s="245" t="str">
        <f ca="1">IF(CommitmentsTable[[#This Row],[Date Assigned if different from entry date]]&lt;&gt;"",CommitmentsTable[[#This Row],[Date Assigned if different from entry date]]+60,IF(CommitmentsTable[[#This Row],[Date record entered]]&lt;&gt;"",CommitmentsTable[[#This Row],[Date record entered]]+60,""))</f>
        <v/>
      </c>
      <c r="M766" s="214"/>
      <c r="N766" s="214"/>
      <c r="O766" s="236"/>
      <c r="P766" s="214"/>
      <c r="Q766" s="214"/>
      <c r="R766" s="214"/>
      <c r="S766" s="238" t="str">
        <f>IF(CommitmentsTable[[#This Row],[Commitment / deliverable]]="","",IF(CommitmentsTable[[#This Row],[Revised due]]&lt;&gt;"",CommitmentsTable[[#This Row],[Revised due]],CommitmentsTable[[#This Row],[Original due]]))</f>
        <v/>
      </c>
      <c r="T766" s="237" t="str">
        <f>IF(OR(CommitmentsTable[[#This Row],[Commitment / deliverable]]="",CommitmentsTable[[#This Row],[Owner]]=""),"",IF(CommitmentsTable[[#This Row],[Status2]]="","Open",CommitmentsTable[[#This Row],[Status2]]))</f>
        <v/>
      </c>
      <c r="U766" s="237" t="str">
        <f t="shared" ca="1" si="11"/>
        <v/>
      </c>
      <c r="V766" s="233"/>
      <c r="W766" s="63" t="s">
        <v>1668</v>
      </c>
    </row>
    <row r="767" spans="1:23" ht="26">
      <c r="A767" s="213" t="str">
        <f>IF(OR(CommitmentsTable[[#This Row],[Commitment / deliverable]]="",CommitmentsTable[[#This Row],[Immutable Key]]=""),"",SUBSTITUTE(CommitmentsTable[[#This Row],[Immutable Key]],"-K-","-"))</f>
        <v/>
      </c>
      <c r="B767" s="233"/>
      <c r="C767" s="233"/>
      <c r="D767" s="213"/>
      <c r="E767" s="230"/>
      <c r="F767" s="213"/>
      <c r="G767" s="245" t="str">
        <f ca="1">IF(CommitmentsTable[[#This Row],[Commitment / deliverable]]="","",IF(CommitmentsTable[[#This Row],[Date record entered]]="",TODAY(),CommitmentsTable[[#This Row],[Date record entered]]))</f>
        <v/>
      </c>
      <c r="H767" s="245"/>
      <c r="I767" s="245" t="str">
        <f ca="1">IF(CommitmentsTable[[#This Row],[Date Assigned if different from entry date]]&lt;&gt;"",CommitmentsTable[[#This Row],[Date Assigned if different from entry date]]+90,IF(CommitmentsTable[[#This Row],[Date record entered]]&lt;&gt;"",CommitmentsTable[[#This Row],[Date record entered]]+90,""))</f>
        <v/>
      </c>
      <c r="J767" s="245" t="str">
        <f ca="1">IF(CommitmentsTable[[#This Row],[Date Assigned if different from entry date]]&lt;&gt;"",CommitmentsTable[[#This Row],[Date Assigned if different from entry date]]+30,IF(CommitmentsTable[[#This Row],[Date record entered]]&lt;&gt;"",CommitmentsTable[[#This Row],[Date record entered]]+30,""))</f>
        <v/>
      </c>
      <c r="K767" s="245"/>
      <c r="L767" s="245" t="str">
        <f ca="1">IF(CommitmentsTable[[#This Row],[Date Assigned if different from entry date]]&lt;&gt;"",CommitmentsTable[[#This Row],[Date Assigned if different from entry date]]+60,IF(CommitmentsTable[[#This Row],[Date record entered]]&lt;&gt;"",CommitmentsTable[[#This Row],[Date record entered]]+60,""))</f>
        <v/>
      </c>
      <c r="M767" s="214"/>
      <c r="N767" s="214"/>
      <c r="O767" s="236"/>
      <c r="P767" s="214"/>
      <c r="Q767" s="214"/>
      <c r="R767" s="214"/>
      <c r="S767" s="238" t="str">
        <f>IF(CommitmentsTable[[#This Row],[Commitment / deliverable]]="","",IF(CommitmentsTable[[#This Row],[Revised due]]&lt;&gt;"",CommitmentsTable[[#This Row],[Revised due]],CommitmentsTable[[#This Row],[Original due]]))</f>
        <v/>
      </c>
      <c r="T767" s="237" t="str">
        <f>IF(OR(CommitmentsTable[[#This Row],[Commitment / deliverable]]="",CommitmentsTable[[#This Row],[Owner]]=""),"",IF(CommitmentsTable[[#This Row],[Status2]]="","Open",CommitmentsTable[[#This Row],[Status2]]))</f>
        <v/>
      </c>
      <c r="U767" s="237" t="str">
        <f t="shared" ca="1" si="11"/>
        <v/>
      </c>
      <c r="V767" s="233"/>
      <c r="W767" s="63" t="s">
        <v>1669</v>
      </c>
    </row>
    <row r="768" spans="1:23" ht="26">
      <c r="A768" s="213" t="str">
        <f>IF(OR(CommitmentsTable[[#This Row],[Commitment / deliverable]]="",CommitmentsTable[[#This Row],[Immutable Key]]=""),"",SUBSTITUTE(CommitmentsTable[[#This Row],[Immutable Key]],"-K-","-"))</f>
        <v/>
      </c>
      <c r="B768" s="233"/>
      <c r="C768" s="233"/>
      <c r="D768" s="213"/>
      <c r="E768" s="230"/>
      <c r="F768" s="213"/>
      <c r="G768" s="245" t="str">
        <f ca="1">IF(CommitmentsTable[[#This Row],[Commitment / deliverable]]="","",IF(CommitmentsTable[[#This Row],[Date record entered]]="",TODAY(),CommitmentsTable[[#This Row],[Date record entered]]))</f>
        <v/>
      </c>
      <c r="H768" s="245"/>
      <c r="I768" s="245" t="str">
        <f ca="1">IF(CommitmentsTable[[#This Row],[Date Assigned if different from entry date]]&lt;&gt;"",CommitmentsTable[[#This Row],[Date Assigned if different from entry date]]+90,IF(CommitmentsTable[[#This Row],[Date record entered]]&lt;&gt;"",CommitmentsTable[[#This Row],[Date record entered]]+90,""))</f>
        <v/>
      </c>
      <c r="J768" s="245" t="str">
        <f ca="1">IF(CommitmentsTable[[#This Row],[Date Assigned if different from entry date]]&lt;&gt;"",CommitmentsTable[[#This Row],[Date Assigned if different from entry date]]+30,IF(CommitmentsTable[[#This Row],[Date record entered]]&lt;&gt;"",CommitmentsTable[[#This Row],[Date record entered]]+30,""))</f>
        <v/>
      </c>
      <c r="K768" s="245"/>
      <c r="L768" s="245" t="str">
        <f ca="1">IF(CommitmentsTable[[#This Row],[Date Assigned if different from entry date]]&lt;&gt;"",CommitmentsTable[[#This Row],[Date Assigned if different from entry date]]+60,IF(CommitmentsTable[[#This Row],[Date record entered]]&lt;&gt;"",CommitmentsTable[[#This Row],[Date record entered]]+60,""))</f>
        <v/>
      </c>
      <c r="M768" s="214"/>
      <c r="N768" s="214"/>
      <c r="O768" s="236"/>
      <c r="P768" s="214"/>
      <c r="Q768" s="214"/>
      <c r="R768" s="214"/>
      <c r="S768" s="238" t="str">
        <f>IF(CommitmentsTable[[#This Row],[Commitment / deliverable]]="","",IF(CommitmentsTable[[#This Row],[Revised due]]&lt;&gt;"",CommitmentsTable[[#This Row],[Revised due]],CommitmentsTable[[#This Row],[Original due]]))</f>
        <v/>
      </c>
      <c r="T768" s="237" t="str">
        <f>IF(OR(CommitmentsTable[[#This Row],[Commitment / deliverable]]="",CommitmentsTable[[#This Row],[Owner]]=""),"",IF(CommitmentsTable[[#This Row],[Status2]]="","Open",CommitmentsTable[[#This Row],[Status2]]))</f>
        <v/>
      </c>
      <c r="U768" s="237" t="str">
        <f t="shared" ca="1" si="11"/>
        <v/>
      </c>
      <c r="V768" s="233"/>
      <c r="W768" s="63" t="s">
        <v>1670</v>
      </c>
    </row>
    <row r="769" spans="1:23" ht="26">
      <c r="A769" s="213" t="str">
        <f>IF(OR(CommitmentsTable[[#This Row],[Commitment / deliverable]]="",CommitmentsTable[[#This Row],[Immutable Key]]=""),"",SUBSTITUTE(CommitmentsTable[[#This Row],[Immutable Key]],"-K-","-"))</f>
        <v/>
      </c>
      <c r="B769" s="233"/>
      <c r="C769" s="233"/>
      <c r="D769" s="213"/>
      <c r="E769" s="230"/>
      <c r="F769" s="213"/>
      <c r="G769" s="245" t="str">
        <f ca="1">IF(CommitmentsTable[[#This Row],[Commitment / deliverable]]="","",IF(CommitmentsTable[[#This Row],[Date record entered]]="",TODAY(),CommitmentsTable[[#This Row],[Date record entered]]))</f>
        <v/>
      </c>
      <c r="H769" s="245"/>
      <c r="I769" s="245" t="str">
        <f ca="1">IF(CommitmentsTable[[#This Row],[Date Assigned if different from entry date]]&lt;&gt;"",CommitmentsTable[[#This Row],[Date Assigned if different from entry date]]+90,IF(CommitmentsTable[[#This Row],[Date record entered]]&lt;&gt;"",CommitmentsTable[[#This Row],[Date record entered]]+90,""))</f>
        <v/>
      </c>
      <c r="J769" s="245" t="str">
        <f ca="1">IF(CommitmentsTable[[#This Row],[Date Assigned if different from entry date]]&lt;&gt;"",CommitmentsTable[[#This Row],[Date Assigned if different from entry date]]+30,IF(CommitmentsTable[[#This Row],[Date record entered]]&lt;&gt;"",CommitmentsTable[[#This Row],[Date record entered]]+30,""))</f>
        <v/>
      </c>
      <c r="K769" s="245"/>
      <c r="L769" s="245" t="str">
        <f ca="1">IF(CommitmentsTable[[#This Row],[Date Assigned if different from entry date]]&lt;&gt;"",CommitmentsTable[[#This Row],[Date Assigned if different from entry date]]+60,IF(CommitmentsTable[[#This Row],[Date record entered]]&lt;&gt;"",CommitmentsTable[[#This Row],[Date record entered]]+60,""))</f>
        <v/>
      </c>
      <c r="M769" s="214"/>
      <c r="N769" s="214"/>
      <c r="O769" s="236"/>
      <c r="P769" s="214"/>
      <c r="Q769" s="214"/>
      <c r="R769" s="214"/>
      <c r="S769" s="238" t="str">
        <f>IF(CommitmentsTable[[#This Row],[Commitment / deliverable]]="","",IF(CommitmentsTable[[#This Row],[Revised due]]&lt;&gt;"",CommitmentsTable[[#This Row],[Revised due]],CommitmentsTable[[#This Row],[Original due]]))</f>
        <v/>
      </c>
      <c r="T769" s="237" t="str">
        <f>IF(OR(CommitmentsTable[[#This Row],[Commitment / deliverable]]="",CommitmentsTable[[#This Row],[Owner]]=""),"",IF(CommitmentsTable[[#This Row],[Status2]]="","Open",CommitmentsTable[[#This Row],[Status2]]))</f>
        <v/>
      </c>
      <c r="U769" s="237" t="str">
        <f t="shared" ca="1" si="11"/>
        <v/>
      </c>
      <c r="V769" s="233"/>
      <c r="W769" s="63" t="s">
        <v>1671</v>
      </c>
    </row>
    <row r="770" spans="1:23" ht="26">
      <c r="A770" s="213" t="str">
        <f>IF(OR(CommitmentsTable[[#This Row],[Commitment / deliverable]]="",CommitmentsTable[[#This Row],[Immutable Key]]=""),"",SUBSTITUTE(CommitmentsTable[[#This Row],[Immutable Key]],"-K-","-"))</f>
        <v/>
      </c>
      <c r="B770" s="233"/>
      <c r="C770" s="233"/>
      <c r="D770" s="213"/>
      <c r="E770" s="230"/>
      <c r="F770" s="213"/>
      <c r="G770" s="245" t="str">
        <f ca="1">IF(CommitmentsTable[[#This Row],[Commitment / deliverable]]="","",IF(CommitmentsTable[[#This Row],[Date record entered]]="",TODAY(),CommitmentsTable[[#This Row],[Date record entered]]))</f>
        <v/>
      </c>
      <c r="H770" s="245"/>
      <c r="I770" s="245" t="str">
        <f ca="1">IF(CommitmentsTable[[#This Row],[Date Assigned if different from entry date]]&lt;&gt;"",CommitmentsTable[[#This Row],[Date Assigned if different from entry date]]+90,IF(CommitmentsTable[[#This Row],[Date record entered]]&lt;&gt;"",CommitmentsTable[[#This Row],[Date record entered]]+90,""))</f>
        <v/>
      </c>
      <c r="J770" s="245" t="str">
        <f ca="1">IF(CommitmentsTable[[#This Row],[Date Assigned if different from entry date]]&lt;&gt;"",CommitmentsTable[[#This Row],[Date Assigned if different from entry date]]+30,IF(CommitmentsTable[[#This Row],[Date record entered]]&lt;&gt;"",CommitmentsTable[[#This Row],[Date record entered]]+30,""))</f>
        <v/>
      </c>
      <c r="K770" s="245"/>
      <c r="L770" s="245" t="str">
        <f ca="1">IF(CommitmentsTable[[#This Row],[Date Assigned if different from entry date]]&lt;&gt;"",CommitmentsTable[[#This Row],[Date Assigned if different from entry date]]+60,IF(CommitmentsTable[[#This Row],[Date record entered]]&lt;&gt;"",CommitmentsTable[[#This Row],[Date record entered]]+60,""))</f>
        <v/>
      </c>
      <c r="M770" s="214"/>
      <c r="N770" s="214"/>
      <c r="O770" s="236"/>
      <c r="P770" s="214"/>
      <c r="Q770" s="214"/>
      <c r="R770" s="214"/>
      <c r="S770" s="238" t="str">
        <f>IF(CommitmentsTable[[#This Row],[Commitment / deliverable]]="","",IF(CommitmentsTable[[#This Row],[Revised due]]&lt;&gt;"",CommitmentsTable[[#This Row],[Revised due]],CommitmentsTable[[#This Row],[Original due]]))</f>
        <v/>
      </c>
      <c r="T770" s="237" t="str">
        <f>IF(OR(CommitmentsTable[[#This Row],[Commitment / deliverable]]="",CommitmentsTable[[#This Row],[Owner]]=""),"",IF(CommitmentsTable[[#This Row],[Status2]]="","Open",CommitmentsTable[[#This Row],[Status2]]))</f>
        <v/>
      </c>
      <c r="U770" s="237" t="str">
        <f t="shared" ca="1" si="11"/>
        <v/>
      </c>
      <c r="V770" s="233"/>
      <c r="W770" s="63" t="s">
        <v>1672</v>
      </c>
    </row>
    <row r="771" spans="1:23" ht="26">
      <c r="A771" s="213" t="str">
        <f>IF(OR(CommitmentsTable[[#This Row],[Commitment / deliverable]]="",CommitmentsTable[[#This Row],[Immutable Key]]=""),"",SUBSTITUTE(CommitmentsTable[[#This Row],[Immutable Key]],"-K-","-"))</f>
        <v/>
      </c>
      <c r="B771" s="233"/>
      <c r="C771" s="233"/>
      <c r="D771" s="213"/>
      <c r="E771" s="230"/>
      <c r="F771" s="213"/>
      <c r="G771" s="245" t="str">
        <f ca="1">IF(CommitmentsTable[[#This Row],[Commitment / deliverable]]="","",IF(CommitmentsTable[[#This Row],[Date record entered]]="",TODAY(),CommitmentsTable[[#This Row],[Date record entered]]))</f>
        <v/>
      </c>
      <c r="H771" s="245"/>
      <c r="I771" s="245" t="str">
        <f ca="1">IF(CommitmentsTable[[#This Row],[Date Assigned if different from entry date]]&lt;&gt;"",CommitmentsTable[[#This Row],[Date Assigned if different from entry date]]+90,IF(CommitmentsTable[[#This Row],[Date record entered]]&lt;&gt;"",CommitmentsTable[[#This Row],[Date record entered]]+90,""))</f>
        <v/>
      </c>
      <c r="J771" s="245" t="str">
        <f ca="1">IF(CommitmentsTable[[#This Row],[Date Assigned if different from entry date]]&lt;&gt;"",CommitmentsTable[[#This Row],[Date Assigned if different from entry date]]+30,IF(CommitmentsTable[[#This Row],[Date record entered]]&lt;&gt;"",CommitmentsTable[[#This Row],[Date record entered]]+30,""))</f>
        <v/>
      </c>
      <c r="K771" s="245"/>
      <c r="L771" s="245" t="str">
        <f ca="1">IF(CommitmentsTable[[#This Row],[Date Assigned if different from entry date]]&lt;&gt;"",CommitmentsTable[[#This Row],[Date Assigned if different from entry date]]+60,IF(CommitmentsTable[[#This Row],[Date record entered]]&lt;&gt;"",CommitmentsTable[[#This Row],[Date record entered]]+60,""))</f>
        <v/>
      </c>
      <c r="M771" s="214"/>
      <c r="N771" s="214"/>
      <c r="O771" s="236"/>
      <c r="P771" s="214"/>
      <c r="Q771" s="214"/>
      <c r="R771" s="214"/>
      <c r="S771" s="238" t="str">
        <f>IF(CommitmentsTable[[#This Row],[Commitment / deliverable]]="","",IF(CommitmentsTable[[#This Row],[Revised due]]&lt;&gt;"",CommitmentsTable[[#This Row],[Revised due]],CommitmentsTable[[#This Row],[Original due]]))</f>
        <v/>
      </c>
      <c r="T771" s="237" t="str">
        <f>IF(OR(CommitmentsTable[[#This Row],[Commitment / deliverable]]="",CommitmentsTable[[#This Row],[Owner]]=""),"",IF(CommitmentsTable[[#This Row],[Status2]]="","Open",CommitmentsTable[[#This Row],[Status2]]))</f>
        <v/>
      </c>
      <c r="U771" s="237" t="str">
        <f t="shared" ca="1" si="11"/>
        <v/>
      </c>
      <c r="V771" s="233"/>
      <c r="W771" s="63" t="s">
        <v>1673</v>
      </c>
    </row>
    <row r="772" spans="1:23" ht="26">
      <c r="A772" s="213" t="str">
        <f>IF(OR(CommitmentsTable[[#This Row],[Commitment / deliverable]]="",CommitmentsTable[[#This Row],[Immutable Key]]=""),"",SUBSTITUTE(CommitmentsTable[[#This Row],[Immutable Key]],"-K-","-"))</f>
        <v/>
      </c>
      <c r="B772" s="233"/>
      <c r="C772" s="233"/>
      <c r="D772" s="213"/>
      <c r="E772" s="230"/>
      <c r="F772" s="213"/>
      <c r="G772" s="245" t="str">
        <f ca="1">IF(CommitmentsTable[[#This Row],[Commitment / deliverable]]="","",IF(CommitmentsTable[[#This Row],[Date record entered]]="",TODAY(),CommitmentsTable[[#This Row],[Date record entered]]))</f>
        <v/>
      </c>
      <c r="H772" s="245"/>
      <c r="I772" s="245" t="str">
        <f ca="1">IF(CommitmentsTable[[#This Row],[Date Assigned if different from entry date]]&lt;&gt;"",CommitmentsTable[[#This Row],[Date Assigned if different from entry date]]+90,IF(CommitmentsTable[[#This Row],[Date record entered]]&lt;&gt;"",CommitmentsTable[[#This Row],[Date record entered]]+90,""))</f>
        <v/>
      </c>
      <c r="J772" s="245" t="str">
        <f ca="1">IF(CommitmentsTable[[#This Row],[Date Assigned if different from entry date]]&lt;&gt;"",CommitmentsTable[[#This Row],[Date Assigned if different from entry date]]+30,IF(CommitmentsTable[[#This Row],[Date record entered]]&lt;&gt;"",CommitmentsTable[[#This Row],[Date record entered]]+30,""))</f>
        <v/>
      </c>
      <c r="K772" s="245"/>
      <c r="L772" s="245" t="str">
        <f ca="1">IF(CommitmentsTable[[#This Row],[Date Assigned if different from entry date]]&lt;&gt;"",CommitmentsTable[[#This Row],[Date Assigned if different from entry date]]+60,IF(CommitmentsTable[[#This Row],[Date record entered]]&lt;&gt;"",CommitmentsTable[[#This Row],[Date record entered]]+60,""))</f>
        <v/>
      </c>
      <c r="M772" s="214"/>
      <c r="N772" s="214"/>
      <c r="O772" s="236"/>
      <c r="P772" s="214"/>
      <c r="Q772" s="214"/>
      <c r="R772" s="214"/>
      <c r="S772" s="238" t="str">
        <f>IF(CommitmentsTable[[#This Row],[Commitment / deliverable]]="","",IF(CommitmentsTable[[#This Row],[Revised due]]&lt;&gt;"",CommitmentsTable[[#This Row],[Revised due]],CommitmentsTable[[#This Row],[Original due]]))</f>
        <v/>
      </c>
      <c r="T772" s="237" t="str">
        <f>IF(OR(CommitmentsTable[[#This Row],[Commitment / deliverable]]="",CommitmentsTable[[#This Row],[Owner]]=""),"",IF(CommitmentsTable[[#This Row],[Status2]]="","Open",CommitmentsTable[[#This Row],[Status2]]))</f>
        <v/>
      </c>
      <c r="U772" s="237" t="str">
        <f t="shared" ca="1" si="11"/>
        <v/>
      </c>
      <c r="V772" s="233"/>
      <c r="W772" s="63" t="s">
        <v>1674</v>
      </c>
    </row>
    <row r="773" spans="1:23" ht="26">
      <c r="A773" s="213" t="str">
        <f>IF(OR(CommitmentsTable[[#This Row],[Commitment / deliverable]]="",CommitmentsTable[[#This Row],[Immutable Key]]=""),"",SUBSTITUTE(CommitmentsTable[[#This Row],[Immutable Key]],"-K-","-"))</f>
        <v/>
      </c>
      <c r="B773" s="233"/>
      <c r="C773" s="233"/>
      <c r="D773" s="213"/>
      <c r="E773" s="230"/>
      <c r="F773" s="213"/>
      <c r="G773" s="245" t="str">
        <f ca="1">IF(CommitmentsTable[[#This Row],[Commitment / deliverable]]="","",IF(CommitmentsTable[[#This Row],[Date record entered]]="",TODAY(),CommitmentsTable[[#This Row],[Date record entered]]))</f>
        <v/>
      </c>
      <c r="H773" s="245"/>
      <c r="I773" s="245" t="str">
        <f ca="1">IF(CommitmentsTable[[#This Row],[Date Assigned if different from entry date]]&lt;&gt;"",CommitmentsTable[[#This Row],[Date Assigned if different from entry date]]+90,IF(CommitmentsTable[[#This Row],[Date record entered]]&lt;&gt;"",CommitmentsTable[[#This Row],[Date record entered]]+90,""))</f>
        <v/>
      </c>
      <c r="J773" s="245" t="str">
        <f ca="1">IF(CommitmentsTable[[#This Row],[Date Assigned if different from entry date]]&lt;&gt;"",CommitmentsTable[[#This Row],[Date Assigned if different from entry date]]+30,IF(CommitmentsTable[[#This Row],[Date record entered]]&lt;&gt;"",CommitmentsTable[[#This Row],[Date record entered]]+30,""))</f>
        <v/>
      </c>
      <c r="K773" s="245"/>
      <c r="L773" s="245" t="str">
        <f ca="1">IF(CommitmentsTable[[#This Row],[Date Assigned if different from entry date]]&lt;&gt;"",CommitmentsTable[[#This Row],[Date Assigned if different from entry date]]+60,IF(CommitmentsTable[[#This Row],[Date record entered]]&lt;&gt;"",CommitmentsTable[[#This Row],[Date record entered]]+60,""))</f>
        <v/>
      </c>
      <c r="M773" s="214"/>
      <c r="N773" s="214"/>
      <c r="O773" s="236"/>
      <c r="P773" s="214"/>
      <c r="Q773" s="214"/>
      <c r="R773" s="214"/>
      <c r="S773" s="238" t="str">
        <f>IF(CommitmentsTable[[#This Row],[Commitment / deliverable]]="","",IF(CommitmentsTable[[#This Row],[Revised due]]&lt;&gt;"",CommitmentsTable[[#This Row],[Revised due]],CommitmentsTable[[#This Row],[Original due]]))</f>
        <v/>
      </c>
      <c r="T773" s="237" t="str">
        <f>IF(OR(CommitmentsTable[[#This Row],[Commitment / deliverable]]="",CommitmentsTable[[#This Row],[Owner]]=""),"",IF(CommitmentsTable[[#This Row],[Status2]]="","Open",CommitmentsTable[[#This Row],[Status2]]))</f>
        <v/>
      </c>
      <c r="U773" s="237" t="str">
        <f t="shared" ca="1" si="11"/>
        <v/>
      </c>
      <c r="V773" s="233"/>
      <c r="W773" s="63" t="s">
        <v>1675</v>
      </c>
    </row>
    <row r="774" spans="1:23" ht="26">
      <c r="A774" s="213" t="str">
        <f>IF(OR(CommitmentsTable[[#This Row],[Commitment / deliverable]]="",CommitmentsTable[[#This Row],[Immutable Key]]=""),"",SUBSTITUTE(CommitmentsTable[[#This Row],[Immutable Key]],"-K-","-"))</f>
        <v/>
      </c>
      <c r="B774" s="233"/>
      <c r="C774" s="233"/>
      <c r="D774" s="213"/>
      <c r="E774" s="230"/>
      <c r="F774" s="213"/>
      <c r="G774" s="245" t="str">
        <f ca="1">IF(CommitmentsTable[[#This Row],[Commitment / deliverable]]="","",IF(CommitmentsTable[[#This Row],[Date record entered]]="",TODAY(),CommitmentsTable[[#This Row],[Date record entered]]))</f>
        <v/>
      </c>
      <c r="H774" s="245"/>
      <c r="I774" s="245" t="str">
        <f ca="1">IF(CommitmentsTable[[#This Row],[Date Assigned if different from entry date]]&lt;&gt;"",CommitmentsTable[[#This Row],[Date Assigned if different from entry date]]+90,IF(CommitmentsTable[[#This Row],[Date record entered]]&lt;&gt;"",CommitmentsTable[[#This Row],[Date record entered]]+90,""))</f>
        <v/>
      </c>
      <c r="J774" s="245" t="str">
        <f ca="1">IF(CommitmentsTable[[#This Row],[Date Assigned if different from entry date]]&lt;&gt;"",CommitmentsTable[[#This Row],[Date Assigned if different from entry date]]+30,IF(CommitmentsTable[[#This Row],[Date record entered]]&lt;&gt;"",CommitmentsTable[[#This Row],[Date record entered]]+30,""))</f>
        <v/>
      </c>
      <c r="K774" s="245"/>
      <c r="L774" s="245" t="str">
        <f ca="1">IF(CommitmentsTable[[#This Row],[Date Assigned if different from entry date]]&lt;&gt;"",CommitmentsTable[[#This Row],[Date Assigned if different from entry date]]+60,IF(CommitmentsTable[[#This Row],[Date record entered]]&lt;&gt;"",CommitmentsTable[[#This Row],[Date record entered]]+60,""))</f>
        <v/>
      </c>
      <c r="M774" s="214"/>
      <c r="N774" s="214"/>
      <c r="O774" s="236"/>
      <c r="P774" s="214"/>
      <c r="Q774" s="214"/>
      <c r="R774" s="214"/>
      <c r="S774" s="238" t="str">
        <f>IF(CommitmentsTable[[#This Row],[Commitment / deliverable]]="","",IF(CommitmentsTable[[#This Row],[Revised due]]&lt;&gt;"",CommitmentsTable[[#This Row],[Revised due]],CommitmentsTable[[#This Row],[Original due]]))</f>
        <v/>
      </c>
      <c r="T774" s="237" t="str">
        <f>IF(OR(CommitmentsTable[[#This Row],[Commitment / deliverable]]="",CommitmentsTable[[#This Row],[Owner]]=""),"",IF(CommitmentsTable[[#This Row],[Status2]]="","Open",CommitmentsTable[[#This Row],[Status2]]))</f>
        <v/>
      </c>
      <c r="U774" s="237" t="str">
        <f t="shared" ca="1" si="11"/>
        <v/>
      </c>
      <c r="V774" s="233"/>
      <c r="W774" s="63" t="s">
        <v>1676</v>
      </c>
    </row>
    <row r="775" spans="1:23" ht="26">
      <c r="A775" s="213" t="str">
        <f>IF(OR(CommitmentsTable[[#This Row],[Commitment / deliverable]]="",CommitmentsTable[[#This Row],[Immutable Key]]=""),"",SUBSTITUTE(CommitmentsTable[[#This Row],[Immutable Key]],"-K-","-"))</f>
        <v/>
      </c>
      <c r="B775" s="233"/>
      <c r="C775" s="233"/>
      <c r="D775" s="213"/>
      <c r="E775" s="230"/>
      <c r="F775" s="213"/>
      <c r="G775" s="245" t="str">
        <f ca="1">IF(CommitmentsTable[[#This Row],[Commitment / deliverable]]="","",IF(CommitmentsTable[[#This Row],[Date record entered]]="",TODAY(),CommitmentsTable[[#This Row],[Date record entered]]))</f>
        <v/>
      </c>
      <c r="H775" s="245"/>
      <c r="I775" s="245" t="str">
        <f ca="1">IF(CommitmentsTable[[#This Row],[Date Assigned if different from entry date]]&lt;&gt;"",CommitmentsTable[[#This Row],[Date Assigned if different from entry date]]+90,IF(CommitmentsTable[[#This Row],[Date record entered]]&lt;&gt;"",CommitmentsTable[[#This Row],[Date record entered]]+90,""))</f>
        <v/>
      </c>
      <c r="J775" s="245" t="str">
        <f ca="1">IF(CommitmentsTable[[#This Row],[Date Assigned if different from entry date]]&lt;&gt;"",CommitmentsTable[[#This Row],[Date Assigned if different from entry date]]+30,IF(CommitmentsTable[[#This Row],[Date record entered]]&lt;&gt;"",CommitmentsTable[[#This Row],[Date record entered]]+30,""))</f>
        <v/>
      </c>
      <c r="K775" s="245"/>
      <c r="L775" s="245" t="str">
        <f ca="1">IF(CommitmentsTable[[#This Row],[Date Assigned if different from entry date]]&lt;&gt;"",CommitmentsTable[[#This Row],[Date Assigned if different from entry date]]+60,IF(CommitmentsTable[[#This Row],[Date record entered]]&lt;&gt;"",CommitmentsTable[[#This Row],[Date record entered]]+60,""))</f>
        <v/>
      </c>
      <c r="M775" s="214"/>
      <c r="N775" s="214"/>
      <c r="O775" s="236"/>
      <c r="P775" s="214"/>
      <c r="Q775" s="214"/>
      <c r="R775" s="214"/>
      <c r="S775" s="238" t="str">
        <f>IF(CommitmentsTable[[#This Row],[Commitment / deliverable]]="","",IF(CommitmentsTable[[#This Row],[Revised due]]&lt;&gt;"",CommitmentsTable[[#This Row],[Revised due]],CommitmentsTable[[#This Row],[Original due]]))</f>
        <v/>
      </c>
      <c r="T775" s="237" t="str">
        <f>IF(OR(CommitmentsTable[[#This Row],[Commitment / deliverable]]="",CommitmentsTable[[#This Row],[Owner]]=""),"",IF(CommitmentsTable[[#This Row],[Status2]]="","Open",CommitmentsTable[[#This Row],[Status2]]))</f>
        <v/>
      </c>
      <c r="U775" s="237" t="str">
        <f t="shared" ca="1" si="11"/>
        <v/>
      </c>
      <c r="V775" s="233"/>
      <c r="W775" s="63" t="s">
        <v>1677</v>
      </c>
    </row>
    <row r="776" spans="1:23" ht="26">
      <c r="A776" s="213" t="str">
        <f>IF(OR(CommitmentsTable[[#This Row],[Commitment / deliverable]]="",CommitmentsTable[[#This Row],[Immutable Key]]=""),"",SUBSTITUTE(CommitmentsTable[[#This Row],[Immutable Key]],"-K-","-"))</f>
        <v/>
      </c>
      <c r="B776" s="233"/>
      <c r="C776" s="233"/>
      <c r="D776" s="213"/>
      <c r="E776" s="230"/>
      <c r="F776" s="213"/>
      <c r="G776" s="245" t="str">
        <f ca="1">IF(CommitmentsTable[[#This Row],[Commitment / deliverable]]="","",IF(CommitmentsTable[[#This Row],[Date record entered]]="",TODAY(),CommitmentsTable[[#This Row],[Date record entered]]))</f>
        <v/>
      </c>
      <c r="H776" s="245"/>
      <c r="I776" s="245" t="str">
        <f ca="1">IF(CommitmentsTable[[#This Row],[Date Assigned if different from entry date]]&lt;&gt;"",CommitmentsTable[[#This Row],[Date Assigned if different from entry date]]+90,IF(CommitmentsTable[[#This Row],[Date record entered]]&lt;&gt;"",CommitmentsTable[[#This Row],[Date record entered]]+90,""))</f>
        <v/>
      </c>
      <c r="J776" s="245" t="str">
        <f ca="1">IF(CommitmentsTable[[#This Row],[Date Assigned if different from entry date]]&lt;&gt;"",CommitmentsTable[[#This Row],[Date Assigned if different from entry date]]+30,IF(CommitmentsTable[[#This Row],[Date record entered]]&lt;&gt;"",CommitmentsTable[[#This Row],[Date record entered]]+30,""))</f>
        <v/>
      </c>
      <c r="K776" s="245"/>
      <c r="L776" s="245" t="str">
        <f ca="1">IF(CommitmentsTable[[#This Row],[Date Assigned if different from entry date]]&lt;&gt;"",CommitmentsTable[[#This Row],[Date Assigned if different from entry date]]+60,IF(CommitmentsTable[[#This Row],[Date record entered]]&lt;&gt;"",CommitmentsTable[[#This Row],[Date record entered]]+60,""))</f>
        <v/>
      </c>
      <c r="M776" s="214"/>
      <c r="N776" s="214"/>
      <c r="O776" s="236"/>
      <c r="P776" s="214"/>
      <c r="Q776" s="214"/>
      <c r="R776" s="214"/>
      <c r="S776" s="238" t="str">
        <f>IF(CommitmentsTable[[#This Row],[Commitment / deliverable]]="","",IF(CommitmentsTable[[#This Row],[Revised due]]&lt;&gt;"",CommitmentsTable[[#This Row],[Revised due]],CommitmentsTable[[#This Row],[Original due]]))</f>
        <v/>
      </c>
      <c r="T776" s="237" t="str">
        <f>IF(OR(CommitmentsTable[[#This Row],[Commitment / deliverable]]="",CommitmentsTable[[#This Row],[Owner]]=""),"",IF(CommitmentsTable[[#This Row],[Status2]]="","Open",CommitmentsTable[[#This Row],[Status2]]))</f>
        <v/>
      </c>
      <c r="U776" s="237" t="str">
        <f t="shared" ca="1" si="11"/>
        <v/>
      </c>
      <c r="V776" s="233"/>
      <c r="W776" s="63" t="s">
        <v>1678</v>
      </c>
    </row>
    <row r="777" spans="1:23" ht="26">
      <c r="A777" s="213" t="str">
        <f>IF(OR(CommitmentsTable[[#This Row],[Commitment / deliverable]]="",CommitmentsTable[[#This Row],[Immutable Key]]=""),"",SUBSTITUTE(CommitmentsTable[[#This Row],[Immutable Key]],"-K-","-"))</f>
        <v/>
      </c>
      <c r="B777" s="233"/>
      <c r="C777" s="233"/>
      <c r="D777" s="213"/>
      <c r="E777" s="230"/>
      <c r="F777" s="213"/>
      <c r="G777" s="245" t="str">
        <f ca="1">IF(CommitmentsTable[[#This Row],[Commitment / deliverable]]="","",IF(CommitmentsTable[[#This Row],[Date record entered]]="",TODAY(),CommitmentsTable[[#This Row],[Date record entered]]))</f>
        <v/>
      </c>
      <c r="H777" s="245"/>
      <c r="I777" s="245" t="str">
        <f ca="1">IF(CommitmentsTable[[#This Row],[Date Assigned if different from entry date]]&lt;&gt;"",CommitmentsTable[[#This Row],[Date Assigned if different from entry date]]+90,IF(CommitmentsTable[[#This Row],[Date record entered]]&lt;&gt;"",CommitmentsTable[[#This Row],[Date record entered]]+90,""))</f>
        <v/>
      </c>
      <c r="J777" s="245" t="str">
        <f ca="1">IF(CommitmentsTable[[#This Row],[Date Assigned if different from entry date]]&lt;&gt;"",CommitmentsTable[[#This Row],[Date Assigned if different from entry date]]+30,IF(CommitmentsTable[[#This Row],[Date record entered]]&lt;&gt;"",CommitmentsTable[[#This Row],[Date record entered]]+30,""))</f>
        <v/>
      </c>
      <c r="K777" s="245"/>
      <c r="L777" s="245" t="str">
        <f ca="1">IF(CommitmentsTable[[#This Row],[Date Assigned if different from entry date]]&lt;&gt;"",CommitmentsTable[[#This Row],[Date Assigned if different from entry date]]+60,IF(CommitmentsTable[[#This Row],[Date record entered]]&lt;&gt;"",CommitmentsTable[[#This Row],[Date record entered]]+60,""))</f>
        <v/>
      </c>
      <c r="M777" s="214"/>
      <c r="N777" s="214"/>
      <c r="O777" s="236"/>
      <c r="P777" s="214"/>
      <c r="Q777" s="214"/>
      <c r="R777" s="214"/>
      <c r="S777" s="238" t="str">
        <f>IF(CommitmentsTable[[#This Row],[Commitment / deliverable]]="","",IF(CommitmentsTable[[#This Row],[Revised due]]&lt;&gt;"",CommitmentsTable[[#This Row],[Revised due]],CommitmentsTable[[#This Row],[Original due]]))</f>
        <v/>
      </c>
      <c r="T777" s="237" t="str">
        <f>IF(OR(CommitmentsTable[[#This Row],[Commitment / deliverable]]="",CommitmentsTable[[#This Row],[Owner]]=""),"",IF(CommitmentsTable[[#This Row],[Status2]]="","Open",CommitmentsTable[[#This Row],[Status2]]))</f>
        <v/>
      </c>
      <c r="U777" s="237" t="str">
        <f t="shared" ca="1" si="11"/>
        <v/>
      </c>
      <c r="V777" s="233"/>
      <c r="W777" s="63" t="s">
        <v>1679</v>
      </c>
    </row>
    <row r="778" spans="1:23" ht="26">
      <c r="A778" s="213" t="str">
        <f>IF(OR(CommitmentsTable[[#This Row],[Commitment / deliverable]]="",CommitmentsTable[[#This Row],[Immutable Key]]=""),"",SUBSTITUTE(CommitmentsTable[[#This Row],[Immutable Key]],"-K-","-"))</f>
        <v/>
      </c>
      <c r="B778" s="233"/>
      <c r="C778" s="233"/>
      <c r="D778" s="213"/>
      <c r="E778" s="230"/>
      <c r="F778" s="213"/>
      <c r="G778" s="245" t="str">
        <f ca="1">IF(CommitmentsTable[[#This Row],[Commitment / deliverable]]="","",IF(CommitmentsTable[[#This Row],[Date record entered]]="",TODAY(),CommitmentsTable[[#This Row],[Date record entered]]))</f>
        <v/>
      </c>
      <c r="H778" s="245"/>
      <c r="I778" s="245" t="str">
        <f ca="1">IF(CommitmentsTable[[#This Row],[Date Assigned if different from entry date]]&lt;&gt;"",CommitmentsTable[[#This Row],[Date Assigned if different from entry date]]+90,IF(CommitmentsTable[[#This Row],[Date record entered]]&lt;&gt;"",CommitmentsTable[[#This Row],[Date record entered]]+90,""))</f>
        <v/>
      </c>
      <c r="J778" s="245" t="str">
        <f ca="1">IF(CommitmentsTable[[#This Row],[Date Assigned if different from entry date]]&lt;&gt;"",CommitmentsTable[[#This Row],[Date Assigned if different from entry date]]+30,IF(CommitmentsTable[[#This Row],[Date record entered]]&lt;&gt;"",CommitmentsTable[[#This Row],[Date record entered]]+30,""))</f>
        <v/>
      </c>
      <c r="K778" s="245"/>
      <c r="L778" s="245" t="str">
        <f ca="1">IF(CommitmentsTable[[#This Row],[Date Assigned if different from entry date]]&lt;&gt;"",CommitmentsTable[[#This Row],[Date Assigned if different from entry date]]+60,IF(CommitmentsTable[[#This Row],[Date record entered]]&lt;&gt;"",CommitmentsTable[[#This Row],[Date record entered]]+60,""))</f>
        <v/>
      </c>
      <c r="M778" s="214"/>
      <c r="N778" s="214"/>
      <c r="O778" s="236"/>
      <c r="P778" s="214"/>
      <c r="Q778" s="214"/>
      <c r="R778" s="214"/>
      <c r="S778" s="238" t="str">
        <f>IF(CommitmentsTable[[#This Row],[Commitment / deliverable]]="","",IF(CommitmentsTable[[#This Row],[Revised due]]&lt;&gt;"",CommitmentsTable[[#This Row],[Revised due]],CommitmentsTable[[#This Row],[Original due]]))</f>
        <v/>
      </c>
      <c r="T778" s="237" t="str">
        <f>IF(OR(CommitmentsTable[[#This Row],[Commitment / deliverable]]="",CommitmentsTable[[#This Row],[Owner]]=""),"",IF(CommitmentsTable[[#This Row],[Status2]]="","Open",CommitmentsTable[[#This Row],[Status2]]))</f>
        <v/>
      </c>
      <c r="U778" s="237" t="str">
        <f t="shared" ca="1" si="11"/>
        <v/>
      </c>
      <c r="V778" s="233"/>
      <c r="W778" s="63" t="s">
        <v>1680</v>
      </c>
    </row>
    <row r="779" spans="1:23" ht="26">
      <c r="A779" s="213" t="str">
        <f>IF(OR(CommitmentsTable[[#This Row],[Commitment / deliverable]]="",CommitmentsTable[[#This Row],[Immutable Key]]=""),"",SUBSTITUTE(CommitmentsTable[[#This Row],[Immutable Key]],"-K-","-"))</f>
        <v/>
      </c>
      <c r="B779" s="233"/>
      <c r="C779" s="233"/>
      <c r="D779" s="213"/>
      <c r="E779" s="230"/>
      <c r="F779" s="213"/>
      <c r="G779" s="245" t="str">
        <f ca="1">IF(CommitmentsTable[[#This Row],[Commitment / deliverable]]="","",IF(CommitmentsTable[[#This Row],[Date record entered]]="",TODAY(),CommitmentsTable[[#This Row],[Date record entered]]))</f>
        <v/>
      </c>
      <c r="H779" s="245"/>
      <c r="I779" s="245" t="str">
        <f ca="1">IF(CommitmentsTable[[#This Row],[Date Assigned if different from entry date]]&lt;&gt;"",CommitmentsTable[[#This Row],[Date Assigned if different from entry date]]+90,IF(CommitmentsTable[[#This Row],[Date record entered]]&lt;&gt;"",CommitmentsTable[[#This Row],[Date record entered]]+90,""))</f>
        <v/>
      </c>
      <c r="J779" s="245" t="str">
        <f ca="1">IF(CommitmentsTable[[#This Row],[Date Assigned if different from entry date]]&lt;&gt;"",CommitmentsTable[[#This Row],[Date Assigned if different from entry date]]+30,IF(CommitmentsTable[[#This Row],[Date record entered]]&lt;&gt;"",CommitmentsTable[[#This Row],[Date record entered]]+30,""))</f>
        <v/>
      </c>
      <c r="K779" s="245"/>
      <c r="L779" s="245" t="str">
        <f ca="1">IF(CommitmentsTable[[#This Row],[Date Assigned if different from entry date]]&lt;&gt;"",CommitmentsTable[[#This Row],[Date Assigned if different from entry date]]+60,IF(CommitmentsTable[[#This Row],[Date record entered]]&lt;&gt;"",CommitmentsTable[[#This Row],[Date record entered]]+60,""))</f>
        <v/>
      </c>
      <c r="M779" s="214"/>
      <c r="N779" s="214"/>
      <c r="O779" s="236"/>
      <c r="P779" s="214"/>
      <c r="Q779" s="214"/>
      <c r="R779" s="214"/>
      <c r="S779" s="238" t="str">
        <f>IF(CommitmentsTable[[#This Row],[Commitment / deliverable]]="","",IF(CommitmentsTable[[#This Row],[Revised due]]&lt;&gt;"",CommitmentsTable[[#This Row],[Revised due]],CommitmentsTable[[#This Row],[Original due]]))</f>
        <v/>
      </c>
      <c r="T779" s="237" t="str">
        <f>IF(OR(CommitmentsTable[[#This Row],[Commitment / deliverable]]="",CommitmentsTable[[#This Row],[Owner]]=""),"",IF(CommitmentsTable[[#This Row],[Status2]]="","Open",CommitmentsTable[[#This Row],[Status2]]))</f>
        <v/>
      </c>
      <c r="U779" s="237" t="str">
        <f t="shared" ca="1" si="11"/>
        <v/>
      </c>
      <c r="V779" s="233"/>
      <c r="W779" s="63" t="s">
        <v>1681</v>
      </c>
    </row>
    <row r="780" spans="1:23" ht="26">
      <c r="A780" s="213" t="str">
        <f>IF(OR(CommitmentsTable[[#This Row],[Commitment / deliverable]]="",CommitmentsTable[[#This Row],[Immutable Key]]=""),"",SUBSTITUTE(CommitmentsTable[[#This Row],[Immutable Key]],"-K-","-"))</f>
        <v/>
      </c>
      <c r="B780" s="233"/>
      <c r="C780" s="233"/>
      <c r="D780" s="213"/>
      <c r="E780" s="230"/>
      <c r="F780" s="213"/>
      <c r="G780" s="245" t="str">
        <f ca="1">IF(CommitmentsTable[[#This Row],[Commitment / deliverable]]="","",IF(CommitmentsTable[[#This Row],[Date record entered]]="",TODAY(),CommitmentsTable[[#This Row],[Date record entered]]))</f>
        <v/>
      </c>
      <c r="H780" s="245"/>
      <c r="I780" s="245" t="str">
        <f ca="1">IF(CommitmentsTable[[#This Row],[Date Assigned if different from entry date]]&lt;&gt;"",CommitmentsTable[[#This Row],[Date Assigned if different from entry date]]+90,IF(CommitmentsTable[[#This Row],[Date record entered]]&lt;&gt;"",CommitmentsTable[[#This Row],[Date record entered]]+90,""))</f>
        <v/>
      </c>
      <c r="J780" s="245" t="str">
        <f ca="1">IF(CommitmentsTable[[#This Row],[Date Assigned if different from entry date]]&lt;&gt;"",CommitmentsTable[[#This Row],[Date Assigned if different from entry date]]+30,IF(CommitmentsTable[[#This Row],[Date record entered]]&lt;&gt;"",CommitmentsTable[[#This Row],[Date record entered]]+30,""))</f>
        <v/>
      </c>
      <c r="K780" s="245"/>
      <c r="L780" s="245" t="str">
        <f ca="1">IF(CommitmentsTable[[#This Row],[Date Assigned if different from entry date]]&lt;&gt;"",CommitmentsTable[[#This Row],[Date Assigned if different from entry date]]+60,IF(CommitmentsTable[[#This Row],[Date record entered]]&lt;&gt;"",CommitmentsTable[[#This Row],[Date record entered]]+60,""))</f>
        <v/>
      </c>
      <c r="M780" s="214"/>
      <c r="N780" s="214"/>
      <c r="O780" s="236"/>
      <c r="P780" s="214"/>
      <c r="Q780" s="214"/>
      <c r="R780" s="214"/>
      <c r="S780" s="238" t="str">
        <f>IF(CommitmentsTable[[#This Row],[Commitment / deliverable]]="","",IF(CommitmentsTable[[#This Row],[Revised due]]&lt;&gt;"",CommitmentsTable[[#This Row],[Revised due]],CommitmentsTable[[#This Row],[Original due]]))</f>
        <v/>
      </c>
      <c r="T780" s="237" t="str">
        <f>IF(OR(CommitmentsTable[[#This Row],[Commitment / deliverable]]="",CommitmentsTable[[#This Row],[Owner]]=""),"",IF(CommitmentsTable[[#This Row],[Status2]]="","Open",CommitmentsTable[[#This Row],[Status2]]))</f>
        <v/>
      </c>
      <c r="U780" s="237" t="str">
        <f t="shared" ca="1" si="11"/>
        <v/>
      </c>
      <c r="V780" s="233"/>
      <c r="W780" s="63" t="s">
        <v>1682</v>
      </c>
    </row>
    <row r="781" spans="1:23" ht="26">
      <c r="A781" s="213" t="str">
        <f>IF(OR(CommitmentsTable[[#This Row],[Commitment / deliverable]]="",CommitmentsTable[[#This Row],[Immutable Key]]=""),"",SUBSTITUTE(CommitmentsTable[[#This Row],[Immutable Key]],"-K-","-"))</f>
        <v/>
      </c>
      <c r="B781" s="233"/>
      <c r="C781" s="233"/>
      <c r="D781" s="213"/>
      <c r="E781" s="230"/>
      <c r="F781" s="213"/>
      <c r="G781" s="245" t="str">
        <f ca="1">IF(CommitmentsTable[[#This Row],[Commitment / deliverable]]="","",IF(CommitmentsTable[[#This Row],[Date record entered]]="",TODAY(),CommitmentsTable[[#This Row],[Date record entered]]))</f>
        <v/>
      </c>
      <c r="H781" s="245"/>
      <c r="I781" s="245" t="str">
        <f ca="1">IF(CommitmentsTable[[#This Row],[Date Assigned if different from entry date]]&lt;&gt;"",CommitmentsTable[[#This Row],[Date Assigned if different from entry date]]+90,IF(CommitmentsTable[[#This Row],[Date record entered]]&lt;&gt;"",CommitmentsTable[[#This Row],[Date record entered]]+90,""))</f>
        <v/>
      </c>
      <c r="J781" s="245" t="str">
        <f ca="1">IF(CommitmentsTable[[#This Row],[Date Assigned if different from entry date]]&lt;&gt;"",CommitmentsTable[[#This Row],[Date Assigned if different from entry date]]+30,IF(CommitmentsTable[[#This Row],[Date record entered]]&lt;&gt;"",CommitmentsTable[[#This Row],[Date record entered]]+30,""))</f>
        <v/>
      </c>
      <c r="K781" s="245"/>
      <c r="L781" s="245" t="str">
        <f ca="1">IF(CommitmentsTable[[#This Row],[Date Assigned if different from entry date]]&lt;&gt;"",CommitmentsTable[[#This Row],[Date Assigned if different from entry date]]+60,IF(CommitmentsTable[[#This Row],[Date record entered]]&lt;&gt;"",CommitmentsTable[[#This Row],[Date record entered]]+60,""))</f>
        <v/>
      </c>
      <c r="M781" s="214"/>
      <c r="N781" s="214"/>
      <c r="O781" s="236"/>
      <c r="P781" s="214"/>
      <c r="Q781" s="214"/>
      <c r="R781" s="214"/>
      <c r="S781" s="238" t="str">
        <f>IF(CommitmentsTable[[#This Row],[Commitment / deliverable]]="","",IF(CommitmentsTable[[#This Row],[Revised due]]&lt;&gt;"",CommitmentsTable[[#This Row],[Revised due]],CommitmentsTable[[#This Row],[Original due]]))</f>
        <v/>
      </c>
      <c r="T781" s="237" t="str">
        <f>IF(OR(CommitmentsTable[[#This Row],[Commitment / deliverable]]="",CommitmentsTable[[#This Row],[Owner]]=""),"",IF(CommitmentsTable[[#This Row],[Status2]]="","Open",CommitmentsTable[[#This Row],[Status2]]))</f>
        <v/>
      </c>
      <c r="U781" s="237" t="str">
        <f t="shared" ref="U781:U844" ca="1" si="12">IF(B781="","",IF(T781="Closed","",IF(OR(T781="Slipped",T781="At risk",AND(S781&lt;&gt;"",S781&lt;TODAY())),"Slipped / at risk",IF(G781=TODAY(),"New today",IF(S781=TODAY()+1,"Due tomorrow","")))))</f>
        <v/>
      </c>
      <c r="V781" s="233"/>
      <c r="W781" s="63" t="s">
        <v>1683</v>
      </c>
    </row>
    <row r="782" spans="1:23" ht="26">
      <c r="A782" s="213" t="str">
        <f>IF(OR(CommitmentsTable[[#This Row],[Commitment / deliverable]]="",CommitmentsTable[[#This Row],[Immutable Key]]=""),"",SUBSTITUTE(CommitmentsTable[[#This Row],[Immutable Key]],"-K-","-"))</f>
        <v/>
      </c>
      <c r="B782" s="233"/>
      <c r="C782" s="233"/>
      <c r="D782" s="213"/>
      <c r="E782" s="230"/>
      <c r="F782" s="213"/>
      <c r="G782" s="245" t="str">
        <f ca="1">IF(CommitmentsTable[[#This Row],[Commitment / deliverable]]="","",IF(CommitmentsTable[[#This Row],[Date record entered]]="",TODAY(),CommitmentsTable[[#This Row],[Date record entered]]))</f>
        <v/>
      </c>
      <c r="H782" s="245"/>
      <c r="I782" s="245" t="str">
        <f ca="1">IF(CommitmentsTable[[#This Row],[Date Assigned if different from entry date]]&lt;&gt;"",CommitmentsTable[[#This Row],[Date Assigned if different from entry date]]+90,IF(CommitmentsTable[[#This Row],[Date record entered]]&lt;&gt;"",CommitmentsTable[[#This Row],[Date record entered]]+90,""))</f>
        <v/>
      </c>
      <c r="J782" s="245" t="str">
        <f ca="1">IF(CommitmentsTable[[#This Row],[Date Assigned if different from entry date]]&lt;&gt;"",CommitmentsTable[[#This Row],[Date Assigned if different from entry date]]+30,IF(CommitmentsTable[[#This Row],[Date record entered]]&lt;&gt;"",CommitmentsTable[[#This Row],[Date record entered]]+30,""))</f>
        <v/>
      </c>
      <c r="K782" s="245"/>
      <c r="L782" s="245" t="str">
        <f ca="1">IF(CommitmentsTable[[#This Row],[Date Assigned if different from entry date]]&lt;&gt;"",CommitmentsTable[[#This Row],[Date Assigned if different from entry date]]+60,IF(CommitmentsTable[[#This Row],[Date record entered]]&lt;&gt;"",CommitmentsTable[[#This Row],[Date record entered]]+60,""))</f>
        <v/>
      </c>
      <c r="M782" s="214"/>
      <c r="N782" s="214"/>
      <c r="O782" s="236"/>
      <c r="P782" s="214"/>
      <c r="Q782" s="214"/>
      <c r="R782" s="214"/>
      <c r="S782" s="238" t="str">
        <f>IF(CommitmentsTable[[#This Row],[Commitment / deliverable]]="","",IF(CommitmentsTable[[#This Row],[Revised due]]&lt;&gt;"",CommitmentsTable[[#This Row],[Revised due]],CommitmentsTable[[#This Row],[Original due]]))</f>
        <v/>
      </c>
      <c r="T782" s="237" t="str">
        <f>IF(OR(CommitmentsTable[[#This Row],[Commitment / deliverable]]="",CommitmentsTable[[#This Row],[Owner]]=""),"",IF(CommitmentsTable[[#This Row],[Status2]]="","Open",CommitmentsTable[[#This Row],[Status2]]))</f>
        <v/>
      </c>
      <c r="U782" s="237" t="str">
        <f t="shared" ca="1" si="12"/>
        <v/>
      </c>
      <c r="V782" s="233"/>
      <c r="W782" s="63" t="s">
        <v>1684</v>
      </c>
    </row>
    <row r="783" spans="1:23" ht="26">
      <c r="A783" s="213" t="str">
        <f>IF(OR(CommitmentsTable[[#This Row],[Commitment / deliverable]]="",CommitmentsTable[[#This Row],[Immutable Key]]=""),"",SUBSTITUTE(CommitmentsTable[[#This Row],[Immutable Key]],"-K-","-"))</f>
        <v/>
      </c>
      <c r="B783" s="233"/>
      <c r="C783" s="233"/>
      <c r="D783" s="213"/>
      <c r="E783" s="230"/>
      <c r="F783" s="213"/>
      <c r="G783" s="245" t="str">
        <f ca="1">IF(CommitmentsTable[[#This Row],[Commitment / deliverable]]="","",IF(CommitmentsTable[[#This Row],[Date record entered]]="",TODAY(),CommitmentsTable[[#This Row],[Date record entered]]))</f>
        <v/>
      </c>
      <c r="H783" s="245"/>
      <c r="I783" s="245" t="str">
        <f ca="1">IF(CommitmentsTable[[#This Row],[Date Assigned if different from entry date]]&lt;&gt;"",CommitmentsTable[[#This Row],[Date Assigned if different from entry date]]+90,IF(CommitmentsTable[[#This Row],[Date record entered]]&lt;&gt;"",CommitmentsTable[[#This Row],[Date record entered]]+90,""))</f>
        <v/>
      </c>
      <c r="J783" s="245" t="str">
        <f ca="1">IF(CommitmentsTable[[#This Row],[Date Assigned if different from entry date]]&lt;&gt;"",CommitmentsTable[[#This Row],[Date Assigned if different from entry date]]+30,IF(CommitmentsTable[[#This Row],[Date record entered]]&lt;&gt;"",CommitmentsTable[[#This Row],[Date record entered]]+30,""))</f>
        <v/>
      </c>
      <c r="K783" s="245"/>
      <c r="L783" s="245" t="str">
        <f ca="1">IF(CommitmentsTable[[#This Row],[Date Assigned if different from entry date]]&lt;&gt;"",CommitmentsTable[[#This Row],[Date Assigned if different from entry date]]+60,IF(CommitmentsTable[[#This Row],[Date record entered]]&lt;&gt;"",CommitmentsTable[[#This Row],[Date record entered]]+60,""))</f>
        <v/>
      </c>
      <c r="M783" s="214"/>
      <c r="N783" s="214"/>
      <c r="O783" s="236"/>
      <c r="P783" s="214"/>
      <c r="Q783" s="214"/>
      <c r="R783" s="214"/>
      <c r="S783" s="238" t="str">
        <f>IF(CommitmentsTable[[#This Row],[Commitment / deliverable]]="","",IF(CommitmentsTable[[#This Row],[Revised due]]&lt;&gt;"",CommitmentsTable[[#This Row],[Revised due]],CommitmentsTable[[#This Row],[Original due]]))</f>
        <v/>
      </c>
      <c r="T783" s="237" t="str">
        <f>IF(OR(CommitmentsTable[[#This Row],[Commitment / deliverable]]="",CommitmentsTable[[#This Row],[Owner]]=""),"",IF(CommitmentsTable[[#This Row],[Status2]]="","Open",CommitmentsTable[[#This Row],[Status2]]))</f>
        <v/>
      </c>
      <c r="U783" s="237" t="str">
        <f t="shared" ca="1" si="12"/>
        <v/>
      </c>
      <c r="V783" s="233"/>
      <c r="W783" s="63" t="s">
        <v>1685</v>
      </c>
    </row>
    <row r="784" spans="1:23" ht="26">
      <c r="A784" s="213" t="str">
        <f>IF(OR(CommitmentsTable[[#This Row],[Commitment / deliverable]]="",CommitmentsTable[[#This Row],[Immutable Key]]=""),"",SUBSTITUTE(CommitmentsTable[[#This Row],[Immutable Key]],"-K-","-"))</f>
        <v/>
      </c>
      <c r="B784" s="233"/>
      <c r="C784" s="233"/>
      <c r="D784" s="213"/>
      <c r="E784" s="230"/>
      <c r="F784" s="213"/>
      <c r="G784" s="245" t="str">
        <f ca="1">IF(CommitmentsTable[[#This Row],[Commitment / deliverable]]="","",IF(CommitmentsTable[[#This Row],[Date record entered]]="",TODAY(),CommitmentsTable[[#This Row],[Date record entered]]))</f>
        <v/>
      </c>
      <c r="H784" s="245"/>
      <c r="I784" s="245" t="str">
        <f ca="1">IF(CommitmentsTable[[#This Row],[Date Assigned if different from entry date]]&lt;&gt;"",CommitmentsTable[[#This Row],[Date Assigned if different from entry date]]+90,IF(CommitmentsTable[[#This Row],[Date record entered]]&lt;&gt;"",CommitmentsTable[[#This Row],[Date record entered]]+90,""))</f>
        <v/>
      </c>
      <c r="J784" s="245" t="str">
        <f ca="1">IF(CommitmentsTable[[#This Row],[Date Assigned if different from entry date]]&lt;&gt;"",CommitmentsTable[[#This Row],[Date Assigned if different from entry date]]+30,IF(CommitmentsTable[[#This Row],[Date record entered]]&lt;&gt;"",CommitmentsTable[[#This Row],[Date record entered]]+30,""))</f>
        <v/>
      </c>
      <c r="K784" s="245"/>
      <c r="L784" s="245" t="str">
        <f ca="1">IF(CommitmentsTable[[#This Row],[Date Assigned if different from entry date]]&lt;&gt;"",CommitmentsTable[[#This Row],[Date Assigned if different from entry date]]+60,IF(CommitmentsTable[[#This Row],[Date record entered]]&lt;&gt;"",CommitmentsTable[[#This Row],[Date record entered]]+60,""))</f>
        <v/>
      </c>
      <c r="M784" s="214"/>
      <c r="N784" s="214"/>
      <c r="O784" s="236"/>
      <c r="P784" s="214"/>
      <c r="Q784" s="214"/>
      <c r="R784" s="214"/>
      <c r="S784" s="238" t="str">
        <f>IF(CommitmentsTable[[#This Row],[Commitment / deliverable]]="","",IF(CommitmentsTable[[#This Row],[Revised due]]&lt;&gt;"",CommitmentsTable[[#This Row],[Revised due]],CommitmentsTable[[#This Row],[Original due]]))</f>
        <v/>
      </c>
      <c r="T784" s="237" t="str">
        <f>IF(OR(CommitmentsTable[[#This Row],[Commitment / deliverable]]="",CommitmentsTable[[#This Row],[Owner]]=""),"",IF(CommitmentsTable[[#This Row],[Status2]]="","Open",CommitmentsTable[[#This Row],[Status2]]))</f>
        <v/>
      </c>
      <c r="U784" s="237" t="str">
        <f t="shared" ca="1" si="12"/>
        <v/>
      </c>
      <c r="V784" s="233"/>
      <c r="W784" s="63" t="s">
        <v>1686</v>
      </c>
    </row>
    <row r="785" spans="1:23" ht="26">
      <c r="A785" s="213" t="str">
        <f>IF(OR(CommitmentsTable[[#This Row],[Commitment / deliverable]]="",CommitmentsTable[[#This Row],[Immutable Key]]=""),"",SUBSTITUTE(CommitmentsTable[[#This Row],[Immutable Key]],"-K-","-"))</f>
        <v/>
      </c>
      <c r="B785" s="233"/>
      <c r="C785" s="233"/>
      <c r="D785" s="213"/>
      <c r="E785" s="230"/>
      <c r="F785" s="213"/>
      <c r="G785" s="245" t="str">
        <f ca="1">IF(CommitmentsTable[[#This Row],[Commitment / deliverable]]="","",IF(CommitmentsTable[[#This Row],[Date record entered]]="",TODAY(),CommitmentsTable[[#This Row],[Date record entered]]))</f>
        <v/>
      </c>
      <c r="H785" s="245"/>
      <c r="I785" s="245" t="str">
        <f ca="1">IF(CommitmentsTable[[#This Row],[Date Assigned if different from entry date]]&lt;&gt;"",CommitmentsTable[[#This Row],[Date Assigned if different from entry date]]+90,IF(CommitmentsTable[[#This Row],[Date record entered]]&lt;&gt;"",CommitmentsTable[[#This Row],[Date record entered]]+90,""))</f>
        <v/>
      </c>
      <c r="J785" s="245" t="str">
        <f ca="1">IF(CommitmentsTable[[#This Row],[Date Assigned if different from entry date]]&lt;&gt;"",CommitmentsTable[[#This Row],[Date Assigned if different from entry date]]+30,IF(CommitmentsTable[[#This Row],[Date record entered]]&lt;&gt;"",CommitmentsTable[[#This Row],[Date record entered]]+30,""))</f>
        <v/>
      </c>
      <c r="K785" s="245"/>
      <c r="L785" s="245" t="str">
        <f ca="1">IF(CommitmentsTable[[#This Row],[Date Assigned if different from entry date]]&lt;&gt;"",CommitmentsTable[[#This Row],[Date Assigned if different from entry date]]+60,IF(CommitmentsTable[[#This Row],[Date record entered]]&lt;&gt;"",CommitmentsTable[[#This Row],[Date record entered]]+60,""))</f>
        <v/>
      </c>
      <c r="M785" s="214"/>
      <c r="N785" s="214"/>
      <c r="O785" s="236"/>
      <c r="P785" s="214"/>
      <c r="Q785" s="214"/>
      <c r="R785" s="214"/>
      <c r="S785" s="238" t="str">
        <f>IF(CommitmentsTable[[#This Row],[Commitment / deliverable]]="","",IF(CommitmentsTable[[#This Row],[Revised due]]&lt;&gt;"",CommitmentsTable[[#This Row],[Revised due]],CommitmentsTable[[#This Row],[Original due]]))</f>
        <v/>
      </c>
      <c r="T785" s="237" t="str">
        <f>IF(OR(CommitmentsTable[[#This Row],[Commitment / deliverable]]="",CommitmentsTable[[#This Row],[Owner]]=""),"",IF(CommitmentsTable[[#This Row],[Status2]]="","Open",CommitmentsTable[[#This Row],[Status2]]))</f>
        <v/>
      </c>
      <c r="U785" s="237" t="str">
        <f t="shared" ca="1" si="12"/>
        <v/>
      </c>
      <c r="V785" s="233"/>
      <c r="W785" s="63" t="s">
        <v>1687</v>
      </c>
    </row>
    <row r="786" spans="1:23" ht="26">
      <c r="A786" s="213" t="str">
        <f>IF(OR(CommitmentsTable[[#This Row],[Commitment / deliverable]]="",CommitmentsTable[[#This Row],[Immutable Key]]=""),"",SUBSTITUTE(CommitmentsTable[[#This Row],[Immutable Key]],"-K-","-"))</f>
        <v/>
      </c>
      <c r="B786" s="233"/>
      <c r="C786" s="233"/>
      <c r="D786" s="213"/>
      <c r="E786" s="230"/>
      <c r="F786" s="213"/>
      <c r="G786" s="245" t="str">
        <f ca="1">IF(CommitmentsTable[[#This Row],[Commitment / deliverable]]="","",IF(CommitmentsTable[[#This Row],[Date record entered]]="",TODAY(),CommitmentsTable[[#This Row],[Date record entered]]))</f>
        <v/>
      </c>
      <c r="H786" s="245"/>
      <c r="I786" s="245" t="str">
        <f ca="1">IF(CommitmentsTable[[#This Row],[Date Assigned if different from entry date]]&lt;&gt;"",CommitmentsTable[[#This Row],[Date Assigned if different from entry date]]+90,IF(CommitmentsTable[[#This Row],[Date record entered]]&lt;&gt;"",CommitmentsTable[[#This Row],[Date record entered]]+90,""))</f>
        <v/>
      </c>
      <c r="J786" s="245" t="str">
        <f ca="1">IF(CommitmentsTable[[#This Row],[Date Assigned if different from entry date]]&lt;&gt;"",CommitmentsTable[[#This Row],[Date Assigned if different from entry date]]+30,IF(CommitmentsTable[[#This Row],[Date record entered]]&lt;&gt;"",CommitmentsTable[[#This Row],[Date record entered]]+30,""))</f>
        <v/>
      </c>
      <c r="K786" s="245"/>
      <c r="L786" s="245" t="str">
        <f ca="1">IF(CommitmentsTable[[#This Row],[Date Assigned if different from entry date]]&lt;&gt;"",CommitmentsTable[[#This Row],[Date Assigned if different from entry date]]+60,IF(CommitmentsTable[[#This Row],[Date record entered]]&lt;&gt;"",CommitmentsTable[[#This Row],[Date record entered]]+60,""))</f>
        <v/>
      </c>
      <c r="M786" s="214"/>
      <c r="N786" s="214"/>
      <c r="O786" s="236"/>
      <c r="P786" s="214"/>
      <c r="Q786" s="214"/>
      <c r="R786" s="214"/>
      <c r="S786" s="238" t="str">
        <f>IF(CommitmentsTable[[#This Row],[Commitment / deliverable]]="","",IF(CommitmentsTable[[#This Row],[Revised due]]&lt;&gt;"",CommitmentsTable[[#This Row],[Revised due]],CommitmentsTable[[#This Row],[Original due]]))</f>
        <v/>
      </c>
      <c r="T786" s="237" t="str">
        <f>IF(OR(CommitmentsTable[[#This Row],[Commitment / deliverable]]="",CommitmentsTable[[#This Row],[Owner]]=""),"",IF(CommitmentsTable[[#This Row],[Status2]]="","Open",CommitmentsTable[[#This Row],[Status2]]))</f>
        <v/>
      </c>
      <c r="U786" s="237" t="str">
        <f t="shared" ca="1" si="12"/>
        <v/>
      </c>
      <c r="V786" s="233"/>
      <c r="W786" s="63" t="s">
        <v>1688</v>
      </c>
    </row>
    <row r="787" spans="1:23" ht="26">
      <c r="A787" s="213" t="str">
        <f>IF(OR(CommitmentsTable[[#This Row],[Commitment / deliverable]]="",CommitmentsTable[[#This Row],[Immutable Key]]=""),"",SUBSTITUTE(CommitmentsTable[[#This Row],[Immutable Key]],"-K-","-"))</f>
        <v/>
      </c>
      <c r="B787" s="233"/>
      <c r="C787" s="233"/>
      <c r="D787" s="213"/>
      <c r="E787" s="230"/>
      <c r="F787" s="213"/>
      <c r="G787" s="245" t="str">
        <f ca="1">IF(CommitmentsTable[[#This Row],[Commitment / deliverable]]="","",IF(CommitmentsTable[[#This Row],[Date record entered]]="",TODAY(),CommitmentsTable[[#This Row],[Date record entered]]))</f>
        <v/>
      </c>
      <c r="H787" s="245"/>
      <c r="I787" s="245" t="str">
        <f ca="1">IF(CommitmentsTable[[#This Row],[Date Assigned if different from entry date]]&lt;&gt;"",CommitmentsTable[[#This Row],[Date Assigned if different from entry date]]+90,IF(CommitmentsTable[[#This Row],[Date record entered]]&lt;&gt;"",CommitmentsTable[[#This Row],[Date record entered]]+90,""))</f>
        <v/>
      </c>
      <c r="J787" s="245" t="str">
        <f ca="1">IF(CommitmentsTable[[#This Row],[Date Assigned if different from entry date]]&lt;&gt;"",CommitmentsTable[[#This Row],[Date Assigned if different from entry date]]+30,IF(CommitmentsTable[[#This Row],[Date record entered]]&lt;&gt;"",CommitmentsTable[[#This Row],[Date record entered]]+30,""))</f>
        <v/>
      </c>
      <c r="K787" s="245"/>
      <c r="L787" s="245" t="str">
        <f ca="1">IF(CommitmentsTable[[#This Row],[Date Assigned if different from entry date]]&lt;&gt;"",CommitmentsTable[[#This Row],[Date Assigned if different from entry date]]+60,IF(CommitmentsTable[[#This Row],[Date record entered]]&lt;&gt;"",CommitmentsTable[[#This Row],[Date record entered]]+60,""))</f>
        <v/>
      </c>
      <c r="M787" s="214"/>
      <c r="N787" s="214"/>
      <c r="O787" s="236"/>
      <c r="P787" s="214"/>
      <c r="Q787" s="214"/>
      <c r="R787" s="214"/>
      <c r="S787" s="238" t="str">
        <f>IF(CommitmentsTable[[#This Row],[Commitment / deliverable]]="","",IF(CommitmentsTable[[#This Row],[Revised due]]&lt;&gt;"",CommitmentsTable[[#This Row],[Revised due]],CommitmentsTable[[#This Row],[Original due]]))</f>
        <v/>
      </c>
      <c r="T787" s="237" t="str">
        <f>IF(OR(CommitmentsTable[[#This Row],[Commitment / deliverable]]="",CommitmentsTable[[#This Row],[Owner]]=""),"",IF(CommitmentsTable[[#This Row],[Status2]]="","Open",CommitmentsTable[[#This Row],[Status2]]))</f>
        <v/>
      </c>
      <c r="U787" s="237" t="str">
        <f t="shared" ca="1" si="12"/>
        <v/>
      </c>
      <c r="V787" s="233"/>
      <c r="W787" s="63" t="s">
        <v>1689</v>
      </c>
    </row>
    <row r="788" spans="1:23" ht="26">
      <c r="A788" s="213" t="str">
        <f>IF(OR(CommitmentsTable[[#This Row],[Commitment / deliverable]]="",CommitmentsTable[[#This Row],[Immutable Key]]=""),"",SUBSTITUTE(CommitmentsTable[[#This Row],[Immutable Key]],"-K-","-"))</f>
        <v/>
      </c>
      <c r="B788" s="233"/>
      <c r="C788" s="233"/>
      <c r="D788" s="213"/>
      <c r="E788" s="230"/>
      <c r="F788" s="213"/>
      <c r="G788" s="245" t="str">
        <f ca="1">IF(CommitmentsTable[[#This Row],[Commitment / deliverable]]="","",IF(CommitmentsTable[[#This Row],[Date record entered]]="",TODAY(),CommitmentsTable[[#This Row],[Date record entered]]))</f>
        <v/>
      </c>
      <c r="H788" s="245"/>
      <c r="I788" s="245" t="str">
        <f ca="1">IF(CommitmentsTable[[#This Row],[Date Assigned if different from entry date]]&lt;&gt;"",CommitmentsTable[[#This Row],[Date Assigned if different from entry date]]+90,IF(CommitmentsTable[[#This Row],[Date record entered]]&lt;&gt;"",CommitmentsTable[[#This Row],[Date record entered]]+90,""))</f>
        <v/>
      </c>
      <c r="J788" s="245" t="str">
        <f ca="1">IF(CommitmentsTable[[#This Row],[Date Assigned if different from entry date]]&lt;&gt;"",CommitmentsTable[[#This Row],[Date Assigned if different from entry date]]+30,IF(CommitmentsTable[[#This Row],[Date record entered]]&lt;&gt;"",CommitmentsTable[[#This Row],[Date record entered]]+30,""))</f>
        <v/>
      </c>
      <c r="K788" s="245"/>
      <c r="L788" s="245" t="str">
        <f ca="1">IF(CommitmentsTable[[#This Row],[Date Assigned if different from entry date]]&lt;&gt;"",CommitmentsTable[[#This Row],[Date Assigned if different from entry date]]+60,IF(CommitmentsTable[[#This Row],[Date record entered]]&lt;&gt;"",CommitmentsTable[[#This Row],[Date record entered]]+60,""))</f>
        <v/>
      </c>
      <c r="M788" s="214"/>
      <c r="N788" s="214"/>
      <c r="O788" s="236"/>
      <c r="P788" s="214"/>
      <c r="Q788" s="214"/>
      <c r="R788" s="214"/>
      <c r="S788" s="238" t="str">
        <f>IF(CommitmentsTable[[#This Row],[Commitment / deliverable]]="","",IF(CommitmentsTable[[#This Row],[Revised due]]&lt;&gt;"",CommitmentsTable[[#This Row],[Revised due]],CommitmentsTable[[#This Row],[Original due]]))</f>
        <v/>
      </c>
      <c r="T788" s="237" t="str">
        <f>IF(OR(CommitmentsTable[[#This Row],[Commitment / deliverable]]="",CommitmentsTable[[#This Row],[Owner]]=""),"",IF(CommitmentsTable[[#This Row],[Status2]]="","Open",CommitmentsTable[[#This Row],[Status2]]))</f>
        <v/>
      </c>
      <c r="U788" s="237" t="str">
        <f t="shared" ca="1" si="12"/>
        <v/>
      </c>
      <c r="V788" s="233"/>
      <c r="W788" s="63" t="s">
        <v>1690</v>
      </c>
    </row>
    <row r="789" spans="1:23" ht="26">
      <c r="A789" s="213" t="str">
        <f>IF(OR(CommitmentsTable[[#This Row],[Commitment / deliverable]]="",CommitmentsTable[[#This Row],[Immutable Key]]=""),"",SUBSTITUTE(CommitmentsTable[[#This Row],[Immutable Key]],"-K-","-"))</f>
        <v/>
      </c>
      <c r="B789" s="233"/>
      <c r="C789" s="233"/>
      <c r="D789" s="213"/>
      <c r="E789" s="230"/>
      <c r="F789" s="213"/>
      <c r="G789" s="245" t="str">
        <f ca="1">IF(CommitmentsTable[[#This Row],[Commitment / deliverable]]="","",IF(CommitmentsTable[[#This Row],[Date record entered]]="",TODAY(),CommitmentsTable[[#This Row],[Date record entered]]))</f>
        <v/>
      </c>
      <c r="H789" s="245"/>
      <c r="I789" s="245" t="str">
        <f ca="1">IF(CommitmentsTable[[#This Row],[Date Assigned if different from entry date]]&lt;&gt;"",CommitmentsTable[[#This Row],[Date Assigned if different from entry date]]+90,IF(CommitmentsTable[[#This Row],[Date record entered]]&lt;&gt;"",CommitmentsTable[[#This Row],[Date record entered]]+90,""))</f>
        <v/>
      </c>
      <c r="J789" s="245" t="str">
        <f ca="1">IF(CommitmentsTable[[#This Row],[Date Assigned if different from entry date]]&lt;&gt;"",CommitmentsTable[[#This Row],[Date Assigned if different from entry date]]+30,IF(CommitmentsTable[[#This Row],[Date record entered]]&lt;&gt;"",CommitmentsTable[[#This Row],[Date record entered]]+30,""))</f>
        <v/>
      </c>
      <c r="K789" s="245"/>
      <c r="L789" s="245" t="str">
        <f ca="1">IF(CommitmentsTable[[#This Row],[Date Assigned if different from entry date]]&lt;&gt;"",CommitmentsTable[[#This Row],[Date Assigned if different from entry date]]+60,IF(CommitmentsTable[[#This Row],[Date record entered]]&lt;&gt;"",CommitmentsTable[[#This Row],[Date record entered]]+60,""))</f>
        <v/>
      </c>
      <c r="M789" s="214"/>
      <c r="N789" s="214"/>
      <c r="O789" s="236"/>
      <c r="P789" s="214"/>
      <c r="Q789" s="214"/>
      <c r="R789" s="214"/>
      <c r="S789" s="238" t="str">
        <f>IF(CommitmentsTable[[#This Row],[Commitment / deliverable]]="","",IF(CommitmentsTable[[#This Row],[Revised due]]&lt;&gt;"",CommitmentsTable[[#This Row],[Revised due]],CommitmentsTable[[#This Row],[Original due]]))</f>
        <v/>
      </c>
      <c r="T789" s="237" t="str">
        <f>IF(OR(CommitmentsTable[[#This Row],[Commitment / deliverable]]="",CommitmentsTable[[#This Row],[Owner]]=""),"",IF(CommitmentsTable[[#This Row],[Status2]]="","Open",CommitmentsTable[[#This Row],[Status2]]))</f>
        <v/>
      </c>
      <c r="U789" s="237" t="str">
        <f t="shared" ca="1" si="12"/>
        <v/>
      </c>
      <c r="V789" s="233"/>
      <c r="W789" s="63" t="s">
        <v>1691</v>
      </c>
    </row>
    <row r="790" spans="1:23" ht="26">
      <c r="A790" s="213" t="str">
        <f>IF(OR(CommitmentsTable[[#This Row],[Commitment / deliverable]]="",CommitmentsTable[[#This Row],[Immutable Key]]=""),"",SUBSTITUTE(CommitmentsTable[[#This Row],[Immutable Key]],"-K-","-"))</f>
        <v/>
      </c>
      <c r="B790" s="233"/>
      <c r="C790" s="233"/>
      <c r="D790" s="213"/>
      <c r="E790" s="230"/>
      <c r="F790" s="213"/>
      <c r="G790" s="245" t="str">
        <f ca="1">IF(CommitmentsTable[[#This Row],[Commitment / deliverable]]="","",IF(CommitmentsTable[[#This Row],[Date record entered]]="",TODAY(),CommitmentsTable[[#This Row],[Date record entered]]))</f>
        <v/>
      </c>
      <c r="H790" s="245"/>
      <c r="I790" s="245" t="str">
        <f ca="1">IF(CommitmentsTable[[#This Row],[Date Assigned if different from entry date]]&lt;&gt;"",CommitmentsTable[[#This Row],[Date Assigned if different from entry date]]+90,IF(CommitmentsTable[[#This Row],[Date record entered]]&lt;&gt;"",CommitmentsTable[[#This Row],[Date record entered]]+90,""))</f>
        <v/>
      </c>
      <c r="J790" s="245" t="str">
        <f ca="1">IF(CommitmentsTable[[#This Row],[Date Assigned if different from entry date]]&lt;&gt;"",CommitmentsTable[[#This Row],[Date Assigned if different from entry date]]+30,IF(CommitmentsTable[[#This Row],[Date record entered]]&lt;&gt;"",CommitmentsTable[[#This Row],[Date record entered]]+30,""))</f>
        <v/>
      </c>
      <c r="K790" s="245"/>
      <c r="L790" s="245" t="str">
        <f ca="1">IF(CommitmentsTable[[#This Row],[Date Assigned if different from entry date]]&lt;&gt;"",CommitmentsTable[[#This Row],[Date Assigned if different from entry date]]+60,IF(CommitmentsTable[[#This Row],[Date record entered]]&lt;&gt;"",CommitmentsTable[[#This Row],[Date record entered]]+60,""))</f>
        <v/>
      </c>
      <c r="M790" s="214"/>
      <c r="N790" s="214"/>
      <c r="O790" s="236"/>
      <c r="P790" s="214"/>
      <c r="Q790" s="214"/>
      <c r="R790" s="214"/>
      <c r="S790" s="238" t="str">
        <f>IF(CommitmentsTable[[#This Row],[Commitment / deliverable]]="","",IF(CommitmentsTable[[#This Row],[Revised due]]&lt;&gt;"",CommitmentsTable[[#This Row],[Revised due]],CommitmentsTable[[#This Row],[Original due]]))</f>
        <v/>
      </c>
      <c r="T790" s="237" t="str">
        <f>IF(OR(CommitmentsTable[[#This Row],[Commitment / deliverable]]="",CommitmentsTable[[#This Row],[Owner]]=""),"",IF(CommitmentsTable[[#This Row],[Status2]]="","Open",CommitmentsTable[[#This Row],[Status2]]))</f>
        <v/>
      </c>
      <c r="U790" s="237" t="str">
        <f t="shared" ca="1" si="12"/>
        <v/>
      </c>
      <c r="V790" s="233"/>
      <c r="W790" s="63" t="s">
        <v>1692</v>
      </c>
    </row>
    <row r="791" spans="1:23" ht="26">
      <c r="A791" s="213" t="str">
        <f>IF(OR(CommitmentsTable[[#This Row],[Commitment / deliverable]]="",CommitmentsTable[[#This Row],[Immutable Key]]=""),"",SUBSTITUTE(CommitmentsTable[[#This Row],[Immutable Key]],"-K-","-"))</f>
        <v/>
      </c>
      <c r="B791" s="233"/>
      <c r="C791" s="233"/>
      <c r="D791" s="213"/>
      <c r="E791" s="230"/>
      <c r="F791" s="213"/>
      <c r="G791" s="245" t="str">
        <f ca="1">IF(CommitmentsTable[[#This Row],[Commitment / deliverable]]="","",IF(CommitmentsTable[[#This Row],[Date record entered]]="",TODAY(),CommitmentsTable[[#This Row],[Date record entered]]))</f>
        <v/>
      </c>
      <c r="H791" s="245"/>
      <c r="I791" s="245" t="str">
        <f ca="1">IF(CommitmentsTable[[#This Row],[Date Assigned if different from entry date]]&lt;&gt;"",CommitmentsTable[[#This Row],[Date Assigned if different from entry date]]+90,IF(CommitmentsTable[[#This Row],[Date record entered]]&lt;&gt;"",CommitmentsTable[[#This Row],[Date record entered]]+90,""))</f>
        <v/>
      </c>
      <c r="J791" s="245" t="str">
        <f ca="1">IF(CommitmentsTable[[#This Row],[Date Assigned if different from entry date]]&lt;&gt;"",CommitmentsTable[[#This Row],[Date Assigned if different from entry date]]+30,IF(CommitmentsTable[[#This Row],[Date record entered]]&lt;&gt;"",CommitmentsTable[[#This Row],[Date record entered]]+30,""))</f>
        <v/>
      </c>
      <c r="K791" s="245"/>
      <c r="L791" s="245" t="str">
        <f ca="1">IF(CommitmentsTable[[#This Row],[Date Assigned if different from entry date]]&lt;&gt;"",CommitmentsTable[[#This Row],[Date Assigned if different from entry date]]+60,IF(CommitmentsTable[[#This Row],[Date record entered]]&lt;&gt;"",CommitmentsTable[[#This Row],[Date record entered]]+60,""))</f>
        <v/>
      </c>
      <c r="M791" s="214"/>
      <c r="N791" s="214"/>
      <c r="O791" s="236"/>
      <c r="P791" s="214"/>
      <c r="Q791" s="214"/>
      <c r="R791" s="214"/>
      <c r="S791" s="238" t="str">
        <f>IF(CommitmentsTable[[#This Row],[Commitment / deliverable]]="","",IF(CommitmentsTable[[#This Row],[Revised due]]&lt;&gt;"",CommitmentsTable[[#This Row],[Revised due]],CommitmentsTable[[#This Row],[Original due]]))</f>
        <v/>
      </c>
      <c r="T791" s="237" t="str">
        <f>IF(OR(CommitmentsTable[[#This Row],[Commitment / deliverable]]="",CommitmentsTable[[#This Row],[Owner]]=""),"",IF(CommitmentsTable[[#This Row],[Status2]]="","Open",CommitmentsTable[[#This Row],[Status2]]))</f>
        <v/>
      </c>
      <c r="U791" s="237" t="str">
        <f t="shared" ca="1" si="12"/>
        <v/>
      </c>
      <c r="V791" s="233"/>
      <c r="W791" s="63" t="s">
        <v>1693</v>
      </c>
    </row>
    <row r="792" spans="1:23" ht="26">
      <c r="A792" s="213" t="str">
        <f>IF(OR(CommitmentsTable[[#This Row],[Commitment / deliverable]]="",CommitmentsTable[[#This Row],[Immutable Key]]=""),"",SUBSTITUTE(CommitmentsTable[[#This Row],[Immutable Key]],"-K-","-"))</f>
        <v/>
      </c>
      <c r="B792" s="233"/>
      <c r="C792" s="233"/>
      <c r="D792" s="213"/>
      <c r="E792" s="230"/>
      <c r="F792" s="213"/>
      <c r="G792" s="245" t="str">
        <f ca="1">IF(CommitmentsTable[[#This Row],[Commitment / deliverable]]="","",IF(CommitmentsTable[[#This Row],[Date record entered]]="",TODAY(),CommitmentsTable[[#This Row],[Date record entered]]))</f>
        <v/>
      </c>
      <c r="H792" s="245"/>
      <c r="I792" s="245" t="str">
        <f ca="1">IF(CommitmentsTable[[#This Row],[Date Assigned if different from entry date]]&lt;&gt;"",CommitmentsTable[[#This Row],[Date Assigned if different from entry date]]+90,IF(CommitmentsTable[[#This Row],[Date record entered]]&lt;&gt;"",CommitmentsTable[[#This Row],[Date record entered]]+90,""))</f>
        <v/>
      </c>
      <c r="J792" s="245" t="str">
        <f ca="1">IF(CommitmentsTable[[#This Row],[Date Assigned if different from entry date]]&lt;&gt;"",CommitmentsTable[[#This Row],[Date Assigned if different from entry date]]+30,IF(CommitmentsTable[[#This Row],[Date record entered]]&lt;&gt;"",CommitmentsTable[[#This Row],[Date record entered]]+30,""))</f>
        <v/>
      </c>
      <c r="K792" s="245"/>
      <c r="L792" s="245" t="str">
        <f ca="1">IF(CommitmentsTable[[#This Row],[Date Assigned if different from entry date]]&lt;&gt;"",CommitmentsTable[[#This Row],[Date Assigned if different from entry date]]+60,IF(CommitmentsTable[[#This Row],[Date record entered]]&lt;&gt;"",CommitmentsTable[[#This Row],[Date record entered]]+60,""))</f>
        <v/>
      </c>
      <c r="M792" s="214"/>
      <c r="N792" s="214"/>
      <c r="O792" s="236"/>
      <c r="P792" s="214"/>
      <c r="Q792" s="214"/>
      <c r="R792" s="214"/>
      <c r="S792" s="238" t="str">
        <f>IF(CommitmentsTable[[#This Row],[Commitment / deliverable]]="","",IF(CommitmentsTable[[#This Row],[Revised due]]&lt;&gt;"",CommitmentsTable[[#This Row],[Revised due]],CommitmentsTable[[#This Row],[Original due]]))</f>
        <v/>
      </c>
      <c r="T792" s="237" t="str">
        <f>IF(OR(CommitmentsTable[[#This Row],[Commitment / deliverable]]="",CommitmentsTable[[#This Row],[Owner]]=""),"",IF(CommitmentsTable[[#This Row],[Status2]]="","Open",CommitmentsTable[[#This Row],[Status2]]))</f>
        <v/>
      </c>
      <c r="U792" s="237" t="str">
        <f t="shared" ca="1" si="12"/>
        <v/>
      </c>
      <c r="V792" s="233"/>
      <c r="W792" s="63" t="s">
        <v>1694</v>
      </c>
    </row>
    <row r="793" spans="1:23" ht="26">
      <c r="A793" s="213" t="str">
        <f>IF(OR(CommitmentsTable[[#This Row],[Commitment / deliverable]]="",CommitmentsTable[[#This Row],[Immutable Key]]=""),"",SUBSTITUTE(CommitmentsTable[[#This Row],[Immutable Key]],"-K-","-"))</f>
        <v/>
      </c>
      <c r="B793" s="233"/>
      <c r="C793" s="233"/>
      <c r="D793" s="213"/>
      <c r="E793" s="230"/>
      <c r="F793" s="213"/>
      <c r="G793" s="245" t="str">
        <f ca="1">IF(CommitmentsTable[[#This Row],[Commitment / deliverable]]="","",IF(CommitmentsTable[[#This Row],[Date record entered]]="",TODAY(),CommitmentsTable[[#This Row],[Date record entered]]))</f>
        <v/>
      </c>
      <c r="H793" s="245"/>
      <c r="I793" s="245" t="str">
        <f ca="1">IF(CommitmentsTable[[#This Row],[Date Assigned if different from entry date]]&lt;&gt;"",CommitmentsTable[[#This Row],[Date Assigned if different from entry date]]+90,IF(CommitmentsTable[[#This Row],[Date record entered]]&lt;&gt;"",CommitmentsTable[[#This Row],[Date record entered]]+90,""))</f>
        <v/>
      </c>
      <c r="J793" s="245" t="str">
        <f ca="1">IF(CommitmentsTable[[#This Row],[Date Assigned if different from entry date]]&lt;&gt;"",CommitmentsTable[[#This Row],[Date Assigned if different from entry date]]+30,IF(CommitmentsTable[[#This Row],[Date record entered]]&lt;&gt;"",CommitmentsTable[[#This Row],[Date record entered]]+30,""))</f>
        <v/>
      </c>
      <c r="K793" s="245"/>
      <c r="L793" s="245" t="str">
        <f ca="1">IF(CommitmentsTable[[#This Row],[Date Assigned if different from entry date]]&lt;&gt;"",CommitmentsTable[[#This Row],[Date Assigned if different from entry date]]+60,IF(CommitmentsTable[[#This Row],[Date record entered]]&lt;&gt;"",CommitmentsTable[[#This Row],[Date record entered]]+60,""))</f>
        <v/>
      </c>
      <c r="M793" s="214"/>
      <c r="N793" s="214"/>
      <c r="O793" s="236"/>
      <c r="P793" s="214"/>
      <c r="Q793" s="214"/>
      <c r="R793" s="214"/>
      <c r="S793" s="238" t="str">
        <f>IF(CommitmentsTable[[#This Row],[Commitment / deliverable]]="","",IF(CommitmentsTable[[#This Row],[Revised due]]&lt;&gt;"",CommitmentsTable[[#This Row],[Revised due]],CommitmentsTable[[#This Row],[Original due]]))</f>
        <v/>
      </c>
      <c r="T793" s="237" t="str">
        <f>IF(OR(CommitmentsTable[[#This Row],[Commitment / deliverable]]="",CommitmentsTable[[#This Row],[Owner]]=""),"",IF(CommitmentsTable[[#This Row],[Status2]]="","Open",CommitmentsTable[[#This Row],[Status2]]))</f>
        <v/>
      </c>
      <c r="U793" s="237" t="str">
        <f t="shared" ca="1" si="12"/>
        <v/>
      </c>
      <c r="V793" s="233"/>
      <c r="W793" s="63" t="s">
        <v>1695</v>
      </c>
    </row>
    <row r="794" spans="1:23" ht="26">
      <c r="A794" s="213" t="str">
        <f>IF(OR(CommitmentsTable[[#This Row],[Commitment / deliverable]]="",CommitmentsTable[[#This Row],[Immutable Key]]=""),"",SUBSTITUTE(CommitmentsTable[[#This Row],[Immutable Key]],"-K-","-"))</f>
        <v/>
      </c>
      <c r="B794" s="233"/>
      <c r="C794" s="233"/>
      <c r="D794" s="213"/>
      <c r="E794" s="230"/>
      <c r="F794" s="213"/>
      <c r="G794" s="245" t="str">
        <f ca="1">IF(CommitmentsTable[[#This Row],[Commitment / deliverable]]="","",IF(CommitmentsTable[[#This Row],[Date record entered]]="",TODAY(),CommitmentsTable[[#This Row],[Date record entered]]))</f>
        <v/>
      </c>
      <c r="H794" s="245"/>
      <c r="I794" s="245" t="str">
        <f ca="1">IF(CommitmentsTable[[#This Row],[Date Assigned if different from entry date]]&lt;&gt;"",CommitmentsTable[[#This Row],[Date Assigned if different from entry date]]+90,IF(CommitmentsTable[[#This Row],[Date record entered]]&lt;&gt;"",CommitmentsTable[[#This Row],[Date record entered]]+90,""))</f>
        <v/>
      </c>
      <c r="J794" s="245" t="str">
        <f ca="1">IF(CommitmentsTable[[#This Row],[Date Assigned if different from entry date]]&lt;&gt;"",CommitmentsTable[[#This Row],[Date Assigned if different from entry date]]+30,IF(CommitmentsTable[[#This Row],[Date record entered]]&lt;&gt;"",CommitmentsTable[[#This Row],[Date record entered]]+30,""))</f>
        <v/>
      </c>
      <c r="K794" s="245"/>
      <c r="L794" s="245" t="str">
        <f ca="1">IF(CommitmentsTable[[#This Row],[Date Assigned if different from entry date]]&lt;&gt;"",CommitmentsTable[[#This Row],[Date Assigned if different from entry date]]+60,IF(CommitmentsTable[[#This Row],[Date record entered]]&lt;&gt;"",CommitmentsTable[[#This Row],[Date record entered]]+60,""))</f>
        <v/>
      </c>
      <c r="M794" s="214"/>
      <c r="N794" s="214"/>
      <c r="O794" s="236"/>
      <c r="P794" s="214"/>
      <c r="Q794" s="214"/>
      <c r="R794" s="214"/>
      <c r="S794" s="238" t="str">
        <f>IF(CommitmentsTable[[#This Row],[Commitment / deliverable]]="","",IF(CommitmentsTable[[#This Row],[Revised due]]&lt;&gt;"",CommitmentsTable[[#This Row],[Revised due]],CommitmentsTable[[#This Row],[Original due]]))</f>
        <v/>
      </c>
      <c r="T794" s="237" t="str">
        <f>IF(OR(CommitmentsTable[[#This Row],[Commitment / deliverable]]="",CommitmentsTable[[#This Row],[Owner]]=""),"",IF(CommitmentsTable[[#This Row],[Status2]]="","Open",CommitmentsTable[[#This Row],[Status2]]))</f>
        <v/>
      </c>
      <c r="U794" s="237" t="str">
        <f t="shared" ca="1" si="12"/>
        <v/>
      </c>
      <c r="V794" s="233"/>
      <c r="W794" s="63" t="s">
        <v>1696</v>
      </c>
    </row>
    <row r="795" spans="1:23" ht="26">
      <c r="A795" s="213" t="str">
        <f>IF(OR(CommitmentsTable[[#This Row],[Commitment / deliverable]]="",CommitmentsTable[[#This Row],[Immutable Key]]=""),"",SUBSTITUTE(CommitmentsTable[[#This Row],[Immutable Key]],"-K-","-"))</f>
        <v/>
      </c>
      <c r="B795" s="233"/>
      <c r="C795" s="233"/>
      <c r="D795" s="213"/>
      <c r="E795" s="230"/>
      <c r="F795" s="213"/>
      <c r="G795" s="245" t="str">
        <f ca="1">IF(CommitmentsTable[[#This Row],[Commitment / deliverable]]="","",IF(CommitmentsTable[[#This Row],[Date record entered]]="",TODAY(),CommitmentsTable[[#This Row],[Date record entered]]))</f>
        <v/>
      </c>
      <c r="H795" s="245"/>
      <c r="I795" s="245" t="str">
        <f ca="1">IF(CommitmentsTable[[#This Row],[Date Assigned if different from entry date]]&lt;&gt;"",CommitmentsTable[[#This Row],[Date Assigned if different from entry date]]+90,IF(CommitmentsTable[[#This Row],[Date record entered]]&lt;&gt;"",CommitmentsTable[[#This Row],[Date record entered]]+90,""))</f>
        <v/>
      </c>
      <c r="J795" s="245" t="str">
        <f ca="1">IF(CommitmentsTable[[#This Row],[Date Assigned if different from entry date]]&lt;&gt;"",CommitmentsTable[[#This Row],[Date Assigned if different from entry date]]+30,IF(CommitmentsTable[[#This Row],[Date record entered]]&lt;&gt;"",CommitmentsTable[[#This Row],[Date record entered]]+30,""))</f>
        <v/>
      </c>
      <c r="K795" s="245"/>
      <c r="L795" s="245" t="str">
        <f ca="1">IF(CommitmentsTable[[#This Row],[Date Assigned if different from entry date]]&lt;&gt;"",CommitmentsTable[[#This Row],[Date Assigned if different from entry date]]+60,IF(CommitmentsTable[[#This Row],[Date record entered]]&lt;&gt;"",CommitmentsTable[[#This Row],[Date record entered]]+60,""))</f>
        <v/>
      </c>
      <c r="M795" s="214"/>
      <c r="N795" s="214"/>
      <c r="O795" s="236"/>
      <c r="P795" s="214"/>
      <c r="Q795" s="214"/>
      <c r="R795" s="214"/>
      <c r="S795" s="238" t="str">
        <f>IF(CommitmentsTable[[#This Row],[Commitment / deliverable]]="","",IF(CommitmentsTable[[#This Row],[Revised due]]&lt;&gt;"",CommitmentsTable[[#This Row],[Revised due]],CommitmentsTable[[#This Row],[Original due]]))</f>
        <v/>
      </c>
      <c r="T795" s="237" t="str">
        <f>IF(OR(CommitmentsTable[[#This Row],[Commitment / deliverable]]="",CommitmentsTable[[#This Row],[Owner]]=""),"",IF(CommitmentsTable[[#This Row],[Status2]]="","Open",CommitmentsTable[[#This Row],[Status2]]))</f>
        <v/>
      </c>
      <c r="U795" s="237" t="str">
        <f t="shared" ca="1" si="12"/>
        <v/>
      </c>
      <c r="V795" s="233"/>
      <c r="W795" s="63" t="s">
        <v>1697</v>
      </c>
    </row>
    <row r="796" spans="1:23" ht="26">
      <c r="A796" s="213" t="str">
        <f>IF(OR(CommitmentsTable[[#This Row],[Commitment / deliverable]]="",CommitmentsTable[[#This Row],[Immutable Key]]=""),"",SUBSTITUTE(CommitmentsTable[[#This Row],[Immutable Key]],"-K-","-"))</f>
        <v/>
      </c>
      <c r="B796" s="233"/>
      <c r="C796" s="233"/>
      <c r="D796" s="213"/>
      <c r="E796" s="230"/>
      <c r="F796" s="213"/>
      <c r="G796" s="245" t="str">
        <f ca="1">IF(CommitmentsTable[[#This Row],[Commitment / deliverable]]="","",IF(CommitmentsTable[[#This Row],[Date record entered]]="",TODAY(),CommitmentsTable[[#This Row],[Date record entered]]))</f>
        <v/>
      </c>
      <c r="H796" s="245"/>
      <c r="I796" s="245" t="str">
        <f ca="1">IF(CommitmentsTable[[#This Row],[Date Assigned if different from entry date]]&lt;&gt;"",CommitmentsTable[[#This Row],[Date Assigned if different from entry date]]+90,IF(CommitmentsTable[[#This Row],[Date record entered]]&lt;&gt;"",CommitmentsTable[[#This Row],[Date record entered]]+90,""))</f>
        <v/>
      </c>
      <c r="J796" s="245" t="str">
        <f ca="1">IF(CommitmentsTable[[#This Row],[Date Assigned if different from entry date]]&lt;&gt;"",CommitmentsTable[[#This Row],[Date Assigned if different from entry date]]+30,IF(CommitmentsTable[[#This Row],[Date record entered]]&lt;&gt;"",CommitmentsTable[[#This Row],[Date record entered]]+30,""))</f>
        <v/>
      </c>
      <c r="K796" s="245"/>
      <c r="L796" s="245" t="str">
        <f ca="1">IF(CommitmentsTable[[#This Row],[Date Assigned if different from entry date]]&lt;&gt;"",CommitmentsTable[[#This Row],[Date Assigned if different from entry date]]+60,IF(CommitmentsTable[[#This Row],[Date record entered]]&lt;&gt;"",CommitmentsTable[[#This Row],[Date record entered]]+60,""))</f>
        <v/>
      </c>
      <c r="M796" s="214"/>
      <c r="N796" s="214"/>
      <c r="O796" s="236"/>
      <c r="P796" s="214"/>
      <c r="Q796" s="214"/>
      <c r="R796" s="214"/>
      <c r="S796" s="238" t="str">
        <f>IF(CommitmentsTable[[#This Row],[Commitment / deliverable]]="","",IF(CommitmentsTable[[#This Row],[Revised due]]&lt;&gt;"",CommitmentsTable[[#This Row],[Revised due]],CommitmentsTable[[#This Row],[Original due]]))</f>
        <v/>
      </c>
      <c r="T796" s="237" t="str">
        <f>IF(OR(CommitmentsTable[[#This Row],[Commitment / deliverable]]="",CommitmentsTable[[#This Row],[Owner]]=""),"",IF(CommitmentsTable[[#This Row],[Status2]]="","Open",CommitmentsTable[[#This Row],[Status2]]))</f>
        <v/>
      </c>
      <c r="U796" s="237" t="str">
        <f t="shared" ca="1" si="12"/>
        <v/>
      </c>
      <c r="V796" s="233"/>
      <c r="W796" s="63" t="s">
        <v>1698</v>
      </c>
    </row>
    <row r="797" spans="1:23" ht="26">
      <c r="A797" s="213" t="str">
        <f>IF(OR(CommitmentsTable[[#This Row],[Commitment / deliverable]]="",CommitmentsTable[[#This Row],[Immutable Key]]=""),"",SUBSTITUTE(CommitmentsTable[[#This Row],[Immutable Key]],"-K-","-"))</f>
        <v/>
      </c>
      <c r="B797" s="233"/>
      <c r="C797" s="233"/>
      <c r="D797" s="213"/>
      <c r="E797" s="230"/>
      <c r="F797" s="213"/>
      <c r="G797" s="245" t="str">
        <f ca="1">IF(CommitmentsTable[[#This Row],[Commitment / deliverable]]="","",IF(CommitmentsTable[[#This Row],[Date record entered]]="",TODAY(),CommitmentsTable[[#This Row],[Date record entered]]))</f>
        <v/>
      </c>
      <c r="H797" s="245"/>
      <c r="I797" s="245" t="str">
        <f ca="1">IF(CommitmentsTable[[#This Row],[Date Assigned if different from entry date]]&lt;&gt;"",CommitmentsTable[[#This Row],[Date Assigned if different from entry date]]+90,IF(CommitmentsTable[[#This Row],[Date record entered]]&lt;&gt;"",CommitmentsTable[[#This Row],[Date record entered]]+90,""))</f>
        <v/>
      </c>
      <c r="J797" s="245" t="str">
        <f ca="1">IF(CommitmentsTable[[#This Row],[Date Assigned if different from entry date]]&lt;&gt;"",CommitmentsTable[[#This Row],[Date Assigned if different from entry date]]+30,IF(CommitmentsTable[[#This Row],[Date record entered]]&lt;&gt;"",CommitmentsTable[[#This Row],[Date record entered]]+30,""))</f>
        <v/>
      </c>
      <c r="K797" s="245"/>
      <c r="L797" s="245" t="str">
        <f ca="1">IF(CommitmentsTable[[#This Row],[Date Assigned if different from entry date]]&lt;&gt;"",CommitmentsTable[[#This Row],[Date Assigned if different from entry date]]+60,IF(CommitmentsTable[[#This Row],[Date record entered]]&lt;&gt;"",CommitmentsTable[[#This Row],[Date record entered]]+60,""))</f>
        <v/>
      </c>
      <c r="M797" s="214"/>
      <c r="N797" s="214"/>
      <c r="O797" s="236"/>
      <c r="P797" s="214"/>
      <c r="Q797" s="214"/>
      <c r="R797" s="214"/>
      <c r="S797" s="238" t="str">
        <f>IF(CommitmentsTable[[#This Row],[Commitment / deliverable]]="","",IF(CommitmentsTable[[#This Row],[Revised due]]&lt;&gt;"",CommitmentsTable[[#This Row],[Revised due]],CommitmentsTable[[#This Row],[Original due]]))</f>
        <v/>
      </c>
      <c r="T797" s="237" t="str">
        <f>IF(OR(CommitmentsTable[[#This Row],[Commitment / deliverable]]="",CommitmentsTable[[#This Row],[Owner]]=""),"",IF(CommitmentsTable[[#This Row],[Status2]]="","Open",CommitmentsTable[[#This Row],[Status2]]))</f>
        <v/>
      </c>
      <c r="U797" s="237" t="str">
        <f t="shared" ca="1" si="12"/>
        <v/>
      </c>
      <c r="V797" s="233"/>
      <c r="W797" s="63" t="s">
        <v>1699</v>
      </c>
    </row>
    <row r="798" spans="1:23" ht="26">
      <c r="A798" s="213" t="str">
        <f>IF(OR(CommitmentsTable[[#This Row],[Commitment / deliverable]]="",CommitmentsTable[[#This Row],[Immutable Key]]=""),"",SUBSTITUTE(CommitmentsTable[[#This Row],[Immutable Key]],"-K-","-"))</f>
        <v/>
      </c>
      <c r="B798" s="233"/>
      <c r="C798" s="233"/>
      <c r="D798" s="213"/>
      <c r="E798" s="230"/>
      <c r="F798" s="213"/>
      <c r="G798" s="245" t="str">
        <f ca="1">IF(CommitmentsTable[[#This Row],[Commitment / deliverable]]="","",IF(CommitmentsTable[[#This Row],[Date record entered]]="",TODAY(),CommitmentsTable[[#This Row],[Date record entered]]))</f>
        <v/>
      </c>
      <c r="H798" s="245"/>
      <c r="I798" s="245" t="str">
        <f ca="1">IF(CommitmentsTable[[#This Row],[Date Assigned if different from entry date]]&lt;&gt;"",CommitmentsTable[[#This Row],[Date Assigned if different from entry date]]+90,IF(CommitmentsTable[[#This Row],[Date record entered]]&lt;&gt;"",CommitmentsTable[[#This Row],[Date record entered]]+90,""))</f>
        <v/>
      </c>
      <c r="J798" s="245" t="str">
        <f ca="1">IF(CommitmentsTable[[#This Row],[Date Assigned if different from entry date]]&lt;&gt;"",CommitmentsTable[[#This Row],[Date Assigned if different from entry date]]+30,IF(CommitmentsTable[[#This Row],[Date record entered]]&lt;&gt;"",CommitmentsTable[[#This Row],[Date record entered]]+30,""))</f>
        <v/>
      </c>
      <c r="K798" s="245"/>
      <c r="L798" s="245" t="str">
        <f ca="1">IF(CommitmentsTable[[#This Row],[Date Assigned if different from entry date]]&lt;&gt;"",CommitmentsTable[[#This Row],[Date Assigned if different from entry date]]+60,IF(CommitmentsTable[[#This Row],[Date record entered]]&lt;&gt;"",CommitmentsTable[[#This Row],[Date record entered]]+60,""))</f>
        <v/>
      </c>
      <c r="M798" s="214"/>
      <c r="N798" s="214"/>
      <c r="O798" s="236"/>
      <c r="P798" s="214"/>
      <c r="Q798" s="214"/>
      <c r="R798" s="214"/>
      <c r="S798" s="238" t="str">
        <f>IF(CommitmentsTable[[#This Row],[Commitment / deliverable]]="","",IF(CommitmentsTable[[#This Row],[Revised due]]&lt;&gt;"",CommitmentsTable[[#This Row],[Revised due]],CommitmentsTable[[#This Row],[Original due]]))</f>
        <v/>
      </c>
      <c r="T798" s="237" t="str">
        <f>IF(OR(CommitmentsTable[[#This Row],[Commitment / deliverable]]="",CommitmentsTable[[#This Row],[Owner]]=""),"",IF(CommitmentsTable[[#This Row],[Status2]]="","Open",CommitmentsTable[[#This Row],[Status2]]))</f>
        <v/>
      </c>
      <c r="U798" s="237" t="str">
        <f t="shared" ca="1" si="12"/>
        <v/>
      </c>
      <c r="V798" s="233"/>
      <c r="W798" s="63" t="s">
        <v>1700</v>
      </c>
    </row>
    <row r="799" spans="1:23" ht="26">
      <c r="A799" s="213" t="str">
        <f>IF(OR(CommitmentsTable[[#This Row],[Commitment / deliverable]]="",CommitmentsTable[[#This Row],[Immutable Key]]=""),"",SUBSTITUTE(CommitmentsTable[[#This Row],[Immutable Key]],"-K-","-"))</f>
        <v/>
      </c>
      <c r="B799" s="233"/>
      <c r="C799" s="233"/>
      <c r="D799" s="213"/>
      <c r="E799" s="230"/>
      <c r="F799" s="213"/>
      <c r="G799" s="245" t="str">
        <f ca="1">IF(CommitmentsTable[[#This Row],[Commitment / deliverable]]="","",IF(CommitmentsTable[[#This Row],[Date record entered]]="",TODAY(),CommitmentsTable[[#This Row],[Date record entered]]))</f>
        <v/>
      </c>
      <c r="H799" s="245"/>
      <c r="I799" s="245" t="str">
        <f ca="1">IF(CommitmentsTable[[#This Row],[Date Assigned if different from entry date]]&lt;&gt;"",CommitmentsTable[[#This Row],[Date Assigned if different from entry date]]+90,IF(CommitmentsTable[[#This Row],[Date record entered]]&lt;&gt;"",CommitmentsTable[[#This Row],[Date record entered]]+90,""))</f>
        <v/>
      </c>
      <c r="J799" s="245" t="str">
        <f ca="1">IF(CommitmentsTable[[#This Row],[Date Assigned if different from entry date]]&lt;&gt;"",CommitmentsTable[[#This Row],[Date Assigned if different from entry date]]+30,IF(CommitmentsTable[[#This Row],[Date record entered]]&lt;&gt;"",CommitmentsTable[[#This Row],[Date record entered]]+30,""))</f>
        <v/>
      </c>
      <c r="K799" s="245"/>
      <c r="L799" s="245" t="str">
        <f ca="1">IF(CommitmentsTable[[#This Row],[Date Assigned if different from entry date]]&lt;&gt;"",CommitmentsTable[[#This Row],[Date Assigned if different from entry date]]+60,IF(CommitmentsTable[[#This Row],[Date record entered]]&lt;&gt;"",CommitmentsTable[[#This Row],[Date record entered]]+60,""))</f>
        <v/>
      </c>
      <c r="M799" s="214"/>
      <c r="N799" s="214"/>
      <c r="O799" s="236"/>
      <c r="P799" s="214"/>
      <c r="Q799" s="214"/>
      <c r="R799" s="214"/>
      <c r="S799" s="238" t="str">
        <f>IF(CommitmentsTable[[#This Row],[Commitment / deliverable]]="","",IF(CommitmentsTable[[#This Row],[Revised due]]&lt;&gt;"",CommitmentsTable[[#This Row],[Revised due]],CommitmentsTable[[#This Row],[Original due]]))</f>
        <v/>
      </c>
      <c r="T799" s="237" t="str">
        <f>IF(OR(CommitmentsTable[[#This Row],[Commitment / deliverable]]="",CommitmentsTable[[#This Row],[Owner]]=""),"",IF(CommitmentsTable[[#This Row],[Status2]]="","Open",CommitmentsTable[[#This Row],[Status2]]))</f>
        <v/>
      </c>
      <c r="U799" s="237" t="str">
        <f t="shared" ca="1" si="12"/>
        <v/>
      </c>
      <c r="V799" s="233"/>
      <c r="W799" s="63" t="s">
        <v>1701</v>
      </c>
    </row>
    <row r="800" spans="1:23" ht="26">
      <c r="A800" s="213" t="str">
        <f>IF(OR(CommitmentsTable[[#This Row],[Commitment / deliverable]]="",CommitmentsTable[[#This Row],[Immutable Key]]=""),"",SUBSTITUTE(CommitmentsTable[[#This Row],[Immutable Key]],"-K-","-"))</f>
        <v/>
      </c>
      <c r="B800" s="233"/>
      <c r="C800" s="233"/>
      <c r="D800" s="213"/>
      <c r="E800" s="230"/>
      <c r="F800" s="213"/>
      <c r="G800" s="245" t="str">
        <f ca="1">IF(CommitmentsTable[[#This Row],[Commitment / deliverable]]="","",IF(CommitmentsTable[[#This Row],[Date record entered]]="",TODAY(),CommitmentsTable[[#This Row],[Date record entered]]))</f>
        <v/>
      </c>
      <c r="H800" s="245"/>
      <c r="I800" s="245" t="str">
        <f ca="1">IF(CommitmentsTable[[#This Row],[Date Assigned if different from entry date]]&lt;&gt;"",CommitmentsTable[[#This Row],[Date Assigned if different from entry date]]+90,IF(CommitmentsTable[[#This Row],[Date record entered]]&lt;&gt;"",CommitmentsTable[[#This Row],[Date record entered]]+90,""))</f>
        <v/>
      </c>
      <c r="J800" s="245" t="str">
        <f ca="1">IF(CommitmentsTable[[#This Row],[Date Assigned if different from entry date]]&lt;&gt;"",CommitmentsTable[[#This Row],[Date Assigned if different from entry date]]+30,IF(CommitmentsTable[[#This Row],[Date record entered]]&lt;&gt;"",CommitmentsTable[[#This Row],[Date record entered]]+30,""))</f>
        <v/>
      </c>
      <c r="K800" s="245"/>
      <c r="L800" s="245" t="str">
        <f ca="1">IF(CommitmentsTable[[#This Row],[Date Assigned if different from entry date]]&lt;&gt;"",CommitmentsTable[[#This Row],[Date Assigned if different from entry date]]+60,IF(CommitmentsTable[[#This Row],[Date record entered]]&lt;&gt;"",CommitmentsTable[[#This Row],[Date record entered]]+60,""))</f>
        <v/>
      </c>
      <c r="M800" s="214"/>
      <c r="N800" s="214"/>
      <c r="O800" s="236"/>
      <c r="P800" s="214"/>
      <c r="Q800" s="214"/>
      <c r="R800" s="214"/>
      <c r="S800" s="238" t="str">
        <f>IF(CommitmentsTable[[#This Row],[Commitment / deliverable]]="","",IF(CommitmentsTable[[#This Row],[Revised due]]&lt;&gt;"",CommitmentsTable[[#This Row],[Revised due]],CommitmentsTable[[#This Row],[Original due]]))</f>
        <v/>
      </c>
      <c r="T800" s="237" t="str">
        <f>IF(OR(CommitmentsTable[[#This Row],[Commitment / deliverable]]="",CommitmentsTable[[#This Row],[Owner]]=""),"",IF(CommitmentsTable[[#This Row],[Status2]]="","Open",CommitmentsTable[[#This Row],[Status2]]))</f>
        <v/>
      </c>
      <c r="U800" s="237" t="str">
        <f t="shared" ca="1" si="12"/>
        <v/>
      </c>
      <c r="V800" s="233"/>
      <c r="W800" s="63" t="s">
        <v>1702</v>
      </c>
    </row>
    <row r="801" spans="1:23" ht="26">
      <c r="A801" s="213" t="str">
        <f>IF(OR(CommitmentsTable[[#This Row],[Commitment / deliverable]]="",CommitmentsTable[[#This Row],[Immutable Key]]=""),"",SUBSTITUTE(CommitmentsTable[[#This Row],[Immutable Key]],"-K-","-"))</f>
        <v/>
      </c>
      <c r="B801" s="233"/>
      <c r="C801" s="233"/>
      <c r="D801" s="213"/>
      <c r="E801" s="230"/>
      <c r="F801" s="213"/>
      <c r="G801" s="245" t="str">
        <f ca="1">IF(CommitmentsTable[[#This Row],[Commitment / deliverable]]="","",IF(CommitmentsTable[[#This Row],[Date record entered]]="",TODAY(),CommitmentsTable[[#This Row],[Date record entered]]))</f>
        <v/>
      </c>
      <c r="H801" s="245"/>
      <c r="I801" s="245" t="str">
        <f ca="1">IF(CommitmentsTable[[#This Row],[Date Assigned if different from entry date]]&lt;&gt;"",CommitmentsTable[[#This Row],[Date Assigned if different from entry date]]+90,IF(CommitmentsTable[[#This Row],[Date record entered]]&lt;&gt;"",CommitmentsTable[[#This Row],[Date record entered]]+90,""))</f>
        <v/>
      </c>
      <c r="J801" s="245" t="str">
        <f ca="1">IF(CommitmentsTable[[#This Row],[Date Assigned if different from entry date]]&lt;&gt;"",CommitmentsTable[[#This Row],[Date Assigned if different from entry date]]+30,IF(CommitmentsTable[[#This Row],[Date record entered]]&lt;&gt;"",CommitmentsTable[[#This Row],[Date record entered]]+30,""))</f>
        <v/>
      </c>
      <c r="K801" s="245"/>
      <c r="L801" s="245" t="str">
        <f ca="1">IF(CommitmentsTable[[#This Row],[Date Assigned if different from entry date]]&lt;&gt;"",CommitmentsTable[[#This Row],[Date Assigned if different from entry date]]+60,IF(CommitmentsTable[[#This Row],[Date record entered]]&lt;&gt;"",CommitmentsTable[[#This Row],[Date record entered]]+60,""))</f>
        <v/>
      </c>
      <c r="M801" s="214"/>
      <c r="N801" s="214"/>
      <c r="O801" s="236"/>
      <c r="P801" s="214"/>
      <c r="Q801" s="214"/>
      <c r="R801" s="214"/>
      <c r="S801" s="238" t="str">
        <f>IF(CommitmentsTable[[#This Row],[Commitment / deliverable]]="","",IF(CommitmentsTable[[#This Row],[Revised due]]&lt;&gt;"",CommitmentsTable[[#This Row],[Revised due]],CommitmentsTable[[#This Row],[Original due]]))</f>
        <v/>
      </c>
      <c r="T801" s="237" t="str">
        <f>IF(OR(CommitmentsTable[[#This Row],[Commitment / deliverable]]="",CommitmentsTable[[#This Row],[Owner]]=""),"",IF(CommitmentsTable[[#This Row],[Status2]]="","Open",CommitmentsTable[[#This Row],[Status2]]))</f>
        <v/>
      </c>
      <c r="U801" s="237" t="str">
        <f t="shared" ca="1" si="12"/>
        <v/>
      </c>
      <c r="V801" s="233"/>
      <c r="W801" s="63" t="s">
        <v>1703</v>
      </c>
    </row>
    <row r="802" spans="1:23" ht="26">
      <c r="A802" s="213" t="str">
        <f>IF(OR(CommitmentsTable[[#This Row],[Commitment / deliverable]]="",CommitmentsTable[[#This Row],[Immutable Key]]=""),"",SUBSTITUTE(CommitmentsTable[[#This Row],[Immutable Key]],"-K-","-"))</f>
        <v/>
      </c>
      <c r="B802" s="233"/>
      <c r="C802" s="233"/>
      <c r="D802" s="213"/>
      <c r="E802" s="230"/>
      <c r="F802" s="213"/>
      <c r="G802" s="245" t="str">
        <f ca="1">IF(CommitmentsTable[[#This Row],[Commitment / deliverable]]="","",IF(CommitmentsTable[[#This Row],[Date record entered]]="",TODAY(),CommitmentsTable[[#This Row],[Date record entered]]))</f>
        <v/>
      </c>
      <c r="H802" s="245"/>
      <c r="I802" s="245" t="str">
        <f ca="1">IF(CommitmentsTable[[#This Row],[Date Assigned if different from entry date]]&lt;&gt;"",CommitmentsTable[[#This Row],[Date Assigned if different from entry date]]+90,IF(CommitmentsTable[[#This Row],[Date record entered]]&lt;&gt;"",CommitmentsTable[[#This Row],[Date record entered]]+90,""))</f>
        <v/>
      </c>
      <c r="J802" s="245" t="str">
        <f ca="1">IF(CommitmentsTable[[#This Row],[Date Assigned if different from entry date]]&lt;&gt;"",CommitmentsTable[[#This Row],[Date Assigned if different from entry date]]+30,IF(CommitmentsTable[[#This Row],[Date record entered]]&lt;&gt;"",CommitmentsTable[[#This Row],[Date record entered]]+30,""))</f>
        <v/>
      </c>
      <c r="K802" s="245"/>
      <c r="L802" s="245" t="str">
        <f ca="1">IF(CommitmentsTable[[#This Row],[Date Assigned if different from entry date]]&lt;&gt;"",CommitmentsTable[[#This Row],[Date Assigned if different from entry date]]+60,IF(CommitmentsTable[[#This Row],[Date record entered]]&lt;&gt;"",CommitmentsTable[[#This Row],[Date record entered]]+60,""))</f>
        <v/>
      </c>
      <c r="M802" s="214"/>
      <c r="N802" s="214"/>
      <c r="O802" s="236"/>
      <c r="P802" s="214"/>
      <c r="Q802" s="214"/>
      <c r="R802" s="214"/>
      <c r="S802" s="238" t="str">
        <f>IF(CommitmentsTable[[#This Row],[Commitment / deliverable]]="","",IF(CommitmentsTable[[#This Row],[Revised due]]&lt;&gt;"",CommitmentsTable[[#This Row],[Revised due]],CommitmentsTable[[#This Row],[Original due]]))</f>
        <v/>
      </c>
      <c r="T802" s="237" t="str">
        <f>IF(OR(CommitmentsTable[[#This Row],[Commitment / deliverable]]="",CommitmentsTable[[#This Row],[Owner]]=""),"",IF(CommitmentsTable[[#This Row],[Status2]]="","Open",CommitmentsTable[[#This Row],[Status2]]))</f>
        <v/>
      </c>
      <c r="U802" s="237" t="str">
        <f t="shared" ca="1" si="12"/>
        <v/>
      </c>
      <c r="V802" s="233"/>
      <c r="W802" s="63" t="s">
        <v>1704</v>
      </c>
    </row>
    <row r="803" spans="1:23" ht="26">
      <c r="A803" s="213" t="str">
        <f>IF(OR(CommitmentsTable[[#This Row],[Commitment / deliverable]]="",CommitmentsTable[[#This Row],[Immutable Key]]=""),"",SUBSTITUTE(CommitmentsTable[[#This Row],[Immutable Key]],"-K-","-"))</f>
        <v/>
      </c>
      <c r="B803" s="233"/>
      <c r="C803" s="233"/>
      <c r="D803" s="213"/>
      <c r="E803" s="230"/>
      <c r="F803" s="213"/>
      <c r="G803" s="245" t="str">
        <f ca="1">IF(CommitmentsTable[[#This Row],[Commitment / deliverable]]="","",IF(CommitmentsTable[[#This Row],[Date record entered]]="",TODAY(),CommitmentsTable[[#This Row],[Date record entered]]))</f>
        <v/>
      </c>
      <c r="H803" s="245"/>
      <c r="I803" s="245" t="str">
        <f ca="1">IF(CommitmentsTable[[#This Row],[Date Assigned if different from entry date]]&lt;&gt;"",CommitmentsTable[[#This Row],[Date Assigned if different from entry date]]+90,IF(CommitmentsTable[[#This Row],[Date record entered]]&lt;&gt;"",CommitmentsTable[[#This Row],[Date record entered]]+90,""))</f>
        <v/>
      </c>
      <c r="J803" s="245" t="str">
        <f ca="1">IF(CommitmentsTable[[#This Row],[Date Assigned if different from entry date]]&lt;&gt;"",CommitmentsTable[[#This Row],[Date Assigned if different from entry date]]+30,IF(CommitmentsTable[[#This Row],[Date record entered]]&lt;&gt;"",CommitmentsTable[[#This Row],[Date record entered]]+30,""))</f>
        <v/>
      </c>
      <c r="K803" s="245"/>
      <c r="L803" s="245" t="str">
        <f ca="1">IF(CommitmentsTable[[#This Row],[Date Assigned if different from entry date]]&lt;&gt;"",CommitmentsTable[[#This Row],[Date Assigned if different from entry date]]+60,IF(CommitmentsTable[[#This Row],[Date record entered]]&lt;&gt;"",CommitmentsTable[[#This Row],[Date record entered]]+60,""))</f>
        <v/>
      </c>
      <c r="M803" s="214"/>
      <c r="N803" s="214"/>
      <c r="O803" s="236"/>
      <c r="P803" s="214"/>
      <c r="Q803" s="214"/>
      <c r="R803" s="214"/>
      <c r="S803" s="238" t="str">
        <f>IF(CommitmentsTable[[#This Row],[Commitment / deliverable]]="","",IF(CommitmentsTable[[#This Row],[Revised due]]&lt;&gt;"",CommitmentsTable[[#This Row],[Revised due]],CommitmentsTable[[#This Row],[Original due]]))</f>
        <v/>
      </c>
      <c r="T803" s="237" t="str">
        <f>IF(OR(CommitmentsTable[[#This Row],[Commitment / deliverable]]="",CommitmentsTable[[#This Row],[Owner]]=""),"",IF(CommitmentsTable[[#This Row],[Status2]]="","Open",CommitmentsTable[[#This Row],[Status2]]))</f>
        <v/>
      </c>
      <c r="U803" s="237" t="str">
        <f t="shared" ca="1" si="12"/>
        <v/>
      </c>
      <c r="V803" s="233"/>
      <c r="W803" s="63" t="s">
        <v>1705</v>
      </c>
    </row>
    <row r="804" spans="1:23" ht="26">
      <c r="A804" s="213" t="str">
        <f>IF(OR(CommitmentsTable[[#This Row],[Commitment / deliverable]]="",CommitmentsTable[[#This Row],[Immutable Key]]=""),"",SUBSTITUTE(CommitmentsTable[[#This Row],[Immutable Key]],"-K-","-"))</f>
        <v/>
      </c>
      <c r="B804" s="233"/>
      <c r="C804" s="233"/>
      <c r="D804" s="213"/>
      <c r="E804" s="230"/>
      <c r="F804" s="213"/>
      <c r="G804" s="245" t="str">
        <f ca="1">IF(CommitmentsTable[[#This Row],[Commitment / deliverable]]="","",IF(CommitmentsTable[[#This Row],[Date record entered]]="",TODAY(),CommitmentsTable[[#This Row],[Date record entered]]))</f>
        <v/>
      </c>
      <c r="H804" s="245"/>
      <c r="I804" s="245" t="str">
        <f ca="1">IF(CommitmentsTable[[#This Row],[Date Assigned if different from entry date]]&lt;&gt;"",CommitmentsTable[[#This Row],[Date Assigned if different from entry date]]+90,IF(CommitmentsTable[[#This Row],[Date record entered]]&lt;&gt;"",CommitmentsTable[[#This Row],[Date record entered]]+90,""))</f>
        <v/>
      </c>
      <c r="J804" s="245" t="str">
        <f ca="1">IF(CommitmentsTable[[#This Row],[Date Assigned if different from entry date]]&lt;&gt;"",CommitmentsTable[[#This Row],[Date Assigned if different from entry date]]+30,IF(CommitmentsTable[[#This Row],[Date record entered]]&lt;&gt;"",CommitmentsTable[[#This Row],[Date record entered]]+30,""))</f>
        <v/>
      </c>
      <c r="K804" s="245"/>
      <c r="L804" s="245" t="str">
        <f ca="1">IF(CommitmentsTable[[#This Row],[Date Assigned if different from entry date]]&lt;&gt;"",CommitmentsTable[[#This Row],[Date Assigned if different from entry date]]+60,IF(CommitmentsTable[[#This Row],[Date record entered]]&lt;&gt;"",CommitmentsTable[[#This Row],[Date record entered]]+60,""))</f>
        <v/>
      </c>
      <c r="M804" s="214"/>
      <c r="N804" s="214"/>
      <c r="O804" s="236"/>
      <c r="P804" s="214"/>
      <c r="Q804" s="214"/>
      <c r="R804" s="214"/>
      <c r="S804" s="238" t="str">
        <f>IF(CommitmentsTable[[#This Row],[Commitment / deliverable]]="","",IF(CommitmentsTable[[#This Row],[Revised due]]&lt;&gt;"",CommitmentsTable[[#This Row],[Revised due]],CommitmentsTable[[#This Row],[Original due]]))</f>
        <v/>
      </c>
      <c r="T804" s="237" t="str">
        <f>IF(OR(CommitmentsTable[[#This Row],[Commitment / deliverable]]="",CommitmentsTable[[#This Row],[Owner]]=""),"",IF(CommitmentsTable[[#This Row],[Status2]]="","Open",CommitmentsTable[[#This Row],[Status2]]))</f>
        <v/>
      </c>
      <c r="U804" s="237" t="str">
        <f t="shared" ca="1" si="12"/>
        <v/>
      </c>
      <c r="V804" s="233"/>
      <c r="W804" s="63" t="s">
        <v>1706</v>
      </c>
    </row>
    <row r="805" spans="1:23" ht="26">
      <c r="A805" s="213" t="str">
        <f>IF(OR(CommitmentsTable[[#This Row],[Commitment / deliverable]]="",CommitmentsTable[[#This Row],[Immutable Key]]=""),"",SUBSTITUTE(CommitmentsTable[[#This Row],[Immutable Key]],"-K-","-"))</f>
        <v/>
      </c>
      <c r="B805" s="233"/>
      <c r="C805" s="233"/>
      <c r="D805" s="213"/>
      <c r="E805" s="230"/>
      <c r="F805" s="213"/>
      <c r="G805" s="245" t="str">
        <f ca="1">IF(CommitmentsTable[[#This Row],[Commitment / deliverable]]="","",IF(CommitmentsTable[[#This Row],[Date record entered]]="",TODAY(),CommitmentsTable[[#This Row],[Date record entered]]))</f>
        <v/>
      </c>
      <c r="H805" s="245"/>
      <c r="I805" s="245" t="str">
        <f ca="1">IF(CommitmentsTable[[#This Row],[Date Assigned if different from entry date]]&lt;&gt;"",CommitmentsTable[[#This Row],[Date Assigned if different from entry date]]+90,IF(CommitmentsTable[[#This Row],[Date record entered]]&lt;&gt;"",CommitmentsTable[[#This Row],[Date record entered]]+90,""))</f>
        <v/>
      </c>
      <c r="J805" s="245" t="str">
        <f ca="1">IF(CommitmentsTable[[#This Row],[Date Assigned if different from entry date]]&lt;&gt;"",CommitmentsTable[[#This Row],[Date Assigned if different from entry date]]+30,IF(CommitmentsTable[[#This Row],[Date record entered]]&lt;&gt;"",CommitmentsTable[[#This Row],[Date record entered]]+30,""))</f>
        <v/>
      </c>
      <c r="K805" s="245"/>
      <c r="L805" s="245" t="str">
        <f ca="1">IF(CommitmentsTable[[#This Row],[Date Assigned if different from entry date]]&lt;&gt;"",CommitmentsTable[[#This Row],[Date Assigned if different from entry date]]+60,IF(CommitmentsTable[[#This Row],[Date record entered]]&lt;&gt;"",CommitmentsTable[[#This Row],[Date record entered]]+60,""))</f>
        <v/>
      </c>
      <c r="M805" s="214"/>
      <c r="N805" s="214"/>
      <c r="O805" s="236"/>
      <c r="P805" s="214"/>
      <c r="Q805" s="214"/>
      <c r="R805" s="214"/>
      <c r="S805" s="238" t="str">
        <f>IF(CommitmentsTable[[#This Row],[Commitment / deliverable]]="","",IF(CommitmentsTable[[#This Row],[Revised due]]&lt;&gt;"",CommitmentsTable[[#This Row],[Revised due]],CommitmentsTable[[#This Row],[Original due]]))</f>
        <v/>
      </c>
      <c r="T805" s="237" t="str">
        <f>IF(OR(CommitmentsTable[[#This Row],[Commitment / deliverable]]="",CommitmentsTable[[#This Row],[Owner]]=""),"",IF(CommitmentsTable[[#This Row],[Status2]]="","Open",CommitmentsTable[[#This Row],[Status2]]))</f>
        <v/>
      </c>
      <c r="U805" s="237" t="str">
        <f t="shared" ca="1" si="12"/>
        <v/>
      </c>
      <c r="V805" s="233"/>
      <c r="W805" s="63" t="s">
        <v>1707</v>
      </c>
    </row>
    <row r="806" spans="1:23" ht="26">
      <c r="A806" s="213" t="str">
        <f>IF(OR(CommitmentsTable[[#This Row],[Commitment / deliverable]]="",CommitmentsTable[[#This Row],[Immutable Key]]=""),"",SUBSTITUTE(CommitmentsTable[[#This Row],[Immutable Key]],"-K-","-"))</f>
        <v/>
      </c>
      <c r="B806" s="233"/>
      <c r="C806" s="233"/>
      <c r="D806" s="213"/>
      <c r="E806" s="230"/>
      <c r="F806" s="213"/>
      <c r="G806" s="245" t="str">
        <f ca="1">IF(CommitmentsTable[[#This Row],[Commitment / deliverable]]="","",IF(CommitmentsTable[[#This Row],[Date record entered]]="",TODAY(),CommitmentsTable[[#This Row],[Date record entered]]))</f>
        <v/>
      </c>
      <c r="H806" s="245"/>
      <c r="I806" s="245" t="str">
        <f ca="1">IF(CommitmentsTable[[#This Row],[Date Assigned if different from entry date]]&lt;&gt;"",CommitmentsTable[[#This Row],[Date Assigned if different from entry date]]+90,IF(CommitmentsTable[[#This Row],[Date record entered]]&lt;&gt;"",CommitmentsTable[[#This Row],[Date record entered]]+90,""))</f>
        <v/>
      </c>
      <c r="J806" s="245" t="str">
        <f ca="1">IF(CommitmentsTable[[#This Row],[Date Assigned if different from entry date]]&lt;&gt;"",CommitmentsTable[[#This Row],[Date Assigned if different from entry date]]+30,IF(CommitmentsTable[[#This Row],[Date record entered]]&lt;&gt;"",CommitmentsTable[[#This Row],[Date record entered]]+30,""))</f>
        <v/>
      </c>
      <c r="K806" s="245"/>
      <c r="L806" s="245" t="str">
        <f ca="1">IF(CommitmentsTable[[#This Row],[Date Assigned if different from entry date]]&lt;&gt;"",CommitmentsTable[[#This Row],[Date Assigned if different from entry date]]+60,IF(CommitmentsTable[[#This Row],[Date record entered]]&lt;&gt;"",CommitmentsTable[[#This Row],[Date record entered]]+60,""))</f>
        <v/>
      </c>
      <c r="M806" s="214"/>
      <c r="N806" s="214"/>
      <c r="O806" s="236"/>
      <c r="P806" s="214"/>
      <c r="Q806" s="214"/>
      <c r="R806" s="214"/>
      <c r="S806" s="238" t="str">
        <f>IF(CommitmentsTable[[#This Row],[Commitment / deliverable]]="","",IF(CommitmentsTable[[#This Row],[Revised due]]&lt;&gt;"",CommitmentsTable[[#This Row],[Revised due]],CommitmentsTable[[#This Row],[Original due]]))</f>
        <v/>
      </c>
      <c r="T806" s="237" t="str">
        <f>IF(OR(CommitmentsTable[[#This Row],[Commitment / deliverable]]="",CommitmentsTable[[#This Row],[Owner]]=""),"",IF(CommitmentsTable[[#This Row],[Status2]]="","Open",CommitmentsTable[[#This Row],[Status2]]))</f>
        <v/>
      </c>
      <c r="U806" s="237" t="str">
        <f t="shared" ca="1" si="12"/>
        <v/>
      </c>
      <c r="V806" s="233"/>
      <c r="W806" s="63" t="s">
        <v>1708</v>
      </c>
    </row>
    <row r="807" spans="1:23" ht="26">
      <c r="A807" s="213" t="str">
        <f>IF(OR(CommitmentsTable[[#This Row],[Commitment / deliverable]]="",CommitmentsTable[[#This Row],[Immutable Key]]=""),"",SUBSTITUTE(CommitmentsTable[[#This Row],[Immutable Key]],"-K-","-"))</f>
        <v/>
      </c>
      <c r="B807" s="233"/>
      <c r="C807" s="233"/>
      <c r="D807" s="213"/>
      <c r="E807" s="230"/>
      <c r="F807" s="213"/>
      <c r="G807" s="245" t="str">
        <f ca="1">IF(CommitmentsTable[[#This Row],[Commitment / deliverable]]="","",IF(CommitmentsTable[[#This Row],[Date record entered]]="",TODAY(),CommitmentsTable[[#This Row],[Date record entered]]))</f>
        <v/>
      </c>
      <c r="H807" s="245"/>
      <c r="I807" s="245" t="str">
        <f ca="1">IF(CommitmentsTable[[#This Row],[Date Assigned if different from entry date]]&lt;&gt;"",CommitmentsTable[[#This Row],[Date Assigned if different from entry date]]+90,IF(CommitmentsTable[[#This Row],[Date record entered]]&lt;&gt;"",CommitmentsTable[[#This Row],[Date record entered]]+90,""))</f>
        <v/>
      </c>
      <c r="J807" s="245" t="str">
        <f ca="1">IF(CommitmentsTable[[#This Row],[Date Assigned if different from entry date]]&lt;&gt;"",CommitmentsTable[[#This Row],[Date Assigned if different from entry date]]+30,IF(CommitmentsTable[[#This Row],[Date record entered]]&lt;&gt;"",CommitmentsTable[[#This Row],[Date record entered]]+30,""))</f>
        <v/>
      </c>
      <c r="K807" s="245"/>
      <c r="L807" s="245" t="str">
        <f ca="1">IF(CommitmentsTable[[#This Row],[Date Assigned if different from entry date]]&lt;&gt;"",CommitmentsTable[[#This Row],[Date Assigned if different from entry date]]+60,IF(CommitmentsTable[[#This Row],[Date record entered]]&lt;&gt;"",CommitmentsTable[[#This Row],[Date record entered]]+60,""))</f>
        <v/>
      </c>
      <c r="M807" s="214"/>
      <c r="N807" s="214"/>
      <c r="O807" s="236"/>
      <c r="P807" s="214"/>
      <c r="Q807" s="214"/>
      <c r="R807" s="214"/>
      <c r="S807" s="238" t="str">
        <f>IF(CommitmentsTable[[#This Row],[Commitment / deliverable]]="","",IF(CommitmentsTable[[#This Row],[Revised due]]&lt;&gt;"",CommitmentsTable[[#This Row],[Revised due]],CommitmentsTable[[#This Row],[Original due]]))</f>
        <v/>
      </c>
      <c r="T807" s="237" t="str">
        <f>IF(OR(CommitmentsTable[[#This Row],[Commitment / deliverable]]="",CommitmentsTable[[#This Row],[Owner]]=""),"",IF(CommitmentsTable[[#This Row],[Status2]]="","Open",CommitmentsTable[[#This Row],[Status2]]))</f>
        <v/>
      </c>
      <c r="U807" s="237" t="str">
        <f t="shared" ca="1" si="12"/>
        <v/>
      </c>
      <c r="V807" s="233"/>
      <c r="W807" s="63" t="s">
        <v>1709</v>
      </c>
    </row>
    <row r="808" spans="1:23" ht="26">
      <c r="A808" s="213" t="str">
        <f>IF(OR(CommitmentsTable[[#This Row],[Commitment / deliverable]]="",CommitmentsTable[[#This Row],[Immutable Key]]=""),"",SUBSTITUTE(CommitmentsTable[[#This Row],[Immutable Key]],"-K-","-"))</f>
        <v/>
      </c>
      <c r="B808" s="233"/>
      <c r="C808" s="233"/>
      <c r="D808" s="213"/>
      <c r="E808" s="230"/>
      <c r="F808" s="213"/>
      <c r="G808" s="245" t="str">
        <f ca="1">IF(CommitmentsTable[[#This Row],[Commitment / deliverable]]="","",IF(CommitmentsTable[[#This Row],[Date record entered]]="",TODAY(),CommitmentsTable[[#This Row],[Date record entered]]))</f>
        <v/>
      </c>
      <c r="H808" s="245"/>
      <c r="I808" s="245" t="str">
        <f ca="1">IF(CommitmentsTable[[#This Row],[Date Assigned if different from entry date]]&lt;&gt;"",CommitmentsTable[[#This Row],[Date Assigned if different from entry date]]+90,IF(CommitmentsTable[[#This Row],[Date record entered]]&lt;&gt;"",CommitmentsTable[[#This Row],[Date record entered]]+90,""))</f>
        <v/>
      </c>
      <c r="J808" s="245" t="str">
        <f ca="1">IF(CommitmentsTable[[#This Row],[Date Assigned if different from entry date]]&lt;&gt;"",CommitmentsTable[[#This Row],[Date Assigned if different from entry date]]+30,IF(CommitmentsTable[[#This Row],[Date record entered]]&lt;&gt;"",CommitmentsTable[[#This Row],[Date record entered]]+30,""))</f>
        <v/>
      </c>
      <c r="K808" s="245"/>
      <c r="L808" s="245" t="str">
        <f ca="1">IF(CommitmentsTable[[#This Row],[Date Assigned if different from entry date]]&lt;&gt;"",CommitmentsTable[[#This Row],[Date Assigned if different from entry date]]+60,IF(CommitmentsTable[[#This Row],[Date record entered]]&lt;&gt;"",CommitmentsTable[[#This Row],[Date record entered]]+60,""))</f>
        <v/>
      </c>
      <c r="M808" s="214"/>
      <c r="N808" s="214"/>
      <c r="O808" s="236"/>
      <c r="P808" s="214"/>
      <c r="Q808" s="214"/>
      <c r="R808" s="214"/>
      <c r="S808" s="238" t="str">
        <f>IF(CommitmentsTable[[#This Row],[Commitment / deliverable]]="","",IF(CommitmentsTable[[#This Row],[Revised due]]&lt;&gt;"",CommitmentsTable[[#This Row],[Revised due]],CommitmentsTable[[#This Row],[Original due]]))</f>
        <v/>
      </c>
      <c r="T808" s="237" t="str">
        <f>IF(OR(CommitmentsTable[[#This Row],[Commitment / deliverable]]="",CommitmentsTable[[#This Row],[Owner]]=""),"",IF(CommitmentsTable[[#This Row],[Status2]]="","Open",CommitmentsTable[[#This Row],[Status2]]))</f>
        <v/>
      </c>
      <c r="U808" s="237" t="str">
        <f t="shared" ca="1" si="12"/>
        <v/>
      </c>
      <c r="V808" s="233"/>
      <c r="W808" s="63" t="s">
        <v>1710</v>
      </c>
    </row>
    <row r="809" spans="1:23" ht="26">
      <c r="A809" s="213" t="str">
        <f>IF(OR(CommitmentsTable[[#This Row],[Commitment / deliverable]]="",CommitmentsTable[[#This Row],[Immutable Key]]=""),"",SUBSTITUTE(CommitmentsTable[[#This Row],[Immutable Key]],"-K-","-"))</f>
        <v/>
      </c>
      <c r="B809" s="233"/>
      <c r="C809" s="233"/>
      <c r="D809" s="213"/>
      <c r="E809" s="230"/>
      <c r="F809" s="213"/>
      <c r="G809" s="245" t="str">
        <f ca="1">IF(CommitmentsTable[[#This Row],[Commitment / deliverable]]="","",IF(CommitmentsTable[[#This Row],[Date record entered]]="",TODAY(),CommitmentsTable[[#This Row],[Date record entered]]))</f>
        <v/>
      </c>
      <c r="H809" s="245"/>
      <c r="I809" s="245" t="str">
        <f ca="1">IF(CommitmentsTable[[#This Row],[Date Assigned if different from entry date]]&lt;&gt;"",CommitmentsTable[[#This Row],[Date Assigned if different from entry date]]+90,IF(CommitmentsTable[[#This Row],[Date record entered]]&lt;&gt;"",CommitmentsTable[[#This Row],[Date record entered]]+90,""))</f>
        <v/>
      </c>
      <c r="J809" s="245" t="str">
        <f ca="1">IF(CommitmentsTable[[#This Row],[Date Assigned if different from entry date]]&lt;&gt;"",CommitmentsTable[[#This Row],[Date Assigned if different from entry date]]+30,IF(CommitmentsTable[[#This Row],[Date record entered]]&lt;&gt;"",CommitmentsTable[[#This Row],[Date record entered]]+30,""))</f>
        <v/>
      </c>
      <c r="K809" s="245"/>
      <c r="L809" s="245" t="str">
        <f ca="1">IF(CommitmentsTable[[#This Row],[Date Assigned if different from entry date]]&lt;&gt;"",CommitmentsTable[[#This Row],[Date Assigned if different from entry date]]+60,IF(CommitmentsTable[[#This Row],[Date record entered]]&lt;&gt;"",CommitmentsTable[[#This Row],[Date record entered]]+60,""))</f>
        <v/>
      </c>
      <c r="M809" s="214"/>
      <c r="N809" s="214"/>
      <c r="O809" s="236"/>
      <c r="P809" s="214"/>
      <c r="Q809" s="214"/>
      <c r="R809" s="214"/>
      <c r="S809" s="238" t="str">
        <f>IF(CommitmentsTable[[#This Row],[Commitment / deliverable]]="","",IF(CommitmentsTable[[#This Row],[Revised due]]&lt;&gt;"",CommitmentsTable[[#This Row],[Revised due]],CommitmentsTable[[#This Row],[Original due]]))</f>
        <v/>
      </c>
      <c r="T809" s="237" t="str">
        <f>IF(OR(CommitmentsTable[[#This Row],[Commitment / deliverable]]="",CommitmentsTable[[#This Row],[Owner]]=""),"",IF(CommitmentsTable[[#This Row],[Status2]]="","Open",CommitmentsTable[[#This Row],[Status2]]))</f>
        <v/>
      </c>
      <c r="U809" s="237" t="str">
        <f t="shared" ca="1" si="12"/>
        <v/>
      </c>
      <c r="V809" s="233"/>
      <c r="W809" s="63" t="s">
        <v>1711</v>
      </c>
    </row>
    <row r="810" spans="1:23" ht="26">
      <c r="A810" s="213" t="str">
        <f>IF(OR(CommitmentsTable[[#This Row],[Commitment / deliverable]]="",CommitmentsTable[[#This Row],[Immutable Key]]=""),"",SUBSTITUTE(CommitmentsTable[[#This Row],[Immutable Key]],"-K-","-"))</f>
        <v/>
      </c>
      <c r="B810" s="233"/>
      <c r="C810" s="233"/>
      <c r="D810" s="213"/>
      <c r="E810" s="230"/>
      <c r="F810" s="213"/>
      <c r="G810" s="245" t="str">
        <f ca="1">IF(CommitmentsTable[[#This Row],[Commitment / deliverable]]="","",IF(CommitmentsTable[[#This Row],[Date record entered]]="",TODAY(),CommitmentsTable[[#This Row],[Date record entered]]))</f>
        <v/>
      </c>
      <c r="H810" s="245"/>
      <c r="I810" s="245" t="str">
        <f ca="1">IF(CommitmentsTable[[#This Row],[Date Assigned if different from entry date]]&lt;&gt;"",CommitmentsTable[[#This Row],[Date Assigned if different from entry date]]+90,IF(CommitmentsTable[[#This Row],[Date record entered]]&lt;&gt;"",CommitmentsTable[[#This Row],[Date record entered]]+90,""))</f>
        <v/>
      </c>
      <c r="J810" s="245" t="str">
        <f ca="1">IF(CommitmentsTable[[#This Row],[Date Assigned if different from entry date]]&lt;&gt;"",CommitmentsTable[[#This Row],[Date Assigned if different from entry date]]+30,IF(CommitmentsTable[[#This Row],[Date record entered]]&lt;&gt;"",CommitmentsTable[[#This Row],[Date record entered]]+30,""))</f>
        <v/>
      </c>
      <c r="K810" s="245"/>
      <c r="L810" s="245" t="str">
        <f ca="1">IF(CommitmentsTable[[#This Row],[Date Assigned if different from entry date]]&lt;&gt;"",CommitmentsTable[[#This Row],[Date Assigned if different from entry date]]+60,IF(CommitmentsTable[[#This Row],[Date record entered]]&lt;&gt;"",CommitmentsTable[[#This Row],[Date record entered]]+60,""))</f>
        <v/>
      </c>
      <c r="M810" s="214"/>
      <c r="N810" s="214"/>
      <c r="O810" s="236"/>
      <c r="P810" s="214"/>
      <c r="Q810" s="214"/>
      <c r="R810" s="214"/>
      <c r="S810" s="238" t="str">
        <f>IF(CommitmentsTable[[#This Row],[Commitment / deliverable]]="","",IF(CommitmentsTable[[#This Row],[Revised due]]&lt;&gt;"",CommitmentsTable[[#This Row],[Revised due]],CommitmentsTable[[#This Row],[Original due]]))</f>
        <v/>
      </c>
      <c r="T810" s="237" t="str">
        <f>IF(OR(CommitmentsTable[[#This Row],[Commitment / deliverable]]="",CommitmentsTable[[#This Row],[Owner]]=""),"",IF(CommitmentsTable[[#This Row],[Status2]]="","Open",CommitmentsTable[[#This Row],[Status2]]))</f>
        <v/>
      </c>
      <c r="U810" s="237" t="str">
        <f t="shared" ca="1" si="12"/>
        <v/>
      </c>
      <c r="V810" s="233"/>
      <c r="W810" s="63" t="s">
        <v>1712</v>
      </c>
    </row>
    <row r="811" spans="1:23" ht="26">
      <c r="A811" s="213" t="str">
        <f>IF(OR(CommitmentsTable[[#This Row],[Commitment / deliverable]]="",CommitmentsTable[[#This Row],[Immutable Key]]=""),"",SUBSTITUTE(CommitmentsTable[[#This Row],[Immutable Key]],"-K-","-"))</f>
        <v/>
      </c>
      <c r="B811" s="233"/>
      <c r="C811" s="233"/>
      <c r="D811" s="213"/>
      <c r="E811" s="230"/>
      <c r="F811" s="213"/>
      <c r="G811" s="245" t="str">
        <f ca="1">IF(CommitmentsTable[[#This Row],[Commitment / deliverable]]="","",IF(CommitmentsTable[[#This Row],[Date record entered]]="",TODAY(),CommitmentsTable[[#This Row],[Date record entered]]))</f>
        <v/>
      </c>
      <c r="H811" s="245"/>
      <c r="I811" s="245" t="str">
        <f ca="1">IF(CommitmentsTable[[#This Row],[Date Assigned if different from entry date]]&lt;&gt;"",CommitmentsTable[[#This Row],[Date Assigned if different from entry date]]+90,IF(CommitmentsTable[[#This Row],[Date record entered]]&lt;&gt;"",CommitmentsTable[[#This Row],[Date record entered]]+90,""))</f>
        <v/>
      </c>
      <c r="J811" s="245" t="str">
        <f ca="1">IF(CommitmentsTable[[#This Row],[Date Assigned if different from entry date]]&lt;&gt;"",CommitmentsTable[[#This Row],[Date Assigned if different from entry date]]+30,IF(CommitmentsTable[[#This Row],[Date record entered]]&lt;&gt;"",CommitmentsTable[[#This Row],[Date record entered]]+30,""))</f>
        <v/>
      </c>
      <c r="K811" s="245"/>
      <c r="L811" s="245" t="str">
        <f ca="1">IF(CommitmentsTable[[#This Row],[Date Assigned if different from entry date]]&lt;&gt;"",CommitmentsTable[[#This Row],[Date Assigned if different from entry date]]+60,IF(CommitmentsTable[[#This Row],[Date record entered]]&lt;&gt;"",CommitmentsTable[[#This Row],[Date record entered]]+60,""))</f>
        <v/>
      </c>
      <c r="M811" s="214"/>
      <c r="N811" s="214"/>
      <c r="O811" s="236"/>
      <c r="P811" s="214"/>
      <c r="Q811" s="214"/>
      <c r="R811" s="214"/>
      <c r="S811" s="238" t="str">
        <f>IF(CommitmentsTable[[#This Row],[Commitment / deliverable]]="","",IF(CommitmentsTable[[#This Row],[Revised due]]&lt;&gt;"",CommitmentsTable[[#This Row],[Revised due]],CommitmentsTable[[#This Row],[Original due]]))</f>
        <v/>
      </c>
      <c r="T811" s="237" t="str">
        <f>IF(OR(CommitmentsTable[[#This Row],[Commitment / deliverable]]="",CommitmentsTable[[#This Row],[Owner]]=""),"",IF(CommitmentsTable[[#This Row],[Status2]]="","Open",CommitmentsTable[[#This Row],[Status2]]))</f>
        <v/>
      </c>
      <c r="U811" s="237" t="str">
        <f t="shared" ca="1" si="12"/>
        <v/>
      </c>
      <c r="V811" s="233"/>
      <c r="W811" s="63" t="s">
        <v>1713</v>
      </c>
    </row>
    <row r="812" spans="1:23" ht="26">
      <c r="A812" s="213" t="str">
        <f>IF(OR(CommitmentsTable[[#This Row],[Commitment / deliverable]]="",CommitmentsTable[[#This Row],[Immutable Key]]=""),"",SUBSTITUTE(CommitmentsTable[[#This Row],[Immutable Key]],"-K-","-"))</f>
        <v/>
      </c>
      <c r="B812" s="233"/>
      <c r="C812" s="233"/>
      <c r="D812" s="213"/>
      <c r="E812" s="230"/>
      <c r="F812" s="213"/>
      <c r="G812" s="245" t="str">
        <f ca="1">IF(CommitmentsTable[[#This Row],[Commitment / deliverable]]="","",IF(CommitmentsTable[[#This Row],[Date record entered]]="",TODAY(),CommitmentsTable[[#This Row],[Date record entered]]))</f>
        <v/>
      </c>
      <c r="H812" s="245"/>
      <c r="I812" s="245" t="str">
        <f ca="1">IF(CommitmentsTable[[#This Row],[Date Assigned if different from entry date]]&lt;&gt;"",CommitmentsTable[[#This Row],[Date Assigned if different from entry date]]+90,IF(CommitmentsTable[[#This Row],[Date record entered]]&lt;&gt;"",CommitmentsTable[[#This Row],[Date record entered]]+90,""))</f>
        <v/>
      </c>
      <c r="J812" s="245" t="str">
        <f ca="1">IF(CommitmentsTable[[#This Row],[Date Assigned if different from entry date]]&lt;&gt;"",CommitmentsTable[[#This Row],[Date Assigned if different from entry date]]+30,IF(CommitmentsTable[[#This Row],[Date record entered]]&lt;&gt;"",CommitmentsTable[[#This Row],[Date record entered]]+30,""))</f>
        <v/>
      </c>
      <c r="K812" s="245"/>
      <c r="L812" s="245" t="str">
        <f ca="1">IF(CommitmentsTable[[#This Row],[Date Assigned if different from entry date]]&lt;&gt;"",CommitmentsTable[[#This Row],[Date Assigned if different from entry date]]+60,IF(CommitmentsTable[[#This Row],[Date record entered]]&lt;&gt;"",CommitmentsTable[[#This Row],[Date record entered]]+60,""))</f>
        <v/>
      </c>
      <c r="M812" s="214"/>
      <c r="N812" s="214"/>
      <c r="O812" s="236"/>
      <c r="P812" s="214"/>
      <c r="Q812" s="214"/>
      <c r="R812" s="214"/>
      <c r="S812" s="238" t="str">
        <f>IF(CommitmentsTable[[#This Row],[Commitment / deliverable]]="","",IF(CommitmentsTable[[#This Row],[Revised due]]&lt;&gt;"",CommitmentsTable[[#This Row],[Revised due]],CommitmentsTable[[#This Row],[Original due]]))</f>
        <v/>
      </c>
      <c r="T812" s="237" t="str">
        <f>IF(OR(CommitmentsTable[[#This Row],[Commitment / deliverable]]="",CommitmentsTable[[#This Row],[Owner]]=""),"",IF(CommitmentsTable[[#This Row],[Status2]]="","Open",CommitmentsTable[[#This Row],[Status2]]))</f>
        <v/>
      </c>
      <c r="U812" s="237" t="str">
        <f t="shared" ca="1" si="12"/>
        <v/>
      </c>
      <c r="V812" s="233"/>
      <c r="W812" s="63" t="s">
        <v>1714</v>
      </c>
    </row>
    <row r="813" spans="1:23" ht="26">
      <c r="A813" s="213" t="str">
        <f>IF(OR(CommitmentsTable[[#This Row],[Commitment / deliverable]]="",CommitmentsTable[[#This Row],[Immutable Key]]=""),"",SUBSTITUTE(CommitmentsTable[[#This Row],[Immutable Key]],"-K-","-"))</f>
        <v/>
      </c>
      <c r="B813" s="233"/>
      <c r="C813" s="233"/>
      <c r="D813" s="213"/>
      <c r="E813" s="230"/>
      <c r="F813" s="213"/>
      <c r="G813" s="245" t="str">
        <f ca="1">IF(CommitmentsTable[[#This Row],[Commitment / deliverable]]="","",IF(CommitmentsTable[[#This Row],[Date record entered]]="",TODAY(),CommitmentsTable[[#This Row],[Date record entered]]))</f>
        <v/>
      </c>
      <c r="H813" s="245"/>
      <c r="I813" s="245" t="str">
        <f ca="1">IF(CommitmentsTable[[#This Row],[Date Assigned if different from entry date]]&lt;&gt;"",CommitmentsTable[[#This Row],[Date Assigned if different from entry date]]+90,IF(CommitmentsTable[[#This Row],[Date record entered]]&lt;&gt;"",CommitmentsTable[[#This Row],[Date record entered]]+90,""))</f>
        <v/>
      </c>
      <c r="J813" s="245" t="str">
        <f ca="1">IF(CommitmentsTable[[#This Row],[Date Assigned if different from entry date]]&lt;&gt;"",CommitmentsTable[[#This Row],[Date Assigned if different from entry date]]+30,IF(CommitmentsTable[[#This Row],[Date record entered]]&lt;&gt;"",CommitmentsTable[[#This Row],[Date record entered]]+30,""))</f>
        <v/>
      </c>
      <c r="K813" s="245"/>
      <c r="L813" s="245" t="str">
        <f ca="1">IF(CommitmentsTable[[#This Row],[Date Assigned if different from entry date]]&lt;&gt;"",CommitmentsTable[[#This Row],[Date Assigned if different from entry date]]+60,IF(CommitmentsTable[[#This Row],[Date record entered]]&lt;&gt;"",CommitmentsTable[[#This Row],[Date record entered]]+60,""))</f>
        <v/>
      </c>
      <c r="M813" s="214"/>
      <c r="N813" s="214"/>
      <c r="O813" s="236"/>
      <c r="P813" s="214"/>
      <c r="Q813" s="214"/>
      <c r="R813" s="214"/>
      <c r="S813" s="238" t="str">
        <f>IF(CommitmentsTable[[#This Row],[Commitment / deliverable]]="","",IF(CommitmentsTable[[#This Row],[Revised due]]&lt;&gt;"",CommitmentsTable[[#This Row],[Revised due]],CommitmentsTable[[#This Row],[Original due]]))</f>
        <v/>
      </c>
      <c r="T813" s="237" t="str">
        <f>IF(OR(CommitmentsTable[[#This Row],[Commitment / deliverable]]="",CommitmentsTable[[#This Row],[Owner]]=""),"",IF(CommitmentsTable[[#This Row],[Status2]]="","Open",CommitmentsTable[[#This Row],[Status2]]))</f>
        <v/>
      </c>
      <c r="U813" s="237" t="str">
        <f t="shared" ca="1" si="12"/>
        <v/>
      </c>
      <c r="V813" s="233"/>
      <c r="W813" s="63" t="s">
        <v>1715</v>
      </c>
    </row>
    <row r="814" spans="1:23" ht="26">
      <c r="A814" s="213" t="str">
        <f>IF(OR(CommitmentsTable[[#This Row],[Commitment / deliverable]]="",CommitmentsTable[[#This Row],[Immutable Key]]=""),"",SUBSTITUTE(CommitmentsTable[[#This Row],[Immutable Key]],"-K-","-"))</f>
        <v/>
      </c>
      <c r="B814" s="233"/>
      <c r="C814" s="233"/>
      <c r="D814" s="213"/>
      <c r="E814" s="230"/>
      <c r="F814" s="213"/>
      <c r="G814" s="245" t="str">
        <f ca="1">IF(CommitmentsTable[[#This Row],[Commitment / deliverable]]="","",IF(CommitmentsTable[[#This Row],[Date record entered]]="",TODAY(),CommitmentsTable[[#This Row],[Date record entered]]))</f>
        <v/>
      </c>
      <c r="H814" s="245"/>
      <c r="I814" s="245" t="str">
        <f ca="1">IF(CommitmentsTable[[#This Row],[Date Assigned if different from entry date]]&lt;&gt;"",CommitmentsTable[[#This Row],[Date Assigned if different from entry date]]+90,IF(CommitmentsTable[[#This Row],[Date record entered]]&lt;&gt;"",CommitmentsTable[[#This Row],[Date record entered]]+90,""))</f>
        <v/>
      </c>
      <c r="J814" s="245" t="str">
        <f ca="1">IF(CommitmentsTable[[#This Row],[Date Assigned if different from entry date]]&lt;&gt;"",CommitmentsTable[[#This Row],[Date Assigned if different from entry date]]+30,IF(CommitmentsTable[[#This Row],[Date record entered]]&lt;&gt;"",CommitmentsTable[[#This Row],[Date record entered]]+30,""))</f>
        <v/>
      </c>
      <c r="K814" s="245"/>
      <c r="L814" s="245" t="str">
        <f ca="1">IF(CommitmentsTable[[#This Row],[Date Assigned if different from entry date]]&lt;&gt;"",CommitmentsTable[[#This Row],[Date Assigned if different from entry date]]+60,IF(CommitmentsTable[[#This Row],[Date record entered]]&lt;&gt;"",CommitmentsTable[[#This Row],[Date record entered]]+60,""))</f>
        <v/>
      </c>
      <c r="M814" s="214"/>
      <c r="N814" s="214"/>
      <c r="O814" s="236"/>
      <c r="P814" s="214"/>
      <c r="Q814" s="214"/>
      <c r="R814" s="214"/>
      <c r="S814" s="238" t="str">
        <f>IF(CommitmentsTable[[#This Row],[Commitment / deliverable]]="","",IF(CommitmentsTable[[#This Row],[Revised due]]&lt;&gt;"",CommitmentsTable[[#This Row],[Revised due]],CommitmentsTable[[#This Row],[Original due]]))</f>
        <v/>
      </c>
      <c r="T814" s="237" t="str">
        <f>IF(OR(CommitmentsTable[[#This Row],[Commitment / deliverable]]="",CommitmentsTable[[#This Row],[Owner]]=""),"",IF(CommitmentsTable[[#This Row],[Status2]]="","Open",CommitmentsTable[[#This Row],[Status2]]))</f>
        <v/>
      </c>
      <c r="U814" s="237" t="str">
        <f t="shared" ca="1" si="12"/>
        <v/>
      </c>
      <c r="V814" s="233"/>
      <c r="W814" s="63" t="s">
        <v>1716</v>
      </c>
    </row>
    <row r="815" spans="1:23" ht="26">
      <c r="A815" s="213" t="str">
        <f>IF(OR(CommitmentsTable[[#This Row],[Commitment / deliverable]]="",CommitmentsTable[[#This Row],[Immutable Key]]=""),"",SUBSTITUTE(CommitmentsTable[[#This Row],[Immutable Key]],"-K-","-"))</f>
        <v/>
      </c>
      <c r="B815" s="233"/>
      <c r="C815" s="233"/>
      <c r="D815" s="213"/>
      <c r="E815" s="230"/>
      <c r="F815" s="213"/>
      <c r="G815" s="245" t="str">
        <f ca="1">IF(CommitmentsTable[[#This Row],[Commitment / deliverable]]="","",IF(CommitmentsTable[[#This Row],[Date record entered]]="",TODAY(),CommitmentsTable[[#This Row],[Date record entered]]))</f>
        <v/>
      </c>
      <c r="H815" s="245"/>
      <c r="I815" s="245" t="str">
        <f ca="1">IF(CommitmentsTable[[#This Row],[Date Assigned if different from entry date]]&lt;&gt;"",CommitmentsTable[[#This Row],[Date Assigned if different from entry date]]+90,IF(CommitmentsTable[[#This Row],[Date record entered]]&lt;&gt;"",CommitmentsTable[[#This Row],[Date record entered]]+90,""))</f>
        <v/>
      </c>
      <c r="J815" s="245" t="str">
        <f ca="1">IF(CommitmentsTable[[#This Row],[Date Assigned if different from entry date]]&lt;&gt;"",CommitmentsTable[[#This Row],[Date Assigned if different from entry date]]+30,IF(CommitmentsTable[[#This Row],[Date record entered]]&lt;&gt;"",CommitmentsTable[[#This Row],[Date record entered]]+30,""))</f>
        <v/>
      </c>
      <c r="K815" s="245"/>
      <c r="L815" s="245" t="str">
        <f ca="1">IF(CommitmentsTable[[#This Row],[Date Assigned if different from entry date]]&lt;&gt;"",CommitmentsTable[[#This Row],[Date Assigned if different from entry date]]+60,IF(CommitmentsTable[[#This Row],[Date record entered]]&lt;&gt;"",CommitmentsTable[[#This Row],[Date record entered]]+60,""))</f>
        <v/>
      </c>
      <c r="M815" s="214"/>
      <c r="N815" s="214"/>
      <c r="O815" s="236"/>
      <c r="P815" s="214"/>
      <c r="Q815" s="214"/>
      <c r="R815" s="214"/>
      <c r="S815" s="238" t="str">
        <f>IF(CommitmentsTable[[#This Row],[Commitment / deliverable]]="","",IF(CommitmentsTable[[#This Row],[Revised due]]&lt;&gt;"",CommitmentsTable[[#This Row],[Revised due]],CommitmentsTable[[#This Row],[Original due]]))</f>
        <v/>
      </c>
      <c r="T815" s="237" t="str">
        <f>IF(OR(CommitmentsTable[[#This Row],[Commitment / deliverable]]="",CommitmentsTable[[#This Row],[Owner]]=""),"",IF(CommitmentsTable[[#This Row],[Status2]]="","Open",CommitmentsTable[[#This Row],[Status2]]))</f>
        <v/>
      </c>
      <c r="U815" s="237" t="str">
        <f t="shared" ca="1" si="12"/>
        <v/>
      </c>
      <c r="V815" s="233"/>
      <c r="W815" s="63" t="s">
        <v>1717</v>
      </c>
    </row>
    <row r="816" spans="1:23" ht="26">
      <c r="A816" s="213" t="str">
        <f>IF(OR(CommitmentsTable[[#This Row],[Commitment / deliverable]]="",CommitmentsTable[[#This Row],[Immutable Key]]=""),"",SUBSTITUTE(CommitmentsTable[[#This Row],[Immutable Key]],"-K-","-"))</f>
        <v/>
      </c>
      <c r="B816" s="233"/>
      <c r="C816" s="233"/>
      <c r="D816" s="213"/>
      <c r="E816" s="230"/>
      <c r="F816" s="213"/>
      <c r="G816" s="245" t="str">
        <f ca="1">IF(CommitmentsTable[[#This Row],[Commitment / deliverable]]="","",IF(CommitmentsTable[[#This Row],[Date record entered]]="",TODAY(),CommitmentsTable[[#This Row],[Date record entered]]))</f>
        <v/>
      </c>
      <c r="H816" s="245"/>
      <c r="I816" s="245" t="str">
        <f ca="1">IF(CommitmentsTable[[#This Row],[Date Assigned if different from entry date]]&lt;&gt;"",CommitmentsTable[[#This Row],[Date Assigned if different from entry date]]+90,IF(CommitmentsTable[[#This Row],[Date record entered]]&lt;&gt;"",CommitmentsTable[[#This Row],[Date record entered]]+90,""))</f>
        <v/>
      </c>
      <c r="J816" s="245" t="str">
        <f ca="1">IF(CommitmentsTable[[#This Row],[Date Assigned if different from entry date]]&lt;&gt;"",CommitmentsTable[[#This Row],[Date Assigned if different from entry date]]+30,IF(CommitmentsTable[[#This Row],[Date record entered]]&lt;&gt;"",CommitmentsTable[[#This Row],[Date record entered]]+30,""))</f>
        <v/>
      </c>
      <c r="K816" s="245"/>
      <c r="L816" s="245" t="str">
        <f ca="1">IF(CommitmentsTable[[#This Row],[Date Assigned if different from entry date]]&lt;&gt;"",CommitmentsTable[[#This Row],[Date Assigned if different from entry date]]+60,IF(CommitmentsTable[[#This Row],[Date record entered]]&lt;&gt;"",CommitmentsTable[[#This Row],[Date record entered]]+60,""))</f>
        <v/>
      </c>
      <c r="M816" s="214"/>
      <c r="N816" s="214"/>
      <c r="O816" s="236"/>
      <c r="P816" s="214"/>
      <c r="Q816" s="214"/>
      <c r="R816" s="214"/>
      <c r="S816" s="238" t="str">
        <f>IF(CommitmentsTable[[#This Row],[Commitment / deliverable]]="","",IF(CommitmentsTable[[#This Row],[Revised due]]&lt;&gt;"",CommitmentsTable[[#This Row],[Revised due]],CommitmentsTable[[#This Row],[Original due]]))</f>
        <v/>
      </c>
      <c r="T816" s="237" t="str">
        <f>IF(OR(CommitmentsTable[[#This Row],[Commitment / deliverable]]="",CommitmentsTable[[#This Row],[Owner]]=""),"",IF(CommitmentsTable[[#This Row],[Status2]]="","Open",CommitmentsTable[[#This Row],[Status2]]))</f>
        <v/>
      </c>
      <c r="U816" s="237" t="str">
        <f t="shared" ca="1" si="12"/>
        <v/>
      </c>
      <c r="V816" s="233"/>
      <c r="W816" s="63" t="s">
        <v>1718</v>
      </c>
    </row>
    <row r="817" spans="1:23" ht="26">
      <c r="A817" s="213" t="str">
        <f>IF(OR(CommitmentsTable[[#This Row],[Commitment / deliverable]]="",CommitmentsTable[[#This Row],[Immutable Key]]=""),"",SUBSTITUTE(CommitmentsTable[[#This Row],[Immutable Key]],"-K-","-"))</f>
        <v/>
      </c>
      <c r="B817" s="233"/>
      <c r="C817" s="233"/>
      <c r="D817" s="213"/>
      <c r="E817" s="230"/>
      <c r="F817" s="213"/>
      <c r="G817" s="245" t="str">
        <f ca="1">IF(CommitmentsTable[[#This Row],[Commitment / deliverable]]="","",IF(CommitmentsTable[[#This Row],[Date record entered]]="",TODAY(),CommitmentsTable[[#This Row],[Date record entered]]))</f>
        <v/>
      </c>
      <c r="H817" s="245"/>
      <c r="I817" s="245" t="str">
        <f ca="1">IF(CommitmentsTable[[#This Row],[Date Assigned if different from entry date]]&lt;&gt;"",CommitmentsTable[[#This Row],[Date Assigned if different from entry date]]+90,IF(CommitmentsTable[[#This Row],[Date record entered]]&lt;&gt;"",CommitmentsTable[[#This Row],[Date record entered]]+90,""))</f>
        <v/>
      </c>
      <c r="J817" s="245" t="str">
        <f ca="1">IF(CommitmentsTable[[#This Row],[Date Assigned if different from entry date]]&lt;&gt;"",CommitmentsTable[[#This Row],[Date Assigned if different from entry date]]+30,IF(CommitmentsTable[[#This Row],[Date record entered]]&lt;&gt;"",CommitmentsTable[[#This Row],[Date record entered]]+30,""))</f>
        <v/>
      </c>
      <c r="K817" s="245"/>
      <c r="L817" s="245" t="str">
        <f ca="1">IF(CommitmentsTable[[#This Row],[Date Assigned if different from entry date]]&lt;&gt;"",CommitmentsTable[[#This Row],[Date Assigned if different from entry date]]+60,IF(CommitmentsTable[[#This Row],[Date record entered]]&lt;&gt;"",CommitmentsTable[[#This Row],[Date record entered]]+60,""))</f>
        <v/>
      </c>
      <c r="M817" s="214"/>
      <c r="N817" s="214"/>
      <c r="O817" s="236"/>
      <c r="P817" s="214"/>
      <c r="Q817" s="214"/>
      <c r="R817" s="214"/>
      <c r="S817" s="238" t="str">
        <f>IF(CommitmentsTable[[#This Row],[Commitment / deliverable]]="","",IF(CommitmentsTable[[#This Row],[Revised due]]&lt;&gt;"",CommitmentsTable[[#This Row],[Revised due]],CommitmentsTable[[#This Row],[Original due]]))</f>
        <v/>
      </c>
      <c r="T817" s="237" t="str">
        <f>IF(OR(CommitmentsTable[[#This Row],[Commitment / deliverable]]="",CommitmentsTable[[#This Row],[Owner]]=""),"",IF(CommitmentsTable[[#This Row],[Status2]]="","Open",CommitmentsTable[[#This Row],[Status2]]))</f>
        <v/>
      </c>
      <c r="U817" s="237" t="str">
        <f t="shared" ca="1" si="12"/>
        <v/>
      </c>
      <c r="V817" s="233"/>
      <c r="W817" s="63" t="s">
        <v>1719</v>
      </c>
    </row>
    <row r="818" spans="1:23" ht="26">
      <c r="A818" s="213" t="str">
        <f>IF(OR(CommitmentsTable[[#This Row],[Commitment / deliverable]]="",CommitmentsTable[[#This Row],[Immutable Key]]=""),"",SUBSTITUTE(CommitmentsTable[[#This Row],[Immutable Key]],"-K-","-"))</f>
        <v/>
      </c>
      <c r="B818" s="233"/>
      <c r="C818" s="233"/>
      <c r="D818" s="213"/>
      <c r="E818" s="230"/>
      <c r="F818" s="213"/>
      <c r="G818" s="245" t="str">
        <f ca="1">IF(CommitmentsTable[[#This Row],[Commitment / deliverable]]="","",IF(CommitmentsTable[[#This Row],[Date record entered]]="",TODAY(),CommitmentsTable[[#This Row],[Date record entered]]))</f>
        <v/>
      </c>
      <c r="H818" s="245"/>
      <c r="I818" s="245" t="str">
        <f ca="1">IF(CommitmentsTable[[#This Row],[Date Assigned if different from entry date]]&lt;&gt;"",CommitmentsTable[[#This Row],[Date Assigned if different from entry date]]+90,IF(CommitmentsTable[[#This Row],[Date record entered]]&lt;&gt;"",CommitmentsTable[[#This Row],[Date record entered]]+90,""))</f>
        <v/>
      </c>
      <c r="J818" s="245" t="str">
        <f ca="1">IF(CommitmentsTable[[#This Row],[Date Assigned if different from entry date]]&lt;&gt;"",CommitmentsTable[[#This Row],[Date Assigned if different from entry date]]+30,IF(CommitmentsTable[[#This Row],[Date record entered]]&lt;&gt;"",CommitmentsTable[[#This Row],[Date record entered]]+30,""))</f>
        <v/>
      </c>
      <c r="K818" s="245"/>
      <c r="L818" s="245" t="str">
        <f ca="1">IF(CommitmentsTable[[#This Row],[Date Assigned if different from entry date]]&lt;&gt;"",CommitmentsTable[[#This Row],[Date Assigned if different from entry date]]+60,IF(CommitmentsTable[[#This Row],[Date record entered]]&lt;&gt;"",CommitmentsTable[[#This Row],[Date record entered]]+60,""))</f>
        <v/>
      </c>
      <c r="M818" s="214"/>
      <c r="N818" s="214"/>
      <c r="O818" s="236"/>
      <c r="P818" s="214"/>
      <c r="Q818" s="214"/>
      <c r="R818" s="214"/>
      <c r="S818" s="238" t="str">
        <f>IF(CommitmentsTable[[#This Row],[Commitment / deliverable]]="","",IF(CommitmentsTable[[#This Row],[Revised due]]&lt;&gt;"",CommitmentsTable[[#This Row],[Revised due]],CommitmentsTable[[#This Row],[Original due]]))</f>
        <v/>
      </c>
      <c r="T818" s="237" t="str">
        <f>IF(OR(CommitmentsTable[[#This Row],[Commitment / deliverable]]="",CommitmentsTable[[#This Row],[Owner]]=""),"",IF(CommitmentsTable[[#This Row],[Status2]]="","Open",CommitmentsTable[[#This Row],[Status2]]))</f>
        <v/>
      </c>
      <c r="U818" s="237" t="str">
        <f t="shared" ca="1" si="12"/>
        <v/>
      </c>
      <c r="V818" s="233"/>
      <c r="W818" s="63" t="s">
        <v>1720</v>
      </c>
    </row>
    <row r="819" spans="1:23" ht="26">
      <c r="A819" s="213" t="str">
        <f>IF(OR(CommitmentsTable[[#This Row],[Commitment / deliverable]]="",CommitmentsTable[[#This Row],[Immutable Key]]=""),"",SUBSTITUTE(CommitmentsTable[[#This Row],[Immutable Key]],"-K-","-"))</f>
        <v/>
      </c>
      <c r="B819" s="233"/>
      <c r="C819" s="233"/>
      <c r="D819" s="213"/>
      <c r="E819" s="230"/>
      <c r="F819" s="213"/>
      <c r="G819" s="245" t="str">
        <f ca="1">IF(CommitmentsTable[[#This Row],[Commitment / deliverable]]="","",IF(CommitmentsTable[[#This Row],[Date record entered]]="",TODAY(),CommitmentsTable[[#This Row],[Date record entered]]))</f>
        <v/>
      </c>
      <c r="H819" s="245"/>
      <c r="I819" s="245" t="str">
        <f ca="1">IF(CommitmentsTable[[#This Row],[Date Assigned if different from entry date]]&lt;&gt;"",CommitmentsTable[[#This Row],[Date Assigned if different from entry date]]+90,IF(CommitmentsTable[[#This Row],[Date record entered]]&lt;&gt;"",CommitmentsTable[[#This Row],[Date record entered]]+90,""))</f>
        <v/>
      </c>
      <c r="J819" s="245" t="str">
        <f ca="1">IF(CommitmentsTable[[#This Row],[Date Assigned if different from entry date]]&lt;&gt;"",CommitmentsTable[[#This Row],[Date Assigned if different from entry date]]+30,IF(CommitmentsTable[[#This Row],[Date record entered]]&lt;&gt;"",CommitmentsTable[[#This Row],[Date record entered]]+30,""))</f>
        <v/>
      </c>
      <c r="K819" s="245"/>
      <c r="L819" s="245" t="str">
        <f ca="1">IF(CommitmentsTable[[#This Row],[Date Assigned if different from entry date]]&lt;&gt;"",CommitmentsTable[[#This Row],[Date Assigned if different from entry date]]+60,IF(CommitmentsTable[[#This Row],[Date record entered]]&lt;&gt;"",CommitmentsTable[[#This Row],[Date record entered]]+60,""))</f>
        <v/>
      </c>
      <c r="M819" s="214"/>
      <c r="N819" s="214"/>
      <c r="O819" s="236"/>
      <c r="P819" s="214"/>
      <c r="Q819" s="214"/>
      <c r="R819" s="214"/>
      <c r="S819" s="238" t="str">
        <f>IF(CommitmentsTable[[#This Row],[Commitment / deliverable]]="","",IF(CommitmentsTable[[#This Row],[Revised due]]&lt;&gt;"",CommitmentsTable[[#This Row],[Revised due]],CommitmentsTable[[#This Row],[Original due]]))</f>
        <v/>
      </c>
      <c r="T819" s="237" t="str">
        <f>IF(OR(CommitmentsTable[[#This Row],[Commitment / deliverable]]="",CommitmentsTable[[#This Row],[Owner]]=""),"",IF(CommitmentsTable[[#This Row],[Status2]]="","Open",CommitmentsTable[[#This Row],[Status2]]))</f>
        <v/>
      </c>
      <c r="U819" s="237" t="str">
        <f t="shared" ca="1" si="12"/>
        <v/>
      </c>
      <c r="V819" s="233"/>
      <c r="W819" s="63" t="s">
        <v>1721</v>
      </c>
    </row>
    <row r="820" spans="1:23" ht="26">
      <c r="A820" s="213" t="str">
        <f>IF(OR(CommitmentsTable[[#This Row],[Commitment / deliverable]]="",CommitmentsTable[[#This Row],[Immutable Key]]=""),"",SUBSTITUTE(CommitmentsTable[[#This Row],[Immutable Key]],"-K-","-"))</f>
        <v/>
      </c>
      <c r="B820" s="233"/>
      <c r="C820" s="233"/>
      <c r="D820" s="213"/>
      <c r="E820" s="230"/>
      <c r="F820" s="213"/>
      <c r="G820" s="245" t="str">
        <f ca="1">IF(CommitmentsTable[[#This Row],[Commitment / deliverable]]="","",IF(CommitmentsTable[[#This Row],[Date record entered]]="",TODAY(),CommitmentsTable[[#This Row],[Date record entered]]))</f>
        <v/>
      </c>
      <c r="H820" s="245"/>
      <c r="I820" s="245" t="str">
        <f ca="1">IF(CommitmentsTable[[#This Row],[Date Assigned if different from entry date]]&lt;&gt;"",CommitmentsTable[[#This Row],[Date Assigned if different from entry date]]+90,IF(CommitmentsTable[[#This Row],[Date record entered]]&lt;&gt;"",CommitmentsTable[[#This Row],[Date record entered]]+90,""))</f>
        <v/>
      </c>
      <c r="J820" s="245" t="str">
        <f ca="1">IF(CommitmentsTable[[#This Row],[Date Assigned if different from entry date]]&lt;&gt;"",CommitmentsTable[[#This Row],[Date Assigned if different from entry date]]+30,IF(CommitmentsTable[[#This Row],[Date record entered]]&lt;&gt;"",CommitmentsTable[[#This Row],[Date record entered]]+30,""))</f>
        <v/>
      </c>
      <c r="K820" s="245"/>
      <c r="L820" s="245" t="str">
        <f ca="1">IF(CommitmentsTable[[#This Row],[Date Assigned if different from entry date]]&lt;&gt;"",CommitmentsTable[[#This Row],[Date Assigned if different from entry date]]+60,IF(CommitmentsTable[[#This Row],[Date record entered]]&lt;&gt;"",CommitmentsTable[[#This Row],[Date record entered]]+60,""))</f>
        <v/>
      </c>
      <c r="M820" s="214"/>
      <c r="N820" s="214"/>
      <c r="O820" s="236"/>
      <c r="P820" s="214"/>
      <c r="Q820" s="214"/>
      <c r="R820" s="214"/>
      <c r="S820" s="238" t="str">
        <f>IF(CommitmentsTable[[#This Row],[Commitment / deliverable]]="","",IF(CommitmentsTable[[#This Row],[Revised due]]&lt;&gt;"",CommitmentsTable[[#This Row],[Revised due]],CommitmentsTable[[#This Row],[Original due]]))</f>
        <v/>
      </c>
      <c r="T820" s="237" t="str">
        <f>IF(OR(CommitmentsTable[[#This Row],[Commitment / deliverable]]="",CommitmentsTable[[#This Row],[Owner]]=""),"",IF(CommitmentsTable[[#This Row],[Status2]]="","Open",CommitmentsTable[[#This Row],[Status2]]))</f>
        <v/>
      </c>
      <c r="U820" s="237" t="str">
        <f t="shared" ca="1" si="12"/>
        <v/>
      </c>
      <c r="V820" s="233"/>
      <c r="W820" s="63" t="s">
        <v>1722</v>
      </c>
    </row>
    <row r="821" spans="1:23" ht="26">
      <c r="A821" s="213" t="str">
        <f>IF(OR(CommitmentsTable[[#This Row],[Commitment / deliverable]]="",CommitmentsTable[[#This Row],[Immutable Key]]=""),"",SUBSTITUTE(CommitmentsTable[[#This Row],[Immutable Key]],"-K-","-"))</f>
        <v/>
      </c>
      <c r="B821" s="233"/>
      <c r="C821" s="233"/>
      <c r="D821" s="213"/>
      <c r="E821" s="230"/>
      <c r="F821" s="213"/>
      <c r="G821" s="245" t="str">
        <f ca="1">IF(CommitmentsTable[[#This Row],[Commitment / deliverable]]="","",IF(CommitmentsTable[[#This Row],[Date record entered]]="",TODAY(),CommitmentsTable[[#This Row],[Date record entered]]))</f>
        <v/>
      </c>
      <c r="H821" s="245"/>
      <c r="I821" s="245" t="str">
        <f ca="1">IF(CommitmentsTable[[#This Row],[Date Assigned if different from entry date]]&lt;&gt;"",CommitmentsTable[[#This Row],[Date Assigned if different from entry date]]+90,IF(CommitmentsTable[[#This Row],[Date record entered]]&lt;&gt;"",CommitmentsTable[[#This Row],[Date record entered]]+90,""))</f>
        <v/>
      </c>
      <c r="J821" s="245" t="str">
        <f ca="1">IF(CommitmentsTable[[#This Row],[Date Assigned if different from entry date]]&lt;&gt;"",CommitmentsTable[[#This Row],[Date Assigned if different from entry date]]+30,IF(CommitmentsTable[[#This Row],[Date record entered]]&lt;&gt;"",CommitmentsTable[[#This Row],[Date record entered]]+30,""))</f>
        <v/>
      </c>
      <c r="K821" s="245"/>
      <c r="L821" s="245" t="str">
        <f ca="1">IF(CommitmentsTable[[#This Row],[Date Assigned if different from entry date]]&lt;&gt;"",CommitmentsTable[[#This Row],[Date Assigned if different from entry date]]+60,IF(CommitmentsTable[[#This Row],[Date record entered]]&lt;&gt;"",CommitmentsTable[[#This Row],[Date record entered]]+60,""))</f>
        <v/>
      </c>
      <c r="M821" s="214"/>
      <c r="N821" s="214"/>
      <c r="O821" s="236"/>
      <c r="P821" s="214"/>
      <c r="Q821" s="214"/>
      <c r="R821" s="214"/>
      <c r="S821" s="238" t="str">
        <f>IF(CommitmentsTable[[#This Row],[Commitment / deliverable]]="","",IF(CommitmentsTable[[#This Row],[Revised due]]&lt;&gt;"",CommitmentsTable[[#This Row],[Revised due]],CommitmentsTable[[#This Row],[Original due]]))</f>
        <v/>
      </c>
      <c r="T821" s="237" t="str">
        <f>IF(OR(CommitmentsTable[[#This Row],[Commitment / deliverable]]="",CommitmentsTable[[#This Row],[Owner]]=""),"",IF(CommitmentsTable[[#This Row],[Status2]]="","Open",CommitmentsTable[[#This Row],[Status2]]))</f>
        <v/>
      </c>
      <c r="U821" s="237" t="str">
        <f t="shared" ca="1" si="12"/>
        <v/>
      </c>
      <c r="V821" s="233"/>
      <c r="W821" s="63" t="s">
        <v>1723</v>
      </c>
    </row>
    <row r="822" spans="1:23" ht="26">
      <c r="A822" s="213" t="str">
        <f>IF(OR(CommitmentsTable[[#This Row],[Commitment / deliverable]]="",CommitmentsTable[[#This Row],[Immutable Key]]=""),"",SUBSTITUTE(CommitmentsTable[[#This Row],[Immutable Key]],"-K-","-"))</f>
        <v/>
      </c>
      <c r="B822" s="233"/>
      <c r="C822" s="233"/>
      <c r="D822" s="213"/>
      <c r="E822" s="230"/>
      <c r="F822" s="213"/>
      <c r="G822" s="245" t="str">
        <f ca="1">IF(CommitmentsTable[[#This Row],[Commitment / deliverable]]="","",IF(CommitmentsTable[[#This Row],[Date record entered]]="",TODAY(),CommitmentsTable[[#This Row],[Date record entered]]))</f>
        <v/>
      </c>
      <c r="H822" s="245"/>
      <c r="I822" s="245" t="str">
        <f ca="1">IF(CommitmentsTable[[#This Row],[Date Assigned if different from entry date]]&lt;&gt;"",CommitmentsTable[[#This Row],[Date Assigned if different from entry date]]+90,IF(CommitmentsTable[[#This Row],[Date record entered]]&lt;&gt;"",CommitmentsTable[[#This Row],[Date record entered]]+90,""))</f>
        <v/>
      </c>
      <c r="J822" s="245" t="str">
        <f ca="1">IF(CommitmentsTable[[#This Row],[Date Assigned if different from entry date]]&lt;&gt;"",CommitmentsTable[[#This Row],[Date Assigned if different from entry date]]+30,IF(CommitmentsTable[[#This Row],[Date record entered]]&lt;&gt;"",CommitmentsTable[[#This Row],[Date record entered]]+30,""))</f>
        <v/>
      </c>
      <c r="K822" s="245"/>
      <c r="L822" s="245" t="str">
        <f ca="1">IF(CommitmentsTable[[#This Row],[Date Assigned if different from entry date]]&lt;&gt;"",CommitmentsTable[[#This Row],[Date Assigned if different from entry date]]+60,IF(CommitmentsTable[[#This Row],[Date record entered]]&lt;&gt;"",CommitmentsTable[[#This Row],[Date record entered]]+60,""))</f>
        <v/>
      </c>
      <c r="M822" s="214"/>
      <c r="N822" s="214"/>
      <c r="O822" s="236"/>
      <c r="P822" s="214"/>
      <c r="Q822" s="214"/>
      <c r="R822" s="214"/>
      <c r="S822" s="238" t="str">
        <f>IF(CommitmentsTable[[#This Row],[Commitment / deliverable]]="","",IF(CommitmentsTable[[#This Row],[Revised due]]&lt;&gt;"",CommitmentsTable[[#This Row],[Revised due]],CommitmentsTable[[#This Row],[Original due]]))</f>
        <v/>
      </c>
      <c r="T822" s="237" t="str">
        <f>IF(OR(CommitmentsTable[[#This Row],[Commitment / deliverable]]="",CommitmentsTable[[#This Row],[Owner]]=""),"",IF(CommitmentsTable[[#This Row],[Status2]]="","Open",CommitmentsTable[[#This Row],[Status2]]))</f>
        <v/>
      </c>
      <c r="U822" s="237" t="str">
        <f t="shared" ca="1" si="12"/>
        <v/>
      </c>
      <c r="V822" s="233"/>
      <c r="W822" s="63" t="s">
        <v>1724</v>
      </c>
    </row>
    <row r="823" spans="1:23" ht="26">
      <c r="A823" s="213" t="str">
        <f>IF(OR(CommitmentsTable[[#This Row],[Commitment / deliverable]]="",CommitmentsTable[[#This Row],[Immutable Key]]=""),"",SUBSTITUTE(CommitmentsTable[[#This Row],[Immutable Key]],"-K-","-"))</f>
        <v/>
      </c>
      <c r="B823" s="233"/>
      <c r="C823" s="233"/>
      <c r="D823" s="213"/>
      <c r="E823" s="230"/>
      <c r="F823" s="213"/>
      <c r="G823" s="245" t="str">
        <f ca="1">IF(CommitmentsTable[[#This Row],[Commitment / deliverable]]="","",IF(CommitmentsTable[[#This Row],[Date record entered]]="",TODAY(),CommitmentsTable[[#This Row],[Date record entered]]))</f>
        <v/>
      </c>
      <c r="H823" s="245"/>
      <c r="I823" s="245" t="str">
        <f ca="1">IF(CommitmentsTable[[#This Row],[Date Assigned if different from entry date]]&lt;&gt;"",CommitmentsTable[[#This Row],[Date Assigned if different from entry date]]+90,IF(CommitmentsTable[[#This Row],[Date record entered]]&lt;&gt;"",CommitmentsTable[[#This Row],[Date record entered]]+90,""))</f>
        <v/>
      </c>
      <c r="J823" s="245" t="str">
        <f ca="1">IF(CommitmentsTable[[#This Row],[Date Assigned if different from entry date]]&lt;&gt;"",CommitmentsTable[[#This Row],[Date Assigned if different from entry date]]+30,IF(CommitmentsTable[[#This Row],[Date record entered]]&lt;&gt;"",CommitmentsTable[[#This Row],[Date record entered]]+30,""))</f>
        <v/>
      </c>
      <c r="K823" s="245"/>
      <c r="L823" s="245" t="str">
        <f ca="1">IF(CommitmentsTable[[#This Row],[Date Assigned if different from entry date]]&lt;&gt;"",CommitmentsTable[[#This Row],[Date Assigned if different from entry date]]+60,IF(CommitmentsTable[[#This Row],[Date record entered]]&lt;&gt;"",CommitmentsTable[[#This Row],[Date record entered]]+60,""))</f>
        <v/>
      </c>
      <c r="M823" s="214"/>
      <c r="N823" s="214"/>
      <c r="O823" s="236"/>
      <c r="P823" s="214"/>
      <c r="Q823" s="214"/>
      <c r="R823" s="214"/>
      <c r="S823" s="238" t="str">
        <f>IF(CommitmentsTable[[#This Row],[Commitment / deliverable]]="","",IF(CommitmentsTable[[#This Row],[Revised due]]&lt;&gt;"",CommitmentsTable[[#This Row],[Revised due]],CommitmentsTable[[#This Row],[Original due]]))</f>
        <v/>
      </c>
      <c r="T823" s="237" t="str">
        <f>IF(OR(CommitmentsTable[[#This Row],[Commitment / deliverable]]="",CommitmentsTable[[#This Row],[Owner]]=""),"",IF(CommitmentsTable[[#This Row],[Status2]]="","Open",CommitmentsTable[[#This Row],[Status2]]))</f>
        <v/>
      </c>
      <c r="U823" s="237" t="str">
        <f t="shared" ca="1" si="12"/>
        <v/>
      </c>
      <c r="V823" s="233"/>
      <c r="W823" s="63" t="s">
        <v>1725</v>
      </c>
    </row>
    <row r="824" spans="1:23" ht="26">
      <c r="A824" s="213" t="str">
        <f>IF(OR(CommitmentsTable[[#This Row],[Commitment / deliverable]]="",CommitmentsTable[[#This Row],[Immutable Key]]=""),"",SUBSTITUTE(CommitmentsTable[[#This Row],[Immutable Key]],"-K-","-"))</f>
        <v/>
      </c>
      <c r="B824" s="233"/>
      <c r="C824" s="233"/>
      <c r="D824" s="213"/>
      <c r="E824" s="230"/>
      <c r="F824" s="213"/>
      <c r="G824" s="245" t="str">
        <f ca="1">IF(CommitmentsTable[[#This Row],[Commitment / deliverable]]="","",IF(CommitmentsTable[[#This Row],[Date record entered]]="",TODAY(),CommitmentsTable[[#This Row],[Date record entered]]))</f>
        <v/>
      </c>
      <c r="H824" s="245"/>
      <c r="I824" s="245" t="str">
        <f ca="1">IF(CommitmentsTable[[#This Row],[Date Assigned if different from entry date]]&lt;&gt;"",CommitmentsTable[[#This Row],[Date Assigned if different from entry date]]+90,IF(CommitmentsTable[[#This Row],[Date record entered]]&lt;&gt;"",CommitmentsTable[[#This Row],[Date record entered]]+90,""))</f>
        <v/>
      </c>
      <c r="J824" s="245" t="str">
        <f ca="1">IF(CommitmentsTable[[#This Row],[Date Assigned if different from entry date]]&lt;&gt;"",CommitmentsTable[[#This Row],[Date Assigned if different from entry date]]+30,IF(CommitmentsTable[[#This Row],[Date record entered]]&lt;&gt;"",CommitmentsTable[[#This Row],[Date record entered]]+30,""))</f>
        <v/>
      </c>
      <c r="K824" s="245"/>
      <c r="L824" s="245" t="str">
        <f ca="1">IF(CommitmentsTable[[#This Row],[Date Assigned if different from entry date]]&lt;&gt;"",CommitmentsTable[[#This Row],[Date Assigned if different from entry date]]+60,IF(CommitmentsTable[[#This Row],[Date record entered]]&lt;&gt;"",CommitmentsTable[[#This Row],[Date record entered]]+60,""))</f>
        <v/>
      </c>
      <c r="M824" s="214"/>
      <c r="N824" s="214"/>
      <c r="O824" s="236"/>
      <c r="P824" s="214"/>
      <c r="Q824" s="214"/>
      <c r="R824" s="214"/>
      <c r="S824" s="238" t="str">
        <f>IF(CommitmentsTable[[#This Row],[Commitment / deliverable]]="","",IF(CommitmentsTable[[#This Row],[Revised due]]&lt;&gt;"",CommitmentsTable[[#This Row],[Revised due]],CommitmentsTable[[#This Row],[Original due]]))</f>
        <v/>
      </c>
      <c r="T824" s="237" t="str">
        <f>IF(OR(CommitmentsTable[[#This Row],[Commitment / deliverable]]="",CommitmentsTable[[#This Row],[Owner]]=""),"",IF(CommitmentsTable[[#This Row],[Status2]]="","Open",CommitmentsTable[[#This Row],[Status2]]))</f>
        <v/>
      </c>
      <c r="U824" s="237" t="str">
        <f t="shared" ca="1" si="12"/>
        <v/>
      </c>
      <c r="V824" s="233"/>
      <c r="W824" s="63" t="s">
        <v>1726</v>
      </c>
    </row>
    <row r="825" spans="1:23" ht="26">
      <c r="A825" s="213" t="str">
        <f>IF(OR(CommitmentsTable[[#This Row],[Commitment / deliverable]]="",CommitmentsTable[[#This Row],[Immutable Key]]=""),"",SUBSTITUTE(CommitmentsTable[[#This Row],[Immutable Key]],"-K-","-"))</f>
        <v/>
      </c>
      <c r="B825" s="233"/>
      <c r="C825" s="233"/>
      <c r="D825" s="213"/>
      <c r="E825" s="230"/>
      <c r="F825" s="213"/>
      <c r="G825" s="245" t="str">
        <f ca="1">IF(CommitmentsTable[[#This Row],[Commitment / deliverable]]="","",IF(CommitmentsTable[[#This Row],[Date record entered]]="",TODAY(),CommitmentsTable[[#This Row],[Date record entered]]))</f>
        <v/>
      </c>
      <c r="H825" s="245"/>
      <c r="I825" s="245" t="str">
        <f ca="1">IF(CommitmentsTable[[#This Row],[Date Assigned if different from entry date]]&lt;&gt;"",CommitmentsTable[[#This Row],[Date Assigned if different from entry date]]+90,IF(CommitmentsTable[[#This Row],[Date record entered]]&lt;&gt;"",CommitmentsTable[[#This Row],[Date record entered]]+90,""))</f>
        <v/>
      </c>
      <c r="J825" s="245" t="str">
        <f ca="1">IF(CommitmentsTable[[#This Row],[Date Assigned if different from entry date]]&lt;&gt;"",CommitmentsTable[[#This Row],[Date Assigned if different from entry date]]+30,IF(CommitmentsTable[[#This Row],[Date record entered]]&lt;&gt;"",CommitmentsTable[[#This Row],[Date record entered]]+30,""))</f>
        <v/>
      </c>
      <c r="K825" s="245"/>
      <c r="L825" s="245" t="str">
        <f ca="1">IF(CommitmentsTable[[#This Row],[Date Assigned if different from entry date]]&lt;&gt;"",CommitmentsTable[[#This Row],[Date Assigned if different from entry date]]+60,IF(CommitmentsTable[[#This Row],[Date record entered]]&lt;&gt;"",CommitmentsTable[[#This Row],[Date record entered]]+60,""))</f>
        <v/>
      </c>
      <c r="M825" s="214"/>
      <c r="N825" s="214"/>
      <c r="O825" s="236"/>
      <c r="P825" s="214"/>
      <c r="Q825" s="214"/>
      <c r="R825" s="214"/>
      <c r="S825" s="238" t="str">
        <f>IF(CommitmentsTable[[#This Row],[Commitment / deliverable]]="","",IF(CommitmentsTable[[#This Row],[Revised due]]&lt;&gt;"",CommitmentsTable[[#This Row],[Revised due]],CommitmentsTable[[#This Row],[Original due]]))</f>
        <v/>
      </c>
      <c r="T825" s="237" t="str">
        <f>IF(OR(CommitmentsTable[[#This Row],[Commitment / deliverable]]="",CommitmentsTable[[#This Row],[Owner]]=""),"",IF(CommitmentsTable[[#This Row],[Status2]]="","Open",CommitmentsTable[[#This Row],[Status2]]))</f>
        <v/>
      </c>
      <c r="U825" s="237" t="str">
        <f t="shared" ca="1" si="12"/>
        <v/>
      </c>
      <c r="V825" s="233"/>
      <c r="W825" s="63" t="s">
        <v>1727</v>
      </c>
    </row>
    <row r="826" spans="1:23" ht="26">
      <c r="A826" s="213" t="str">
        <f>IF(OR(CommitmentsTable[[#This Row],[Commitment / deliverable]]="",CommitmentsTable[[#This Row],[Immutable Key]]=""),"",SUBSTITUTE(CommitmentsTable[[#This Row],[Immutable Key]],"-K-","-"))</f>
        <v/>
      </c>
      <c r="B826" s="233"/>
      <c r="C826" s="233"/>
      <c r="D826" s="213"/>
      <c r="E826" s="230"/>
      <c r="F826" s="213"/>
      <c r="G826" s="245" t="str">
        <f ca="1">IF(CommitmentsTable[[#This Row],[Commitment / deliverable]]="","",IF(CommitmentsTable[[#This Row],[Date record entered]]="",TODAY(),CommitmentsTable[[#This Row],[Date record entered]]))</f>
        <v/>
      </c>
      <c r="H826" s="245"/>
      <c r="I826" s="245" t="str">
        <f ca="1">IF(CommitmentsTable[[#This Row],[Date Assigned if different from entry date]]&lt;&gt;"",CommitmentsTable[[#This Row],[Date Assigned if different from entry date]]+90,IF(CommitmentsTable[[#This Row],[Date record entered]]&lt;&gt;"",CommitmentsTable[[#This Row],[Date record entered]]+90,""))</f>
        <v/>
      </c>
      <c r="J826" s="245" t="str">
        <f ca="1">IF(CommitmentsTable[[#This Row],[Date Assigned if different from entry date]]&lt;&gt;"",CommitmentsTable[[#This Row],[Date Assigned if different from entry date]]+30,IF(CommitmentsTable[[#This Row],[Date record entered]]&lt;&gt;"",CommitmentsTable[[#This Row],[Date record entered]]+30,""))</f>
        <v/>
      </c>
      <c r="K826" s="245"/>
      <c r="L826" s="245" t="str">
        <f ca="1">IF(CommitmentsTable[[#This Row],[Date Assigned if different from entry date]]&lt;&gt;"",CommitmentsTable[[#This Row],[Date Assigned if different from entry date]]+60,IF(CommitmentsTable[[#This Row],[Date record entered]]&lt;&gt;"",CommitmentsTable[[#This Row],[Date record entered]]+60,""))</f>
        <v/>
      </c>
      <c r="M826" s="214"/>
      <c r="N826" s="214"/>
      <c r="O826" s="236"/>
      <c r="P826" s="214"/>
      <c r="Q826" s="214"/>
      <c r="R826" s="214"/>
      <c r="S826" s="238" t="str">
        <f>IF(CommitmentsTable[[#This Row],[Commitment / deliverable]]="","",IF(CommitmentsTable[[#This Row],[Revised due]]&lt;&gt;"",CommitmentsTable[[#This Row],[Revised due]],CommitmentsTable[[#This Row],[Original due]]))</f>
        <v/>
      </c>
      <c r="T826" s="237" t="str">
        <f>IF(OR(CommitmentsTable[[#This Row],[Commitment / deliverable]]="",CommitmentsTable[[#This Row],[Owner]]=""),"",IF(CommitmentsTable[[#This Row],[Status2]]="","Open",CommitmentsTable[[#This Row],[Status2]]))</f>
        <v/>
      </c>
      <c r="U826" s="237" t="str">
        <f t="shared" ca="1" si="12"/>
        <v/>
      </c>
      <c r="V826" s="233"/>
      <c r="W826" s="63" t="s">
        <v>1728</v>
      </c>
    </row>
    <row r="827" spans="1:23" ht="26">
      <c r="A827" s="213" t="str">
        <f>IF(OR(CommitmentsTable[[#This Row],[Commitment / deliverable]]="",CommitmentsTable[[#This Row],[Immutable Key]]=""),"",SUBSTITUTE(CommitmentsTable[[#This Row],[Immutable Key]],"-K-","-"))</f>
        <v/>
      </c>
      <c r="B827" s="233"/>
      <c r="C827" s="233"/>
      <c r="D827" s="213"/>
      <c r="E827" s="230"/>
      <c r="F827" s="213"/>
      <c r="G827" s="245" t="str">
        <f ca="1">IF(CommitmentsTable[[#This Row],[Commitment / deliverable]]="","",IF(CommitmentsTable[[#This Row],[Date record entered]]="",TODAY(),CommitmentsTable[[#This Row],[Date record entered]]))</f>
        <v/>
      </c>
      <c r="H827" s="245"/>
      <c r="I827" s="245" t="str">
        <f ca="1">IF(CommitmentsTable[[#This Row],[Date Assigned if different from entry date]]&lt;&gt;"",CommitmentsTable[[#This Row],[Date Assigned if different from entry date]]+90,IF(CommitmentsTable[[#This Row],[Date record entered]]&lt;&gt;"",CommitmentsTable[[#This Row],[Date record entered]]+90,""))</f>
        <v/>
      </c>
      <c r="J827" s="245" t="str">
        <f ca="1">IF(CommitmentsTable[[#This Row],[Date Assigned if different from entry date]]&lt;&gt;"",CommitmentsTable[[#This Row],[Date Assigned if different from entry date]]+30,IF(CommitmentsTable[[#This Row],[Date record entered]]&lt;&gt;"",CommitmentsTable[[#This Row],[Date record entered]]+30,""))</f>
        <v/>
      </c>
      <c r="K827" s="245"/>
      <c r="L827" s="245" t="str">
        <f ca="1">IF(CommitmentsTable[[#This Row],[Date Assigned if different from entry date]]&lt;&gt;"",CommitmentsTable[[#This Row],[Date Assigned if different from entry date]]+60,IF(CommitmentsTable[[#This Row],[Date record entered]]&lt;&gt;"",CommitmentsTable[[#This Row],[Date record entered]]+60,""))</f>
        <v/>
      </c>
      <c r="M827" s="214"/>
      <c r="N827" s="214"/>
      <c r="O827" s="236"/>
      <c r="P827" s="214"/>
      <c r="Q827" s="214"/>
      <c r="R827" s="214"/>
      <c r="S827" s="238" t="str">
        <f>IF(CommitmentsTable[[#This Row],[Commitment / deliverable]]="","",IF(CommitmentsTable[[#This Row],[Revised due]]&lt;&gt;"",CommitmentsTable[[#This Row],[Revised due]],CommitmentsTable[[#This Row],[Original due]]))</f>
        <v/>
      </c>
      <c r="T827" s="237" t="str">
        <f>IF(OR(CommitmentsTable[[#This Row],[Commitment / deliverable]]="",CommitmentsTable[[#This Row],[Owner]]=""),"",IF(CommitmentsTable[[#This Row],[Status2]]="","Open",CommitmentsTable[[#This Row],[Status2]]))</f>
        <v/>
      </c>
      <c r="U827" s="237" t="str">
        <f t="shared" ca="1" si="12"/>
        <v/>
      </c>
      <c r="V827" s="233"/>
      <c r="W827" s="63" t="s">
        <v>1729</v>
      </c>
    </row>
    <row r="828" spans="1:23" ht="26">
      <c r="A828" s="213" t="str">
        <f>IF(OR(CommitmentsTable[[#This Row],[Commitment / deliverable]]="",CommitmentsTable[[#This Row],[Immutable Key]]=""),"",SUBSTITUTE(CommitmentsTable[[#This Row],[Immutable Key]],"-K-","-"))</f>
        <v/>
      </c>
      <c r="B828" s="233"/>
      <c r="C828" s="233"/>
      <c r="D828" s="213"/>
      <c r="E828" s="230"/>
      <c r="F828" s="213"/>
      <c r="G828" s="245" t="str">
        <f ca="1">IF(CommitmentsTable[[#This Row],[Commitment / deliverable]]="","",IF(CommitmentsTable[[#This Row],[Date record entered]]="",TODAY(),CommitmentsTable[[#This Row],[Date record entered]]))</f>
        <v/>
      </c>
      <c r="H828" s="245"/>
      <c r="I828" s="245" t="str">
        <f ca="1">IF(CommitmentsTable[[#This Row],[Date Assigned if different from entry date]]&lt;&gt;"",CommitmentsTable[[#This Row],[Date Assigned if different from entry date]]+90,IF(CommitmentsTable[[#This Row],[Date record entered]]&lt;&gt;"",CommitmentsTable[[#This Row],[Date record entered]]+90,""))</f>
        <v/>
      </c>
      <c r="J828" s="245" t="str">
        <f ca="1">IF(CommitmentsTable[[#This Row],[Date Assigned if different from entry date]]&lt;&gt;"",CommitmentsTable[[#This Row],[Date Assigned if different from entry date]]+30,IF(CommitmentsTable[[#This Row],[Date record entered]]&lt;&gt;"",CommitmentsTable[[#This Row],[Date record entered]]+30,""))</f>
        <v/>
      </c>
      <c r="K828" s="245"/>
      <c r="L828" s="245" t="str">
        <f ca="1">IF(CommitmentsTable[[#This Row],[Date Assigned if different from entry date]]&lt;&gt;"",CommitmentsTable[[#This Row],[Date Assigned if different from entry date]]+60,IF(CommitmentsTable[[#This Row],[Date record entered]]&lt;&gt;"",CommitmentsTable[[#This Row],[Date record entered]]+60,""))</f>
        <v/>
      </c>
      <c r="M828" s="214"/>
      <c r="N828" s="214"/>
      <c r="O828" s="236"/>
      <c r="P828" s="214"/>
      <c r="Q828" s="214"/>
      <c r="R828" s="214"/>
      <c r="S828" s="238" t="str">
        <f>IF(CommitmentsTable[[#This Row],[Commitment / deliverable]]="","",IF(CommitmentsTable[[#This Row],[Revised due]]&lt;&gt;"",CommitmentsTable[[#This Row],[Revised due]],CommitmentsTable[[#This Row],[Original due]]))</f>
        <v/>
      </c>
      <c r="T828" s="237" t="str">
        <f>IF(OR(CommitmentsTable[[#This Row],[Commitment / deliverable]]="",CommitmentsTable[[#This Row],[Owner]]=""),"",IF(CommitmentsTable[[#This Row],[Status2]]="","Open",CommitmentsTable[[#This Row],[Status2]]))</f>
        <v/>
      </c>
      <c r="U828" s="237" t="str">
        <f t="shared" ca="1" si="12"/>
        <v/>
      </c>
      <c r="V828" s="233"/>
      <c r="W828" s="63" t="s">
        <v>1730</v>
      </c>
    </row>
    <row r="829" spans="1:23" ht="26">
      <c r="A829" s="213" t="str">
        <f>IF(OR(CommitmentsTable[[#This Row],[Commitment / deliverable]]="",CommitmentsTable[[#This Row],[Immutable Key]]=""),"",SUBSTITUTE(CommitmentsTable[[#This Row],[Immutable Key]],"-K-","-"))</f>
        <v/>
      </c>
      <c r="B829" s="233"/>
      <c r="C829" s="233"/>
      <c r="D829" s="213"/>
      <c r="E829" s="230"/>
      <c r="F829" s="213"/>
      <c r="G829" s="245" t="str">
        <f ca="1">IF(CommitmentsTable[[#This Row],[Commitment / deliverable]]="","",IF(CommitmentsTable[[#This Row],[Date record entered]]="",TODAY(),CommitmentsTable[[#This Row],[Date record entered]]))</f>
        <v/>
      </c>
      <c r="H829" s="245"/>
      <c r="I829" s="245" t="str">
        <f ca="1">IF(CommitmentsTable[[#This Row],[Date Assigned if different from entry date]]&lt;&gt;"",CommitmentsTable[[#This Row],[Date Assigned if different from entry date]]+90,IF(CommitmentsTable[[#This Row],[Date record entered]]&lt;&gt;"",CommitmentsTable[[#This Row],[Date record entered]]+90,""))</f>
        <v/>
      </c>
      <c r="J829" s="245" t="str">
        <f ca="1">IF(CommitmentsTable[[#This Row],[Date Assigned if different from entry date]]&lt;&gt;"",CommitmentsTable[[#This Row],[Date Assigned if different from entry date]]+30,IF(CommitmentsTable[[#This Row],[Date record entered]]&lt;&gt;"",CommitmentsTable[[#This Row],[Date record entered]]+30,""))</f>
        <v/>
      </c>
      <c r="K829" s="245"/>
      <c r="L829" s="245" t="str">
        <f ca="1">IF(CommitmentsTable[[#This Row],[Date Assigned if different from entry date]]&lt;&gt;"",CommitmentsTable[[#This Row],[Date Assigned if different from entry date]]+60,IF(CommitmentsTable[[#This Row],[Date record entered]]&lt;&gt;"",CommitmentsTable[[#This Row],[Date record entered]]+60,""))</f>
        <v/>
      </c>
      <c r="M829" s="214"/>
      <c r="N829" s="214"/>
      <c r="O829" s="236"/>
      <c r="P829" s="214"/>
      <c r="Q829" s="214"/>
      <c r="R829" s="214"/>
      <c r="S829" s="238" t="str">
        <f>IF(CommitmentsTable[[#This Row],[Commitment / deliverable]]="","",IF(CommitmentsTable[[#This Row],[Revised due]]&lt;&gt;"",CommitmentsTable[[#This Row],[Revised due]],CommitmentsTable[[#This Row],[Original due]]))</f>
        <v/>
      </c>
      <c r="T829" s="237" t="str">
        <f>IF(OR(CommitmentsTable[[#This Row],[Commitment / deliverable]]="",CommitmentsTable[[#This Row],[Owner]]=""),"",IF(CommitmentsTable[[#This Row],[Status2]]="","Open",CommitmentsTable[[#This Row],[Status2]]))</f>
        <v/>
      </c>
      <c r="U829" s="237" t="str">
        <f t="shared" ca="1" si="12"/>
        <v/>
      </c>
      <c r="V829" s="233"/>
      <c r="W829" s="63" t="s">
        <v>1731</v>
      </c>
    </row>
    <row r="830" spans="1:23" ht="26">
      <c r="A830" s="213" t="str">
        <f>IF(OR(CommitmentsTable[[#This Row],[Commitment / deliverable]]="",CommitmentsTable[[#This Row],[Immutable Key]]=""),"",SUBSTITUTE(CommitmentsTable[[#This Row],[Immutable Key]],"-K-","-"))</f>
        <v/>
      </c>
      <c r="B830" s="233"/>
      <c r="C830" s="233"/>
      <c r="D830" s="213"/>
      <c r="E830" s="230"/>
      <c r="F830" s="213"/>
      <c r="G830" s="245" t="str">
        <f ca="1">IF(CommitmentsTable[[#This Row],[Commitment / deliverable]]="","",IF(CommitmentsTable[[#This Row],[Date record entered]]="",TODAY(),CommitmentsTable[[#This Row],[Date record entered]]))</f>
        <v/>
      </c>
      <c r="H830" s="245"/>
      <c r="I830" s="245" t="str">
        <f ca="1">IF(CommitmentsTable[[#This Row],[Date Assigned if different from entry date]]&lt;&gt;"",CommitmentsTable[[#This Row],[Date Assigned if different from entry date]]+90,IF(CommitmentsTable[[#This Row],[Date record entered]]&lt;&gt;"",CommitmentsTable[[#This Row],[Date record entered]]+90,""))</f>
        <v/>
      </c>
      <c r="J830" s="245" t="str">
        <f ca="1">IF(CommitmentsTable[[#This Row],[Date Assigned if different from entry date]]&lt;&gt;"",CommitmentsTable[[#This Row],[Date Assigned if different from entry date]]+30,IF(CommitmentsTable[[#This Row],[Date record entered]]&lt;&gt;"",CommitmentsTable[[#This Row],[Date record entered]]+30,""))</f>
        <v/>
      </c>
      <c r="K830" s="245"/>
      <c r="L830" s="245" t="str">
        <f ca="1">IF(CommitmentsTable[[#This Row],[Date Assigned if different from entry date]]&lt;&gt;"",CommitmentsTable[[#This Row],[Date Assigned if different from entry date]]+60,IF(CommitmentsTable[[#This Row],[Date record entered]]&lt;&gt;"",CommitmentsTable[[#This Row],[Date record entered]]+60,""))</f>
        <v/>
      </c>
      <c r="M830" s="214"/>
      <c r="N830" s="214"/>
      <c r="O830" s="236"/>
      <c r="P830" s="214"/>
      <c r="Q830" s="214"/>
      <c r="R830" s="214"/>
      <c r="S830" s="238" t="str">
        <f>IF(CommitmentsTable[[#This Row],[Commitment / deliverable]]="","",IF(CommitmentsTable[[#This Row],[Revised due]]&lt;&gt;"",CommitmentsTable[[#This Row],[Revised due]],CommitmentsTable[[#This Row],[Original due]]))</f>
        <v/>
      </c>
      <c r="T830" s="237" t="str">
        <f>IF(OR(CommitmentsTable[[#This Row],[Commitment / deliverable]]="",CommitmentsTable[[#This Row],[Owner]]=""),"",IF(CommitmentsTable[[#This Row],[Status2]]="","Open",CommitmentsTable[[#This Row],[Status2]]))</f>
        <v/>
      </c>
      <c r="U830" s="237" t="str">
        <f t="shared" ca="1" si="12"/>
        <v/>
      </c>
      <c r="V830" s="233"/>
      <c r="W830" s="63" t="s">
        <v>1732</v>
      </c>
    </row>
    <row r="831" spans="1:23" ht="26">
      <c r="A831" s="213" t="str">
        <f>IF(OR(CommitmentsTable[[#This Row],[Commitment / deliverable]]="",CommitmentsTable[[#This Row],[Immutable Key]]=""),"",SUBSTITUTE(CommitmentsTable[[#This Row],[Immutable Key]],"-K-","-"))</f>
        <v/>
      </c>
      <c r="B831" s="233"/>
      <c r="C831" s="233"/>
      <c r="D831" s="213"/>
      <c r="E831" s="230"/>
      <c r="F831" s="213"/>
      <c r="G831" s="245" t="str">
        <f ca="1">IF(CommitmentsTable[[#This Row],[Commitment / deliverable]]="","",IF(CommitmentsTable[[#This Row],[Date record entered]]="",TODAY(),CommitmentsTable[[#This Row],[Date record entered]]))</f>
        <v/>
      </c>
      <c r="H831" s="245"/>
      <c r="I831" s="245" t="str">
        <f ca="1">IF(CommitmentsTable[[#This Row],[Date Assigned if different from entry date]]&lt;&gt;"",CommitmentsTable[[#This Row],[Date Assigned if different from entry date]]+90,IF(CommitmentsTable[[#This Row],[Date record entered]]&lt;&gt;"",CommitmentsTable[[#This Row],[Date record entered]]+90,""))</f>
        <v/>
      </c>
      <c r="J831" s="245" t="str">
        <f ca="1">IF(CommitmentsTable[[#This Row],[Date Assigned if different from entry date]]&lt;&gt;"",CommitmentsTable[[#This Row],[Date Assigned if different from entry date]]+30,IF(CommitmentsTable[[#This Row],[Date record entered]]&lt;&gt;"",CommitmentsTable[[#This Row],[Date record entered]]+30,""))</f>
        <v/>
      </c>
      <c r="K831" s="245"/>
      <c r="L831" s="245" t="str">
        <f ca="1">IF(CommitmentsTable[[#This Row],[Date Assigned if different from entry date]]&lt;&gt;"",CommitmentsTable[[#This Row],[Date Assigned if different from entry date]]+60,IF(CommitmentsTable[[#This Row],[Date record entered]]&lt;&gt;"",CommitmentsTable[[#This Row],[Date record entered]]+60,""))</f>
        <v/>
      </c>
      <c r="M831" s="214"/>
      <c r="N831" s="214"/>
      <c r="O831" s="236"/>
      <c r="P831" s="214"/>
      <c r="Q831" s="214"/>
      <c r="R831" s="214"/>
      <c r="S831" s="238" t="str">
        <f>IF(CommitmentsTable[[#This Row],[Commitment / deliverable]]="","",IF(CommitmentsTable[[#This Row],[Revised due]]&lt;&gt;"",CommitmentsTable[[#This Row],[Revised due]],CommitmentsTable[[#This Row],[Original due]]))</f>
        <v/>
      </c>
      <c r="T831" s="237" t="str">
        <f>IF(OR(CommitmentsTable[[#This Row],[Commitment / deliverable]]="",CommitmentsTable[[#This Row],[Owner]]=""),"",IF(CommitmentsTable[[#This Row],[Status2]]="","Open",CommitmentsTable[[#This Row],[Status2]]))</f>
        <v/>
      </c>
      <c r="U831" s="237" t="str">
        <f t="shared" ca="1" si="12"/>
        <v/>
      </c>
      <c r="V831" s="233"/>
      <c r="W831" s="63" t="s">
        <v>1733</v>
      </c>
    </row>
    <row r="832" spans="1:23" ht="26">
      <c r="A832" s="213" t="str">
        <f>IF(OR(CommitmentsTable[[#This Row],[Commitment / deliverable]]="",CommitmentsTable[[#This Row],[Immutable Key]]=""),"",SUBSTITUTE(CommitmentsTable[[#This Row],[Immutable Key]],"-K-","-"))</f>
        <v/>
      </c>
      <c r="B832" s="233"/>
      <c r="C832" s="233"/>
      <c r="D832" s="213"/>
      <c r="E832" s="230"/>
      <c r="F832" s="213"/>
      <c r="G832" s="245" t="str">
        <f ca="1">IF(CommitmentsTable[[#This Row],[Commitment / deliverable]]="","",IF(CommitmentsTable[[#This Row],[Date record entered]]="",TODAY(),CommitmentsTable[[#This Row],[Date record entered]]))</f>
        <v/>
      </c>
      <c r="H832" s="245"/>
      <c r="I832" s="245" t="str">
        <f ca="1">IF(CommitmentsTable[[#This Row],[Date Assigned if different from entry date]]&lt;&gt;"",CommitmentsTable[[#This Row],[Date Assigned if different from entry date]]+90,IF(CommitmentsTable[[#This Row],[Date record entered]]&lt;&gt;"",CommitmentsTable[[#This Row],[Date record entered]]+90,""))</f>
        <v/>
      </c>
      <c r="J832" s="245" t="str">
        <f ca="1">IF(CommitmentsTable[[#This Row],[Date Assigned if different from entry date]]&lt;&gt;"",CommitmentsTable[[#This Row],[Date Assigned if different from entry date]]+30,IF(CommitmentsTable[[#This Row],[Date record entered]]&lt;&gt;"",CommitmentsTable[[#This Row],[Date record entered]]+30,""))</f>
        <v/>
      </c>
      <c r="K832" s="245"/>
      <c r="L832" s="245" t="str">
        <f ca="1">IF(CommitmentsTable[[#This Row],[Date Assigned if different from entry date]]&lt;&gt;"",CommitmentsTable[[#This Row],[Date Assigned if different from entry date]]+60,IF(CommitmentsTable[[#This Row],[Date record entered]]&lt;&gt;"",CommitmentsTable[[#This Row],[Date record entered]]+60,""))</f>
        <v/>
      </c>
      <c r="M832" s="214"/>
      <c r="N832" s="214"/>
      <c r="O832" s="236"/>
      <c r="P832" s="214"/>
      <c r="Q832" s="214"/>
      <c r="R832" s="214"/>
      <c r="S832" s="238" t="str">
        <f>IF(CommitmentsTable[[#This Row],[Commitment / deliverable]]="","",IF(CommitmentsTable[[#This Row],[Revised due]]&lt;&gt;"",CommitmentsTable[[#This Row],[Revised due]],CommitmentsTable[[#This Row],[Original due]]))</f>
        <v/>
      </c>
      <c r="T832" s="237" t="str">
        <f>IF(OR(CommitmentsTable[[#This Row],[Commitment / deliverable]]="",CommitmentsTable[[#This Row],[Owner]]=""),"",IF(CommitmentsTable[[#This Row],[Status2]]="","Open",CommitmentsTable[[#This Row],[Status2]]))</f>
        <v/>
      </c>
      <c r="U832" s="237" t="str">
        <f t="shared" ca="1" si="12"/>
        <v/>
      </c>
      <c r="V832" s="233"/>
      <c r="W832" s="63" t="s">
        <v>1734</v>
      </c>
    </row>
    <row r="833" spans="1:23" ht="26">
      <c r="A833" s="213" t="str">
        <f>IF(OR(CommitmentsTable[[#This Row],[Commitment / deliverable]]="",CommitmentsTable[[#This Row],[Immutable Key]]=""),"",SUBSTITUTE(CommitmentsTable[[#This Row],[Immutable Key]],"-K-","-"))</f>
        <v/>
      </c>
      <c r="B833" s="233"/>
      <c r="C833" s="233"/>
      <c r="D833" s="213"/>
      <c r="E833" s="230"/>
      <c r="F833" s="213"/>
      <c r="G833" s="245" t="str">
        <f ca="1">IF(CommitmentsTable[[#This Row],[Commitment / deliverable]]="","",IF(CommitmentsTable[[#This Row],[Date record entered]]="",TODAY(),CommitmentsTable[[#This Row],[Date record entered]]))</f>
        <v/>
      </c>
      <c r="H833" s="245"/>
      <c r="I833" s="245" t="str">
        <f ca="1">IF(CommitmentsTable[[#This Row],[Date Assigned if different from entry date]]&lt;&gt;"",CommitmentsTable[[#This Row],[Date Assigned if different from entry date]]+90,IF(CommitmentsTable[[#This Row],[Date record entered]]&lt;&gt;"",CommitmentsTable[[#This Row],[Date record entered]]+90,""))</f>
        <v/>
      </c>
      <c r="J833" s="245" t="str">
        <f ca="1">IF(CommitmentsTable[[#This Row],[Date Assigned if different from entry date]]&lt;&gt;"",CommitmentsTable[[#This Row],[Date Assigned if different from entry date]]+30,IF(CommitmentsTable[[#This Row],[Date record entered]]&lt;&gt;"",CommitmentsTable[[#This Row],[Date record entered]]+30,""))</f>
        <v/>
      </c>
      <c r="K833" s="245"/>
      <c r="L833" s="245" t="str">
        <f ca="1">IF(CommitmentsTable[[#This Row],[Date Assigned if different from entry date]]&lt;&gt;"",CommitmentsTable[[#This Row],[Date Assigned if different from entry date]]+60,IF(CommitmentsTable[[#This Row],[Date record entered]]&lt;&gt;"",CommitmentsTable[[#This Row],[Date record entered]]+60,""))</f>
        <v/>
      </c>
      <c r="M833" s="214"/>
      <c r="N833" s="214"/>
      <c r="O833" s="236"/>
      <c r="P833" s="214"/>
      <c r="Q833" s="214"/>
      <c r="R833" s="214"/>
      <c r="S833" s="238" t="str">
        <f>IF(CommitmentsTable[[#This Row],[Commitment / deliverable]]="","",IF(CommitmentsTable[[#This Row],[Revised due]]&lt;&gt;"",CommitmentsTable[[#This Row],[Revised due]],CommitmentsTable[[#This Row],[Original due]]))</f>
        <v/>
      </c>
      <c r="T833" s="237" t="str">
        <f>IF(OR(CommitmentsTable[[#This Row],[Commitment / deliverable]]="",CommitmentsTable[[#This Row],[Owner]]=""),"",IF(CommitmentsTable[[#This Row],[Status2]]="","Open",CommitmentsTable[[#This Row],[Status2]]))</f>
        <v/>
      </c>
      <c r="U833" s="237" t="str">
        <f t="shared" ca="1" si="12"/>
        <v/>
      </c>
      <c r="V833" s="233"/>
      <c r="W833" s="63" t="s">
        <v>1735</v>
      </c>
    </row>
    <row r="834" spans="1:23" ht="26">
      <c r="A834" s="213" t="str">
        <f>IF(OR(CommitmentsTable[[#This Row],[Commitment / deliverable]]="",CommitmentsTable[[#This Row],[Immutable Key]]=""),"",SUBSTITUTE(CommitmentsTable[[#This Row],[Immutable Key]],"-K-","-"))</f>
        <v/>
      </c>
      <c r="B834" s="233"/>
      <c r="C834" s="233"/>
      <c r="D834" s="213"/>
      <c r="E834" s="230"/>
      <c r="F834" s="213"/>
      <c r="G834" s="245" t="str">
        <f ca="1">IF(CommitmentsTable[[#This Row],[Commitment / deliverable]]="","",IF(CommitmentsTable[[#This Row],[Date record entered]]="",TODAY(),CommitmentsTable[[#This Row],[Date record entered]]))</f>
        <v/>
      </c>
      <c r="H834" s="245"/>
      <c r="I834" s="245" t="str">
        <f ca="1">IF(CommitmentsTable[[#This Row],[Date Assigned if different from entry date]]&lt;&gt;"",CommitmentsTable[[#This Row],[Date Assigned if different from entry date]]+90,IF(CommitmentsTable[[#This Row],[Date record entered]]&lt;&gt;"",CommitmentsTable[[#This Row],[Date record entered]]+90,""))</f>
        <v/>
      </c>
      <c r="J834" s="245" t="str">
        <f ca="1">IF(CommitmentsTable[[#This Row],[Date Assigned if different from entry date]]&lt;&gt;"",CommitmentsTable[[#This Row],[Date Assigned if different from entry date]]+30,IF(CommitmentsTable[[#This Row],[Date record entered]]&lt;&gt;"",CommitmentsTable[[#This Row],[Date record entered]]+30,""))</f>
        <v/>
      </c>
      <c r="K834" s="245"/>
      <c r="L834" s="245" t="str">
        <f ca="1">IF(CommitmentsTable[[#This Row],[Date Assigned if different from entry date]]&lt;&gt;"",CommitmentsTable[[#This Row],[Date Assigned if different from entry date]]+60,IF(CommitmentsTable[[#This Row],[Date record entered]]&lt;&gt;"",CommitmentsTable[[#This Row],[Date record entered]]+60,""))</f>
        <v/>
      </c>
      <c r="M834" s="214"/>
      <c r="N834" s="214"/>
      <c r="O834" s="236"/>
      <c r="P834" s="214"/>
      <c r="Q834" s="214"/>
      <c r="R834" s="214"/>
      <c r="S834" s="238" t="str">
        <f>IF(CommitmentsTable[[#This Row],[Commitment / deliverable]]="","",IF(CommitmentsTable[[#This Row],[Revised due]]&lt;&gt;"",CommitmentsTable[[#This Row],[Revised due]],CommitmentsTable[[#This Row],[Original due]]))</f>
        <v/>
      </c>
      <c r="T834" s="237" t="str">
        <f>IF(OR(CommitmentsTable[[#This Row],[Commitment / deliverable]]="",CommitmentsTable[[#This Row],[Owner]]=""),"",IF(CommitmentsTable[[#This Row],[Status2]]="","Open",CommitmentsTable[[#This Row],[Status2]]))</f>
        <v/>
      </c>
      <c r="U834" s="237" t="str">
        <f t="shared" ca="1" si="12"/>
        <v/>
      </c>
      <c r="V834" s="233"/>
      <c r="W834" s="63" t="s">
        <v>1736</v>
      </c>
    </row>
    <row r="835" spans="1:23" ht="26">
      <c r="A835" s="213" t="str">
        <f>IF(OR(CommitmentsTable[[#This Row],[Commitment / deliverable]]="",CommitmentsTable[[#This Row],[Immutable Key]]=""),"",SUBSTITUTE(CommitmentsTable[[#This Row],[Immutable Key]],"-K-","-"))</f>
        <v/>
      </c>
      <c r="B835" s="233"/>
      <c r="C835" s="233"/>
      <c r="D835" s="213"/>
      <c r="E835" s="230"/>
      <c r="F835" s="213"/>
      <c r="G835" s="245" t="str">
        <f ca="1">IF(CommitmentsTable[[#This Row],[Commitment / deliverable]]="","",IF(CommitmentsTable[[#This Row],[Date record entered]]="",TODAY(),CommitmentsTable[[#This Row],[Date record entered]]))</f>
        <v/>
      </c>
      <c r="H835" s="245"/>
      <c r="I835" s="245" t="str">
        <f ca="1">IF(CommitmentsTable[[#This Row],[Date Assigned if different from entry date]]&lt;&gt;"",CommitmentsTable[[#This Row],[Date Assigned if different from entry date]]+90,IF(CommitmentsTable[[#This Row],[Date record entered]]&lt;&gt;"",CommitmentsTable[[#This Row],[Date record entered]]+90,""))</f>
        <v/>
      </c>
      <c r="J835" s="245" t="str">
        <f ca="1">IF(CommitmentsTable[[#This Row],[Date Assigned if different from entry date]]&lt;&gt;"",CommitmentsTable[[#This Row],[Date Assigned if different from entry date]]+30,IF(CommitmentsTable[[#This Row],[Date record entered]]&lt;&gt;"",CommitmentsTable[[#This Row],[Date record entered]]+30,""))</f>
        <v/>
      </c>
      <c r="K835" s="245"/>
      <c r="L835" s="245" t="str">
        <f ca="1">IF(CommitmentsTable[[#This Row],[Date Assigned if different from entry date]]&lt;&gt;"",CommitmentsTable[[#This Row],[Date Assigned if different from entry date]]+60,IF(CommitmentsTable[[#This Row],[Date record entered]]&lt;&gt;"",CommitmentsTable[[#This Row],[Date record entered]]+60,""))</f>
        <v/>
      </c>
      <c r="M835" s="214"/>
      <c r="N835" s="214"/>
      <c r="O835" s="236"/>
      <c r="P835" s="214"/>
      <c r="Q835" s="214"/>
      <c r="R835" s="214"/>
      <c r="S835" s="238" t="str">
        <f>IF(CommitmentsTable[[#This Row],[Commitment / deliverable]]="","",IF(CommitmentsTable[[#This Row],[Revised due]]&lt;&gt;"",CommitmentsTable[[#This Row],[Revised due]],CommitmentsTable[[#This Row],[Original due]]))</f>
        <v/>
      </c>
      <c r="T835" s="237" t="str">
        <f>IF(OR(CommitmentsTable[[#This Row],[Commitment / deliverable]]="",CommitmentsTable[[#This Row],[Owner]]=""),"",IF(CommitmentsTable[[#This Row],[Status2]]="","Open",CommitmentsTable[[#This Row],[Status2]]))</f>
        <v/>
      </c>
      <c r="U835" s="237" t="str">
        <f t="shared" ca="1" si="12"/>
        <v/>
      </c>
      <c r="V835" s="233"/>
      <c r="W835" s="63" t="s">
        <v>1737</v>
      </c>
    </row>
    <row r="836" spans="1:23" ht="26">
      <c r="A836" s="213" t="str">
        <f>IF(OR(CommitmentsTable[[#This Row],[Commitment / deliverable]]="",CommitmentsTable[[#This Row],[Immutable Key]]=""),"",SUBSTITUTE(CommitmentsTable[[#This Row],[Immutable Key]],"-K-","-"))</f>
        <v/>
      </c>
      <c r="B836" s="233"/>
      <c r="C836" s="233"/>
      <c r="D836" s="213"/>
      <c r="E836" s="230"/>
      <c r="F836" s="213"/>
      <c r="G836" s="245" t="str">
        <f ca="1">IF(CommitmentsTable[[#This Row],[Commitment / deliverable]]="","",IF(CommitmentsTable[[#This Row],[Date record entered]]="",TODAY(),CommitmentsTable[[#This Row],[Date record entered]]))</f>
        <v/>
      </c>
      <c r="H836" s="245"/>
      <c r="I836" s="245" t="str">
        <f ca="1">IF(CommitmentsTable[[#This Row],[Date Assigned if different from entry date]]&lt;&gt;"",CommitmentsTable[[#This Row],[Date Assigned if different from entry date]]+90,IF(CommitmentsTable[[#This Row],[Date record entered]]&lt;&gt;"",CommitmentsTable[[#This Row],[Date record entered]]+90,""))</f>
        <v/>
      </c>
      <c r="J836" s="245" t="str">
        <f ca="1">IF(CommitmentsTable[[#This Row],[Date Assigned if different from entry date]]&lt;&gt;"",CommitmentsTable[[#This Row],[Date Assigned if different from entry date]]+30,IF(CommitmentsTable[[#This Row],[Date record entered]]&lt;&gt;"",CommitmentsTable[[#This Row],[Date record entered]]+30,""))</f>
        <v/>
      </c>
      <c r="K836" s="245"/>
      <c r="L836" s="245" t="str">
        <f ca="1">IF(CommitmentsTable[[#This Row],[Date Assigned if different from entry date]]&lt;&gt;"",CommitmentsTable[[#This Row],[Date Assigned if different from entry date]]+60,IF(CommitmentsTable[[#This Row],[Date record entered]]&lt;&gt;"",CommitmentsTable[[#This Row],[Date record entered]]+60,""))</f>
        <v/>
      </c>
      <c r="M836" s="214"/>
      <c r="N836" s="214"/>
      <c r="O836" s="236"/>
      <c r="P836" s="214"/>
      <c r="Q836" s="214"/>
      <c r="R836" s="214"/>
      <c r="S836" s="238" t="str">
        <f>IF(CommitmentsTable[[#This Row],[Commitment / deliverable]]="","",IF(CommitmentsTable[[#This Row],[Revised due]]&lt;&gt;"",CommitmentsTable[[#This Row],[Revised due]],CommitmentsTable[[#This Row],[Original due]]))</f>
        <v/>
      </c>
      <c r="T836" s="237" t="str">
        <f>IF(OR(CommitmentsTable[[#This Row],[Commitment / deliverable]]="",CommitmentsTable[[#This Row],[Owner]]=""),"",IF(CommitmentsTable[[#This Row],[Status2]]="","Open",CommitmentsTable[[#This Row],[Status2]]))</f>
        <v/>
      </c>
      <c r="U836" s="237" t="str">
        <f t="shared" ca="1" si="12"/>
        <v/>
      </c>
      <c r="V836" s="233"/>
      <c r="W836" s="63" t="s">
        <v>1738</v>
      </c>
    </row>
    <row r="837" spans="1:23" ht="26">
      <c r="A837" s="213" t="str">
        <f>IF(OR(CommitmentsTable[[#This Row],[Commitment / deliverable]]="",CommitmentsTable[[#This Row],[Immutable Key]]=""),"",SUBSTITUTE(CommitmentsTable[[#This Row],[Immutable Key]],"-K-","-"))</f>
        <v/>
      </c>
      <c r="B837" s="233"/>
      <c r="C837" s="233"/>
      <c r="D837" s="213"/>
      <c r="E837" s="230"/>
      <c r="F837" s="213"/>
      <c r="G837" s="245" t="str">
        <f ca="1">IF(CommitmentsTable[[#This Row],[Commitment / deliverable]]="","",IF(CommitmentsTable[[#This Row],[Date record entered]]="",TODAY(),CommitmentsTable[[#This Row],[Date record entered]]))</f>
        <v/>
      </c>
      <c r="H837" s="245"/>
      <c r="I837" s="245" t="str">
        <f ca="1">IF(CommitmentsTable[[#This Row],[Date Assigned if different from entry date]]&lt;&gt;"",CommitmentsTable[[#This Row],[Date Assigned if different from entry date]]+90,IF(CommitmentsTable[[#This Row],[Date record entered]]&lt;&gt;"",CommitmentsTable[[#This Row],[Date record entered]]+90,""))</f>
        <v/>
      </c>
      <c r="J837" s="245" t="str">
        <f ca="1">IF(CommitmentsTable[[#This Row],[Date Assigned if different from entry date]]&lt;&gt;"",CommitmentsTable[[#This Row],[Date Assigned if different from entry date]]+30,IF(CommitmentsTable[[#This Row],[Date record entered]]&lt;&gt;"",CommitmentsTable[[#This Row],[Date record entered]]+30,""))</f>
        <v/>
      </c>
      <c r="K837" s="245"/>
      <c r="L837" s="245" t="str">
        <f ca="1">IF(CommitmentsTable[[#This Row],[Date Assigned if different from entry date]]&lt;&gt;"",CommitmentsTable[[#This Row],[Date Assigned if different from entry date]]+60,IF(CommitmentsTable[[#This Row],[Date record entered]]&lt;&gt;"",CommitmentsTable[[#This Row],[Date record entered]]+60,""))</f>
        <v/>
      </c>
      <c r="M837" s="214"/>
      <c r="N837" s="214"/>
      <c r="O837" s="236"/>
      <c r="P837" s="214"/>
      <c r="Q837" s="214"/>
      <c r="R837" s="214"/>
      <c r="S837" s="238" t="str">
        <f>IF(CommitmentsTable[[#This Row],[Commitment / deliverable]]="","",IF(CommitmentsTable[[#This Row],[Revised due]]&lt;&gt;"",CommitmentsTable[[#This Row],[Revised due]],CommitmentsTable[[#This Row],[Original due]]))</f>
        <v/>
      </c>
      <c r="T837" s="237" t="str">
        <f>IF(OR(CommitmentsTable[[#This Row],[Commitment / deliverable]]="",CommitmentsTable[[#This Row],[Owner]]=""),"",IF(CommitmentsTable[[#This Row],[Status2]]="","Open",CommitmentsTable[[#This Row],[Status2]]))</f>
        <v/>
      </c>
      <c r="U837" s="237" t="str">
        <f t="shared" ca="1" si="12"/>
        <v/>
      </c>
      <c r="V837" s="233"/>
      <c r="W837" s="63" t="s">
        <v>1739</v>
      </c>
    </row>
    <row r="838" spans="1:23" ht="26">
      <c r="A838" s="213" t="str">
        <f>IF(OR(CommitmentsTable[[#This Row],[Commitment / deliverable]]="",CommitmentsTable[[#This Row],[Immutable Key]]=""),"",SUBSTITUTE(CommitmentsTable[[#This Row],[Immutable Key]],"-K-","-"))</f>
        <v/>
      </c>
      <c r="B838" s="233"/>
      <c r="C838" s="233"/>
      <c r="D838" s="213"/>
      <c r="E838" s="230"/>
      <c r="F838" s="213"/>
      <c r="G838" s="245" t="str">
        <f ca="1">IF(CommitmentsTable[[#This Row],[Commitment / deliverable]]="","",IF(CommitmentsTable[[#This Row],[Date record entered]]="",TODAY(),CommitmentsTable[[#This Row],[Date record entered]]))</f>
        <v/>
      </c>
      <c r="H838" s="245"/>
      <c r="I838" s="245" t="str">
        <f ca="1">IF(CommitmentsTable[[#This Row],[Date Assigned if different from entry date]]&lt;&gt;"",CommitmentsTable[[#This Row],[Date Assigned if different from entry date]]+90,IF(CommitmentsTable[[#This Row],[Date record entered]]&lt;&gt;"",CommitmentsTable[[#This Row],[Date record entered]]+90,""))</f>
        <v/>
      </c>
      <c r="J838" s="245" t="str">
        <f ca="1">IF(CommitmentsTable[[#This Row],[Date Assigned if different from entry date]]&lt;&gt;"",CommitmentsTable[[#This Row],[Date Assigned if different from entry date]]+30,IF(CommitmentsTable[[#This Row],[Date record entered]]&lt;&gt;"",CommitmentsTable[[#This Row],[Date record entered]]+30,""))</f>
        <v/>
      </c>
      <c r="K838" s="245"/>
      <c r="L838" s="245" t="str">
        <f ca="1">IF(CommitmentsTable[[#This Row],[Date Assigned if different from entry date]]&lt;&gt;"",CommitmentsTable[[#This Row],[Date Assigned if different from entry date]]+60,IF(CommitmentsTable[[#This Row],[Date record entered]]&lt;&gt;"",CommitmentsTable[[#This Row],[Date record entered]]+60,""))</f>
        <v/>
      </c>
      <c r="M838" s="214"/>
      <c r="N838" s="214"/>
      <c r="O838" s="236"/>
      <c r="P838" s="214"/>
      <c r="Q838" s="214"/>
      <c r="R838" s="214"/>
      <c r="S838" s="238" t="str">
        <f>IF(CommitmentsTable[[#This Row],[Commitment / deliverable]]="","",IF(CommitmentsTable[[#This Row],[Revised due]]&lt;&gt;"",CommitmentsTable[[#This Row],[Revised due]],CommitmentsTable[[#This Row],[Original due]]))</f>
        <v/>
      </c>
      <c r="T838" s="237" t="str">
        <f>IF(OR(CommitmentsTable[[#This Row],[Commitment / deliverable]]="",CommitmentsTable[[#This Row],[Owner]]=""),"",IF(CommitmentsTable[[#This Row],[Status2]]="","Open",CommitmentsTable[[#This Row],[Status2]]))</f>
        <v/>
      </c>
      <c r="U838" s="237" t="str">
        <f t="shared" ca="1" si="12"/>
        <v/>
      </c>
      <c r="V838" s="233"/>
      <c r="W838" s="63" t="s">
        <v>1740</v>
      </c>
    </row>
    <row r="839" spans="1:23" ht="26">
      <c r="A839" s="213" t="str">
        <f>IF(OR(CommitmentsTable[[#This Row],[Commitment / deliverable]]="",CommitmentsTable[[#This Row],[Immutable Key]]=""),"",SUBSTITUTE(CommitmentsTable[[#This Row],[Immutable Key]],"-K-","-"))</f>
        <v/>
      </c>
      <c r="B839" s="233"/>
      <c r="C839" s="233"/>
      <c r="D839" s="213"/>
      <c r="E839" s="230"/>
      <c r="F839" s="213"/>
      <c r="G839" s="245" t="str">
        <f ca="1">IF(CommitmentsTable[[#This Row],[Commitment / deliverable]]="","",IF(CommitmentsTable[[#This Row],[Date record entered]]="",TODAY(),CommitmentsTable[[#This Row],[Date record entered]]))</f>
        <v/>
      </c>
      <c r="H839" s="245"/>
      <c r="I839" s="245" t="str">
        <f ca="1">IF(CommitmentsTable[[#This Row],[Date Assigned if different from entry date]]&lt;&gt;"",CommitmentsTable[[#This Row],[Date Assigned if different from entry date]]+90,IF(CommitmentsTable[[#This Row],[Date record entered]]&lt;&gt;"",CommitmentsTable[[#This Row],[Date record entered]]+90,""))</f>
        <v/>
      </c>
      <c r="J839" s="245" t="str">
        <f ca="1">IF(CommitmentsTable[[#This Row],[Date Assigned if different from entry date]]&lt;&gt;"",CommitmentsTable[[#This Row],[Date Assigned if different from entry date]]+30,IF(CommitmentsTable[[#This Row],[Date record entered]]&lt;&gt;"",CommitmentsTable[[#This Row],[Date record entered]]+30,""))</f>
        <v/>
      </c>
      <c r="K839" s="245"/>
      <c r="L839" s="245" t="str">
        <f ca="1">IF(CommitmentsTable[[#This Row],[Date Assigned if different from entry date]]&lt;&gt;"",CommitmentsTable[[#This Row],[Date Assigned if different from entry date]]+60,IF(CommitmentsTable[[#This Row],[Date record entered]]&lt;&gt;"",CommitmentsTable[[#This Row],[Date record entered]]+60,""))</f>
        <v/>
      </c>
      <c r="M839" s="214"/>
      <c r="N839" s="214"/>
      <c r="O839" s="236"/>
      <c r="P839" s="214"/>
      <c r="Q839" s="214"/>
      <c r="R839" s="214"/>
      <c r="S839" s="238" t="str">
        <f>IF(CommitmentsTable[[#This Row],[Commitment / deliverable]]="","",IF(CommitmentsTable[[#This Row],[Revised due]]&lt;&gt;"",CommitmentsTable[[#This Row],[Revised due]],CommitmentsTable[[#This Row],[Original due]]))</f>
        <v/>
      </c>
      <c r="T839" s="237" t="str">
        <f>IF(OR(CommitmentsTable[[#This Row],[Commitment / deliverable]]="",CommitmentsTable[[#This Row],[Owner]]=""),"",IF(CommitmentsTable[[#This Row],[Status2]]="","Open",CommitmentsTable[[#This Row],[Status2]]))</f>
        <v/>
      </c>
      <c r="U839" s="237" t="str">
        <f t="shared" ca="1" si="12"/>
        <v/>
      </c>
      <c r="V839" s="233"/>
      <c r="W839" s="63" t="s">
        <v>1741</v>
      </c>
    </row>
    <row r="840" spans="1:23" ht="26">
      <c r="A840" s="213" t="str">
        <f>IF(OR(CommitmentsTable[[#This Row],[Commitment / deliverable]]="",CommitmentsTable[[#This Row],[Immutable Key]]=""),"",SUBSTITUTE(CommitmentsTable[[#This Row],[Immutable Key]],"-K-","-"))</f>
        <v/>
      </c>
      <c r="B840" s="233"/>
      <c r="C840" s="233"/>
      <c r="D840" s="213"/>
      <c r="E840" s="230"/>
      <c r="F840" s="213"/>
      <c r="G840" s="245" t="str">
        <f ca="1">IF(CommitmentsTable[[#This Row],[Commitment / deliverable]]="","",IF(CommitmentsTable[[#This Row],[Date record entered]]="",TODAY(),CommitmentsTable[[#This Row],[Date record entered]]))</f>
        <v/>
      </c>
      <c r="H840" s="245"/>
      <c r="I840" s="245" t="str">
        <f ca="1">IF(CommitmentsTable[[#This Row],[Date Assigned if different from entry date]]&lt;&gt;"",CommitmentsTable[[#This Row],[Date Assigned if different from entry date]]+90,IF(CommitmentsTable[[#This Row],[Date record entered]]&lt;&gt;"",CommitmentsTable[[#This Row],[Date record entered]]+90,""))</f>
        <v/>
      </c>
      <c r="J840" s="245" t="str">
        <f ca="1">IF(CommitmentsTable[[#This Row],[Date Assigned if different from entry date]]&lt;&gt;"",CommitmentsTable[[#This Row],[Date Assigned if different from entry date]]+30,IF(CommitmentsTable[[#This Row],[Date record entered]]&lt;&gt;"",CommitmentsTable[[#This Row],[Date record entered]]+30,""))</f>
        <v/>
      </c>
      <c r="K840" s="245"/>
      <c r="L840" s="245" t="str">
        <f ca="1">IF(CommitmentsTable[[#This Row],[Date Assigned if different from entry date]]&lt;&gt;"",CommitmentsTable[[#This Row],[Date Assigned if different from entry date]]+60,IF(CommitmentsTable[[#This Row],[Date record entered]]&lt;&gt;"",CommitmentsTable[[#This Row],[Date record entered]]+60,""))</f>
        <v/>
      </c>
      <c r="M840" s="214"/>
      <c r="N840" s="214"/>
      <c r="O840" s="236"/>
      <c r="P840" s="214"/>
      <c r="Q840" s="214"/>
      <c r="R840" s="214"/>
      <c r="S840" s="238" t="str">
        <f>IF(CommitmentsTable[[#This Row],[Commitment / deliverable]]="","",IF(CommitmentsTable[[#This Row],[Revised due]]&lt;&gt;"",CommitmentsTable[[#This Row],[Revised due]],CommitmentsTable[[#This Row],[Original due]]))</f>
        <v/>
      </c>
      <c r="T840" s="237" t="str">
        <f>IF(OR(CommitmentsTable[[#This Row],[Commitment / deliverable]]="",CommitmentsTable[[#This Row],[Owner]]=""),"",IF(CommitmentsTable[[#This Row],[Status2]]="","Open",CommitmentsTable[[#This Row],[Status2]]))</f>
        <v/>
      </c>
      <c r="U840" s="237" t="str">
        <f t="shared" ca="1" si="12"/>
        <v/>
      </c>
      <c r="V840" s="233"/>
      <c r="W840" s="63" t="s">
        <v>1742</v>
      </c>
    </row>
    <row r="841" spans="1:23" ht="26">
      <c r="A841" s="213" t="str">
        <f>IF(OR(CommitmentsTable[[#This Row],[Commitment / deliverable]]="",CommitmentsTable[[#This Row],[Immutable Key]]=""),"",SUBSTITUTE(CommitmentsTable[[#This Row],[Immutable Key]],"-K-","-"))</f>
        <v/>
      </c>
      <c r="B841" s="233"/>
      <c r="C841" s="233"/>
      <c r="D841" s="213"/>
      <c r="E841" s="230"/>
      <c r="F841" s="213"/>
      <c r="G841" s="245" t="str">
        <f ca="1">IF(CommitmentsTable[[#This Row],[Commitment / deliverable]]="","",IF(CommitmentsTable[[#This Row],[Date record entered]]="",TODAY(),CommitmentsTable[[#This Row],[Date record entered]]))</f>
        <v/>
      </c>
      <c r="H841" s="245"/>
      <c r="I841" s="245" t="str">
        <f ca="1">IF(CommitmentsTable[[#This Row],[Date Assigned if different from entry date]]&lt;&gt;"",CommitmentsTable[[#This Row],[Date Assigned if different from entry date]]+90,IF(CommitmentsTable[[#This Row],[Date record entered]]&lt;&gt;"",CommitmentsTable[[#This Row],[Date record entered]]+90,""))</f>
        <v/>
      </c>
      <c r="J841" s="245" t="str">
        <f ca="1">IF(CommitmentsTable[[#This Row],[Date Assigned if different from entry date]]&lt;&gt;"",CommitmentsTable[[#This Row],[Date Assigned if different from entry date]]+30,IF(CommitmentsTable[[#This Row],[Date record entered]]&lt;&gt;"",CommitmentsTable[[#This Row],[Date record entered]]+30,""))</f>
        <v/>
      </c>
      <c r="K841" s="245"/>
      <c r="L841" s="245" t="str">
        <f ca="1">IF(CommitmentsTable[[#This Row],[Date Assigned if different from entry date]]&lt;&gt;"",CommitmentsTable[[#This Row],[Date Assigned if different from entry date]]+60,IF(CommitmentsTable[[#This Row],[Date record entered]]&lt;&gt;"",CommitmentsTable[[#This Row],[Date record entered]]+60,""))</f>
        <v/>
      </c>
      <c r="M841" s="214"/>
      <c r="N841" s="214"/>
      <c r="O841" s="236"/>
      <c r="P841" s="214"/>
      <c r="Q841" s="214"/>
      <c r="R841" s="214"/>
      <c r="S841" s="238" t="str">
        <f>IF(CommitmentsTable[[#This Row],[Commitment / deliverable]]="","",IF(CommitmentsTable[[#This Row],[Revised due]]&lt;&gt;"",CommitmentsTable[[#This Row],[Revised due]],CommitmentsTable[[#This Row],[Original due]]))</f>
        <v/>
      </c>
      <c r="T841" s="237" t="str">
        <f>IF(OR(CommitmentsTable[[#This Row],[Commitment / deliverable]]="",CommitmentsTable[[#This Row],[Owner]]=""),"",IF(CommitmentsTable[[#This Row],[Status2]]="","Open",CommitmentsTable[[#This Row],[Status2]]))</f>
        <v/>
      </c>
      <c r="U841" s="237" t="str">
        <f t="shared" ca="1" si="12"/>
        <v/>
      </c>
      <c r="V841" s="233"/>
      <c r="W841" s="63" t="s">
        <v>1743</v>
      </c>
    </row>
    <row r="842" spans="1:23" ht="26">
      <c r="A842" s="213" t="str">
        <f>IF(OR(CommitmentsTable[[#This Row],[Commitment / deliverable]]="",CommitmentsTable[[#This Row],[Immutable Key]]=""),"",SUBSTITUTE(CommitmentsTable[[#This Row],[Immutable Key]],"-K-","-"))</f>
        <v/>
      </c>
      <c r="B842" s="233"/>
      <c r="C842" s="233"/>
      <c r="D842" s="213"/>
      <c r="E842" s="230"/>
      <c r="F842" s="213"/>
      <c r="G842" s="245" t="str">
        <f ca="1">IF(CommitmentsTable[[#This Row],[Commitment / deliverable]]="","",IF(CommitmentsTable[[#This Row],[Date record entered]]="",TODAY(),CommitmentsTable[[#This Row],[Date record entered]]))</f>
        <v/>
      </c>
      <c r="H842" s="245"/>
      <c r="I842" s="245" t="str">
        <f ca="1">IF(CommitmentsTable[[#This Row],[Date Assigned if different from entry date]]&lt;&gt;"",CommitmentsTable[[#This Row],[Date Assigned if different from entry date]]+90,IF(CommitmentsTable[[#This Row],[Date record entered]]&lt;&gt;"",CommitmentsTable[[#This Row],[Date record entered]]+90,""))</f>
        <v/>
      </c>
      <c r="J842" s="245" t="str">
        <f ca="1">IF(CommitmentsTable[[#This Row],[Date Assigned if different from entry date]]&lt;&gt;"",CommitmentsTable[[#This Row],[Date Assigned if different from entry date]]+30,IF(CommitmentsTable[[#This Row],[Date record entered]]&lt;&gt;"",CommitmentsTable[[#This Row],[Date record entered]]+30,""))</f>
        <v/>
      </c>
      <c r="K842" s="245"/>
      <c r="L842" s="245" t="str">
        <f ca="1">IF(CommitmentsTable[[#This Row],[Date Assigned if different from entry date]]&lt;&gt;"",CommitmentsTable[[#This Row],[Date Assigned if different from entry date]]+60,IF(CommitmentsTable[[#This Row],[Date record entered]]&lt;&gt;"",CommitmentsTable[[#This Row],[Date record entered]]+60,""))</f>
        <v/>
      </c>
      <c r="M842" s="214"/>
      <c r="N842" s="214"/>
      <c r="O842" s="236"/>
      <c r="P842" s="214"/>
      <c r="Q842" s="214"/>
      <c r="R842" s="214"/>
      <c r="S842" s="238" t="str">
        <f>IF(CommitmentsTable[[#This Row],[Commitment / deliverable]]="","",IF(CommitmentsTable[[#This Row],[Revised due]]&lt;&gt;"",CommitmentsTable[[#This Row],[Revised due]],CommitmentsTable[[#This Row],[Original due]]))</f>
        <v/>
      </c>
      <c r="T842" s="237" t="str">
        <f>IF(OR(CommitmentsTable[[#This Row],[Commitment / deliverable]]="",CommitmentsTable[[#This Row],[Owner]]=""),"",IF(CommitmentsTable[[#This Row],[Status2]]="","Open",CommitmentsTable[[#This Row],[Status2]]))</f>
        <v/>
      </c>
      <c r="U842" s="237" t="str">
        <f t="shared" ca="1" si="12"/>
        <v/>
      </c>
      <c r="V842" s="233"/>
      <c r="W842" s="63" t="s">
        <v>1744</v>
      </c>
    </row>
    <row r="843" spans="1:23" ht="26">
      <c r="A843" s="213" t="str">
        <f>IF(OR(CommitmentsTable[[#This Row],[Commitment / deliverable]]="",CommitmentsTable[[#This Row],[Immutable Key]]=""),"",SUBSTITUTE(CommitmentsTable[[#This Row],[Immutable Key]],"-K-","-"))</f>
        <v/>
      </c>
      <c r="B843" s="233"/>
      <c r="C843" s="233"/>
      <c r="D843" s="213"/>
      <c r="E843" s="230"/>
      <c r="F843" s="213"/>
      <c r="G843" s="245" t="str">
        <f ca="1">IF(CommitmentsTable[[#This Row],[Commitment / deliverable]]="","",IF(CommitmentsTable[[#This Row],[Date record entered]]="",TODAY(),CommitmentsTable[[#This Row],[Date record entered]]))</f>
        <v/>
      </c>
      <c r="H843" s="245"/>
      <c r="I843" s="245" t="str">
        <f ca="1">IF(CommitmentsTable[[#This Row],[Date Assigned if different from entry date]]&lt;&gt;"",CommitmentsTable[[#This Row],[Date Assigned if different from entry date]]+90,IF(CommitmentsTable[[#This Row],[Date record entered]]&lt;&gt;"",CommitmentsTable[[#This Row],[Date record entered]]+90,""))</f>
        <v/>
      </c>
      <c r="J843" s="245" t="str">
        <f ca="1">IF(CommitmentsTable[[#This Row],[Date Assigned if different from entry date]]&lt;&gt;"",CommitmentsTable[[#This Row],[Date Assigned if different from entry date]]+30,IF(CommitmentsTable[[#This Row],[Date record entered]]&lt;&gt;"",CommitmentsTable[[#This Row],[Date record entered]]+30,""))</f>
        <v/>
      </c>
      <c r="K843" s="245"/>
      <c r="L843" s="245" t="str">
        <f ca="1">IF(CommitmentsTable[[#This Row],[Date Assigned if different from entry date]]&lt;&gt;"",CommitmentsTable[[#This Row],[Date Assigned if different from entry date]]+60,IF(CommitmentsTable[[#This Row],[Date record entered]]&lt;&gt;"",CommitmentsTable[[#This Row],[Date record entered]]+60,""))</f>
        <v/>
      </c>
      <c r="M843" s="214"/>
      <c r="N843" s="214"/>
      <c r="O843" s="236"/>
      <c r="P843" s="214"/>
      <c r="Q843" s="214"/>
      <c r="R843" s="214"/>
      <c r="S843" s="238" t="str">
        <f>IF(CommitmentsTable[[#This Row],[Commitment / deliverable]]="","",IF(CommitmentsTable[[#This Row],[Revised due]]&lt;&gt;"",CommitmentsTable[[#This Row],[Revised due]],CommitmentsTable[[#This Row],[Original due]]))</f>
        <v/>
      </c>
      <c r="T843" s="237" t="str">
        <f>IF(OR(CommitmentsTable[[#This Row],[Commitment / deliverable]]="",CommitmentsTable[[#This Row],[Owner]]=""),"",IF(CommitmentsTable[[#This Row],[Status2]]="","Open",CommitmentsTable[[#This Row],[Status2]]))</f>
        <v/>
      </c>
      <c r="U843" s="237" t="str">
        <f t="shared" ca="1" si="12"/>
        <v/>
      </c>
      <c r="V843" s="233"/>
      <c r="W843" s="63" t="s">
        <v>1745</v>
      </c>
    </row>
    <row r="844" spans="1:23" ht="26">
      <c r="A844" s="213" t="str">
        <f>IF(OR(CommitmentsTable[[#This Row],[Commitment / deliverable]]="",CommitmentsTable[[#This Row],[Immutable Key]]=""),"",SUBSTITUTE(CommitmentsTable[[#This Row],[Immutable Key]],"-K-","-"))</f>
        <v/>
      </c>
      <c r="B844" s="233"/>
      <c r="C844" s="233"/>
      <c r="D844" s="213"/>
      <c r="E844" s="230"/>
      <c r="F844" s="213"/>
      <c r="G844" s="245" t="str">
        <f ca="1">IF(CommitmentsTable[[#This Row],[Commitment / deliverable]]="","",IF(CommitmentsTable[[#This Row],[Date record entered]]="",TODAY(),CommitmentsTable[[#This Row],[Date record entered]]))</f>
        <v/>
      </c>
      <c r="H844" s="245"/>
      <c r="I844" s="245" t="str">
        <f ca="1">IF(CommitmentsTable[[#This Row],[Date Assigned if different from entry date]]&lt;&gt;"",CommitmentsTable[[#This Row],[Date Assigned if different from entry date]]+90,IF(CommitmentsTable[[#This Row],[Date record entered]]&lt;&gt;"",CommitmentsTable[[#This Row],[Date record entered]]+90,""))</f>
        <v/>
      </c>
      <c r="J844" s="245" t="str">
        <f ca="1">IF(CommitmentsTable[[#This Row],[Date Assigned if different from entry date]]&lt;&gt;"",CommitmentsTable[[#This Row],[Date Assigned if different from entry date]]+30,IF(CommitmentsTable[[#This Row],[Date record entered]]&lt;&gt;"",CommitmentsTable[[#This Row],[Date record entered]]+30,""))</f>
        <v/>
      </c>
      <c r="K844" s="245"/>
      <c r="L844" s="245" t="str">
        <f ca="1">IF(CommitmentsTable[[#This Row],[Date Assigned if different from entry date]]&lt;&gt;"",CommitmentsTable[[#This Row],[Date Assigned if different from entry date]]+60,IF(CommitmentsTable[[#This Row],[Date record entered]]&lt;&gt;"",CommitmentsTable[[#This Row],[Date record entered]]+60,""))</f>
        <v/>
      </c>
      <c r="M844" s="214"/>
      <c r="N844" s="214"/>
      <c r="O844" s="236"/>
      <c r="P844" s="214"/>
      <c r="Q844" s="214"/>
      <c r="R844" s="214"/>
      <c r="S844" s="238" t="str">
        <f>IF(CommitmentsTable[[#This Row],[Commitment / deliverable]]="","",IF(CommitmentsTable[[#This Row],[Revised due]]&lt;&gt;"",CommitmentsTable[[#This Row],[Revised due]],CommitmentsTable[[#This Row],[Original due]]))</f>
        <v/>
      </c>
      <c r="T844" s="237" t="str">
        <f>IF(OR(CommitmentsTable[[#This Row],[Commitment / deliverable]]="",CommitmentsTable[[#This Row],[Owner]]=""),"",IF(CommitmentsTable[[#This Row],[Status2]]="","Open",CommitmentsTable[[#This Row],[Status2]]))</f>
        <v/>
      </c>
      <c r="U844" s="237" t="str">
        <f t="shared" ca="1" si="12"/>
        <v/>
      </c>
      <c r="V844" s="233"/>
      <c r="W844" s="63" t="s">
        <v>1746</v>
      </c>
    </row>
    <row r="845" spans="1:23" ht="26">
      <c r="A845" s="213" t="str">
        <f>IF(OR(CommitmentsTable[[#This Row],[Commitment / deliverable]]="",CommitmentsTable[[#This Row],[Immutable Key]]=""),"",SUBSTITUTE(CommitmentsTable[[#This Row],[Immutable Key]],"-K-","-"))</f>
        <v/>
      </c>
      <c r="B845" s="233"/>
      <c r="C845" s="233"/>
      <c r="D845" s="213"/>
      <c r="E845" s="230"/>
      <c r="F845" s="213"/>
      <c r="G845" s="245" t="str">
        <f ca="1">IF(CommitmentsTable[[#This Row],[Commitment / deliverable]]="","",IF(CommitmentsTable[[#This Row],[Date record entered]]="",TODAY(),CommitmentsTable[[#This Row],[Date record entered]]))</f>
        <v/>
      </c>
      <c r="H845" s="245"/>
      <c r="I845" s="245" t="str">
        <f ca="1">IF(CommitmentsTable[[#This Row],[Date Assigned if different from entry date]]&lt;&gt;"",CommitmentsTable[[#This Row],[Date Assigned if different from entry date]]+90,IF(CommitmentsTable[[#This Row],[Date record entered]]&lt;&gt;"",CommitmentsTable[[#This Row],[Date record entered]]+90,""))</f>
        <v/>
      </c>
      <c r="J845" s="245" t="str">
        <f ca="1">IF(CommitmentsTable[[#This Row],[Date Assigned if different from entry date]]&lt;&gt;"",CommitmentsTable[[#This Row],[Date Assigned if different from entry date]]+30,IF(CommitmentsTable[[#This Row],[Date record entered]]&lt;&gt;"",CommitmentsTable[[#This Row],[Date record entered]]+30,""))</f>
        <v/>
      </c>
      <c r="K845" s="245"/>
      <c r="L845" s="245" t="str">
        <f ca="1">IF(CommitmentsTable[[#This Row],[Date Assigned if different from entry date]]&lt;&gt;"",CommitmentsTable[[#This Row],[Date Assigned if different from entry date]]+60,IF(CommitmentsTable[[#This Row],[Date record entered]]&lt;&gt;"",CommitmentsTable[[#This Row],[Date record entered]]+60,""))</f>
        <v/>
      </c>
      <c r="M845" s="214"/>
      <c r="N845" s="214"/>
      <c r="O845" s="236"/>
      <c r="P845" s="214"/>
      <c r="Q845" s="214"/>
      <c r="R845" s="214"/>
      <c r="S845" s="238" t="str">
        <f>IF(CommitmentsTable[[#This Row],[Commitment / deliverable]]="","",IF(CommitmentsTable[[#This Row],[Revised due]]&lt;&gt;"",CommitmentsTable[[#This Row],[Revised due]],CommitmentsTable[[#This Row],[Original due]]))</f>
        <v/>
      </c>
      <c r="T845" s="237" t="str">
        <f>IF(OR(CommitmentsTable[[#This Row],[Commitment / deliverable]]="",CommitmentsTable[[#This Row],[Owner]]=""),"",IF(CommitmentsTable[[#This Row],[Status2]]="","Open",CommitmentsTable[[#This Row],[Status2]]))</f>
        <v/>
      </c>
      <c r="U845" s="237" t="str">
        <f t="shared" ref="U845:U908" ca="1" si="13">IF(B845="","",IF(T845="Closed","",IF(OR(T845="Slipped",T845="At risk",AND(S845&lt;&gt;"",S845&lt;TODAY())),"Slipped / at risk",IF(G845=TODAY(),"New today",IF(S845=TODAY()+1,"Due tomorrow","")))))</f>
        <v/>
      </c>
      <c r="V845" s="233"/>
      <c r="W845" s="63" t="s">
        <v>1747</v>
      </c>
    </row>
    <row r="846" spans="1:23" ht="26">
      <c r="A846" s="213" t="str">
        <f>IF(OR(CommitmentsTable[[#This Row],[Commitment / deliverable]]="",CommitmentsTable[[#This Row],[Immutable Key]]=""),"",SUBSTITUTE(CommitmentsTable[[#This Row],[Immutable Key]],"-K-","-"))</f>
        <v/>
      </c>
      <c r="B846" s="233"/>
      <c r="C846" s="233"/>
      <c r="D846" s="213"/>
      <c r="E846" s="230"/>
      <c r="F846" s="213"/>
      <c r="G846" s="245" t="str">
        <f ca="1">IF(CommitmentsTable[[#This Row],[Commitment / deliverable]]="","",IF(CommitmentsTable[[#This Row],[Date record entered]]="",TODAY(),CommitmentsTable[[#This Row],[Date record entered]]))</f>
        <v/>
      </c>
      <c r="H846" s="245"/>
      <c r="I846" s="245" t="str">
        <f ca="1">IF(CommitmentsTable[[#This Row],[Date Assigned if different from entry date]]&lt;&gt;"",CommitmentsTable[[#This Row],[Date Assigned if different from entry date]]+90,IF(CommitmentsTable[[#This Row],[Date record entered]]&lt;&gt;"",CommitmentsTable[[#This Row],[Date record entered]]+90,""))</f>
        <v/>
      </c>
      <c r="J846" s="245" t="str">
        <f ca="1">IF(CommitmentsTable[[#This Row],[Date Assigned if different from entry date]]&lt;&gt;"",CommitmentsTable[[#This Row],[Date Assigned if different from entry date]]+30,IF(CommitmentsTable[[#This Row],[Date record entered]]&lt;&gt;"",CommitmentsTable[[#This Row],[Date record entered]]+30,""))</f>
        <v/>
      </c>
      <c r="K846" s="245"/>
      <c r="L846" s="245" t="str">
        <f ca="1">IF(CommitmentsTable[[#This Row],[Date Assigned if different from entry date]]&lt;&gt;"",CommitmentsTable[[#This Row],[Date Assigned if different from entry date]]+60,IF(CommitmentsTable[[#This Row],[Date record entered]]&lt;&gt;"",CommitmentsTable[[#This Row],[Date record entered]]+60,""))</f>
        <v/>
      </c>
      <c r="M846" s="214"/>
      <c r="N846" s="214"/>
      <c r="O846" s="236"/>
      <c r="P846" s="214"/>
      <c r="Q846" s="214"/>
      <c r="R846" s="214"/>
      <c r="S846" s="238" t="str">
        <f>IF(CommitmentsTable[[#This Row],[Commitment / deliverable]]="","",IF(CommitmentsTable[[#This Row],[Revised due]]&lt;&gt;"",CommitmentsTable[[#This Row],[Revised due]],CommitmentsTable[[#This Row],[Original due]]))</f>
        <v/>
      </c>
      <c r="T846" s="237" t="str">
        <f>IF(OR(CommitmentsTable[[#This Row],[Commitment / deliverable]]="",CommitmentsTable[[#This Row],[Owner]]=""),"",IF(CommitmentsTable[[#This Row],[Status2]]="","Open",CommitmentsTable[[#This Row],[Status2]]))</f>
        <v/>
      </c>
      <c r="U846" s="237" t="str">
        <f t="shared" ca="1" si="13"/>
        <v/>
      </c>
      <c r="V846" s="233"/>
      <c r="W846" s="63" t="s">
        <v>1748</v>
      </c>
    </row>
    <row r="847" spans="1:23" ht="26">
      <c r="A847" s="213" t="str">
        <f>IF(OR(CommitmentsTable[[#This Row],[Commitment / deliverable]]="",CommitmentsTable[[#This Row],[Immutable Key]]=""),"",SUBSTITUTE(CommitmentsTable[[#This Row],[Immutable Key]],"-K-","-"))</f>
        <v/>
      </c>
      <c r="B847" s="233"/>
      <c r="C847" s="233"/>
      <c r="D847" s="213"/>
      <c r="E847" s="230"/>
      <c r="F847" s="213"/>
      <c r="G847" s="245" t="str">
        <f ca="1">IF(CommitmentsTable[[#This Row],[Commitment / deliverable]]="","",IF(CommitmentsTable[[#This Row],[Date record entered]]="",TODAY(),CommitmentsTable[[#This Row],[Date record entered]]))</f>
        <v/>
      </c>
      <c r="H847" s="245"/>
      <c r="I847" s="245" t="str">
        <f ca="1">IF(CommitmentsTable[[#This Row],[Date Assigned if different from entry date]]&lt;&gt;"",CommitmentsTable[[#This Row],[Date Assigned if different from entry date]]+90,IF(CommitmentsTable[[#This Row],[Date record entered]]&lt;&gt;"",CommitmentsTable[[#This Row],[Date record entered]]+90,""))</f>
        <v/>
      </c>
      <c r="J847" s="245" t="str">
        <f ca="1">IF(CommitmentsTable[[#This Row],[Date Assigned if different from entry date]]&lt;&gt;"",CommitmentsTable[[#This Row],[Date Assigned if different from entry date]]+30,IF(CommitmentsTable[[#This Row],[Date record entered]]&lt;&gt;"",CommitmentsTable[[#This Row],[Date record entered]]+30,""))</f>
        <v/>
      </c>
      <c r="K847" s="245"/>
      <c r="L847" s="245" t="str">
        <f ca="1">IF(CommitmentsTable[[#This Row],[Date Assigned if different from entry date]]&lt;&gt;"",CommitmentsTable[[#This Row],[Date Assigned if different from entry date]]+60,IF(CommitmentsTable[[#This Row],[Date record entered]]&lt;&gt;"",CommitmentsTable[[#This Row],[Date record entered]]+60,""))</f>
        <v/>
      </c>
      <c r="M847" s="214"/>
      <c r="N847" s="214"/>
      <c r="O847" s="236"/>
      <c r="P847" s="214"/>
      <c r="Q847" s="214"/>
      <c r="R847" s="214"/>
      <c r="S847" s="238" t="str">
        <f>IF(CommitmentsTable[[#This Row],[Commitment / deliverable]]="","",IF(CommitmentsTable[[#This Row],[Revised due]]&lt;&gt;"",CommitmentsTable[[#This Row],[Revised due]],CommitmentsTable[[#This Row],[Original due]]))</f>
        <v/>
      </c>
      <c r="T847" s="237" t="str">
        <f>IF(OR(CommitmentsTable[[#This Row],[Commitment / deliverable]]="",CommitmentsTable[[#This Row],[Owner]]=""),"",IF(CommitmentsTable[[#This Row],[Status2]]="","Open",CommitmentsTable[[#This Row],[Status2]]))</f>
        <v/>
      </c>
      <c r="U847" s="237" t="str">
        <f t="shared" ca="1" si="13"/>
        <v/>
      </c>
      <c r="V847" s="233"/>
      <c r="W847" s="63" t="s">
        <v>1749</v>
      </c>
    </row>
    <row r="848" spans="1:23" ht="26">
      <c r="A848" s="213" t="str">
        <f>IF(OR(CommitmentsTable[[#This Row],[Commitment / deliverable]]="",CommitmentsTable[[#This Row],[Immutable Key]]=""),"",SUBSTITUTE(CommitmentsTable[[#This Row],[Immutable Key]],"-K-","-"))</f>
        <v/>
      </c>
      <c r="B848" s="233"/>
      <c r="C848" s="233"/>
      <c r="D848" s="213"/>
      <c r="E848" s="230"/>
      <c r="F848" s="213"/>
      <c r="G848" s="245" t="str">
        <f ca="1">IF(CommitmentsTable[[#This Row],[Commitment / deliverable]]="","",IF(CommitmentsTable[[#This Row],[Date record entered]]="",TODAY(),CommitmentsTable[[#This Row],[Date record entered]]))</f>
        <v/>
      </c>
      <c r="H848" s="245"/>
      <c r="I848" s="245" t="str">
        <f ca="1">IF(CommitmentsTable[[#This Row],[Date Assigned if different from entry date]]&lt;&gt;"",CommitmentsTable[[#This Row],[Date Assigned if different from entry date]]+90,IF(CommitmentsTable[[#This Row],[Date record entered]]&lt;&gt;"",CommitmentsTable[[#This Row],[Date record entered]]+90,""))</f>
        <v/>
      </c>
      <c r="J848" s="245" t="str">
        <f ca="1">IF(CommitmentsTable[[#This Row],[Date Assigned if different from entry date]]&lt;&gt;"",CommitmentsTable[[#This Row],[Date Assigned if different from entry date]]+30,IF(CommitmentsTable[[#This Row],[Date record entered]]&lt;&gt;"",CommitmentsTable[[#This Row],[Date record entered]]+30,""))</f>
        <v/>
      </c>
      <c r="K848" s="245"/>
      <c r="L848" s="245" t="str">
        <f ca="1">IF(CommitmentsTable[[#This Row],[Date Assigned if different from entry date]]&lt;&gt;"",CommitmentsTable[[#This Row],[Date Assigned if different from entry date]]+60,IF(CommitmentsTable[[#This Row],[Date record entered]]&lt;&gt;"",CommitmentsTable[[#This Row],[Date record entered]]+60,""))</f>
        <v/>
      </c>
      <c r="M848" s="214"/>
      <c r="N848" s="214"/>
      <c r="O848" s="236"/>
      <c r="P848" s="214"/>
      <c r="Q848" s="214"/>
      <c r="R848" s="214"/>
      <c r="S848" s="238" t="str">
        <f>IF(CommitmentsTable[[#This Row],[Commitment / deliverable]]="","",IF(CommitmentsTable[[#This Row],[Revised due]]&lt;&gt;"",CommitmentsTable[[#This Row],[Revised due]],CommitmentsTable[[#This Row],[Original due]]))</f>
        <v/>
      </c>
      <c r="T848" s="237" t="str">
        <f>IF(OR(CommitmentsTable[[#This Row],[Commitment / deliverable]]="",CommitmentsTable[[#This Row],[Owner]]=""),"",IF(CommitmentsTable[[#This Row],[Status2]]="","Open",CommitmentsTable[[#This Row],[Status2]]))</f>
        <v/>
      </c>
      <c r="U848" s="237" t="str">
        <f t="shared" ca="1" si="13"/>
        <v/>
      </c>
      <c r="V848" s="233"/>
      <c r="W848" s="63" t="s">
        <v>1750</v>
      </c>
    </row>
    <row r="849" spans="1:23" ht="26">
      <c r="A849" s="213" t="str">
        <f>IF(OR(CommitmentsTable[[#This Row],[Commitment / deliverable]]="",CommitmentsTable[[#This Row],[Immutable Key]]=""),"",SUBSTITUTE(CommitmentsTable[[#This Row],[Immutable Key]],"-K-","-"))</f>
        <v/>
      </c>
      <c r="B849" s="233"/>
      <c r="C849" s="233"/>
      <c r="D849" s="213"/>
      <c r="E849" s="230"/>
      <c r="F849" s="213"/>
      <c r="G849" s="245" t="str">
        <f ca="1">IF(CommitmentsTable[[#This Row],[Commitment / deliverable]]="","",IF(CommitmentsTable[[#This Row],[Date record entered]]="",TODAY(),CommitmentsTable[[#This Row],[Date record entered]]))</f>
        <v/>
      </c>
      <c r="H849" s="245"/>
      <c r="I849" s="245" t="str">
        <f ca="1">IF(CommitmentsTable[[#This Row],[Date Assigned if different from entry date]]&lt;&gt;"",CommitmentsTable[[#This Row],[Date Assigned if different from entry date]]+90,IF(CommitmentsTable[[#This Row],[Date record entered]]&lt;&gt;"",CommitmentsTable[[#This Row],[Date record entered]]+90,""))</f>
        <v/>
      </c>
      <c r="J849" s="245" t="str">
        <f ca="1">IF(CommitmentsTable[[#This Row],[Date Assigned if different from entry date]]&lt;&gt;"",CommitmentsTable[[#This Row],[Date Assigned if different from entry date]]+30,IF(CommitmentsTable[[#This Row],[Date record entered]]&lt;&gt;"",CommitmentsTable[[#This Row],[Date record entered]]+30,""))</f>
        <v/>
      </c>
      <c r="K849" s="245"/>
      <c r="L849" s="245" t="str">
        <f ca="1">IF(CommitmentsTable[[#This Row],[Date Assigned if different from entry date]]&lt;&gt;"",CommitmentsTable[[#This Row],[Date Assigned if different from entry date]]+60,IF(CommitmentsTable[[#This Row],[Date record entered]]&lt;&gt;"",CommitmentsTable[[#This Row],[Date record entered]]+60,""))</f>
        <v/>
      </c>
      <c r="M849" s="214"/>
      <c r="N849" s="214"/>
      <c r="O849" s="236"/>
      <c r="P849" s="214"/>
      <c r="Q849" s="214"/>
      <c r="R849" s="214"/>
      <c r="S849" s="238" t="str">
        <f>IF(CommitmentsTable[[#This Row],[Commitment / deliverable]]="","",IF(CommitmentsTable[[#This Row],[Revised due]]&lt;&gt;"",CommitmentsTable[[#This Row],[Revised due]],CommitmentsTable[[#This Row],[Original due]]))</f>
        <v/>
      </c>
      <c r="T849" s="237" t="str">
        <f>IF(OR(CommitmentsTable[[#This Row],[Commitment / deliverable]]="",CommitmentsTable[[#This Row],[Owner]]=""),"",IF(CommitmentsTable[[#This Row],[Status2]]="","Open",CommitmentsTable[[#This Row],[Status2]]))</f>
        <v/>
      </c>
      <c r="U849" s="237" t="str">
        <f t="shared" ca="1" si="13"/>
        <v/>
      </c>
      <c r="V849" s="233"/>
      <c r="W849" s="63" t="s">
        <v>1751</v>
      </c>
    </row>
    <row r="850" spans="1:23" ht="26">
      <c r="A850" s="213" t="str">
        <f>IF(OR(CommitmentsTable[[#This Row],[Commitment / deliverable]]="",CommitmentsTable[[#This Row],[Immutable Key]]=""),"",SUBSTITUTE(CommitmentsTable[[#This Row],[Immutable Key]],"-K-","-"))</f>
        <v/>
      </c>
      <c r="B850" s="233"/>
      <c r="C850" s="233"/>
      <c r="D850" s="213"/>
      <c r="E850" s="230"/>
      <c r="F850" s="213"/>
      <c r="G850" s="245" t="str">
        <f ca="1">IF(CommitmentsTable[[#This Row],[Commitment / deliverable]]="","",IF(CommitmentsTable[[#This Row],[Date record entered]]="",TODAY(),CommitmentsTable[[#This Row],[Date record entered]]))</f>
        <v/>
      </c>
      <c r="H850" s="245"/>
      <c r="I850" s="245" t="str">
        <f ca="1">IF(CommitmentsTable[[#This Row],[Date Assigned if different from entry date]]&lt;&gt;"",CommitmentsTable[[#This Row],[Date Assigned if different from entry date]]+90,IF(CommitmentsTable[[#This Row],[Date record entered]]&lt;&gt;"",CommitmentsTable[[#This Row],[Date record entered]]+90,""))</f>
        <v/>
      </c>
      <c r="J850" s="245" t="str">
        <f ca="1">IF(CommitmentsTable[[#This Row],[Date Assigned if different from entry date]]&lt;&gt;"",CommitmentsTable[[#This Row],[Date Assigned if different from entry date]]+30,IF(CommitmentsTable[[#This Row],[Date record entered]]&lt;&gt;"",CommitmentsTable[[#This Row],[Date record entered]]+30,""))</f>
        <v/>
      </c>
      <c r="K850" s="245"/>
      <c r="L850" s="245" t="str">
        <f ca="1">IF(CommitmentsTable[[#This Row],[Date Assigned if different from entry date]]&lt;&gt;"",CommitmentsTable[[#This Row],[Date Assigned if different from entry date]]+60,IF(CommitmentsTable[[#This Row],[Date record entered]]&lt;&gt;"",CommitmentsTable[[#This Row],[Date record entered]]+60,""))</f>
        <v/>
      </c>
      <c r="M850" s="214"/>
      <c r="N850" s="214"/>
      <c r="O850" s="236"/>
      <c r="P850" s="214"/>
      <c r="Q850" s="214"/>
      <c r="R850" s="214"/>
      <c r="S850" s="238" t="str">
        <f>IF(CommitmentsTable[[#This Row],[Commitment / deliverable]]="","",IF(CommitmentsTable[[#This Row],[Revised due]]&lt;&gt;"",CommitmentsTable[[#This Row],[Revised due]],CommitmentsTable[[#This Row],[Original due]]))</f>
        <v/>
      </c>
      <c r="T850" s="237" t="str">
        <f>IF(OR(CommitmentsTable[[#This Row],[Commitment / deliverable]]="",CommitmentsTable[[#This Row],[Owner]]=""),"",IF(CommitmentsTable[[#This Row],[Status2]]="","Open",CommitmentsTable[[#This Row],[Status2]]))</f>
        <v/>
      </c>
      <c r="U850" s="237" t="str">
        <f t="shared" ca="1" si="13"/>
        <v/>
      </c>
      <c r="V850" s="233"/>
      <c r="W850" s="63" t="s">
        <v>1752</v>
      </c>
    </row>
    <row r="851" spans="1:23" ht="26">
      <c r="A851" s="213" t="str">
        <f>IF(OR(CommitmentsTable[[#This Row],[Commitment / deliverable]]="",CommitmentsTable[[#This Row],[Immutable Key]]=""),"",SUBSTITUTE(CommitmentsTable[[#This Row],[Immutable Key]],"-K-","-"))</f>
        <v/>
      </c>
      <c r="B851" s="233"/>
      <c r="C851" s="233"/>
      <c r="D851" s="213"/>
      <c r="E851" s="230"/>
      <c r="F851" s="213"/>
      <c r="G851" s="245" t="str">
        <f ca="1">IF(CommitmentsTable[[#This Row],[Commitment / deliverable]]="","",IF(CommitmentsTable[[#This Row],[Date record entered]]="",TODAY(),CommitmentsTable[[#This Row],[Date record entered]]))</f>
        <v/>
      </c>
      <c r="H851" s="245"/>
      <c r="I851" s="245" t="str">
        <f ca="1">IF(CommitmentsTable[[#This Row],[Date Assigned if different from entry date]]&lt;&gt;"",CommitmentsTable[[#This Row],[Date Assigned if different from entry date]]+90,IF(CommitmentsTable[[#This Row],[Date record entered]]&lt;&gt;"",CommitmentsTable[[#This Row],[Date record entered]]+90,""))</f>
        <v/>
      </c>
      <c r="J851" s="245" t="str">
        <f ca="1">IF(CommitmentsTable[[#This Row],[Date Assigned if different from entry date]]&lt;&gt;"",CommitmentsTable[[#This Row],[Date Assigned if different from entry date]]+30,IF(CommitmentsTable[[#This Row],[Date record entered]]&lt;&gt;"",CommitmentsTable[[#This Row],[Date record entered]]+30,""))</f>
        <v/>
      </c>
      <c r="K851" s="245"/>
      <c r="L851" s="245" t="str">
        <f ca="1">IF(CommitmentsTable[[#This Row],[Date Assigned if different from entry date]]&lt;&gt;"",CommitmentsTable[[#This Row],[Date Assigned if different from entry date]]+60,IF(CommitmentsTable[[#This Row],[Date record entered]]&lt;&gt;"",CommitmentsTable[[#This Row],[Date record entered]]+60,""))</f>
        <v/>
      </c>
      <c r="M851" s="214"/>
      <c r="N851" s="214"/>
      <c r="O851" s="236"/>
      <c r="P851" s="214"/>
      <c r="Q851" s="214"/>
      <c r="R851" s="214"/>
      <c r="S851" s="238" t="str">
        <f>IF(CommitmentsTable[[#This Row],[Commitment / deliverable]]="","",IF(CommitmentsTable[[#This Row],[Revised due]]&lt;&gt;"",CommitmentsTable[[#This Row],[Revised due]],CommitmentsTable[[#This Row],[Original due]]))</f>
        <v/>
      </c>
      <c r="T851" s="237" t="str">
        <f>IF(OR(CommitmentsTable[[#This Row],[Commitment / deliverable]]="",CommitmentsTable[[#This Row],[Owner]]=""),"",IF(CommitmentsTable[[#This Row],[Status2]]="","Open",CommitmentsTable[[#This Row],[Status2]]))</f>
        <v/>
      </c>
      <c r="U851" s="237" t="str">
        <f t="shared" ca="1" si="13"/>
        <v/>
      </c>
      <c r="V851" s="233"/>
      <c r="W851" s="63" t="s">
        <v>1753</v>
      </c>
    </row>
    <row r="852" spans="1:23" ht="26">
      <c r="A852" s="213" t="str">
        <f>IF(OR(CommitmentsTable[[#This Row],[Commitment / deliverable]]="",CommitmentsTable[[#This Row],[Immutable Key]]=""),"",SUBSTITUTE(CommitmentsTable[[#This Row],[Immutable Key]],"-K-","-"))</f>
        <v/>
      </c>
      <c r="B852" s="233"/>
      <c r="C852" s="233"/>
      <c r="D852" s="213"/>
      <c r="E852" s="230"/>
      <c r="F852" s="213"/>
      <c r="G852" s="245" t="str">
        <f ca="1">IF(CommitmentsTable[[#This Row],[Commitment / deliverable]]="","",IF(CommitmentsTable[[#This Row],[Date record entered]]="",TODAY(),CommitmentsTable[[#This Row],[Date record entered]]))</f>
        <v/>
      </c>
      <c r="H852" s="245"/>
      <c r="I852" s="245" t="str">
        <f ca="1">IF(CommitmentsTable[[#This Row],[Date Assigned if different from entry date]]&lt;&gt;"",CommitmentsTable[[#This Row],[Date Assigned if different from entry date]]+90,IF(CommitmentsTable[[#This Row],[Date record entered]]&lt;&gt;"",CommitmentsTable[[#This Row],[Date record entered]]+90,""))</f>
        <v/>
      </c>
      <c r="J852" s="245" t="str">
        <f ca="1">IF(CommitmentsTable[[#This Row],[Date Assigned if different from entry date]]&lt;&gt;"",CommitmentsTable[[#This Row],[Date Assigned if different from entry date]]+30,IF(CommitmentsTable[[#This Row],[Date record entered]]&lt;&gt;"",CommitmentsTable[[#This Row],[Date record entered]]+30,""))</f>
        <v/>
      </c>
      <c r="K852" s="245"/>
      <c r="L852" s="245" t="str">
        <f ca="1">IF(CommitmentsTable[[#This Row],[Date Assigned if different from entry date]]&lt;&gt;"",CommitmentsTable[[#This Row],[Date Assigned if different from entry date]]+60,IF(CommitmentsTable[[#This Row],[Date record entered]]&lt;&gt;"",CommitmentsTable[[#This Row],[Date record entered]]+60,""))</f>
        <v/>
      </c>
      <c r="M852" s="214"/>
      <c r="N852" s="214"/>
      <c r="O852" s="236"/>
      <c r="P852" s="214"/>
      <c r="Q852" s="214"/>
      <c r="R852" s="214"/>
      <c r="S852" s="238" t="str">
        <f>IF(CommitmentsTable[[#This Row],[Commitment / deliverable]]="","",IF(CommitmentsTable[[#This Row],[Revised due]]&lt;&gt;"",CommitmentsTable[[#This Row],[Revised due]],CommitmentsTable[[#This Row],[Original due]]))</f>
        <v/>
      </c>
      <c r="T852" s="237" t="str">
        <f>IF(OR(CommitmentsTable[[#This Row],[Commitment / deliverable]]="",CommitmentsTable[[#This Row],[Owner]]=""),"",IF(CommitmentsTable[[#This Row],[Status2]]="","Open",CommitmentsTable[[#This Row],[Status2]]))</f>
        <v/>
      </c>
      <c r="U852" s="237" t="str">
        <f t="shared" ca="1" si="13"/>
        <v/>
      </c>
      <c r="V852" s="233"/>
      <c r="W852" s="63" t="s">
        <v>1754</v>
      </c>
    </row>
    <row r="853" spans="1:23" ht="26">
      <c r="A853" s="213" t="str">
        <f>IF(OR(CommitmentsTable[[#This Row],[Commitment / deliverable]]="",CommitmentsTable[[#This Row],[Immutable Key]]=""),"",SUBSTITUTE(CommitmentsTable[[#This Row],[Immutable Key]],"-K-","-"))</f>
        <v/>
      </c>
      <c r="B853" s="233"/>
      <c r="C853" s="233"/>
      <c r="D853" s="213"/>
      <c r="E853" s="230"/>
      <c r="F853" s="213"/>
      <c r="G853" s="245" t="str">
        <f ca="1">IF(CommitmentsTable[[#This Row],[Commitment / deliverable]]="","",IF(CommitmentsTable[[#This Row],[Date record entered]]="",TODAY(),CommitmentsTable[[#This Row],[Date record entered]]))</f>
        <v/>
      </c>
      <c r="H853" s="245"/>
      <c r="I853" s="245" t="str">
        <f ca="1">IF(CommitmentsTable[[#This Row],[Date Assigned if different from entry date]]&lt;&gt;"",CommitmentsTable[[#This Row],[Date Assigned if different from entry date]]+90,IF(CommitmentsTable[[#This Row],[Date record entered]]&lt;&gt;"",CommitmentsTable[[#This Row],[Date record entered]]+90,""))</f>
        <v/>
      </c>
      <c r="J853" s="245" t="str">
        <f ca="1">IF(CommitmentsTable[[#This Row],[Date Assigned if different from entry date]]&lt;&gt;"",CommitmentsTable[[#This Row],[Date Assigned if different from entry date]]+30,IF(CommitmentsTable[[#This Row],[Date record entered]]&lt;&gt;"",CommitmentsTable[[#This Row],[Date record entered]]+30,""))</f>
        <v/>
      </c>
      <c r="K853" s="245"/>
      <c r="L853" s="245" t="str">
        <f ca="1">IF(CommitmentsTable[[#This Row],[Date Assigned if different from entry date]]&lt;&gt;"",CommitmentsTable[[#This Row],[Date Assigned if different from entry date]]+60,IF(CommitmentsTable[[#This Row],[Date record entered]]&lt;&gt;"",CommitmentsTable[[#This Row],[Date record entered]]+60,""))</f>
        <v/>
      </c>
      <c r="M853" s="214"/>
      <c r="N853" s="214"/>
      <c r="O853" s="236"/>
      <c r="P853" s="214"/>
      <c r="Q853" s="214"/>
      <c r="R853" s="214"/>
      <c r="S853" s="238" t="str">
        <f>IF(CommitmentsTable[[#This Row],[Commitment / deliverable]]="","",IF(CommitmentsTable[[#This Row],[Revised due]]&lt;&gt;"",CommitmentsTable[[#This Row],[Revised due]],CommitmentsTable[[#This Row],[Original due]]))</f>
        <v/>
      </c>
      <c r="T853" s="237" t="str">
        <f>IF(OR(CommitmentsTable[[#This Row],[Commitment / deliverable]]="",CommitmentsTable[[#This Row],[Owner]]=""),"",IF(CommitmentsTable[[#This Row],[Status2]]="","Open",CommitmentsTable[[#This Row],[Status2]]))</f>
        <v/>
      </c>
      <c r="U853" s="237" t="str">
        <f t="shared" ca="1" si="13"/>
        <v/>
      </c>
      <c r="V853" s="233"/>
      <c r="W853" s="63" t="s">
        <v>1755</v>
      </c>
    </row>
    <row r="854" spans="1:23" ht="26">
      <c r="A854" s="213" t="str">
        <f>IF(OR(CommitmentsTable[[#This Row],[Commitment / deliverable]]="",CommitmentsTable[[#This Row],[Immutable Key]]=""),"",SUBSTITUTE(CommitmentsTable[[#This Row],[Immutable Key]],"-K-","-"))</f>
        <v/>
      </c>
      <c r="B854" s="233"/>
      <c r="C854" s="233"/>
      <c r="D854" s="213"/>
      <c r="E854" s="230"/>
      <c r="F854" s="213"/>
      <c r="G854" s="245" t="str">
        <f ca="1">IF(CommitmentsTable[[#This Row],[Commitment / deliverable]]="","",IF(CommitmentsTable[[#This Row],[Date record entered]]="",TODAY(),CommitmentsTable[[#This Row],[Date record entered]]))</f>
        <v/>
      </c>
      <c r="H854" s="245"/>
      <c r="I854" s="245" t="str">
        <f ca="1">IF(CommitmentsTable[[#This Row],[Date Assigned if different from entry date]]&lt;&gt;"",CommitmentsTable[[#This Row],[Date Assigned if different from entry date]]+90,IF(CommitmentsTable[[#This Row],[Date record entered]]&lt;&gt;"",CommitmentsTable[[#This Row],[Date record entered]]+90,""))</f>
        <v/>
      </c>
      <c r="J854" s="245" t="str">
        <f ca="1">IF(CommitmentsTable[[#This Row],[Date Assigned if different from entry date]]&lt;&gt;"",CommitmentsTable[[#This Row],[Date Assigned if different from entry date]]+30,IF(CommitmentsTable[[#This Row],[Date record entered]]&lt;&gt;"",CommitmentsTable[[#This Row],[Date record entered]]+30,""))</f>
        <v/>
      </c>
      <c r="K854" s="245"/>
      <c r="L854" s="245" t="str">
        <f ca="1">IF(CommitmentsTable[[#This Row],[Date Assigned if different from entry date]]&lt;&gt;"",CommitmentsTable[[#This Row],[Date Assigned if different from entry date]]+60,IF(CommitmentsTable[[#This Row],[Date record entered]]&lt;&gt;"",CommitmentsTable[[#This Row],[Date record entered]]+60,""))</f>
        <v/>
      </c>
      <c r="M854" s="214"/>
      <c r="N854" s="214"/>
      <c r="O854" s="236"/>
      <c r="P854" s="214"/>
      <c r="Q854" s="214"/>
      <c r="R854" s="214"/>
      <c r="S854" s="238" t="str">
        <f>IF(CommitmentsTable[[#This Row],[Commitment / deliverable]]="","",IF(CommitmentsTable[[#This Row],[Revised due]]&lt;&gt;"",CommitmentsTable[[#This Row],[Revised due]],CommitmentsTable[[#This Row],[Original due]]))</f>
        <v/>
      </c>
      <c r="T854" s="237" t="str">
        <f>IF(OR(CommitmentsTable[[#This Row],[Commitment / deliverable]]="",CommitmentsTable[[#This Row],[Owner]]=""),"",IF(CommitmentsTable[[#This Row],[Status2]]="","Open",CommitmentsTable[[#This Row],[Status2]]))</f>
        <v/>
      </c>
      <c r="U854" s="237" t="str">
        <f t="shared" ca="1" si="13"/>
        <v/>
      </c>
      <c r="V854" s="233"/>
      <c r="W854" s="63" t="s">
        <v>1756</v>
      </c>
    </row>
    <row r="855" spans="1:23" ht="26">
      <c r="A855" s="213" t="str">
        <f>IF(OR(CommitmentsTable[[#This Row],[Commitment / deliverable]]="",CommitmentsTable[[#This Row],[Immutable Key]]=""),"",SUBSTITUTE(CommitmentsTable[[#This Row],[Immutable Key]],"-K-","-"))</f>
        <v/>
      </c>
      <c r="B855" s="233"/>
      <c r="C855" s="233"/>
      <c r="D855" s="213"/>
      <c r="E855" s="230"/>
      <c r="F855" s="213"/>
      <c r="G855" s="245" t="str">
        <f ca="1">IF(CommitmentsTable[[#This Row],[Commitment / deliverable]]="","",IF(CommitmentsTable[[#This Row],[Date record entered]]="",TODAY(),CommitmentsTable[[#This Row],[Date record entered]]))</f>
        <v/>
      </c>
      <c r="H855" s="245"/>
      <c r="I855" s="245" t="str">
        <f ca="1">IF(CommitmentsTable[[#This Row],[Date Assigned if different from entry date]]&lt;&gt;"",CommitmentsTable[[#This Row],[Date Assigned if different from entry date]]+90,IF(CommitmentsTable[[#This Row],[Date record entered]]&lt;&gt;"",CommitmentsTable[[#This Row],[Date record entered]]+90,""))</f>
        <v/>
      </c>
      <c r="J855" s="245" t="str">
        <f ca="1">IF(CommitmentsTable[[#This Row],[Date Assigned if different from entry date]]&lt;&gt;"",CommitmentsTable[[#This Row],[Date Assigned if different from entry date]]+30,IF(CommitmentsTable[[#This Row],[Date record entered]]&lt;&gt;"",CommitmentsTable[[#This Row],[Date record entered]]+30,""))</f>
        <v/>
      </c>
      <c r="K855" s="245"/>
      <c r="L855" s="245" t="str">
        <f ca="1">IF(CommitmentsTable[[#This Row],[Date Assigned if different from entry date]]&lt;&gt;"",CommitmentsTable[[#This Row],[Date Assigned if different from entry date]]+60,IF(CommitmentsTable[[#This Row],[Date record entered]]&lt;&gt;"",CommitmentsTable[[#This Row],[Date record entered]]+60,""))</f>
        <v/>
      </c>
      <c r="M855" s="214"/>
      <c r="N855" s="214"/>
      <c r="O855" s="236"/>
      <c r="P855" s="214"/>
      <c r="Q855" s="214"/>
      <c r="R855" s="214"/>
      <c r="S855" s="238" t="str">
        <f>IF(CommitmentsTable[[#This Row],[Commitment / deliverable]]="","",IF(CommitmentsTable[[#This Row],[Revised due]]&lt;&gt;"",CommitmentsTable[[#This Row],[Revised due]],CommitmentsTable[[#This Row],[Original due]]))</f>
        <v/>
      </c>
      <c r="T855" s="237" t="str">
        <f>IF(OR(CommitmentsTable[[#This Row],[Commitment / deliverable]]="",CommitmentsTable[[#This Row],[Owner]]=""),"",IF(CommitmentsTable[[#This Row],[Status2]]="","Open",CommitmentsTable[[#This Row],[Status2]]))</f>
        <v/>
      </c>
      <c r="U855" s="237" t="str">
        <f t="shared" ca="1" si="13"/>
        <v/>
      </c>
      <c r="V855" s="233"/>
      <c r="W855" s="63" t="s">
        <v>1757</v>
      </c>
    </row>
    <row r="856" spans="1:23" ht="26">
      <c r="A856" s="213" t="str">
        <f>IF(OR(CommitmentsTable[[#This Row],[Commitment / deliverable]]="",CommitmentsTable[[#This Row],[Immutable Key]]=""),"",SUBSTITUTE(CommitmentsTable[[#This Row],[Immutable Key]],"-K-","-"))</f>
        <v/>
      </c>
      <c r="B856" s="233"/>
      <c r="C856" s="233"/>
      <c r="D856" s="213"/>
      <c r="E856" s="230"/>
      <c r="F856" s="213"/>
      <c r="G856" s="245" t="str">
        <f ca="1">IF(CommitmentsTable[[#This Row],[Commitment / deliverable]]="","",IF(CommitmentsTable[[#This Row],[Date record entered]]="",TODAY(),CommitmentsTable[[#This Row],[Date record entered]]))</f>
        <v/>
      </c>
      <c r="H856" s="245"/>
      <c r="I856" s="245" t="str">
        <f ca="1">IF(CommitmentsTable[[#This Row],[Date Assigned if different from entry date]]&lt;&gt;"",CommitmentsTable[[#This Row],[Date Assigned if different from entry date]]+90,IF(CommitmentsTable[[#This Row],[Date record entered]]&lt;&gt;"",CommitmentsTable[[#This Row],[Date record entered]]+90,""))</f>
        <v/>
      </c>
      <c r="J856" s="245" t="str">
        <f ca="1">IF(CommitmentsTable[[#This Row],[Date Assigned if different from entry date]]&lt;&gt;"",CommitmentsTable[[#This Row],[Date Assigned if different from entry date]]+30,IF(CommitmentsTable[[#This Row],[Date record entered]]&lt;&gt;"",CommitmentsTable[[#This Row],[Date record entered]]+30,""))</f>
        <v/>
      </c>
      <c r="K856" s="245"/>
      <c r="L856" s="245" t="str">
        <f ca="1">IF(CommitmentsTable[[#This Row],[Date Assigned if different from entry date]]&lt;&gt;"",CommitmentsTable[[#This Row],[Date Assigned if different from entry date]]+60,IF(CommitmentsTable[[#This Row],[Date record entered]]&lt;&gt;"",CommitmentsTable[[#This Row],[Date record entered]]+60,""))</f>
        <v/>
      </c>
      <c r="M856" s="214"/>
      <c r="N856" s="214"/>
      <c r="O856" s="236"/>
      <c r="P856" s="214"/>
      <c r="Q856" s="214"/>
      <c r="R856" s="214"/>
      <c r="S856" s="238" t="str">
        <f>IF(CommitmentsTable[[#This Row],[Commitment / deliverable]]="","",IF(CommitmentsTable[[#This Row],[Revised due]]&lt;&gt;"",CommitmentsTable[[#This Row],[Revised due]],CommitmentsTable[[#This Row],[Original due]]))</f>
        <v/>
      </c>
      <c r="T856" s="237" t="str">
        <f>IF(OR(CommitmentsTable[[#This Row],[Commitment / deliverable]]="",CommitmentsTable[[#This Row],[Owner]]=""),"",IF(CommitmentsTable[[#This Row],[Status2]]="","Open",CommitmentsTable[[#This Row],[Status2]]))</f>
        <v/>
      </c>
      <c r="U856" s="237" t="str">
        <f t="shared" ca="1" si="13"/>
        <v/>
      </c>
      <c r="V856" s="233"/>
      <c r="W856" s="63" t="s">
        <v>1758</v>
      </c>
    </row>
    <row r="857" spans="1:23" ht="26">
      <c r="A857" s="213" t="str">
        <f>IF(OR(CommitmentsTable[[#This Row],[Commitment / deliverable]]="",CommitmentsTable[[#This Row],[Immutable Key]]=""),"",SUBSTITUTE(CommitmentsTable[[#This Row],[Immutable Key]],"-K-","-"))</f>
        <v/>
      </c>
      <c r="B857" s="233"/>
      <c r="C857" s="233"/>
      <c r="D857" s="213"/>
      <c r="E857" s="230"/>
      <c r="F857" s="213"/>
      <c r="G857" s="245" t="str">
        <f ca="1">IF(CommitmentsTable[[#This Row],[Commitment / deliverable]]="","",IF(CommitmentsTable[[#This Row],[Date record entered]]="",TODAY(),CommitmentsTable[[#This Row],[Date record entered]]))</f>
        <v/>
      </c>
      <c r="H857" s="245"/>
      <c r="I857" s="245" t="str">
        <f ca="1">IF(CommitmentsTable[[#This Row],[Date Assigned if different from entry date]]&lt;&gt;"",CommitmentsTable[[#This Row],[Date Assigned if different from entry date]]+90,IF(CommitmentsTable[[#This Row],[Date record entered]]&lt;&gt;"",CommitmentsTable[[#This Row],[Date record entered]]+90,""))</f>
        <v/>
      </c>
      <c r="J857" s="245" t="str">
        <f ca="1">IF(CommitmentsTable[[#This Row],[Date Assigned if different from entry date]]&lt;&gt;"",CommitmentsTable[[#This Row],[Date Assigned if different from entry date]]+30,IF(CommitmentsTable[[#This Row],[Date record entered]]&lt;&gt;"",CommitmentsTable[[#This Row],[Date record entered]]+30,""))</f>
        <v/>
      </c>
      <c r="K857" s="245"/>
      <c r="L857" s="245" t="str">
        <f ca="1">IF(CommitmentsTable[[#This Row],[Date Assigned if different from entry date]]&lt;&gt;"",CommitmentsTable[[#This Row],[Date Assigned if different from entry date]]+60,IF(CommitmentsTable[[#This Row],[Date record entered]]&lt;&gt;"",CommitmentsTable[[#This Row],[Date record entered]]+60,""))</f>
        <v/>
      </c>
      <c r="M857" s="214"/>
      <c r="N857" s="214"/>
      <c r="O857" s="236"/>
      <c r="P857" s="214"/>
      <c r="Q857" s="214"/>
      <c r="R857" s="214"/>
      <c r="S857" s="238" t="str">
        <f>IF(CommitmentsTable[[#This Row],[Commitment / deliverable]]="","",IF(CommitmentsTable[[#This Row],[Revised due]]&lt;&gt;"",CommitmentsTable[[#This Row],[Revised due]],CommitmentsTable[[#This Row],[Original due]]))</f>
        <v/>
      </c>
      <c r="T857" s="237" t="str">
        <f>IF(OR(CommitmentsTable[[#This Row],[Commitment / deliverable]]="",CommitmentsTable[[#This Row],[Owner]]=""),"",IF(CommitmentsTable[[#This Row],[Status2]]="","Open",CommitmentsTable[[#This Row],[Status2]]))</f>
        <v/>
      </c>
      <c r="U857" s="237" t="str">
        <f t="shared" ca="1" si="13"/>
        <v/>
      </c>
      <c r="V857" s="233"/>
      <c r="W857" s="63" t="s">
        <v>1759</v>
      </c>
    </row>
    <row r="858" spans="1:23" ht="26">
      <c r="A858" s="213" t="str">
        <f>IF(OR(CommitmentsTable[[#This Row],[Commitment / deliverable]]="",CommitmentsTable[[#This Row],[Immutable Key]]=""),"",SUBSTITUTE(CommitmentsTable[[#This Row],[Immutable Key]],"-K-","-"))</f>
        <v/>
      </c>
      <c r="B858" s="233"/>
      <c r="C858" s="233"/>
      <c r="D858" s="213"/>
      <c r="E858" s="230"/>
      <c r="F858" s="213"/>
      <c r="G858" s="245" t="str">
        <f ca="1">IF(CommitmentsTable[[#This Row],[Commitment / deliverable]]="","",IF(CommitmentsTable[[#This Row],[Date record entered]]="",TODAY(),CommitmentsTable[[#This Row],[Date record entered]]))</f>
        <v/>
      </c>
      <c r="H858" s="245"/>
      <c r="I858" s="245" t="str">
        <f ca="1">IF(CommitmentsTable[[#This Row],[Date Assigned if different from entry date]]&lt;&gt;"",CommitmentsTable[[#This Row],[Date Assigned if different from entry date]]+90,IF(CommitmentsTable[[#This Row],[Date record entered]]&lt;&gt;"",CommitmentsTable[[#This Row],[Date record entered]]+90,""))</f>
        <v/>
      </c>
      <c r="J858" s="245" t="str">
        <f ca="1">IF(CommitmentsTable[[#This Row],[Date Assigned if different from entry date]]&lt;&gt;"",CommitmentsTable[[#This Row],[Date Assigned if different from entry date]]+30,IF(CommitmentsTable[[#This Row],[Date record entered]]&lt;&gt;"",CommitmentsTable[[#This Row],[Date record entered]]+30,""))</f>
        <v/>
      </c>
      <c r="K858" s="245"/>
      <c r="L858" s="245" t="str">
        <f ca="1">IF(CommitmentsTable[[#This Row],[Date Assigned if different from entry date]]&lt;&gt;"",CommitmentsTable[[#This Row],[Date Assigned if different from entry date]]+60,IF(CommitmentsTable[[#This Row],[Date record entered]]&lt;&gt;"",CommitmentsTable[[#This Row],[Date record entered]]+60,""))</f>
        <v/>
      </c>
      <c r="M858" s="214"/>
      <c r="N858" s="214"/>
      <c r="O858" s="236"/>
      <c r="P858" s="214"/>
      <c r="Q858" s="214"/>
      <c r="R858" s="214"/>
      <c r="S858" s="238" t="str">
        <f>IF(CommitmentsTable[[#This Row],[Commitment / deliverable]]="","",IF(CommitmentsTable[[#This Row],[Revised due]]&lt;&gt;"",CommitmentsTable[[#This Row],[Revised due]],CommitmentsTable[[#This Row],[Original due]]))</f>
        <v/>
      </c>
      <c r="T858" s="237" t="str">
        <f>IF(OR(CommitmentsTable[[#This Row],[Commitment / deliverable]]="",CommitmentsTable[[#This Row],[Owner]]=""),"",IF(CommitmentsTable[[#This Row],[Status2]]="","Open",CommitmentsTable[[#This Row],[Status2]]))</f>
        <v/>
      </c>
      <c r="U858" s="237" t="str">
        <f t="shared" ca="1" si="13"/>
        <v/>
      </c>
      <c r="V858" s="233"/>
      <c r="W858" s="63" t="s">
        <v>1760</v>
      </c>
    </row>
    <row r="859" spans="1:23" ht="26">
      <c r="A859" s="213" t="str">
        <f>IF(OR(CommitmentsTable[[#This Row],[Commitment / deliverable]]="",CommitmentsTable[[#This Row],[Immutable Key]]=""),"",SUBSTITUTE(CommitmentsTable[[#This Row],[Immutable Key]],"-K-","-"))</f>
        <v/>
      </c>
      <c r="B859" s="233"/>
      <c r="C859" s="233"/>
      <c r="D859" s="213"/>
      <c r="E859" s="230"/>
      <c r="F859" s="213"/>
      <c r="G859" s="245" t="str">
        <f ca="1">IF(CommitmentsTable[[#This Row],[Commitment / deliverable]]="","",IF(CommitmentsTable[[#This Row],[Date record entered]]="",TODAY(),CommitmentsTable[[#This Row],[Date record entered]]))</f>
        <v/>
      </c>
      <c r="H859" s="245"/>
      <c r="I859" s="245" t="str">
        <f ca="1">IF(CommitmentsTable[[#This Row],[Date Assigned if different from entry date]]&lt;&gt;"",CommitmentsTable[[#This Row],[Date Assigned if different from entry date]]+90,IF(CommitmentsTable[[#This Row],[Date record entered]]&lt;&gt;"",CommitmentsTable[[#This Row],[Date record entered]]+90,""))</f>
        <v/>
      </c>
      <c r="J859" s="245" t="str">
        <f ca="1">IF(CommitmentsTable[[#This Row],[Date Assigned if different from entry date]]&lt;&gt;"",CommitmentsTable[[#This Row],[Date Assigned if different from entry date]]+30,IF(CommitmentsTable[[#This Row],[Date record entered]]&lt;&gt;"",CommitmentsTable[[#This Row],[Date record entered]]+30,""))</f>
        <v/>
      </c>
      <c r="K859" s="245"/>
      <c r="L859" s="245" t="str">
        <f ca="1">IF(CommitmentsTable[[#This Row],[Date Assigned if different from entry date]]&lt;&gt;"",CommitmentsTable[[#This Row],[Date Assigned if different from entry date]]+60,IF(CommitmentsTable[[#This Row],[Date record entered]]&lt;&gt;"",CommitmentsTable[[#This Row],[Date record entered]]+60,""))</f>
        <v/>
      </c>
      <c r="M859" s="214"/>
      <c r="N859" s="214"/>
      <c r="O859" s="236"/>
      <c r="P859" s="214"/>
      <c r="Q859" s="214"/>
      <c r="R859" s="214"/>
      <c r="S859" s="238" t="str">
        <f>IF(CommitmentsTable[[#This Row],[Commitment / deliverable]]="","",IF(CommitmentsTable[[#This Row],[Revised due]]&lt;&gt;"",CommitmentsTable[[#This Row],[Revised due]],CommitmentsTable[[#This Row],[Original due]]))</f>
        <v/>
      </c>
      <c r="T859" s="237" t="str">
        <f>IF(OR(CommitmentsTable[[#This Row],[Commitment / deliverable]]="",CommitmentsTable[[#This Row],[Owner]]=""),"",IF(CommitmentsTable[[#This Row],[Status2]]="","Open",CommitmentsTable[[#This Row],[Status2]]))</f>
        <v/>
      </c>
      <c r="U859" s="237" t="str">
        <f t="shared" ca="1" si="13"/>
        <v/>
      </c>
      <c r="V859" s="233"/>
      <c r="W859" s="63" t="s">
        <v>1761</v>
      </c>
    </row>
    <row r="860" spans="1:23" ht="26">
      <c r="A860" s="213" t="str">
        <f>IF(OR(CommitmentsTable[[#This Row],[Commitment / deliverable]]="",CommitmentsTable[[#This Row],[Immutable Key]]=""),"",SUBSTITUTE(CommitmentsTable[[#This Row],[Immutable Key]],"-K-","-"))</f>
        <v/>
      </c>
      <c r="B860" s="233"/>
      <c r="C860" s="233"/>
      <c r="D860" s="213"/>
      <c r="E860" s="230"/>
      <c r="F860" s="213"/>
      <c r="G860" s="245" t="str">
        <f ca="1">IF(CommitmentsTable[[#This Row],[Commitment / deliverable]]="","",IF(CommitmentsTable[[#This Row],[Date record entered]]="",TODAY(),CommitmentsTable[[#This Row],[Date record entered]]))</f>
        <v/>
      </c>
      <c r="H860" s="245"/>
      <c r="I860" s="245" t="str">
        <f ca="1">IF(CommitmentsTable[[#This Row],[Date Assigned if different from entry date]]&lt;&gt;"",CommitmentsTable[[#This Row],[Date Assigned if different from entry date]]+90,IF(CommitmentsTable[[#This Row],[Date record entered]]&lt;&gt;"",CommitmentsTable[[#This Row],[Date record entered]]+90,""))</f>
        <v/>
      </c>
      <c r="J860" s="245" t="str">
        <f ca="1">IF(CommitmentsTable[[#This Row],[Date Assigned if different from entry date]]&lt;&gt;"",CommitmentsTable[[#This Row],[Date Assigned if different from entry date]]+30,IF(CommitmentsTable[[#This Row],[Date record entered]]&lt;&gt;"",CommitmentsTable[[#This Row],[Date record entered]]+30,""))</f>
        <v/>
      </c>
      <c r="K860" s="245"/>
      <c r="L860" s="245" t="str">
        <f ca="1">IF(CommitmentsTable[[#This Row],[Date Assigned if different from entry date]]&lt;&gt;"",CommitmentsTable[[#This Row],[Date Assigned if different from entry date]]+60,IF(CommitmentsTable[[#This Row],[Date record entered]]&lt;&gt;"",CommitmentsTable[[#This Row],[Date record entered]]+60,""))</f>
        <v/>
      </c>
      <c r="M860" s="214"/>
      <c r="N860" s="214"/>
      <c r="O860" s="236"/>
      <c r="P860" s="214"/>
      <c r="Q860" s="214"/>
      <c r="R860" s="214"/>
      <c r="S860" s="238" t="str">
        <f>IF(CommitmentsTable[[#This Row],[Commitment / deliverable]]="","",IF(CommitmentsTable[[#This Row],[Revised due]]&lt;&gt;"",CommitmentsTable[[#This Row],[Revised due]],CommitmentsTable[[#This Row],[Original due]]))</f>
        <v/>
      </c>
      <c r="T860" s="237" t="str">
        <f>IF(OR(CommitmentsTable[[#This Row],[Commitment / deliverable]]="",CommitmentsTable[[#This Row],[Owner]]=""),"",IF(CommitmentsTable[[#This Row],[Status2]]="","Open",CommitmentsTable[[#This Row],[Status2]]))</f>
        <v/>
      </c>
      <c r="U860" s="237" t="str">
        <f t="shared" ca="1" si="13"/>
        <v/>
      </c>
      <c r="V860" s="233"/>
      <c r="W860" s="63" t="s">
        <v>1762</v>
      </c>
    </row>
    <row r="861" spans="1:23" ht="26">
      <c r="A861" s="213" t="str">
        <f>IF(OR(CommitmentsTable[[#This Row],[Commitment / deliverable]]="",CommitmentsTable[[#This Row],[Immutable Key]]=""),"",SUBSTITUTE(CommitmentsTable[[#This Row],[Immutable Key]],"-K-","-"))</f>
        <v/>
      </c>
      <c r="B861" s="233"/>
      <c r="C861" s="233"/>
      <c r="D861" s="213"/>
      <c r="E861" s="230"/>
      <c r="F861" s="213"/>
      <c r="G861" s="245" t="str">
        <f ca="1">IF(CommitmentsTable[[#This Row],[Commitment / deliverable]]="","",IF(CommitmentsTable[[#This Row],[Date record entered]]="",TODAY(),CommitmentsTable[[#This Row],[Date record entered]]))</f>
        <v/>
      </c>
      <c r="H861" s="245"/>
      <c r="I861" s="245" t="str">
        <f ca="1">IF(CommitmentsTable[[#This Row],[Date Assigned if different from entry date]]&lt;&gt;"",CommitmentsTable[[#This Row],[Date Assigned if different from entry date]]+90,IF(CommitmentsTable[[#This Row],[Date record entered]]&lt;&gt;"",CommitmentsTable[[#This Row],[Date record entered]]+90,""))</f>
        <v/>
      </c>
      <c r="J861" s="245" t="str">
        <f ca="1">IF(CommitmentsTable[[#This Row],[Date Assigned if different from entry date]]&lt;&gt;"",CommitmentsTable[[#This Row],[Date Assigned if different from entry date]]+30,IF(CommitmentsTable[[#This Row],[Date record entered]]&lt;&gt;"",CommitmentsTable[[#This Row],[Date record entered]]+30,""))</f>
        <v/>
      </c>
      <c r="K861" s="245"/>
      <c r="L861" s="245" t="str">
        <f ca="1">IF(CommitmentsTable[[#This Row],[Date Assigned if different from entry date]]&lt;&gt;"",CommitmentsTable[[#This Row],[Date Assigned if different from entry date]]+60,IF(CommitmentsTable[[#This Row],[Date record entered]]&lt;&gt;"",CommitmentsTable[[#This Row],[Date record entered]]+60,""))</f>
        <v/>
      </c>
      <c r="M861" s="214"/>
      <c r="N861" s="214"/>
      <c r="O861" s="236"/>
      <c r="P861" s="214"/>
      <c r="Q861" s="214"/>
      <c r="R861" s="214"/>
      <c r="S861" s="238" t="str">
        <f>IF(CommitmentsTable[[#This Row],[Commitment / deliverable]]="","",IF(CommitmentsTable[[#This Row],[Revised due]]&lt;&gt;"",CommitmentsTable[[#This Row],[Revised due]],CommitmentsTable[[#This Row],[Original due]]))</f>
        <v/>
      </c>
      <c r="T861" s="237" t="str">
        <f>IF(OR(CommitmentsTable[[#This Row],[Commitment / deliverable]]="",CommitmentsTable[[#This Row],[Owner]]=""),"",IF(CommitmentsTable[[#This Row],[Status2]]="","Open",CommitmentsTable[[#This Row],[Status2]]))</f>
        <v/>
      </c>
      <c r="U861" s="237" t="str">
        <f t="shared" ca="1" si="13"/>
        <v/>
      </c>
      <c r="V861" s="233"/>
      <c r="W861" s="63" t="s">
        <v>1763</v>
      </c>
    </row>
    <row r="862" spans="1:23" ht="26">
      <c r="A862" s="213" t="str">
        <f>IF(OR(CommitmentsTable[[#This Row],[Commitment / deliverable]]="",CommitmentsTable[[#This Row],[Immutable Key]]=""),"",SUBSTITUTE(CommitmentsTable[[#This Row],[Immutable Key]],"-K-","-"))</f>
        <v/>
      </c>
      <c r="B862" s="233"/>
      <c r="C862" s="233"/>
      <c r="D862" s="213"/>
      <c r="E862" s="230"/>
      <c r="F862" s="213"/>
      <c r="G862" s="245" t="str">
        <f ca="1">IF(CommitmentsTable[[#This Row],[Commitment / deliverable]]="","",IF(CommitmentsTable[[#This Row],[Date record entered]]="",TODAY(),CommitmentsTable[[#This Row],[Date record entered]]))</f>
        <v/>
      </c>
      <c r="H862" s="245"/>
      <c r="I862" s="245" t="str">
        <f ca="1">IF(CommitmentsTable[[#This Row],[Date Assigned if different from entry date]]&lt;&gt;"",CommitmentsTable[[#This Row],[Date Assigned if different from entry date]]+90,IF(CommitmentsTable[[#This Row],[Date record entered]]&lt;&gt;"",CommitmentsTable[[#This Row],[Date record entered]]+90,""))</f>
        <v/>
      </c>
      <c r="J862" s="245" t="str">
        <f ca="1">IF(CommitmentsTable[[#This Row],[Date Assigned if different from entry date]]&lt;&gt;"",CommitmentsTable[[#This Row],[Date Assigned if different from entry date]]+30,IF(CommitmentsTable[[#This Row],[Date record entered]]&lt;&gt;"",CommitmentsTable[[#This Row],[Date record entered]]+30,""))</f>
        <v/>
      </c>
      <c r="K862" s="245"/>
      <c r="L862" s="245" t="str">
        <f ca="1">IF(CommitmentsTable[[#This Row],[Date Assigned if different from entry date]]&lt;&gt;"",CommitmentsTable[[#This Row],[Date Assigned if different from entry date]]+60,IF(CommitmentsTable[[#This Row],[Date record entered]]&lt;&gt;"",CommitmentsTable[[#This Row],[Date record entered]]+60,""))</f>
        <v/>
      </c>
      <c r="M862" s="214"/>
      <c r="N862" s="214"/>
      <c r="O862" s="236"/>
      <c r="P862" s="214"/>
      <c r="Q862" s="214"/>
      <c r="R862" s="214"/>
      <c r="S862" s="238" t="str">
        <f>IF(CommitmentsTable[[#This Row],[Commitment / deliverable]]="","",IF(CommitmentsTable[[#This Row],[Revised due]]&lt;&gt;"",CommitmentsTable[[#This Row],[Revised due]],CommitmentsTable[[#This Row],[Original due]]))</f>
        <v/>
      </c>
      <c r="T862" s="237" t="str">
        <f>IF(OR(CommitmentsTable[[#This Row],[Commitment / deliverable]]="",CommitmentsTable[[#This Row],[Owner]]=""),"",IF(CommitmentsTable[[#This Row],[Status2]]="","Open",CommitmentsTable[[#This Row],[Status2]]))</f>
        <v/>
      </c>
      <c r="U862" s="237" t="str">
        <f t="shared" ca="1" si="13"/>
        <v/>
      </c>
      <c r="V862" s="233"/>
      <c r="W862" s="63" t="s">
        <v>1764</v>
      </c>
    </row>
    <row r="863" spans="1:23" ht="26">
      <c r="A863" s="213" t="str">
        <f>IF(OR(CommitmentsTable[[#This Row],[Commitment / deliverable]]="",CommitmentsTable[[#This Row],[Immutable Key]]=""),"",SUBSTITUTE(CommitmentsTable[[#This Row],[Immutable Key]],"-K-","-"))</f>
        <v/>
      </c>
      <c r="B863" s="233"/>
      <c r="C863" s="233"/>
      <c r="D863" s="213"/>
      <c r="E863" s="230"/>
      <c r="F863" s="213"/>
      <c r="G863" s="245" t="str">
        <f ca="1">IF(CommitmentsTable[[#This Row],[Commitment / deliverable]]="","",IF(CommitmentsTable[[#This Row],[Date record entered]]="",TODAY(),CommitmentsTable[[#This Row],[Date record entered]]))</f>
        <v/>
      </c>
      <c r="H863" s="245"/>
      <c r="I863" s="245" t="str">
        <f ca="1">IF(CommitmentsTable[[#This Row],[Date Assigned if different from entry date]]&lt;&gt;"",CommitmentsTable[[#This Row],[Date Assigned if different from entry date]]+90,IF(CommitmentsTable[[#This Row],[Date record entered]]&lt;&gt;"",CommitmentsTable[[#This Row],[Date record entered]]+90,""))</f>
        <v/>
      </c>
      <c r="J863" s="245" t="str">
        <f ca="1">IF(CommitmentsTable[[#This Row],[Date Assigned if different from entry date]]&lt;&gt;"",CommitmentsTable[[#This Row],[Date Assigned if different from entry date]]+30,IF(CommitmentsTable[[#This Row],[Date record entered]]&lt;&gt;"",CommitmentsTable[[#This Row],[Date record entered]]+30,""))</f>
        <v/>
      </c>
      <c r="K863" s="245"/>
      <c r="L863" s="245" t="str">
        <f ca="1">IF(CommitmentsTable[[#This Row],[Date Assigned if different from entry date]]&lt;&gt;"",CommitmentsTable[[#This Row],[Date Assigned if different from entry date]]+60,IF(CommitmentsTable[[#This Row],[Date record entered]]&lt;&gt;"",CommitmentsTable[[#This Row],[Date record entered]]+60,""))</f>
        <v/>
      </c>
      <c r="M863" s="214"/>
      <c r="N863" s="214"/>
      <c r="O863" s="236"/>
      <c r="P863" s="214"/>
      <c r="Q863" s="214"/>
      <c r="R863" s="214"/>
      <c r="S863" s="238" t="str">
        <f>IF(CommitmentsTable[[#This Row],[Commitment / deliverable]]="","",IF(CommitmentsTable[[#This Row],[Revised due]]&lt;&gt;"",CommitmentsTable[[#This Row],[Revised due]],CommitmentsTable[[#This Row],[Original due]]))</f>
        <v/>
      </c>
      <c r="T863" s="237" t="str">
        <f>IF(OR(CommitmentsTable[[#This Row],[Commitment / deliverable]]="",CommitmentsTable[[#This Row],[Owner]]=""),"",IF(CommitmentsTable[[#This Row],[Status2]]="","Open",CommitmentsTable[[#This Row],[Status2]]))</f>
        <v/>
      </c>
      <c r="U863" s="237" t="str">
        <f t="shared" ca="1" si="13"/>
        <v/>
      </c>
      <c r="V863" s="233"/>
      <c r="W863" s="63" t="s">
        <v>1765</v>
      </c>
    </row>
    <row r="864" spans="1:23" ht="26">
      <c r="A864" s="213" t="str">
        <f>IF(OR(CommitmentsTable[[#This Row],[Commitment / deliverable]]="",CommitmentsTable[[#This Row],[Immutable Key]]=""),"",SUBSTITUTE(CommitmentsTable[[#This Row],[Immutable Key]],"-K-","-"))</f>
        <v/>
      </c>
      <c r="B864" s="233"/>
      <c r="C864" s="233"/>
      <c r="D864" s="213"/>
      <c r="E864" s="230"/>
      <c r="F864" s="213"/>
      <c r="G864" s="245" t="str">
        <f ca="1">IF(CommitmentsTable[[#This Row],[Commitment / deliverable]]="","",IF(CommitmentsTable[[#This Row],[Date record entered]]="",TODAY(),CommitmentsTable[[#This Row],[Date record entered]]))</f>
        <v/>
      </c>
      <c r="H864" s="245"/>
      <c r="I864" s="245" t="str">
        <f ca="1">IF(CommitmentsTable[[#This Row],[Date Assigned if different from entry date]]&lt;&gt;"",CommitmentsTable[[#This Row],[Date Assigned if different from entry date]]+90,IF(CommitmentsTable[[#This Row],[Date record entered]]&lt;&gt;"",CommitmentsTable[[#This Row],[Date record entered]]+90,""))</f>
        <v/>
      </c>
      <c r="J864" s="245" t="str">
        <f ca="1">IF(CommitmentsTable[[#This Row],[Date Assigned if different from entry date]]&lt;&gt;"",CommitmentsTable[[#This Row],[Date Assigned if different from entry date]]+30,IF(CommitmentsTable[[#This Row],[Date record entered]]&lt;&gt;"",CommitmentsTable[[#This Row],[Date record entered]]+30,""))</f>
        <v/>
      </c>
      <c r="K864" s="245"/>
      <c r="L864" s="245" t="str">
        <f ca="1">IF(CommitmentsTable[[#This Row],[Date Assigned if different from entry date]]&lt;&gt;"",CommitmentsTable[[#This Row],[Date Assigned if different from entry date]]+60,IF(CommitmentsTable[[#This Row],[Date record entered]]&lt;&gt;"",CommitmentsTable[[#This Row],[Date record entered]]+60,""))</f>
        <v/>
      </c>
      <c r="M864" s="214"/>
      <c r="N864" s="214"/>
      <c r="O864" s="236"/>
      <c r="P864" s="214"/>
      <c r="Q864" s="214"/>
      <c r="R864" s="214"/>
      <c r="S864" s="238" t="str">
        <f>IF(CommitmentsTable[[#This Row],[Commitment / deliverable]]="","",IF(CommitmentsTable[[#This Row],[Revised due]]&lt;&gt;"",CommitmentsTable[[#This Row],[Revised due]],CommitmentsTable[[#This Row],[Original due]]))</f>
        <v/>
      </c>
      <c r="T864" s="237" t="str">
        <f>IF(OR(CommitmentsTable[[#This Row],[Commitment / deliverable]]="",CommitmentsTable[[#This Row],[Owner]]=""),"",IF(CommitmentsTable[[#This Row],[Status2]]="","Open",CommitmentsTable[[#This Row],[Status2]]))</f>
        <v/>
      </c>
      <c r="U864" s="237" t="str">
        <f t="shared" ca="1" si="13"/>
        <v/>
      </c>
      <c r="V864" s="233"/>
      <c r="W864" s="63" t="s">
        <v>1766</v>
      </c>
    </row>
    <row r="865" spans="1:23" ht="26">
      <c r="A865" s="213" t="str">
        <f>IF(OR(CommitmentsTable[[#This Row],[Commitment / deliverable]]="",CommitmentsTable[[#This Row],[Immutable Key]]=""),"",SUBSTITUTE(CommitmentsTable[[#This Row],[Immutable Key]],"-K-","-"))</f>
        <v/>
      </c>
      <c r="B865" s="233"/>
      <c r="C865" s="233"/>
      <c r="D865" s="213"/>
      <c r="E865" s="230"/>
      <c r="F865" s="213"/>
      <c r="G865" s="245" t="str">
        <f ca="1">IF(CommitmentsTable[[#This Row],[Commitment / deliverable]]="","",IF(CommitmentsTable[[#This Row],[Date record entered]]="",TODAY(),CommitmentsTable[[#This Row],[Date record entered]]))</f>
        <v/>
      </c>
      <c r="H865" s="245"/>
      <c r="I865" s="245" t="str">
        <f ca="1">IF(CommitmentsTable[[#This Row],[Date Assigned if different from entry date]]&lt;&gt;"",CommitmentsTable[[#This Row],[Date Assigned if different from entry date]]+90,IF(CommitmentsTable[[#This Row],[Date record entered]]&lt;&gt;"",CommitmentsTable[[#This Row],[Date record entered]]+90,""))</f>
        <v/>
      </c>
      <c r="J865" s="245" t="str">
        <f ca="1">IF(CommitmentsTable[[#This Row],[Date Assigned if different from entry date]]&lt;&gt;"",CommitmentsTable[[#This Row],[Date Assigned if different from entry date]]+30,IF(CommitmentsTable[[#This Row],[Date record entered]]&lt;&gt;"",CommitmentsTable[[#This Row],[Date record entered]]+30,""))</f>
        <v/>
      </c>
      <c r="K865" s="245"/>
      <c r="L865" s="245" t="str">
        <f ca="1">IF(CommitmentsTable[[#This Row],[Date Assigned if different from entry date]]&lt;&gt;"",CommitmentsTable[[#This Row],[Date Assigned if different from entry date]]+60,IF(CommitmentsTable[[#This Row],[Date record entered]]&lt;&gt;"",CommitmentsTable[[#This Row],[Date record entered]]+60,""))</f>
        <v/>
      </c>
      <c r="M865" s="214"/>
      <c r="N865" s="214"/>
      <c r="O865" s="236"/>
      <c r="P865" s="214"/>
      <c r="Q865" s="214"/>
      <c r="R865" s="214"/>
      <c r="S865" s="238" t="str">
        <f>IF(CommitmentsTable[[#This Row],[Commitment / deliverable]]="","",IF(CommitmentsTable[[#This Row],[Revised due]]&lt;&gt;"",CommitmentsTable[[#This Row],[Revised due]],CommitmentsTable[[#This Row],[Original due]]))</f>
        <v/>
      </c>
      <c r="T865" s="237" t="str">
        <f>IF(OR(CommitmentsTable[[#This Row],[Commitment / deliverable]]="",CommitmentsTable[[#This Row],[Owner]]=""),"",IF(CommitmentsTable[[#This Row],[Status2]]="","Open",CommitmentsTable[[#This Row],[Status2]]))</f>
        <v/>
      </c>
      <c r="U865" s="237" t="str">
        <f t="shared" ca="1" si="13"/>
        <v/>
      </c>
      <c r="V865" s="233"/>
      <c r="W865" s="63" t="s">
        <v>1767</v>
      </c>
    </row>
    <row r="866" spans="1:23" ht="26">
      <c r="A866" s="213" t="str">
        <f>IF(OR(CommitmentsTable[[#This Row],[Commitment / deliverable]]="",CommitmentsTable[[#This Row],[Immutable Key]]=""),"",SUBSTITUTE(CommitmentsTable[[#This Row],[Immutable Key]],"-K-","-"))</f>
        <v/>
      </c>
      <c r="B866" s="233"/>
      <c r="C866" s="233"/>
      <c r="D866" s="213"/>
      <c r="E866" s="230"/>
      <c r="F866" s="213"/>
      <c r="G866" s="245" t="str">
        <f ca="1">IF(CommitmentsTable[[#This Row],[Commitment / deliverable]]="","",IF(CommitmentsTable[[#This Row],[Date record entered]]="",TODAY(),CommitmentsTable[[#This Row],[Date record entered]]))</f>
        <v/>
      </c>
      <c r="H866" s="245"/>
      <c r="I866" s="245" t="str">
        <f ca="1">IF(CommitmentsTable[[#This Row],[Date Assigned if different from entry date]]&lt;&gt;"",CommitmentsTable[[#This Row],[Date Assigned if different from entry date]]+90,IF(CommitmentsTable[[#This Row],[Date record entered]]&lt;&gt;"",CommitmentsTable[[#This Row],[Date record entered]]+90,""))</f>
        <v/>
      </c>
      <c r="J866" s="245" t="str">
        <f ca="1">IF(CommitmentsTable[[#This Row],[Date Assigned if different from entry date]]&lt;&gt;"",CommitmentsTable[[#This Row],[Date Assigned if different from entry date]]+30,IF(CommitmentsTable[[#This Row],[Date record entered]]&lt;&gt;"",CommitmentsTable[[#This Row],[Date record entered]]+30,""))</f>
        <v/>
      </c>
      <c r="K866" s="245"/>
      <c r="L866" s="245" t="str">
        <f ca="1">IF(CommitmentsTable[[#This Row],[Date Assigned if different from entry date]]&lt;&gt;"",CommitmentsTable[[#This Row],[Date Assigned if different from entry date]]+60,IF(CommitmentsTable[[#This Row],[Date record entered]]&lt;&gt;"",CommitmentsTable[[#This Row],[Date record entered]]+60,""))</f>
        <v/>
      </c>
      <c r="M866" s="214"/>
      <c r="N866" s="214"/>
      <c r="O866" s="236"/>
      <c r="P866" s="214"/>
      <c r="Q866" s="214"/>
      <c r="R866" s="214"/>
      <c r="S866" s="238" t="str">
        <f>IF(CommitmentsTable[[#This Row],[Commitment / deliverable]]="","",IF(CommitmentsTable[[#This Row],[Revised due]]&lt;&gt;"",CommitmentsTable[[#This Row],[Revised due]],CommitmentsTable[[#This Row],[Original due]]))</f>
        <v/>
      </c>
      <c r="T866" s="237" t="str">
        <f>IF(OR(CommitmentsTable[[#This Row],[Commitment / deliverable]]="",CommitmentsTable[[#This Row],[Owner]]=""),"",IF(CommitmentsTable[[#This Row],[Status2]]="","Open",CommitmentsTable[[#This Row],[Status2]]))</f>
        <v/>
      </c>
      <c r="U866" s="237" t="str">
        <f t="shared" ca="1" si="13"/>
        <v/>
      </c>
      <c r="V866" s="233"/>
      <c r="W866" s="63" t="s">
        <v>1768</v>
      </c>
    </row>
    <row r="867" spans="1:23" ht="26">
      <c r="A867" s="213" t="str">
        <f>IF(OR(CommitmentsTable[[#This Row],[Commitment / deliverable]]="",CommitmentsTable[[#This Row],[Immutable Key]]=""),"",SUBSTITUTE(CommitmentsTable[[#This Row],[Immutable Key]],"-K-","-"))</f>
        <v/>
      </c>
      <c r="B867" s="233"/>
      <c r="C867" s="233"/>
      <c r="D867" s="213"/>
      <c r="E867" s="230"/>
      <c r="F867" s="213"/>
      <c r="G867" s="245" t="str">
        <f ca="1">IF(CommitmentsTable[[#This Row],[Commitment / deliverable]]="","",IF(CommitmentsTable[[#This Row],[Date record entered]]="",TODAY(),CommitmentsTable[[#This Row],[Date record entered]]))</f>
        <v/>
      </c>
      <c r="H867" s="245"/>
      <c r="I867" s="245" t="str">
        <f ca="1">IF(CommitmentsTable[[#This Row],[Date Assigned if different from entry date]]&lt;&gt;"",CommitmentsTable[[#This Row],[Date Assigned if different from entry date]]+90,IF(CommitmentsTable[[#This Row],[Date record entered]]&lt;&gt;"",CommitmentsTable[[#This Row],[Date record entered]]+90,""))</f>
        <v/>
      </c>
      <c r="J867" s="245" t="str">
        <f ca="1">IF(CommitmentsTable[[#This Row],[Date Assigned if different from entry date]]&lt;&gt;"",CommitmentsTable[[#This Row],[Date Assigned if different from entry date]]+30,IF(CommitmentsTable[[#This Row],[Date record entered]]&lt;&gt;"",CommitmentsTable[[#This Row],[Date record entered]]+30,""))</f>
        <v/>
      </c>
      <c r="K867" s="245"/>
      <c r="L867" s="245" t="str">
        <f ca="1">IF(CommitmentsTable[[#This Row],[Date Assigned if different from entry date]]&lt;&gt;"",CommitmentsTable[[#This Row],[Date Assigned if different from entry date]]+60,IF(CommitmentsTable[[#This Row],[Date record entered]]&lt;&gt;"",CommitmentsTable[[#This Row],[Date record entered]]+60,""))</f>
        <v/>
      </c>
      <c r="M867" s="214"/>
      <c r="N867" s="214"/>
      <c r="O867" s="236"/>
      <c r="P867" s="214"/>
      <c r="Q867" s="214"/>
      <c r="R867" s="214"/>
      <c r="S867" s="238" t="str">
        <f>IF(CommitmentsTable[[#This Row],[Commitment / deliverable]]="","",IF(CommitmentsTable[[#This Row],[Revised due]]&lt;&gt;"",CommitmentsTable[[#This Row],[Revised due]],CommitmentsTable[[#This Row],[Original due]]))</f>
        <v/>
      </c>
      <c r="T867" s="237" t="str">
        <f>IF(OR(CommitmentsTable[[#This Row],[Commitment / deliverable]]="",CommitmentsTable[[#This Row],[Owner]]=""),"",IF(CommitmentsTable[[#This Row],[Status2]]="","Open",CommitmentsTable[[#This Row],[Status2]]))</f>
        <v/>
      </c>
      <c r="U867" s="237" t="str">
        <f t="shared" ca="1" si="13"/>
        <v/>
      </c>
      <c r="V867" s="233"/>
      <c r="W867" s="63" t="s">
        <v>1769</v>
      </c>
    </row>
    <row r="868" spans="1:23" ht="26">
      <c r="A868" s="213" t="str">
        <f>IF(OR(CommitmentsTable[[#This Row],[Commitment / deliverable]]="",CommitmentsTable[[#This Row],[Immutable Key]]=""),"",SUBSTITUTE(CommitmentsTable[[#This Row],[Immutable Key]],"-K-","-"))</f>
        <v/>
      </c>
      <c r="B868" s="233"/>
      <c r="C868" s="233"/>
      <c r="D868" s="213"/>
      <c r="E868" s="230"/>
      <c r="F868" s="213"/>
      <c r="G868" s="245" t="str">
        <f ca="1">IF(CommitmentsTable[[#This Row],[Commitment / deliverable]]="","",IF(CommitmentsTable[[#This Row],[Date record entered]]="",TODAY(),CommitmentsTable[[#This Row],[Date record entered]]))</f>
        <v/>
      </c>
      <c r="H868" s="245"/>
      <c r="I868" s="245" t="str">
        <f ca="1">IF(CommitmentsTable[[#This Row],[Date Assigned if different from entry date]]&lt;&gt;"",CommitmentsTable[[#This Row],[Date Assigned if different from entry date]]+90,IF(CommitmentsTable[[#This Row],[Date record entered]]&lt;&gt;"",CommitmentsTable[[#This Row],[Date record entered]]+90,""))</f>
        <v/>
      </c>
      <c r="J868" s="245" t="str">
        <f ca="1">IF(CommitmentsTable[[#This Row],[Date Assigned if different from entry date]]&lt;&gt;"",CommitmentsTable[[#This Row],[Date Assigned if different from entry date]]+30,IF(CommitmentsTable[[#This Row],[Date record entered]]&lt;&gt;"",CommitmentsTable[[#This Row],[Date record entered]]+30,""))</f>
        <v/>
      </c>
      <c r="K868" s="245"/>
      <c r="L868" s="245" t="str">
        <f ca="1">IF(CommitmentsTable[[#This Row],[Date Assigned if different from entry date]]&lt;&gt;"",CommitmentsTable[[#This Row],[Date Assigned if different from entry date]]+60,IF(CommitmentsTable[[#This Row],[Date record entered]]&lt;&gt;"",CommitmentsTable[[#This Row],[Date record entered]]+60,""))</f>
        <v/>
      </c>
      <c r="M868" s="214"/>
      <c r="N868" s="214"/>
      <c r="O868" s="236"/>
      <c r="P868" s="214"/>
      <c r="Q868" s="214"/>
      <c r="R868" s="214"/>
      <c r="S868" s="238" t="str">
        <f>IF(CommitmentsTable[[#This Row],[Commitment / deliverable]]="","",IF(CommitmentsTable[[#This Row],[Revised due]]&lt;&gt;"",CommitmentsTable[[#This Row],[Revised due]],CommitmentsTable[[#This Row],[Original due]]))</f>
        <v/>
      </c>
      <c r="T868" s="237" t="str">
        <f>IF(OR(CommitmentsTable[[#This Row],[Commitment / deliverable]]="",CommitmentsTable[[#This Row],[Owner]]=""),"",IF(CommitmentsTable[[#This Row],[Status2]]="","Open",CommitmentsTable[[#This Row],[Status2]]))</f>
        <v/>
      </c>
      <c r="U868" s="237" t="str">
        <f t="shared" ca="1" si="13"/>
        <v/>
      </c>
      <c r="V868" s="233"/>
      <c r="W868" s="63" t="s">
        <v>1770</v>
      </c>
    </row>
    <row r="869" spans="1:23" ht="26">
      <c r="A869" s="213" t="str">
        <f>IF(OR(CommitmentsTable[[#This Row],[Commitment / deliverable]]="",CommitmentsTable[[#This Row],[Immutable Key]]=""),"",SUBSTITUTE(CommitmentsTable[[#This Row],[Immutable Key]],"-K-","-"))</f>
        <v/>
      </c>
      <c r="B869" s="233"/>
      <c r="C869" s="233"/>
      <c r="D869" s="213"/>
      <c r="E869" s="230"/>
      <c r="F869" s="213"/>
      <c r="G869" s="245" t="str">
        <f ca="1">IF(CommitmentsTable[[#This Row],[Commitment / deliverable]]="","",IF(CommitmentsTable[[#This Row],[Date record entered]]="",TODAY(),CommitmentsTable[[#This Row],[Date record entered]]))</f>
        <v/>
      </c>
      <c r="H869" s="245"/>
      <c r="I869" s="245" t="str">
        <f ca="1">IF(CommitmentsTable[[#This Row],[Date Assigned if different from entry date]]&lt;&gt;"",CommitmentsTable[[#This Row],[Date Assigned if different from entry date]]+90,IF(CommitmentsTable[[#This Row],[Date record entered]]&lt;&gt;"",CommitmentsTable[[#This Row],[Date record entered]]+90,""))</f>
        <v/>
      </c>
      <c r="J869" s="245" t="str">
        <f ca="1">IF(CommitmentsTable[[#This Row],[Date Assigned if different from entry date]]&lt;&gt;"",CommitmentsTable[[#This Row],[Date Assigned if different from entry date]]+30,IF(CommitmentsTable[[#This Row],[Date record entered]]&lt;&gt;"",CommitmentsTable[[#This Row],[Date record entered]]+30,""))</f>
        <v/>
      </c>
      <c r="K869" s="245"/>
      <c r="L869" s="245" t="str">
        <f ca="1">IF(CommitmentsTable[[#This Row],[Date Assigned if different from entry date]]&lt;&gt;"",CommitmentsTable[[#This Row],[Date Assigned if different from entry date]]+60,IF(CommitmentsTable[[#This Row],[Date record entered]]&lt;&gt;"",CommitmentsTable[[#This Row],[Date record entered]]+60,""))</f>
        <v/>
      </c>
      <c r="M869" s="214"/>
      <c r="N869" s="214"/>
      <c r="O869" s="236"/>
      <c r="P869" s="214"/>
      <c r="Q869" s="214"/>
      <c r="R869" s="214"/>
      <c r="S869" s="238" t="str">
        <f>IF(CommitmentsTable[[#This Row],[Commitment / deliverable]]="","",IF(CommitmentsTable[[#This Row],[Revised due]]&lt;&gt;"",CommitmentsTable[[#This Row],[Revised due]],CommitmentsTable[[#This Row],[Original due]]))</f>
        <v/>
      </c>
      <c r="T869" s="237" t="str">
        <f>IF(OR(CommitmentsTable[[#This Row],[Commitment / deliverable]]="",CommitmentsTable[[#This Row],[Owner]]=""),"",IF(CommitmentsTable[[#This Row],[Status2]]="","Open",CommitmentsTable[[#This Row],[Status2]]))</f>
        <v/>
      </c>
      <c r="U869" s="237" t="str">
        <f t="shared" ca="1" si="13"/>
        <v/>
      </c>
      <c r="V869" s="233"/>
      <c r="W869" s="63" t="s">
        <v>1771</v>
      </c>
    </row>
    <row r="870" spans="1:23" ht="26">
      <c r="A870" s="213" t="str">
        <f>IF(OR(CommitmentsTable[[#This Row],[Commitment / deliverable]]="",CommitmentsTable[[#This Row],[Immutable Key]]=""),"",SUBSTITUTE(CommitmentsTable[[#This Row],[Immutable Key]],"-K-","-"))</f>
        <v/>
      </c>
      <c r="B870" s="233"/>
      <c r="C870" s="233"/>
      <c r="D870" s="213"/>
      <c r="E870" s="230"/>
      <c r="F870" s="213"/>
      <c r="G870" s="245" t="str">
        <f ca="1">IF(CommitmentsTable[[#This Row],[Commitment / deliverable]]="","",IF(CommitmentsTable[[#This Row],[Date record entered]]="",TODAY(),CommitmentsTable[[#This Row],[Date record entered]]))</f>
        <v/>
      </c>
      <c r="H870" s="245"/>
      <c r="I870" s="245" t="str">
        <f ca="1">IF(CommitmentsTable[[#This Row],[Date Assigned if different from entry date]]&lt;&gt;"",CommitmentsTable[[#This Row],[Date Assigned if different from entry date]]+90,IF(CommitmentsTable[[#This Row],[Date record entered]]&lt;&gt;"",CommitmentsTable[[#This Row],[Date record entered]]+90,""))</f>
        <v/>
      </c>
      <c r="J870" s="245" t="str">
        <f ca="1">IF(CommitmentsTable[[#This Row],[Date Assigned if different from entry date]]&lt;&gt;"",CommitmentsTable[[#This Row],[Date Assigned if different from entry date]]+30,IF(CommitmentsTable[[#This Row],[Date record entered]]&lt;&gt;"",CommitmentsTable[[#This Row],[Date record entered]]+30,""))</f>
        <v/>
      </c>
      <c r="K870" s="245"/>
      <c r="L870" s="245" t="str">
        <f ca="1">IF(CommitmentsTable[[#This Row],[Date Assigned if different from entry date]]&lt;&gt;"",CommitmentsTable[[#This Row],[Date Assigned if different from entry date]]+60,IF(CommitmentsTable[[#This Row],[Date record entered]]&lt;&gt;"",CommitmentsTable[[#This Row],[Date record entered]]+60,""))</f>
        <v/>
      </c>
      <c r="M870" s="214"/>
      <c r="N870" s="214"/>
      <c r="O870" s="236"/>
      <c r="P870" s="214"/>
      <c r="Q870" s="214"/>
      <c r="R870" s="214"/>
      <c r="S870" s="238" t="str">
        <f>IF(CommitmentsTable[[#This Row],[Commitment / deliverable]]="","",IF(CommitmentsTable[[#This Row],[Revised due]]&lt;&gt;"",CommitmentsTable[[#This Row],[Revised due]],CommitmentsTable[[#This Row],[Original due]]))</f>
        <v/>
      </c>
      <c r="T870" s="237" t="str">
        <f>IF(OR(CommitmentsTable[[#This Row],[Commitment / deliverable]]="",CommitmentsTable[[#This Row],[Owner]]=""),"",IF(CommitmentsTable[[#This Row],[Status2]]="","Open",CommitmentsTable[[#This Row],[Status2]]))</f>
        <v/>
      </c>
      <c r="U870" s="237" t="str">
        <f t="shared" ca="1" si="13"/>
        <v/>
      </c>
      <c r="V870" s="233"/>
      <c r="W870" s="63" t="s">
        <v>1772</v>
      </c>
    </row>
    <row r="871" spans="1:23" ht="26">
      <c r="A871" s="213" t="str">
        <f>IF(OR(CommitmentsTable[[#This Row],[Commitment / deliverable]]="",CommitmentsTable[[#This Row],[Immutable Key]]=""),"",SUBSTITUTE(CommitmentsTable[[#This Row],[Immutable Key]],"-K-","-"))</f>
        <v/>
      </c>
      <c r="B871" s="233"/>
      <c r="C871" s="233"/>
      <c r="D871" s="213"/>
      <c r="E871" s="230"/>
      <c r="F871" s="213"/>
      <c r="G871" s="245" t="str">
        <f ca="1">IF(CommitmentsTable[[#This Row],[Commitment / deliverable]]="","",IF(CommitmentsTable[[#This Row],[Date record entered]]="",TODAY(),CommitmentsTable[[#This Row],[Date record entered]]))</f>
        <v/>
      </c>
      <c r="H871" s="245"/>
      <c r="I871" s="245" t="str">
        <f ca="1">IF(CommitmentsTable[[#This Row],[Date Assigned if different from entry date]]&lt;&gt;"",CommitmentsTable[[#This Row],[Date Assigned if different from entry date]]+90,IF(CommitmentsTable[[#This Row],[Date record entered]]&lt;&gt;"",CommitmentsTable[[#This Row],[Date record entered]]+90,""))</f>
        <v/>
      </c>
      <c r="J871" s="245" t="str">
        <f ca="1">IF(CommitmentsTable[[#This Row],[Date Assigned if different from entry date]]&lt;&gt;"",CommitmentsTable[[#This Row],[Date Assigned if different from entry date]]+30,IF(CommitmentsTable[[#This Row],[Date record entered]]&lt;&gt;"",CommitmentsTable[[#This Row],[Date record entered]]+30,""))</f>
        <v/>
      </c>
      <c r="K871" s="245"/>
      <c r="L871" s="245" t="str">
        <f ca="1">IF(CommitmentsTable[[#This Row],[Date Assigned if different from entry date]]&lt;&gt;"",CommitmentsTable[[#This Row],[Date Assigned if different from entry date]]+60,IF(CommitmentsTable[[#This Row],[Date record entered]]&lt;&gt;"",CommitmentsTable[[#This Row],[Date record entered]]+60,""))</f>
        <v/>
      </c>
      <c r="M871" s="214"/>
      <c r="N871" s="214"/>
      <c r="O871" s="236"/>
      <c r="P871" s="214"/>
      <c r="Q871" s="214"/>
      <c r="R871" s="214"/>
      <c r="S871" s="238" t="str">
        <f>IF(CommitmentsTable[[#This Row],[Commitment / deliverable]]="","",IF(CommitmentsTable[[#This Row],[Revised due]]&lt;&gt;"",CommitmentsTable[[#This Row],[Revised due]],CommitmentsTable[[#This Row],[Original due]]))</f>
        <v/>
      </c>
      <c r="T871" s="237" t="str">
        <f>IF(OR(CommitmentsTable[[#This Row],[Commitment / deliverable]]="",CommitmentsTable[[#This Row],[Owner]]=""),"",IF(CommitmentsTable[[#This Row],[Status2]]="","Open",CommitmentsTable[[#This Row],[Status2]]))</f>
        <v/>
      </c>
      <c r="U871" s="237" t="str">
        <f t="shared" ca="1" si="13"/>
        <v/>
      </c>
      <c r="V871" s="233"/>
      <c r="W871" s="63" t="s">
        <v>1773</v>
      </c>
    </row>
    <row r="872" spans="1:23" ht="26">
      <c r="A872" s="213" t="str">
        <f>IF(OR(CommitmentsTable[[#This Row],[Commitment / deliverable]]="",CommitmentsTable[[#This Row],[Immutable Key]]=""),"",SUBSTITUTE(CommitmentsTable[[#This Row],[Immutable Key]],"-K-","-"))</f>
        <v/>
      </c>
      <c r="B872" s="233"/>
      <c r="C872" s="233"/>
      <c r="D872" s="213"/>
      <c r="E872" s="230"/>
      <c r="F872" s="213"/>
      <c r="G872" s="245" t="str">
        <f ca="1">IF(CommitmentsTable[[#This Row],[Commitment / deliverable]]="","",IF(CommitmentsTable[[#This Row],[Date record entered]]="",TODAY(),CommitmentsTable[[#This Row],[Date record entered]]))</f>
        <v/>
      </c>
      <c r="H872" s="245"/>
      <c r="I872" s="245" t="str">
        <f ca="1">IF(CommitmentsTable[[#This Row],[Date Assigned if different from entry date]]&lt;&gt;"",CommitmentsTable[[#This Row],[Date Assigned if different from entry date]]+90,IF(CommitmentsTable[[#This Row],[Date record entered]]&lt;&gt;"",CommitmentsTable[[#This Row],[Date record entered]]+90,""))</f>
        <v/>
      </c>
      <c r="J872" s="245" t="str">
        <f ca="1">IF(CommitmentsTable[[#This Row],[Date Assigned if different from entry date]]&lt;&gt;"",CommitmentsTable[[#This Row],[Date Assigned if different from entry date]]+30,IF(CommitmentsTable[[#This Row],[Date record entered]]&lt;&gt;"",CommitmentsTable[[#This Row],[Date record entered]]+30,""))</f>
        <v/>
      </c>
      <c r="K872" s="245"/>
      <c r="L872" s="245" t="str">
        <f ca="1">IF(CommitmentsTable[[#This Row],[Date Assigned if different from entry date]]&lt;&gt;"",CommitmentsTable[[#This Row],[Date Assigned if different from entry date]]+60,IF(CommitmentsTable[[#This Row],[Date record entered]]&lt;&gt;"",CommitmentsTable[[#This Row],[Date record entered]]+60,""))</f>
        <v/>
      </c>
      <c r="M872" s="214"/>
      <c r="N872" s="214"/>
      <c r="O872" s="236"/>
      <c r="P872" s="214"/>
      <c r="Q872" s="214"/>
      <c r="R872" s="214"/>
      <c r="S872" s="238" t="str">
        <f>IF(CommitmentsTable[[#This Row],[Commitment / deliverable]]="","",IF(CommitmentsTable[[#This Row],[Revised due]]&lt;&gt;"",CommitmentsTable[[#This Row],[Revised due]],CommitmentsTable[[#This Row],[Original due]]))</f>
        <v/>
      </c>
      <c r="T872" s="237" t="str">
        <f>IF(OR(CommitmentsTable[[#This Row],[Commitment / deliverable]]="",CommitmentsTable[[#This Row],[Owner]]=""),"",IF(CommitmentsTable[[#This Row],[Status2]]="","Open",CommitmentsTable[[#This Row],[Status2]]))</f>
        <v/>
      </c>
      <c r="U872" s="237" t="str">
        <f t="shared" ca="1" si="13"/>
        <v/>
      </c>
      <c r="V872" s="233"/>
      <c r="W872" s="63" t="s">
        <v>1774</v>
      </c>
    </row>
    <row r="873" spans="1:23" ht="26">
      <c r="A873" s="213" t="str">
        <f>IF(OR(CommitmentsTable[[#This Row],[Commitment / deliverable]]="",CommitmentsTable[[#This Row],[Immutable Key]]=""),"",SUBSTITUTE(CommitmentsTable[[#This Row],[Immutable Key]],"-K-","-"))</f>
        <v/>
      </c>
      <c r="B873" s="233"/>
      <c r="C873" s="233"/>
      <c r="D873" s="213"/>
      <c r="E873" s="230"/>
      <c r="F873" s="213"/>
      <c r="G873" s="245" t="str">
        <f ca="1">IF(CommitmentsTable[[#This Row],[Commitment / deliverable]]="","",IF(CommitmentsTable[[#This Row],[Date record entered]]="",TODAY(),CommitmentsTable[[#This Row],[Date record entered]]))</f>
        <v/>
      </c>
      <c r="H873" s="245"/>
      <c r="I873" s="245" t="str">
        <f ca="1">IF(CommitmentsTable[[#This Row],[Date Assigned if different from entry date]]&lt;&gt;"",CommitmentsTable[[#This Row],[Date Assigned if different from entry date]]+90,IF(CommitmentsTable[[#This Row],[Date record entered]]&lt;&gt;"",CommitmentsTable[[#This Row],[Date record entered]]+90,""))</f>
        <v/>
      </c>
      <c r="J873" s="245" t="str">
        <f ca="1">IF(CommitmentsTable[[#This Row],[Date Assigned if different from entry date]]&lt;&gt;"",CommitmentsTable[[#This Row],[Date Assigned if different from entry date]]+30,IF(CommitmentsTable[[#This Row],[Date record entered]]&lt;&gt;"",CommitmentsTable[[#This Row],[Date record entered]]+30,""))</f>
        <v/>
      </c>
      <c r="K873" s="245"/>
      <c r="L873" s="245" t="str">
        <f ca="1">IF(CommitmentsTable[[#This Row],[Date Assigned if different from entry date]]&lt;&gt;"",CommitmentsTable[[#This Row],[Date Assigned if different from entry date]]+60,IF(CommitmentsTable[[#This Row],[Date record entered]]&lt;&gt;"",CommitmentsTable[[#This Row],[Date record entered]]+60,""))</f>
        <v/>
      </c>
      <c r="M873" s="214"/>
      <c r="N873" s="214"/>
      <c r="O873" s="236"/>
      <c r="P873" s="214"/>
      <c r="Q873" s="214"/>
      <c r="R873" s="214"/>
      <c r="S873" s="238" t="str">
        <f>IF(CommitmentsTable[[#This Row],[Commitment / deliverable]]="","",IF(CommitmentsTable[[#This Row],[Revised due]]&lt;&gt;"",CommitmentsTable[[#This Row],[Revised due]],CommitmentsTable[[#This Row],[Original due]]))</f>
        <v/>
      </c>
      <c r="T873" s="237" t="str">
        <f>IF(OR(CommitmentsTable[[#This Row],[Commitment / deliverable]]="",CommitmentsTable[[#This Row],[Owner]]=""),"",IF(CommitmentsTable[[#This Row],[Status2]]="","Open",CommitmentsTable[[#This Row],[Status2]]))</f>
        <v/>
      </c>
      <c r="U873" s="237" t="str">
        <f t="shared" ca="1" si="13"/>
        <v/>
      </c>
      <c r="V873" s="233"/>
      <c r="W873" s="63" t="s">
        <v>1775</v>
      </c>
    </row>
    <row r="874" spans="1:23" ht="26">
      <c r="A874" s="213" t="str">
        <f>IF(OR(CommitmentsTable[[#This Row],[Commitment / deliverable]]="",CommitmentsTable[[#This Row],[Immutable Key]]=""),"",SUBSTITUTE(CommitmentsTable[[#This Row],[Immutable Key]],"-K-","-"))</f>
        <v/>
      </c>
      <c r="B874" s="233"/>
      <c r="C874" s="233"/>
      <c r="D874" s="213"/>
      <c r="E874" s="230"/>
      <c r="F874" s="213"/>
      <c r="G874" s="245" t="str">
        <f ca="1">IF(CommitmentsTable[[#This Row],[Commitment / deliverable]]="","",IF(CommitmentsTable[[#This Row],[Date record entered]]="",TODAY(),CommitmentsTable[[#This Row],[Date record entered]]))</f>
        <v/>
      </c>
      <c r="H874" s="245"/>
      <c r="I874" s="245" t="str">
        <f ca="1">IF(CommitmentsTable[[#This Row],[Date Assigned if different from entry date]]&lt;&gt;"",CommitmentsTable[[#This Row],[Date Assigned if different from entry date]]+90,IF(CommitmentsTable[[#This Row],[Date record entered]]&lt;&gt;"",CommitmentsTable[[#This Row],[Date record entered]]+90,""))</f>
        <v/>
      </c>
      <c r="J874" s="245" t="str">
        <f ca="1">IF(CommitmentsTable[[#This Row],[Date Assigned if different from entry date]]&lt;&gt;"",CommitmentsTable[[#This Row],[Date Assigned if different from entry date]]+30,IF(CommitmentsTable[[#This Row],[Date record entered]]&lt;&gt;"",CommitmentsTable[[#This Row],[Date record entered]]+30,""))</f>
        <v/>
      </c>
      <c r="K874" s="245"/>
      <c r="L874" s="245" t="str">
        <f ca="1">IF(CommitmentsTable[[#This Row],[Date Assigned if different from entry date]]&lt;&gt;"",CommitmentsTable[[#This Row],[Date Assigned if different from entry date]]+60,IF(CommitmentsTable[[#This Row],[Date record entered]]&lt;&gt;"",CommitmentsTable[[#This Row],[Date record entered]]+60,""))</f>
        <v/>
      </c>
      <c r="M874" s="214"/>
      <c r="N874" s="214"/>
      <c r="O874" s="236"/>
      <c r="P874" s="214"/>
      <c r="Q874" s="214"/>
      <c r="R874" s="214"/>
      <c r="S874" s="238" t="str">
        <f>IF(CommitmentsTable[[#This Row],[Commitment / deliverable]]="","",IF(CommitmentsTable[[#This Row],[Revised due]]&lt;&gt;"",CommitmentsTable[[#This Row],[Revised due]],CommitmentsTable[[#This Row],[Original due]]))</f>
        <v/>
      </c>
      <c r="T874" s="237" t="str">
        <f>IF(OR(CommitmentsTable[[#This Row],[Commitment / deliverable]]="",CommitmentsTable[[#This Row],[Owner]]=""),"",IF(CommitmentsTable[[#This Row],[Status2]]="","Open",CommitmentsTable[[#This Row],[Status2]]))</f>
        <v/>
      </c>
      <c r="U874" s="237" t="str">
        <f t="shared" ca="1" si="13"/>
        <v/>
      </c>
      <c r="V874" s="233"/>
      <c r="W874" s="63" t="s">
        <v>1776</v>
      </c>
    </row>
    <row r="875" spans="1:23" ht="26">
      <c r="A875" s="213" t="str">
        <f>IF(OR(CommitmentsTable[[#This Row],[Commitment / deliverable]]="",CommitmentsTable[[#This Row],[Immutable Key]]=""),"",SUBSTITUTE(CommitmentsTable[[#This Row],[Immutable Key]],"-K-","-"))</f>
        <v/>
      </c>
      <c r="B875" s="233"/>
      <c r="C875" s="233"/>
      <c r="D875" s="213"/>
      <c r="E875" s="230"/>
      <c r="F875" s="213"/>
      <c r="G875" s="245" t="str">
        <f ca="1">IF(CommitmentsTable[[#This Row],[Commitment / deliverable]]="","",IF(CommitmentsTable[[#This Row],[Date record entered]]="",TODAY(),CommitmentsTable[[#This Row],[Date record entered]]))</f>
        <v/>
      </c>
      <c r="H875" s="245"/>
      <c r="I875" s="245" t="str">
        <f ca="1">IF(CommitmentsTable[[#This Row],[Date Assigned if different from entry date]]&lt;&gt;"",CommitmentsTable[[#This Row],[Date Assigned if different from entry date]]+90,IF(CommitmentsTable[[#This Row],[Date record entered]]&lt;&gt;"",CommitmentsTable[[#This Row],[Date record entered]]+90,""))</f>
        <v/>
      </c>
      <c r="J875" s="245" t="str">
        <f ca="1">IF(CommitmentsTable[[#This Row],[Date Assigned if different from entry date]]&lt;&gt;"",CommitmentsTable[[#This Row],[Date Assigned if different from entry date]]+30,IF(CommitmentsTable[[#This Row],[Date record entered]]&lt;&gt;"",CommitmentsTable[[#This Row],[Date record entered]]+30,""))</f>
        <v/>
      </c>
      <c r="K875" s="245"/>
      <c r="L875" s="245" t="str">
        <f ca="1">IF(CommitmentsTable[[#This Row],[Date Assigned if different from entry date]]&lt;&gt;"",CommitmentsTable[[#This Row],[Date Assigned if different from entry date]]+60,IF(CommitmentsTable[[#This Row],[Date record entered]]&lt;&gt;"",CommitmentsTable[[#This Row],[Date record entered]]+60,""))</f>
        <v/>
      </c>
      <c r="M875" s="214"/>
      <c r="N875" s="214"/>
      <c r="O875" s="236"/>
      <c r="P875" s="214"/>
      <c r="Q875" s="214"/>
      <c r="R875" s="214"/>
      <c r="S875" s="238" t="str">
        <f>IF(CommitmentsTable[[#This Row],[Commitment / deliverable]]="","",IF(CommitmentsTable[[#This Row],[Revised due]]&lt;&gt;"",CommitmentsTable[[#This Row],[Revised due]],CommitmentsTable[[#This Row],[Original due]]))</f>
        <v/>
      </c>
      <c r="T875" s="237" t="str">
        <f>IF(OR(CommitmentsTable[[#This Row],[Commitment / deliverable]]="",CommitmentsTable[[#This Row],[Owner]]=""),"",IF(CommitmentsTable[[#This Row],[Status2]]="","Open",CommitmentsTable[[#This Row],[Status2]]))</f>
        <v/>
      </c>
      <c r="U875" s="237" t="str">
        <f t="shared" ca="1" si="13"/>
        <v/>
      </c>
      <c r="V875" s="233"/>
      <c r="W875" s="63" t="s">
        <v>1777</v>
      </c>
    </row>
    <row r="876" spans="1:23" ht="26">
      <c r="A876" s="213" t="str">
        <f>IF(OR(CommitmentsTable[[#This Row],[Commitment / deliverable]]="",CommitmentsTable[[#This Row],[Immutable Key]]=""),"",SUBSTITUTE(CommitmentsTable[[#This Row],[Immutable Key]],"-K-","-"))</f>
        <v/>
      </c>
      <c r="B876" s="233"/>
      <c r="C876" s="233"/>
      <c r="D876" s="213"/>
      <c r="E876" s="230"/>
      <c r="F876" s="213"/>
      <c r="G876" s="245" t="str">
        <f ca="1">IF(CommitmentsTable[[#This Row],[Commitment / deliverable]]="","",IF(CommitmentsTable[[#This Row],[Date record entered]]="",TODAY(),CommitmentsTable[[#This Row],[Date record entered]]))</f>
        <v/>
      </c>
      <c r="H876" s="245"/>
      <c r="I876" s="245" t="str">
        <f ca="1">IF(CommitmentsTable[[#This Row],[Date Assigned if different from entry date]]&lt;&gt;"",CommitmentsTable[[#This Row],[Date Assigned if different from entry date]]+90,IF(CommitmentsTable[[#This Row],[Date record entered]]&lt;&gt;"",CommitmentsTable[[#This Row],[Date record entered]]+90,""))</f>
        <v/>
      </c>
      <c r="J876" s="245" t="str">
        <f ca="1">IF(CommitmentsTable[[#This Row],[Date Assigned if different from entry date]]&lt;&gt;"",CommitmentsTable[[#This Row],[Date Assigned if different from entry date]]+30,IF(CommitmentsTable[[#This Row],[Date record entered]]&lt;&gt;"",CommitmentsTable[[#This Row],[Date record entered]]+30,""))</f>
        <v/>
      </c>
      <c r="K876" s="245"/>
      <c r="L876" s="245" t="str">
        <f ca="1">IF(CommitmentsTable[[#This Row],[Date Assigned if different from entry date]]&lt;&gt;"",CommitmentsTable[[#This Row],[Date Assigned if different from entry date]]+60,IF(CommitmentsTable[[#This Row],[Date record entered]]&lt;&gt;"",CommitmentsTable[[#This Row],[Date record entered]]+60,""))</f>
        <v/>
      </c>
      <c r="M876" s="214"/>
      <c r="N876" s="214"/>
      <c r="O876" s="236"/>
      <c r="P876" s="214"/>
      <c r="Q876" s="214"/>
      <c r="R876" s="214"/>
      <c r="S876" s="238" t="str">
        <f>IF(CommitmentsTable[[#This Row],[Commitment / deliverable]]="","",IF(CommitmentsTable[[#This Row],[Revised due]]&lt;&gt;"",CommitmentsTable[[#This Row],[Revised due]],CommitmentsTable[[#This Row],[Original due]]))</f>
        <v/>
      </c>
      <c r="T876" s="237" t="str">
        <f>IF(OR(CommitmentsTable[[#This Row],[Commitment / deliverable]]="",CommitmentsTable[[#This Row],[Owner]]=""),"",IF(CommitmentsTable[[#This Row],[Status2]]="","Open",CommitmentsTable[[#This Row],[Status2]]))</f>
        <v/>
      </c>
      <c r="U876" s="237" t="str">
        <f t="shared" ca="1" si="13"/>
        <v/>
      </c>
      <c r="V876" s="233"/>
      <c r="W876" s="63" t="s">
        <v>1778</v>
      </c>
    </row>
    <row r="877" spans="1:23" ht="26">
      <c r="A877" s="213" t="str">
        <f>IF(OR(CommitmentsTable[[#This Row],[Commitment / deliverable]]="",CommitmentsTable[[#This Row],[Immutable Key]]=""),"",SUBSTITUTE(CommitmentsTable[[#This Row],[Immutable Key]],"-K-","-"))</f>
        <v/>
      </c>
      <c r="B877" s="233"/>
      <c r="C877" s="233"/>
      <c r="D877" s="213"/>
      <c r="E877" s="230"/>
      <c r="F877" s="213"/>
      <c r="G877" s="245" t="str">
        <f ca="1">IF(CommitmentsTable[[#This Row],[Commitment / deliverable]]="","",IF(CommitmentsTable[[#This Row],[Date record entered]]="",TODAY(),CommitmentsTable[[#This Row],[Date record entered]]))</f>
        <v/>
      </c>
      <c r="H877" s="245"/>
      <c r="I877" s="245" t="str">
        <f ca="1">IF(CommitmentsTable[[#This Row],[Date Assigned if different from entry date]]&lt;&gt;"",CommitmentsTable[[#This Row],[Date Assigned if different from entry date]]+90,IF(CommitmentsTable[[#This Row],[Date record entered]]&lt;&gt;"",CommitmentsTable[[#This Row],[Date record entered]]+90,""))</f>
        <v/>
      </c>
      <c r="J877" s="245" t="str">
        <f ca="1">IF(CommitmentsTable[[#This Row],[Date Assigned if different from entry date]]&lt;&gt;"",CommitmentsTable[[#This Row],[Date Assigned if different from entry date]]+30,IF(CommitmentsTable[[#This Row],[Date record entered]]&lt;&gt;"",CommitmentsTable[[#This Row],[Date record entered]]+30,""))</f>
        <v/>
      </c>
      <c r="K877" s="245"/>
      <c r="L877" s="245" t="str">
        <f ca="1">IF(CommitmentsTable[[#This Row],[Date Assigned if different from entry date]]&lt;&gt;"",CommitmentsTable[[#This Row],[Date Assigned if different from entry date]]+60,IF(CommitmentsTable[[#This Row],[Date record entered]]&lt;&gt;"",CommitmentsTable[[#This Row],[Date record entered]]+60,""))</f>
        <v/>
      </c>
      <c r="M877" s="214"/>
      <c r="N877" s="214"/>
      <c r="O877" s="236"/>
      <c r="P877" s="214"/>
      <c r="Q877" s="214"/>
      <c r="R877" s="214"/>
      <c r="S877" s="238" t="str">
        <f>IF(CommitmentsTable[[#This Row],[Commitment / deliverable]]="","",IF(CommitmentsTable[[#This Row],[Revised due]]&lt;&gt;"",CommitmentsTable[[#This Row],[Revised due]],CommitmentsTable[[#This Row],[Original due]]))</f>
        <v/>
      </c>
      <c r="T877" s="237" t="str">
        <f>IF(OR(CommitmentsTable[[#This Row],[Commitment / deliverable]]="",CommitmentsTable[[#This Row],[Owner]]=""),"",IF(CommitmentsTable[[#This Row],[Status2]]="","Open",CommitmentsTable[[#This Row],[Status2]]))</f>
        <v/>
      </c>
      <c r="U877" s="237" t="str">
        <f t="shared" ca="1" si="13"/>
        <v/>
      </c>
      <c r="V877" s="233"/>
      <c r="W877" s="63" t="s">
        <v>1779</v>
      </c>
    </row>
    <row r="878" spans="1:23" ht="26">
      <c r="A878" s="213" t="str">
        <f>IF(OR(CommitmentsTable[[#This Row],[Commitment / deliverable]]="",CommitmentsTable[[#This Row],[Immutable Key]]=""),"",SUBSTITUTE(CommitmentsTable[[#This Row],[Immutable Key]],"-K-","-"))</f>
        <v/>
      </c>
      <c r="B878" s="233"/>
      <c r="C878" s="233"/>
      <c r="D878" s="213"/>
      <c r="E878" s="230"/>
      <c r="F878" s="213"/>
      <c r="G878" s="245" t="str">
        <f ca="1">IF(CommitmentsTable[[#This Row],[Commitment / deliverable]]="","",IF(CommitmentsTable[[#This Row],[Date record entered]]="",TODAY(),CommitmentsTable[[#This Row],[Date record entered]]))</f>
        <v/>
      </c>
      <c r="H878" s="245"/>
      <c r="I878" s="245" t="str">
        <f ca="1">IF(CommitmentsTable[[#This Row],[Date Assigned if different from entry date]]&lt;&gt;"",CommitmentsTable[[#This Row],[Date Assigned if different from entry date]]+90,IF(CommitmentsTable[[#This Row],[Date record entered]]&lt;&gt;"",CommitmentsTable[[#This Row],[Date record entered]]+90,""))</f>
        <v/>
      </c>
      <c r="J878" s="245" t="str">
        <f ca="1">IF(CommitmentsTable[[#This Row],[Date Assigned if different from entry date]]&lt;&gt;"",CommitmentsTable[[#This Row],[Date Assigned if different from entry date]]+30,IF(CommitmentsTable[[#This Row],[Date record entered]]&lt;&gt;"",CommitmentsTable[[#This Row],[Date record entered]]+30,""))</f>
        <v/>
      </c>
      <c r="K878" s="245"/>
      <c r="L878" s="245" t="str">
        <f ca="1">IF(CommitmentsTable[[#This Row],[Date Assigned if different from entry date]]&lt;&gt;"",CommitmentsTable[[#This Row],[Date Assigned if different from entry date]]+60,IF(CommitmentsTable[[#This Row],[Date record entered]]&lt;&gt;"",CommitmentsTable[[#This Row],[Date record entered]]+60,""))</f>
        <v/>
      </c>
      <c r="M878" s="214"/>
      <c r="N878" s="214"/>
      <c r="O878" s="236"/>
      <c r="P878" s="214"/>
      <c r="Q878" s="214"/>
      <c r="R878" s="214"/>
      <c r="S878" s="238" t="str">
        <f>IF(CommitmentsTable[[#This Row],[Commitment / deliverable]]="","",IF(CommitmentsTable[[#This Row],[Revised due]]&lt;&gt;"",CommitmentsTable[[#This Row],[Revised due]],CommitmentsTable[[#This Row],[Original due]]))</f>
        <v/>
      </c>
      <c r="T878" s="237" t="str">
        <f>IF(OR(CommitmentsTable[[#This Row],[Commitment / deliverable]]="",CommitmentsTable[[#This Row],[Owner]]=""),"",IF(CommitmentsTable[[#This Row],[Status2]]="","Open",CommitmentsTable[[#This Row],[Status2]]))</f>
        <v/>
      </c>
      <c r="U878" s="237" t="str">
        <f t="shared" ca="1" si="13"/>
        <v/>
      </c>
      <c r="V878" s="233"/>
      <c r="W878" s="63" t="s">
        <v>1780</v>
      </c>
    </row>
    <row r="879" spans="1:23" ht="26">
      <c r="A879" s="213" t="str">
        <f>IF(OR(CommitmentsTable[[#This Row],[Commitment / deliverable]]="",CommitmentsTable[[#This Row],[Immutable Key]]=""),"",SUBSTITUTE(CommitmentsTable[[#This Row],[Immutable Key]],"-K-","-"))</f>
        <v/>
      </c>
      <c r="B879" s="233"/>
      <c r="C879" s="233"/>
      <c r="D879" s="213"/>
      <c r="E879" s="230"/>
      <c r="F879" s="213"/>
      <c r="G879" s="245" t="str">
        <f ca="1">IF(CommitmentsTable[[#This Row],[Commitment / deliverable]]="","",IF(CommitmentsTable[[#This Row],[Date record entered]]="",TODAY(),CommitmentsTable[[#This Row],[Date record entered]]))</f>
        <v/>
      </c>
      <c r="H879" s="245"/>
      <c r="I879" s="245" t="str">
        <f ca="1">IF(CommitmentsTable[[#This Row],[Date Assigned if different from entry date]]&lt;&gt;"",CommitmentsTable[[#This Row],[Date Assigned if different from entry date]]+90,IF(CommitmentsTable[[#This Row],[Date record entered]]&lt;&gt;"",CommitmentsTable[[#This Row],[Date record entered]]+90,""))</f>
        <v/>
      </c>
      <c r="J879" s="245" t="str">
        <f ca="1">IF(CommitmentsTable[[#This Row],[Date Assigned if different from entry date]]&lt;&gt;"",CommitmentsTable[[#This Row],[Date Assigned if different from entry date]]+30,IF(CommitmentsTable[[#This Row],[Date record entered]]&lt;&gt;"",CommitmentsTable[[#This Row],[Date record entered]]+30,""))</f>
        <v/>
      </c>
      <c r="K879" s="245"/>
      <c r="L879" s="245" t="str">
        <f ca="1">IF(CommitmentsTable[[#This Row],[Date Assigned if different from entry date]]&lt;&gt;"",CommitmentsTable[[#This Row],[Date Assigned if different from entry date]]+60,IF(CommitmentsTable[[#This Row],[Date record entered]]&lt;&gt;"",CommitmentsTable[[#This Row],[Date record entered]]+60,""))</f>
        <v/>
      </c>
      <c r="M879" s="214"/>
      <c r="N879" s="214"/>
      <c r="O879" s="236"/>
      <c r="P879" s="214"/>
      <c r="Q879" s="214"/>
      <c r="R879" s="214"/>
      <c r="S879" s="238" t="str">
        <f>IF(CommitmentsTable[[#This Row],[Commitment / deliverable]]="","",IF(CommitmentsTable[[#This Row],[Revised due]]&lt;&gt;"",CommitmentsTable[[#This Row],[Revised due]],CommitmentsTable[[#This Row],[Original due]]))</f>
        <v/>
      </c>
      <c r="T879" s="237" t="str">
        <f>IF(OR(CommitmentsTable[[#This Row],[Commitment / deliverable]]="",CommitmentsTable[[#This Row],[Owner]]=""),"",IF(CommitmentsTable[[#This Row],[Status2]]="","Open",CommitmentsTable[[#This Row],[Status2]]))</f>
        <v/>
      </c>
      <c r="U879" s="237" t="str">
        <f t="shared" ca="1" si="13"/>
        <v/>
      </c>
      <c r="V879" s="233"/>
      <c r="W879" s="63" t="s">
        <v>1781</v>
      </c>
    </row>
    <row r="880" spans="1:23" ht="26">
      <c r="A880" s="213" t="str">
        <f>IF(OR(CommitmentsTable[[#This Row],[Commitment / deliverable]]="",CommitmentsTable[[#This Row],[Immutable Key]]=""),"",SUBSTITUTE(CommitmentsTable[[#This Row],[Immutable Key]],"-K-","-"))</f>
        <v/>
      </c>
      <c r="B880" s="233"/>
      <c r="C880" s="233"/>
      <c r="D880" s="213"/>
      <c r="E880" s="230"/>
      <c r="F880" s="213"/>
      <c r="G880" s="245" t="str">
        <f ca="1">IF(CommitmentsTable[[#This Row],[Commitment / deliverable]]="","",IF(CommitmentsTable[[#This Row],[Date record entered]]="",TODAY(),CommitmentsTable[[#This Row],[Date record entered]]))</f>
        <v/>
      </c>
      <c r="H880" s="245"/>
      <c r="I880" s="245" t="str">
        <f ca="1">IF(CommitmentsTable[[#This Row],[Date Assigned if different from entry date]]&lt;&gt;"",CommitmentsTable[[#This Row],[Date Assigned if different from entry date]]+90,IF(CommitmentsTable[[#This Row],[Date record entered]]&lt;&gt;"",CommitmentsTable[[#This Row],[Date record entered]]+90,""))</f>
        <v/>
      </c>
      <c r="J880" s="245" t="str">
        <f ca="1">IF(CommitmentsTable[[#This Row],[Date Assigned if different from entry date]]&lt;&gt;"",CommitmentsTable[[#This Row],[Date Assigned if different from entry date]]+30,IF(CommitmentsTable[[#This Row],[Date record entered]]&lt;&gt;"",CommitmentsTable[[#This Row],[Date record entered]]+30,""))</f>
        <v/>
      </c>
      <c r="K880" s="245"/>
      <c r="L880" s="245" t="str">
        <f ca="1">IF(CommitmentsTable[[#This Row],[Date Assigned if different from entry date]]&lt;&gt;"",CommitmentsTable[[#This Row],[Date Assigned if different from entry date]]+60,IF(CommitmentsTable[[#This Row],[Date record entered]]&lt;&gt;"",CommitmentsTable[[#This Row],[Date record entered]]+60,""))</f>
        <v/>
      </c>
      <c r="M880" s="214"/>
      <c r="N880" s="214"/>
      <c r="O880" s="236"/>
      <c r="P880" s="214"/>
      <c r="Q880" s="214"/>
      <c r="R880" s="214"/>
      <c r="S880" s="238" t="str">
        <f>IF(CommitmentsTable[[#This Row],[Commitment / deliverable]]="","",IF(CommitmentsTable[[#This Row],[Revised due]]&lt;&gt;"",CommitmentsTable[[#This Row],[Revised due]],CommitmentsTable[[#This Row],[Original due]]))</f>
        <v/>
      </c>
      <c r="T880" s="237" t="str">
        <f>IF(OR(CommitmentsTable[[#This Row],[Commitment / deliverable]]="",CommitmentsTable[[#This Row],[Owner]]=""),"",IF(CommitmentsTable[[#This Row],[Status2]]="","Open",CommitmentsTable[[#This Row],[Status2]]))</f>
        <v/>
      </c>
      <c r="U880" s="237" t="str">
        <f t="shared" ca="1" si="13"/>
        <v/>
      </c>
      <c r="V880" s="233"/>
      <c r="W880" s="63" t="s">
        <v>1782</v>
      </c>
    </row>
    <row r="881" spans="1:23" ht="26">
      <c r="A881" s="213" t="str">
        <f>IF(OR(CommitmentsTable[[#This Row],[Commitment / deliverable]]="",CommitmentsTable[[#This Row],[Immutable Key]]=""),"",SUBSTITUTE(CommitmentsTable[[#This Row],[Immutable Key]],"-K-","-"))</f>
        <v/>
      </c>
      <c r="B881" s="233"/>
      <c r="C881" s="233"/>
      <c r="D881" s="213"/>
      <c r="E881" s="230"/>
      <c r="F881" s="213"/>
      <c r="G881" s="245" t="str">
        <f ca="1">IF(CommitmentsTable[[#This Row],[Commitment / deliverable]]="","",IF(CommitmentsTable[[#This Row],[Date record entered]]="",TODAY(),CommitmentsTable[[#This Row],[Date record entered]]))</f>
        <v/>
      </c>
      <c r="H881" s="245"/>
      <c r="I881" s="245" t="str">
        <f ca="1">IF(CommitmentsTable[[#This Row],[Date Assigned if different from entry date]]&lt;&gt;"",CommitmentsTable[[#This Row],[Date Assigned if different from entry date]]+90,IF(CommitmentsTable[[#This Row],[Date record entered]]&lt;&gt;"",CommitmentsTable[[#This Row],[Date record entered]]+90,""))</f>
        <v/>
      </c>
      <c r="J881" s="245" t="str">
        <f ca="1">IF(CommitmentsTable[[#This Row],[Date Assigned if different from entry date]]&lt;&gt;"",CommitmentsTable[[#This Row],[Date Assigned if different from entry date]]+30,IF(CommitmentsTable[[#This Row],[Date record entered]]&lt;&gt;"",CommitmentsTable[[#This Row],[Date record entered]]+30,""))</f>
        <v/>
      </c>
      <c r="K881" s="245"/>
      <c r="L881" s="245" t="str">
        <f ca="1">IF(CommitmentsTable[[#This Row],[Date Assigned if different from entry date]]&lt;&gt;"",CommitmentsTable[[#This Row],[Date Assigned if different from entry date]]+60,IF(CommitmentsTable[[#This Row],[Date record entered]]&lt;&gt;"",CommitmentsTable[[#This Row],[Date record entered]]+60,""))</f>
        <v/>
      </c>
      <c r="M881" s="214"/>
      <c r="N881" s="214"/>
      <c r="O881" s="236"/>
      <c r="P881" s="214"/>
      <c r="Q881" s="214"/>
      <c r="R881" s="214"/>
      <c r="S881" s="238" t="str">
        <f>IF(CommitmentsTable[[#This Row],[Commitment / deliverable]]="","",IF(CommitmentsTable[[#This Row],[Revised due]]&lt;&gt;"",CommitmentsTable[[#This Row],[Revised due]],CommitmentsTable[[#This Row],[Original due]]))</f>
        <v/>
      </c>
      <c r="T881" s="237" t="str">
        <f>IF(OR(CommitmentsTable[[#This Row],[Commitment / deliverable]]="",CommitmentsTable[[#This Row],[Owner]]=""),"",IF(CommitmentsTable[[#This Row],[Status2]]="","Open",CommitmentsTable[[#This Row],[Status2]]))</f>
        <v/>
      </c>
      <c r="U881" s="237" t="str">
        <f t="shared" ca="1" si="13"/>
        <v/>
      </c>
      <c r="V881" s="233"/>
      <c r="W881" s="63" t="s">
        <v>1783</v>
      </c>
    </row>
    <row r="882" spans="1:23" ht="26">
      <c r="A882" s="213" t="str">
        <f>IF(OR(CommitmentsTable[[#This Row],[Commitment / deliverable]]="",CommitmentsTable[[#This Row],[Immutable Key]]=""),"",SUBSTITUTE(CommitmentsTable[[#This Row],[Immutable Key]],"-K-","-"))</f>
        <v/>
      </c>
      <c r="B882" s="233"/>
      <c r="C882" s="233"/>
      <c r="D882" s="213"/>
      <c r="E882" s="230"/>
      <c r="F882" s="213"/>
      <c r="G882" s="245" t="str">
        <f ca="1">IF(CommitmentsTable[[#This Row],[Commitment / deliverable]]="","",IF(CommitmentsTable[[#This Row],[Date record entered]]="",TODAY(),CommitmentsTable[[#This Row],[Date record entered]]))</f>
        <v/>
      </c>
      <c r="H882" s="245"/>
      <c r="I882" s="245" t="str">
        <f ca="1">IF(CommitmentsTable[[#This Row],[Date Assigned if different from entry date]]&lt;&gt;"",CommitmentsTable[[#This Row],[Date Assigned if different from entry date]]+90,IF(CommitmentsTable[[#This Row],[Date record entered]]&lt;&gt;"",CommitmentsTable[[#This Row],[Date record entered]]+90,""))</f>
        <v/>
      </c>
      <c r="J882" s="245" t="str">
        <f ca="1">IF(CommitmentsTable[[#This Row],[Date Assigned if different from entry date]]&lt;&gt;"",CommitmentsTable[[#This Row],[Date Assigned if different from entry date]]+30,IF(CommitmentsTable[[#This Row],[Date record entered]]&lt;&gt;"",CommitmentsTable[[#This Row],[Date record entered]]+30,""))</f>
        <v/>
      </c>
      <c r="K882" s="245"/>
      <c r="L882" s="245" t="str">
        <f ca="1">IF(CommitmentsTable[[#This Row],[Date Assigned if different from entry date]]&lt;&gt;"",CommitmentsTable[[#This Row],[Date Assigned if different from entry date]]+60,IF(CommitmentsTable[[#This Row],[Date record entered]]&lt;&gt;"",CommitmentsTable[[#This Row],[Date record entered]]+60,""))</f>
        <v/>
      </c>
      <c r="M882" s="214"/>
      <c r="N882" s="214"/>
      <c r="O882" s="236"/>
      <c r="P882" s="214"/>
      <c r="Q882" s="214"/>
      <c r="R882" s="214"/>
      <c r="S882" s="238" t="str">
        <f>IF(CommitmentsTable[[#This Row],[Commitment / deliverable]]="","",IF(CommitmentsTable[[#This Row],[Revised due]]&lt;&gt;"",CommitmentsTable[[#This Row],[Revised due]],CommitmentsTable[[#This Row],[Original due]]))</f>
        <v/>
      </c>
      <c r="T882" s="237" t="str">
        <f>IF(OR(CommitmentsTable[[#This Row],[Commitment / deliverable]]="",CommitmentsTable[[#This Row],[Owner]]=""),"",IF(CommitmentsTable[[#This Row],[Status2]]="","Open",CommitmentsTable[[#This Row],[Status2]]))</f>
        <v/>
      </c>
      <c r="U882" s="237" t="str">
        <f t="shared" ca="1" si="13"/>
        <v/>
      </c>
      <c r="V882" s="233"/>
      <c r="W882" s="63" t="s">
        <v>1784</v>
      </c>
    </row>
    <row r="883" spans="1:23" ht="26">
      <c r="A883" s="213" t="str">
        <f>IF(OR(CommitmentsTable[[#This Row],[Commitment / deliverable]]="",CommitmentsTable[[#This Row],[Immutable Key]]=""),"",SUBSTITUTE(CommitmentsTable[[#This Row],[Immutable Key]],"-K-","-"))</f>
        <v/>
      </c>
      <c r="B883" s="233"/>
      <c r="C883" s="233"/>
      <c r="D883" s="213"/>
      <c r="E883" s="230"/>
      <c r="F883" s="213"/>
      <c r="G883" s="245" t="str">
        <f ca="1">IF(CommitmentsTable[[#This Row],[Commitment / deliverable]]="","",IF(CommitmentsTable[[#This Row],[Date record entered]]="",TODAY(),CommitmentsTable[[#This Row],[Date record entered]]))</f>
        <v/>
      </c>
      <c r="H883" s="245"/>
      <c r="I883" s="245" t="str">
        <f ca="1">IF(CommitmentsTable[[#This Row],[Date Assigned if different from entry date]]&lt;&gt;"",CommitmentsTable[[#This Row],[Date Assigned if different from entry date]]+90,IF(CommitmentsTable[[#This Row],[Date record entered]]&lt;&gt;"",CommitmentsTable[[#This Row],[Date record entered]]+90,""))</f>
        <v/>
      </c>
      <c r="J883" s="245" t="str">
        <f ca="1">IF(CommitmentsTable[[#This Row],[Date Assigned if different from entry date]]&lt;&gt;"",CommitmentsTable[[#This Row],[Date Assigned if different from entry date]]+30,IF(CommitmentsTable[[#This Row],[Date record entered]]&lt;&gt;"",CommitmentsTable[[#This Row],[Date record entered]]+30,""))</f>
        <v/>
      </c>
      <c r="K883" s="245"/>
      <c r="L883" s="245" t="str">
        <f ca="1">IF(CommitmentsTable[[#This Row],[Date Assigned if different from entry date]]&lt;&gt;"",CommitmentsTable[[#This Row],[Date Assigned if different from entry date]]+60,IF(CommitmentsTable[[#This Row],[Date record entered]]&lt;&gt;"",CommitmentsTable[[#This Row],[Date record entered]]+60,""))</f>
        <v/>
      </c>
      <c r="M883" s="214"/>
      <c r="N883" s="214"/>
      <c r="O883" s="236"/>
      <c r="P883" s="214"/>
      <c r="Q883" s="214"/>
      <c r="R883" s="214"/>
      <c r="S883" s="238" t="str">
        <f>IF(CommitmentsTable[[#This Row],[Commitment / deliverable]]="","",IF(CommitmentsTable[[#This Row],[Revised due]]&lt;&gt;"",CommitmentsTable[[#This Row],[Revised due]],CommitmentsTable[[#This Row],[Original due]]))</f>
        <v/>
      </c>
      <c r="T883" s="237" t="str">
        <f>IF(OR(CommitmentsTable[[#This Row],[Commitment / deliverable]]="",CommitmentsTable[[#This Row],[Owner]]=""),"",IF(CommitmentsTable[[#This Row],[Status2]]="","Open",CommitmentsTable[[#This Row],[Status2]]))</f>
        <v/>
      </c>
      <c r="U883" s="237" t="str">
        <f t="shared" ca="1" si="13"/>
        <v/>
      </c>
      <c r="V883" s="233"/>
      <c r="W883" s="63" t="s">
        <v>1785</v>
      </c>
    </row>
    <row r="884" spans="1:23" ht="26">
      <c r="A884" s="213" t="str">
        <f>IF(OR(CommitmentsTable[[#This Row],[Commitment / deliverable]]="",CommitmentsTable[[#This Row],[Immutable Key]]=""),"",SUBSTITUTE(CommitmentsTable[[#This Row],[Immutable Key]],"-K-","-"))</f>
        <v/>
      </c>
      <c r="B884" s="233"/>
      <c r="C884" s="233"/>
      <c r="D884" s="213"/>
      <c r="E884" s="230"/>
      <c r="F884" s="213"/>
      <c r="G884" s="245" t="str">
        <f ca="1">IF(CommitmentsTable[[#This Row],[Commitment / deliverable]]="","",IF(CommitmentsTable[[#This Row],[Date record entered]]="",TODAY(),CommitmentsTable[[#This Row],[Date record entered]]))</f>
        <v/>
      </c>
      <c r="H884" s="245"/>
      <c r="I884" s="245" t="str">
        <f ca="1">IF(CommitmentsTable[[#This Row],[Date Assigned if different from entry date]]&lt;&gt;"",CommitmentsTable[[#This Row],[Date Assigned if different from entry date]]+90,IF(CommitmentsTable[[#This Row],[Date record entered]]&lt;&gt;"",CommitmentsTable[[#This Row],[Date record entered]]+90,""))</f>
        <v/>
      </c>
      <c r="J884" s="245" t="str">
        <f ca="1">IF(CommitmentsTable[[#This Row],[Date Assigned if different from entry date]]&lt;&gt;"",CommitmentsTable[[#This Row],[Date Assigned if different from entry date]]+30,IF(CommitmentsTable[[#This Row],[Date record entered]]&lt;&gt;"",CommitmentsTable[[#This Row],[Date record entered]]+30,""))</f>
        <v/>
      </c>
      <c r="K884" s="245"/>
      <c r="L884" s="245" t="str">
        <f ca="1">IF(CommitmentsTable[[#This Row],[Date Assigned if different from entry date]]&lt;&gt;"",CommitmentsTable[[#This Row],[Date Assigned if different from entry date]]+60,IF(CommitmentsTable[[#This Row],[Date record entered]]&lt;&gt;"",CommitmentsTable[[#This Row],[Date record entered]]+60,""))</f>
        <v/>
      </c>
      <c r="M884" s="214"/>
      <c r="N884" s="214"/>
      <c r="O884" s="236"/>
      <c r="P884" s="214"/>
      <c r="Q884" s="214"/>
      <c r="R884" s="214"/>
      <c r="S884" s="238" t="str">
        <f>IF(CommitmentsTable[[#This Row],[Commitment / deliverable]]="","",IF(CommitmentsTable[[#This Row],[Revised due]]&lt;&gt;"",CommitmentsTable[[#This Row],[Revised due]],CommitmentsTable[[#This Row],[Original due]]))</f>
        <v/>
      </c>
      <c r="T884" s="237" t="str">
        <f>IF(OR(CommitmentsTable[[#This Row],[Commitment / deliverable]]="",CommitmentsTable[[#This Row],[Owner]]=""),"",IF(CommitmentsTable[[#This Row],[Status2]]="","Open",CommitmentsTable[[#This Row],[Status2]]))</f>
        <v/>
      </c>
      <c r="U884" s="237" t="str">
        <f t="shared" ca="1" si="13"/>
        <v/>
      </c>
      <c r="V884" s="233"/>
      <c r="W884" s="63" t="s">
        <v>1786</v>
      </c>
    </row>
    <row r="885" spans="1:23" ht="26">
      <c r="A885" s="213" t="str">
        <f>IF(OR(CommitmentsTable[[#This Row],[Commitment / deliverable]]="",CommitmentsTable[[#This Row],[Immutable Key]]=""),"",SUBSTITUTE(CommitmentsTable[[#This Row],[Immutable Key]],"-K-","-"))</f>
        <v/>
      </c>
      <c r="B885" s="233"/>
      <c r="C885" s="233"/>
      <c r="D885" s="213"/>
      <c r="E885" s="230"/>
      <c r="F885" s="213"/>
      <c r="G885" s="245" t="str">
        <f ca="1">IF(CommitmentsTable[[#This Row],[Commitment / deliverable]]="","",IF(CommitmentsTable[[#This Row],[Date record entered]]="",TODAY(),CommitmentsTable[[#This Row],[Date record entered]]))</f>
        <v/>
      </c>
      <c r="H885" s="245"/>
      <c r="I885" s="245" t="str">
        <f ca="1">IF(CommitmentsTable[[#This Row],[Date Assigned if different from entry date]]&lt;&gt;"",CommitmentsTable[[#This Row],[Date Assigned if different from entry date]]+90,IF(CommitmentsTable[[#This Row],[Date record entered]]&lt;&gt;"",CommitmentsTable[[#This Row],[Date record entered]]+90,""))</f>
        <v/>
      </c>
      <c r="J885" s="245" t="str">
        <f ca="1">IF(CommitmentsTable[[#This Row],[Date Assigned if different from entry date]]&lt;&gt;"",CommitmentsTable[[#This Row],[Date Assigned if different from entry date]]+30,IF(CommitmentsTable[[#This Row],[Date record entered]]&lt;&gt;"",CommitmentsTable[[#This Row],[Date record entered]]+30,""))</f>
        <v/>
      </c>
      <c r="K885" s="245"/>
      <c r="L885" s="245" t="str">
        <f ca="1">IF(CommitmentsTable[[#This Row],[Date Assigned if different from entry date]]&lt;&gt;"",CommitmentsTable[[#This Row],[Date Assigned if different from entry date]]+60,IF(CommitmentsTable[[#This Row],[Date record entered]]&lt;&gt;"",CommitmentsTable[[#This Row],[Date record entered]]+60,""))</f>
        <v/>
      </c>
      <c r="M885" s="214"/>
      <c r="N885" s="214"/>
      <c r="O885" s="236"/>
      <c r="P885" s="214"/>
      <c r="Q885" s="214"/>
      <c r="R885" s="214"/>
      <c r="S885" s="238" t="str">
        <f>IF(CommitmentsTable[[#This Row],[Commitment / deliverable]]="","",IF(CommitmentsTable[[#This Row],[Revised due]]&lt;&gt;"",CommitmentsTable[[#This Row],[Revised due]],CommitmentsTable[[#This Row],[Original due]]))</f>
        <v/>
      </c>
      <c r="T885" s="237" t="str">
        <f>IF(OR(CommitmentsTable[[#This Row],[Commitment / deliverable]]="",CommitmentsTable[[#This Row],[Owner]]=""),"",IF(CommitmentsTable[[#This Row],[Status2]]="","Open",CommitmentsTable[[#This Row],[Status2]]))</f>
        <v/>
      </c>
      <c r="U885" s="237" t="str">
        <f t="shared" ca="1" si="13"/>
        <v/>
      </c>
      <c r="V885" s="233"/>
      <c r="W885" s="63" t="s">
        <v>1787</v>
      </c>
    </row>
    <row r="886" spans="1:23" ht="26">
      <c r="A886" s="213" t="str">
        <f>IF(OR(CommitmentsTable[[#This Row],[Commitment / deliverable]]="",CommitmentsTable[[#This Row],[Immutable Key]]=""),"",SUBSTITUTE(CommitmentsTable[[#This Row],[Immutable Key]],"-K-","-"))</f>
        <v/>
      </c>
      <c r="B886" s="233"/>
      <c r="C886" s="233"/>
      <c r="D886" s="213"/>
      <c r="E886" s="230"/>
      <c r="F886" s="213"/>
      <c r="G886" s="245" t="str">
        <f ca="1">IF(CommitmentsTable[[#This Row],[Commitment / deliverable]]="","",IF(CommitmentsTable[[#This Row],[Date record entered]]="",TODAY(),CommitmentsTable[[#This Row],[Date record entered]]))</f>
        <v/>
      </c>
      <c r="H886" s="245"/>
      <c r="I886" s="245" t="str">
        <f ca="1">IF(CommitmentsTable[[#This Row],[Date Assigned if different from entry date]]&lt;&gt;"",CommitmentsTable[[#This Row],[Date Assigned if different from entry date]]+90,IF(CommitmentsTable[[#This Row],[Date record entered]]&lt;&gt;"",CommitmentsTable[[#This Row],[Date record entered]]+90,""))</f>
        <v/>
      </c>
      <c r="J886" s="245" t="str">
        <f ca="1">IF(CommitmentsTable[[#This Row],[Date Assigned if different from entry date]]&lt;&gt;"",CommitmentsTable[[#This Row],[Date Assigned if different from entry date]]+30,IF(CommitmentsTable[[#This Row],[Date record entered]]&lt;&gt;"",CommitmentsTable[[#This Row],[Date record entered]]+30,""))</f>
        <v/>
      </c>
      <c r="K886" s="245"/>
      <c r="L886" s="245" t="str">
        <f ca="1">IF(CommitmentsTable[[#This Row],[Date Assigned if different from entry date]]&lt;&gt;"",CommitmentsTable[[#This Row],[Date Assigned if different from entry date]]+60,IF(CommitmentsTable[[#This Row],[Date record entered]]&lt;&gt;"",CommitmentsTable[[#This Row],[Date record entered]]+60,""))</f>
        <v/>
      </c>
      <c r="M886" s="214"/>
      <c r="N886" s="214"/>
      <c r="O886" s="236"/>
      <c r="P886" s="214"/>
      <c r="Q886" s="214"/>
      <c r="R886" s="214"/>
      <c r="S886" s="238" t="str">
        <f>IF(CommitmentsTable[[#This Row],[Commitment / deliverable]]="","",IF(CommitmentsTable[[#This Row],[Revised due]]&lt;&gt;"",CommitmentsTable[[#This Row],[Revised due]],CommitmentsTable[[#This Row],[Original due]]))</f>
        <v/>
      </c>
      <c r="T886" s="237" t="str">
        <f>IF(OR(CommitmentsTable[[#This Row],[Commitment / deliverable]]="",CommitmentsTable[[#This Row],[Owner]]=""),"",IF(CommitmentsTable[[#This Row],[Status2]]="","Open",CommitmentsTable[[#This Row],[Status2]]))</f>
        <v/>
      </c>
      <c r="U886" s="237" t="str">
        <f t="shared" ca="1" si="13"/>
        <v/>
      </c>
      <c r="V886" s="233"/>
      <c r="W886" s="63" t="s">
        <v>1788</v>
      </c>
    </row>
    <row r="887" spans="1:23" ht="26">
      <c r="A887" s="213" t="str">
        <f>IF(OR(CommitmentsTable[[#This Row],[Commitment / deliverable]]="",CommitmentsTable[[#This Row],[Immutable Key]]=""),"",SUBSTITUTE(CommitmentsTable[[#This Row],[Immutable Key]],"-K-","-"))</f>
        <v/>
      </c>
      <c r="B887" s="233"/>
      <c r="C887" s="233"/>
      <c r="D887" s="213"/>
      <c r="E887" s="230"/>
      <c r="F887" s="213"/>
      <c r="G887" s="245" t="str">
        <f ca="1">IF(CommitmentsTable[[#This Row],[Commitment / deliverable]]="","",IF(CommitmentsTable[[#This Row],[Date record entered]]="",TODAY(),CommitmentsTable[[#This Row],[Date record entered]]))</f>
        <v/>
      </c>
      <c r="H887" s="245"/>
      <c r="I887" s="245" t="str">
        <f ca="1">IF(CommitmentsTable[[#This Row],[Date Assigned if different from entry date]]&lt;&gt;"",CommitmentsTable[[#This Row],[Date Assigned if different from entry date]]+90,IF(CommitmentsTable[[#This Row],[Date record entered]]&lt;&gt;"",CommitmentsTable[[#This Row],[Date record entered]]+90,""))</f>
        <v/>
      </c>
      <c r="J887" s="245" t="str">
        <f ca="1">IF(CommitmentsTable[[#This Row],[Date Assigned if different from entry date]]&lt;&gt;"",CommitmentsTable[[#This Row],[Date Assigned if different from entry date]]+30,IF(CommitmentsTable[[#This Row],[Date record entered]]&lt;&gt;"",CommitmentsTable[[#This Row],[Date record entered]]+30,""))</f>
        <v/>
      </c>
      <c r="K887" s="245"/>
      <c r="L887" s="245" t="str">
        <f ca="1">IF(CommitmentsTable[[#This Row],[Date Assigned if different from entry date]]&lt;&gt;"",CommitmentsTable[[#This Row],[Date Assigned if different from entry date]]+60,IF(CommitmentsTable[[#This Row],[Date record entered]]&lt;&gt;"",CommitmentsTable[[#This Row],[Date record entered]]+60,""))</f>
        <v/>
      </c>
      <c r="M887" s="214"/>
      <c r="N887" s="214"/>
      <c r="O887" s="236"/>
      <c r="P887" s="214"/>
      <c r="Q887" s="214"/>
      <c r="R887" s="214"/>
      <c r="S887" s="238" t="str">
        <f>IF(CommitmentsTable[[#This Row],[Commitment / deliverable]]="","",IF(CommitmentsTable[[#This Row],[Revised due]]&lt;&gt;"",CommitmentsTable[[#This Row],[Revised due]],CommitmentsTable[[#This Row],[Original due]]))</f>
        <v/>
      </c>
      <c r="T887" s="237" t="str">
        <f>IF(OR(CommitmentsTable[[#This Row],[Commitment / deliverable]]="",CommitmentsTable[[#This Row],[Owner]]=""),"",IF(CommitmentsTable[[#This Row],[Status2]]="","Open",CommitmentsTable[[#This Row],[Status2]]))</f>
        <v/>
      </c>
      <c r="U887" s="237" t="str">
        <f t="shared" ca="1" si="13"/>
        <v/>
      </c>
      <c r="V887" s="233"/>
      <c r="W887" s="63" t="s">
        <v>1789</v>
      </c>
    </row>
    <row r="888" spans="1:23" ht="26">
      <c r="A888" s="213" t="str">
        <f>IF(OR(CommitmentsTable[[#This Row],[Commitment / deliverable]]="",CommitmentsTable[[#This Row],[Immutable Key]]=""),"",SUBSTITUTE(CommitmentsTable[[#This Row],[Immutable Key]],"-K-","-"))</f>
        <v/>
      </c>
      <c r="B888" s="233"/>
      <c r="C888" s="233"/>
      <c r="D888" s="213"/>
      <c r="E888" s="230"/>
      <c r="F888" s="213"/>
      <c r="G888" s="245" t="str">
        <f ca="1">IF(CommitmentsTable[[#This Row],[Commitment / deliverable]]="","",IF(CommitmentsTable[[#This Row],[Date record entered]]="",TODAY(),CommitmentsTable[[#This Row],[Date record entered]]))</f>
        <v/>
      </c>
      <c r="H888" s="245"/>
      <c r="I888" s="245" t="str">
        <f ca="1">IF(CommitmentsTable[[#This Row],[Date Assigned if different from entry date]]&lt;&gt;"",CommitmentsTable[[#This Row],[Date Assigned if different from entry date]]+90,IF(CommitmentsTable[[#This Row],[Date record entered]]&lt;&gt;"",CommitmentsTable[[#This Row],[Date record entered]]+90,""))</f>
        <v/>
      </c>
      <c r="J888" s="245" t="str">
        <f ca="1">IF(CommitmentsTable[[#This Row],[Date Assigned if different from entry date]]&lt;&gt;"",CommitmentsTable[[#This Row],[Date Assigned if different from entry date]]+30,IF(CommitmentsTable[[#This Row],[Date record entered]]&lt;&gt;"",CommitmentsTable[[#This Row],[Date record entered]]+30,""))</f>
        <v/>
      </c>
      <c r="K888" s="245"/>
      <c r="L888" s="245" t="str">
        <f ca="1">IF(CommitmentsTable[[#This Row],[Date Assigned if different from entry date]]&lt;&gt;"",CommitmentsTable[[#This Row],[Date Assigned if different from entry date]]+60,IF(CommitmentsTable[[#This Row],[Date record entered]]&lt;&gt;"",CommitmentsTable[[#This Row],[Date record entered]]+60,""))</f>
        <v/>
      </c>
      <c r="M888" s="214"/>
      <c r="N888" s="214"/>
      <c r="O888" s="236"/>
      <c r="P888" s="214"/>
      <c r="Q888" s="214"/>
      <c r="R888" s="214"/>
      <c r="S888" s="238" t="str">
        <f>IF(CommitmentsTable[[#This Row],[Commitment / deliverable]]="","",IF(CommitmentsTable[[#This Row],[Revised due]]&lt;&gt;"",CommitmentsTable[[#This Row],[Revised due]],CommitmentsTable[[#This Row],[Original due]]))</f>
        <v/>
      </c>
      <c r="T888" s="237" t="str">
        <f>IF(OR(CommitmentsTable[[#This Row],[Commitment / deliverable]]="",CommitmentsTable[[#This Row],[Owner]]=""),"",IF(CommitmentsTable[[#This Row],[Status2]]="","Open",CommitmentsTable[[#This Row],[Status2]]))</f>
        <v/>
      </c>
      <c r="U888" s="237" t="str">
        <f t="shared" ca="1" si="13"/>
        <v/>
      </c>
      <c r="V888" s="233"/>
      <c r="W888" s="63" t="s">
        <v>1790</v>
      </c>
    </row>
    <row r="889" spans="1:23" ht="26">
      <c r="A889" s="213" t="str">
        <f>IF(OR(CommitmentsTable[[#This Row],[Commitment / deliverable]]="",CommitmentsTable[[#This Row],[Immutable Key]]=""),"",SUBSTITUTE(CommitmentsTable[[#This Row],[Immutable Key]],"-K-","-"))</f>
        <v/>
      </c>
      <c r="B889" s="233"/>
      <c r="C889" s="233"/>
      <c r="D889" s="213"/>
      <c r="E889" s="230"/>
      <c r="F889" s="213"/>
      <c r="G889" s="245" t="str">
        <f ca="1">IF(CommitmentsTable[[#This Row],[Commitment / deliverable]]="","",IF(CommitmentsTable[[#This Row],[Date record entered]]="",TODAY(),CommitmentsTable[[#This Row],[Date record entered]]))</f>
        <v/>
      </c>
      <c r="H889" s="245"/>
      <c r="I889" s="245" t="str">
        <f ca="1">IF(CommitmentsTable[[#This Row],[Date Assigned if different from entry date]]&lt;&gt;"",CommitmentsTable[[#This Row],[Date Assigned if different from entry date]]+90,IF(CommitmentsTable[[#This Row],[Date record entered]]&lt;&gt;"",CommitmentsTable[[#This Row],[Date record entered]]+90,""))</f>
        <v/>
      </c>
      <c r="J889" s="245" t="str">
        <f ca="1">IF(CommitmentsTable[[#This Row],[Date Assigned if different from entry date]]&lt;&gt;"",CommitmentsTable[[#This Row],[Date Assigned if different from entry date]]+30,IF(CommitmentsTable[[#This Row],[Date record entered]]&lt;&gt;"",CommitmentsTable[[#This Row],[Date record entered]]+30,""))</f>
        <v/>
      </c>
      <c r="K889" s="245"/>
      <c r="L889" s="245" t="str">
        <f ca="1">IF(CommitmentsTable[[#This Row],[Date Assigned if different from entry date]]&lt;&gt;"",CommitmentsTable[[#This Row],[Date Assigned if different from entry date]]+60,IF(CommitmentsTable[[#This Row],[Date record entered]]&lt;&gt;"",CommitmentsTable[[#This Row],[Date record entered]]+60,""))</f>
        <v/>
      </c>
      <c r="M889" s="214"/>
      <c r="N889" s="214"/>
      <c r="O889" s="236"/>
      <c r="P889" s="214"/>
      <c r="Q889" s="214"/>
      <c r="R889" s="214"/>
      <c r="S889" s="238" t="str">
        <f>IF(CommitmentsTable[[#This Row],[Commitment / deliverable]]="","",IF(CommitmentsTable[[#This Row],[Revised due]]&lt;&gt;"",CommitmentsTable[[#This Row],[Revised due]],CommitmentsTable[[#This Row],[Original due]]))</f>
        <v/>
      </c>
      <c r="T889" s="237" t="str">
        <f>IF(OR(CommitmentsTable[[#This Row],[Commitment / deliverable]]="",CommitmentsTable[[#This Row],[Owner]]=""),"",IF(CommitmentsTable[[#This Row],[Status2]]="","Open",CommitmentsTable[[#This Row],[Status2]]))</f>
        <v/>
      </c>
      <c r="U889" s="237" t="str">
        <f t="shared" ca="1" si="13"/>
        <v/>
      </c>
      <c r="V889" s="233"/>
      <c r="W889" s="63" t="s">
        <v>1791</v>
      </c>
    </row>
    <row r="890" spans="1:23" ht="26">
      <c r="A890" s="213" t="str">
        <f>IF(OR(CommitmentsTable[[#This Row],[Commitment / deliverable]]="",CommitmentsTable[[#This Row],[Immutable Key]]=""),"",SUBSTITUTE(CommitmentsTable[[#This Row],[Immutable Key]],"-K-","-"))</f>
        <v/>
      </c>
      <c r="B890" s="233"/>
      <c r="C890" s="233"/>
      <c r="D890" s="213"/>
      <c r="E890" s="230"/>
      <c r="F890" s="213"/>
      <c r="G890" s="245" t="str">
        <f ca="1">IF(CommitmentsTable[[#This Row],[Commitment / deliverable]]="","",IF(CommitmentsTable[[#This Row],[Date record entered]]="",TODAY(),CommitmentsTable[[#This Row],[Date record entered]]))</f>
        <v/>
      </c>
      <c r="H890" s="245"/>
      <c r="I890" s="245" t="str">
        <f ca="1">IF(CommitmentsTable[[#This Row],[Date Assigned if different from entry date]]&lt;&gt;"",CommitmentsTable[[#This Row],[Date Assigned if different from entry date]]+90,IF(CommitmentsTable[[#This Row],[Date record entered]]&lt;&gt;"",CommitmentsTable[[#This Row],[Date record entered]]+90,""))</f>
        <v/>
      </c>
      <c r="J890" s="245" t="str">
        <f ca="1">IF(CommitmentsTable[[#This Row],[Date Assigned if different from entry date]]&lt;&gt;"",CommitmentsTable[[#This Row],[Date Assigned if different from entry date]]+30,IF(CommitmentsTable[[#This Row],[Date record entered]]&lt;&gt;"",CommitmentsTable[[#This Row],[Date record entered]]+30,""))</f>
        <v/>
      </c>
      <c r="K890" s="245"/>
      <c r="L890" s="245" t="str">
        <f ca="1">IF(CommitmentsTable[[#This Row],[Date Assigned if different from entry date]]&lt;&gt;"",CommitmentsTable[[#This Row],[Date Assigned if different from entry date]]+60,IF(CommitmentsTable[[#This Row],[Date record entered]]&lt;&gt;"",CommitmentsTable[[#This Row],[Date record entered]]+60,""))</f>
        <v/>
      </c>
      <c r="M890" s="214"/>
      <c r="N890" s="214"/>
      <c r="O890" s="236"/>
      <c r="P890" s="214"/>
      <c r="Q890" s="214"/>
      <c r="R890" s="214"/>
      <c r="S890" s="238" t="str">
        <f>IF(CommitmentsTable[[#This Row],[Commitment / deliverable]]="","",IF(CommitmentsTable[[#This Row],[Revised due]]&lt;&gt;"",CommitmentsTable[[#This Row],[Revised due]],CommitmentsTable[[#This Row],[Original due]]))</f>
        <v/>
      </c>
      <c r="T890" s="237" t="str">
        <f>IF(OR(CommitmentsTable[[#This Row],[Commitment / deliverable]]="",CommitmentsTable[[#This Row],[Owner]]=""),"",IF(CommitmentsTable[[#This Row],[Status2]]="","Open",CommitmentsTable[[#This Row],[Status2]]))</f>
        <v/>
      </c>
      <c r="U890" s="237" t="str">
        <f t="shared" ca="1" si="13"/>
        <v/>
      </c>
      <c r="V890" s="233"/>
      <c r="W890" s="63" t="s">
        <v>1792</v>
      </c>
    </row>
    <row r="891" spans="1:23" ht="26">
      <c r="A891" s="213" t="str">
        <f>IF(OR(CommitmentsTable[[#This Row],[Commitment / deliverable]]="",CommitmentsTable[[#This Row],[Immutable Key]]=""),"",SUBSTITUTE(CommitmentsTable[[#This Row],[Immutable Key]],"-K-","-"))</f>
        <v/>
      </c>
      <c r="B891" s="233"/>
      <c r="C891" s="233"/>
      <c r="D891" s="213"/>
      <c r="E891" s="230"/>
      <c r="F891" s="213"/>
      <c r="G891" s="245" t="str">
        <f ca="1">IF(CommitmentsTable[[#This Row],[Commitment / deliverable]]="","",IF(CommitmentsTable[[#This Row],[Date record entered]]="",TODAY(),CommitmentsTable[[#This Row],[Date record entered]]))</f>
        <v/>
      </c>
      <c r="H891" s="245"/>
      <c r="I891" s="245" t="str">
        <f ca="1">IF(CommitmentsTable[[#This Row],[Date Assigned if different from entry date]]&lt;&gt;"",CommitmentsTable[[#This Row],[Date Assigned if different from entry date]]+90,IF(CommitmentsTable[[#This Row],[Date record entered]]&lt;&gt;"",CommitmentsTable[[#This Row],[Date record entered]]+90,""))</f>
        <v/>
      </c>
      <c r="J891" s="245" t="str">
        <f ca="1">IF(CommitmentsTable[[#This Row],[Date Assigned if different from entry date]]&lt;&gt;"",CommitmentsTable[[#This Row],[Date Assigned if different from entry date]]+30,IF(CommitmentsTable[[#This Row],[Date record entered]]&lt;&gt;"",CommitmentsTable[[#This Row],[Date record entered]]+30,""))</f>
        <v/>
      </c>
      <c r="K891" s="245"/>
      <c r="L891" s="245" t="str">
        <f ca="1">IF(CommitmentsTable[[#This Row],[Date Assigned if different from entry date]]&lt;&gt;"",CommitmentsTable[[#This Row],[Date Assigned if different from entry date]]+60,IF(CommitmentsTable[[#This Row],[Date record entered]]&lt;&gt;"",CommitmentsTable[[#This Row],[Date record entered]]+60,""))</f>
        <v/>
      </c>
      <c r="M891" s="214"/>
      <c r="N891" s="214"/>
      <c r="O891" s="236"/>
      <c r="P891" s="214"/>
      <c r="Q891" s="214"/>
      <c r="R891" s="214"/>
      <c r="S891" s="238" t="str">
        <f>IF(CommitmentsTable[[#This Row],[Commitment / deliverable]]="","",IF(CommitmentsTable[[#This Row],[Revised due]]&lt;&gt;"",CommitmentsTable[[#This Row],[Revised due]],CommitmentsTable[[#This Row],[Original due]]))</f>
        <v/>
      </c>
      <c r="T891" s="237" t="str">
        <f>IF(OR(CommitmentsTable[[#This Row],[Commitment / deliverable]]="",CommitmentsTable[[#This Row],[Owner]]=""),"",IF(CommitmentsTable[[#This Row],[Status2]]="","Open",CommitmentsTable[[#This Row],[Status2]]))</f>
        <v/>
      </c>
      <c r="U891" s="237" t="str">
        <f t="shared" ca="1" si="13"/>
        <v/>
      </c>
      <c r="V891" s="233"/>
      <c r="W891" s="63" t="s">
        <v>1793</v>
      </c>
    </row>
    <row r="892" spans="1:23" ht="26">
      <c r="A892" s="213" t="str">
        <f>IF(OR(CommitmentsTable[[#This Row],[Commitment / deliverable]]="",CommitmentsTable[[#This Row],[Immutable Key]]=""),"",SUBSTITUTE(CommitmentsTable[[#This Row],[Immutable Key]],"-K-","-"))</f>
        <v/>
      </c>
      <c r="B892" s="233"/>
      <c r="C892" s="233"/>
      <c r="D892" s="213"/>
      <c r="E892" s="230"/>
      <c r="F892" s="213"/>
      <c r="G892" s="245" t="str">
        <f ca="1">IF(CommitmentsTable[[#This Row],[Commitment / deliverable]]="","",IF(CommitmentsTable[[#This Row],[Date record entered]]="",TODAY(),CommitmentsTable[[#This Row],[Date record entered]]))</f>
        <v/>
      </c>
      <c r="H892" s="245"/>
      <c r="I892" s="245" t="str">
        <f ca="1">IF(CommitmentsTable[[#This Row],[Date Assigned if different from entry date]]&lt;&gt;"",CommitmentsTable[[#This Row],[Date Assigned if different from entry date]]+90,IF(CommitmentsTable[[#This Row],[Date record entered]]&lt;&gt;"",CommitmentsTable[[#This Row],[Date record entered]]+90,""))</f>
        <v/>
      </c>
      <c r="J892" s="245" t="str">
        <f ca="1">IF(CommitmentsTable[[#This Row],[Date Assigned if different from entry date]]&lt;&gt;"",CommitmentsTable[[#This Row],[Date Assigned if different from entry date]]+30,IF(CommitmentsTable[[#This Row],[Date record entered]]&lt;&gt;"",CommitmentsTable[[#This Row],[Date record entered]]+30,""))</f>
        <v/>
      </c>
      <c r="K892" s="245"/>
      <c r="L892" s="245" t="str">
        <f ca="1">IF(CommitmentsTable[[#This Row],[Date Assigned if different from entry date]]&lt;&gt;"",CommitmentsTable[[#This Row],[Date Assigned if different from entry date]]+60,IF(CommitmentsTable[[#This Row],[Date record entered]]&lt;&gt;"",CommitmentsTable[[#This Row],[Date record entered]]+60,""))</f>
        <v/>
      </c>
      <c r="M892" s="214"/>
      <c r="N892" s="214"/>
      <c r="O892" s="236"/>
      <c r="P892" s="214"/>
      <c r="Q892" s="214"/>
      <c r="R892" s="214"/>
      <c r="S892" s="238" t="str">
        <f>IF(CommitmentsTable[[#This Row],[Commitment / deliverable]]="","",IF(CommitmentsTable[[#This Row],[Revised due]]&lt;&gt;"",CommitmentsTable[[#This Row],[Revised due]],CommitmentsTable[[#This Row],[Original due]]))</f>
        <v/>
      </c>
      <c r="T892" s="237" t="str">
        <f>IF(OR(CommitmentsTable[[#This Row],[Commitment / deliverable]]="",CommitmentsTable[[#This Row],[Owner]]=""),"",IF(CommitmentsTable[[#This Row],[Status2]]="","Open",CommitmentsTable[[#This Row],[Status2]]))</f>
        <v/>
      </c>
      <c r="U892" s="237" t="str">
        <f t="shared" ca="1" si="13"/>
        <v/>
      </c>
      <c r="V892" s="233"/>
      <c r="W892" s="63" t="s">
        <v>1794</v>
      </c>
    </row>
    <row r="893" spans="1:23" ht="26">
      <c r="A893" s="213" t="str">
        <f>IF(OR(CommitmentsTable[[#This Row],[Commitment / deliverable]]="",CommitmentsTable[[#This Row],[Immutable Key]]=""),"",SUBSTITUTE(CommitmentsTable[[#This Row],[Immutable Key]],"-K-","-"))</f>
        <v/>
      </c>
      <c r="B893" s="233"/>
      <c r="C893" s="233"/>
      <c r="D893" s="213"/>
      <c r="E893" s="230"/>
      <c r="F893" s="213"/>
      <c r="G893" s="245" t="str">
        <f ca="1">IF(CommitmentsTable[[#This Row],[Commitment / deliverable]]="","",IF(CommitmentsTable[[#This Row],[Date record entered]]="",TODAY(),CommitmentsTable[[#This Row],[Date record entered]]))</f>
        <v/>
      </c>
      <c r="H893" s="245"/>
      <c r="I893" s="245" t="str">
        <f ca="1">IF(CommitmentsTable[[#This Row],[Date Assigned if different from entry date]]&lt;&gt;"",CommitmentsTable[[#This Row],[Date Assigned if different from entry date]]+90,IF(CommitmentsTable[[#This Row],[Date record entered]]&lt;&gt;"",CommitmentsTable[[#This Row],[Date record entered]]+90,""))</f>
        <v/>
      </c>
      <c r="J893" s="245" t="str">
        <f ca="1">IF(CommitmentsTable[[#This Row],[Date Assigned if different from entry date]]&lt;&gt;"",CommitmentsTable[[#This Row],[Date Assigned if different from entry date]]+30,IF(CommitmentsTable[[#This Row],[Date record entered]]&lt;&gt;"",CommitmentsTable[[#This Row],[Date record entered]]+30,""))</f>
        <v/>
      </c>
      <c r="K893" s="245"/>
      <c r="L893" s="245" t="str">
        <f ca="1">IF(CommitmentsTable[[#This Row],[Date Assigned if different from entry date]]&lt;&gt;"",CommitmentsTable[[#This Row],[Date Assigned if different from entry date]]+60,IF(CommitmentsTable[[#This Row],[Date record entered]]&lt;&gt;"",CommitmentsTable[[#This Row],[Date record entered]]+60,""))</f>
        <v/>
      </c>
      <c r="M893" s="214"/>
      <c r="N893" s="214"/>
      <c r="O893" s="236"/>
      <c r="P893" s="214"/>
      <c r="Q893" s="214"/>
      <c r="R893" s="214"/>
      <c r="S893" s="238" t="str">
        <f>IF(CommitmentsTable[[#This Row],[Commitment / deliverable]]="","",IF(CommitmentsTable[[#This Row],[Revised due]]&lt;&gt;"",CommitmentsTable[[#This Row],[Revised due]],CommitmentsTable[[#This Row],[Original due]]))</f>
        <v/>
      </c>
      <c r="T893" s="237" t="str">
        <f>IF(OR(CommitmentsTable[[#This Row],[Commitment / deliverable]]="",CommitmentsTable[[#This Row],[Owner]]=""),"",IF(CommitmentsTable[[#This Row],[Status2]]="","Open",CommitmentsTable[[#This Row],[Status2]]))</f>
        <v/>
      </c>
      <c r="U893" s="237" t="str">
        <f t="shared" ca="1" si="13"/>
        <v/>
      </c>
      <c r="V893" s="233"/>
      <c r="W893" s="63" t="s">
        <v>1795</v>
      </c>
    </row>
    <row r="894" spans="1:23" ht="26">
      <c r="A894" s="213" t="str">
        <f>IF(OR(CommitmentsTable[[#This Row],[Commitment / deliverable]]="",CommitmentsTable[[#This Row],[Immutable Key]]=""),"",SUBSTITUTE(CommitmentsTable[[#This Row],[Immutable Key]],"-K-","-"))</f>
        <v/>
      </c>
      <c r="B894" s="233"/>
      <c r="C894" s="233"/>
      <c r="D894" s="213"/>
      <c r="E894" s="230"/>
      <c r="F894" s="213"/>
      <c r="G894" s="245" t="str">
        <f ca="1">IF(CommitmentsTable[[#This Row],[Commitment / deliverable]]="","",IF(CommitmentsTable[[#This Row],[Date record entered]]="",TODAY(),CommitmentsTable[[#This Row],[Date record entered]]))</f>
        <v/>
      </c>
      <c r="H894" s="245"/>
      <c r="I894" s="245" t="str">
        <f ca="1">IF(CommitmentsTable[[#This Row],[Date Assigned if different from entry date]]&lt;&gt;"",CommitmentsTable[[#This Row],[Date Assigned if different from entry date]]+90,IF(CommitmentsTable[[#This Row],[Date record entered]]&lt;&gt;"",CommitmentsTable[[#This Row],[Date record entered]]+90,""))</f>
        <v/>
      </c>
      <c r="J894" s="245" t="str">
        <f ca="1">IF(CommitmentsTable[[#This Row],[Date Assigned if different from entry date]]&lt;&gt;"",CommitmentsTable[[#This Row],[Date Assigned if different from entry date]]+30,IF(CommitmentsTable[[#This Row],[Date record entered]]&lt;&gt;"",CommitmentsTable[[#This Row],[Date record entered]]+30,""))</f>
        <v/>
      </c>
      <c r="K894" s="245"/>
      <c r="L894" s="245" t="str">
        <f ca="1">IF(CommitmentsTable[[#This Row],[Date Assigned if different from entry date]]&lt;&gt;"",CommitmentsTable[[#This Row],[Date Assigned if different from entry date]]+60,IF(CommitmentsTable[[#This Row],[Date record entered]]&lt;&gt;"",CommitmentsTable[[#This Row],[Date record entered]]+60,""))</f>
        <v/>
      </c>
      <c r="M894" s="214"/>
      <c r="N894" s="214"/>
      <c r="O894" s="236"/>
      <c r="P894" s="214"/>
      <c r="Q894" s="214"/>
      <c r="R894" s="214"/>
      <c r="S894" s="238" t="str">
        <f>IF(CommitmentsTable[[#This Row],[Commitment / deliverable]]="","",IF(CommitmentsTable[[#This Row],[Revised due]]&lt;&gt;"",CommitmentsTable[[#This Row],[Revised due]],CommitmentsTable[[#This Row],[Original due]]))</f>
        <v/>
      </c>
      <c r="T894" s="237" t="str">
        <f>IF(OR(CommitmentsTable[[#This Row],[Commitment / deliverable]]="",CommitmentsTable[[#This Row],[Owner]]=""),"",IF(CommitmentsTable[[#This Row],[Status2]]="","Open",CommitmentsTable[[#This Row],[Status2]]))</f>
        <v/>
      </c>
      <c r="U894" s="237" t="str">
        <f t="shared" ca="1" si="13"/>
        <v/>
      </c>
      <c r="V894" s="233"/>
      <c r="W894" s="63" t="s">
        <v>1796</v>
      </c>
    </row>
    <row r="895" spans="1:23" ht="26">
      <c r="A895" s="213" t="str">
        <f>IF(OR(CommitmentsTable[[#This Row],[Commitment / deliverable]]="",CommitmentsTable[[#This Row],[Immutable Key]]=""),"",SUBSTITUTE(CommitmentsTable[[#This Row],[Immutable Key]],"-K-","-"))</f>
        <v/>
      </c>
      <c r="B895" s="233"/>
      <c r="C895" s="233"/>
      <c r="D895" s="213"/>
      <c r="E895" s="230"/>
      <c r="F895" s="213"/>
      <c r="G895" s="245" t="str">
        <f ca="1">IF(CommitmentsTable[[#This Row],[Commitment / deliverable]]="","",IF(CommitmentsTable[[#This Row],[Date record entered]]="",TODAY(),CommitmentsTable[[#This Row],[Date record entered]]))</f>
        <v/>
      </c>
      <c r="H895" s="245"/>
      <c r="I895" s="245" t="str">
        <f ca="1">IF(CommitmentsTable[[#This Row],[Date Assigned if different from entry date]]&lt;&gt;"",CommitmentsTable[[#This Row],[Date Assigned if different from entry date]]+90,IF(CommitmentsTable[[#This Row],[Date record entered]]&lt;&gt;"",CommitmentsTable[[#This Row],[Date record entered]]+90,""))</f>
        <v/>
      </c>
      <c r="J895" s="245" t="str">
        <f ca="1">IF(CommitmentsTable[[#This Row],[Date Assigned if different from entry date]]&lt;&gt;"",CommitmentsTable[[#This Row],[Date Assigned if different from entry date]]+30,IF(CommitmentsTable[[#This Row],[Date record entered]]&lt;&gt;"",CommitmentsTable[[#This Row],[Date record entered]]+30,""))</f>
        <v/>
      </c>
      <c r="K895" s="245"/>
      <c r="L895" s="245" t="str">
        <f ca="1">IF(CommitmentsTable[[#This Row],[Date Assigned if different from entry date]]&lt;&gt;"",CommitmentsTable[[#This Row],[Date Assigned if different from entry date]]+60,IF(CommitmentsTable[[#This Row],[Date record entered]]&lt;&gt;"",CommitmentsTable[[#This Row],[Date record entered]]+60,""))</f>
        <v/>
      </c>
      <c r="M895" s="214"/>
      <c r="N895" s="214"/>
      <c r="O895" s="236"/>
      <c r="P895" s="214"/>
      <c r="Q895" s="214"/>
      <c r="R895" s="214"/>
      <c r="S895" s="238" t="str">
        <f>IF(CommitmentsTable[[#This Row],[Commitment / deliverable]]="","",IF(CommitmentsTable[[#This Row],[Revised due]]&lt;&gt;"",CommitmentsTable[[#This Row],[Revised due]],CommitmentsTable[[#This Row],[Original due]]))</f>
        <v/>
      </c>
      <c r="T895" s="237" t="str">
        <f>IF(OR(CommitmentsTable[[#This Row],[Commitment / deliverable]]="",CommitmentsTable[[#This Row],[Owner]]=""),"",IF(CommitmentsTable[[#This Row],[Status2]]="","Open",CommitmentsTable[[#This Row],[Status2]]))</f>
        <v/>
      </c>
      <c r="U895" s="237" t="str">
        <f t="shared" ca="1" si="13"/>
        <v/>
      </c>
      <c r="V895" s="233"/>
      <c r="W895" s="63" t="s">
        <v>1797</v>
      </c>
    </row>
    <row r="896" spans="1:23" ht="26">
      <c r="A896" s="213" t="str">
        <f>IF(OR(CommitmentsTable[[#This Row],[Commitment / deliverable]]="",CommitmentsTable[[#This Row],[Immutable Key]]=""),"",SUBSTITUTE(CommitmentsTable[[#This Row],[Immutable Key]],"-K-","-"))</f>
        <v/>
      </c>
      <c r="B896" s="233"/>
      <c r="C896" s="233"/>
      <c r="D896" s="213"/>
      <c r="E896" s="230"/>
      <c r="F896" s="213"/>
      <c r="G896" s="245" t="str">
        <f ca="1">IF(CommitmentsTable[[#This Row],[Commitment / deliverable]]="","",IF(CommitmentsTable[[#This Row],[Date record entered]]="",TODAY(),CommitmentsTable[[#This Row],[Date record entered]]))</f>
        <v/>
      </c>
      <c r="H896" s="245"/>
      <c r="I896" s="245" t="str">
        <f ca="1">IF(CommitmentsTable[[#This Row],[Date Assigned if different from entry date]]&lt;&gt;"",CommitmentsTable[[#This Row],[Date Assigned if different from entry date]]+90,IF(CommitmentsTable[[#This Row],[Date record entered]]&lt;&gt;"",CommitmentsTable[[#This Row],[Date record entered]]+90,""))</f>
        <v/>
      </c>
      <c r="J896" s="245" t="str">
        <f ca="1">IF(CommitmentsTable[[#This Row],[Date Assigned if different from entry date]]&lt;&gt;"",CommitmentsTable[[#This Row],[Date Assigned if different from entry date]]+30,IF(CommitmentsTable[[#This Row],[Date record entered]]&lt;&gt;"",CommitmentsTable[[#This Row],[Date record entered]]+30,""))</f>
        <v/>
      </c>
      <c r="K896" s="245"/>
      <c r="L896" s="245" t="str">
        <f ca="1">IF(CommitmentsTable[[#This Row],[Date Assigned if different from entry date]]&lt;&gt;"",CommitmentsTable[[#This Row],[Date Assigned if different from entry date]]+60,IF(CommitmentsTable[[#This Row],[Date record entered]]&lt;&gt;"",CommitmentsTable[[#This Row],[Date record entered]]+60,""))</f>
        <v/>
      </c>
      <c r="M896" s="214"/>
      <c r="N896" s="214"/>
      <c r="O896" s="236"/>
      <c r="P896" s="214"/>
      <c r="Q896" s="214"/>
      <c r="R896" s="214"/>
      <c r="S896" s="238" t="str">
        <f>IF(CommitmentsTable[[#This Row],[Commitment / deliverable]]="","",IF(CommitmentsTable[[#This Row],[Revised due]]&lt;&gt;"",CommitmentsTable[[#This Row],[Revised due]],CommitmentsTable[[#This Row],[Original due]]))</f>
        <v/>
      </c>
      <c r="T896" s="237" t="str">
        <f>IF(OR(CommitmentsTable[[#This Row],[Commitment / deliverable]]="",CommitmentsTable[[#This Row],[Owner]]=""),"",IF(CommitmentsTable[[#This Row],[Status2]]="","Open",CommitmentsTable[[#This Row],[Status2]]))</f>
        <v/>
      </c>
      <c r="U896" s="237" t="str">
        <f t="shared" ca="1" si="13"/>
        <v/>
      </c>
      <c r="V896" s="233"/>
      <c r="W896" s="63" t="s">
        <v>1798</v>
      </c>
    </row>
    <row r="897" spans="1:23" ht="26">
      <c r="A897" s="213" t="str">
        <f>IF(OR(CommitmentsTable[[#This Row],[Commitment / deliverable]]="",CommitmentsTable[[#This Row],[Immutable Key]]=""),"",SUBSTITUTE(CommitmentsTable[[#This Row],[Immutable Key]],"-K-","-"))</f>
        <v/>
      </c>
      <c r="B897" s="233"/>
      <c r="C897" s="233"/>
      <c r="D897" s="213"/>
      <c r="E897" s="230"/>
      <c r="F897" s="213"/>
      <c r="G897" s="245" t="str">
        <f ca="1">IF(CommitmentsTable[[#This Row],[Commitment / deliverable]]="","",IF(CommitmentsTable[[#This Row],[Date record entered]]="",TODAY(),CommitmentsTable[[#This Row],[Date record entered]]))</f>
        <v/>
      </c>
      <c r="H897" s="245"/>
      <c r="I897" s="245" t="str">
        <f ca="1">IF(CommitmentsTable[[#This Row],[Date Assigned if different from entry date]]&lt;&gt;"",CommitmentsTable[[#This Row],[Date Assigned if different from entry date]]+90,IF(CommitmentsTable[[#This Row],[Date record entered]]&lt;&gt;"",CommitmentsTable[[#This Row],[Date record entered]]+90,""))</f>
        <v/>
      </c>
      <c r="J897" s="245" t="str">
        <f ca="1">IF(CommitmentsTable[[#This Row],[Date Assigned if different from entry date]]&lt;&gt;"",CommitmentsTable[[#This Row],[Date Assigned if different from entry date]]+30,IF(CommitmentsTable[[#This Row],[Date record entered]]&lt;&gt;"",CommitmentsTable[[#This Row],[Date record entered]]+30,""))</f>
        <v/>
      </c>
      <c r="K897" s="245"/>
      <c r="L897" s="245" t="str">
        <f ca="1">IF(CommitmentsTable[[#This Row],[Date Assigned if different from entry date]]&lt;&gt;"",CommitmentsTable[[#This Row],[Date Assigned if different from entry date]]+60,IF(CommitmentsTable[[#This Row],[Date record entered]]&lt;&gt;"",CommitmentsTable[[#This Row],[Date record entered]]+60,""))</f>
        <v/>
      </c>
      <c r="M897" s="214"/>
      <c r="N897" s="214"/>
      <c r="O897" s="236"/>
      <c r="P897" s="214"/>
      <c r="Q897" s="214"/>
      <c r="R897" s="214"/>
      <c r="S897" s="238" t="str">
        <f>IF(CommitmentsTable[[#This Row],[Commitment / deliverable]]="","",IF(CommitmentsTable[[#This Row],[Revised due]]&lt;&gt;"",CommitmentsTable[[#This Row],[Revised due]],CommitmentsTable[[#This Row],[Original due]]))</f>
        <v/>
      </c>
      <c r="T897" s="237" t="str">
        <f>IF(OR(CommitmentsTable[[#This Row],[Commitment / deliverable]]="",CommitmentsTable[[#This Row],[Owner]]=""),"",IF(CommitmentsTable[[#This Row],[Status2]]="","Open",CommitmentsTable[[#This Row],[Status2]]))</f>
        <v/>
      </c>
      <c r="U897" s="237" t="str">
        <f t="shared" ca="1" si="13"/>
        <v/>
      </c>
      <c r="V897" s="233"/>
      <c r="W897" s="63" t="s">
        <v>1799</v>
      </c>
    </row>
    <row r="898" spans="1:23" ht="26">
      <c r="A898" s="213" t="str">
        <f>IF(OR(CommitmentsTable[[#This Row],[Commitment / deliverable]]="",CommitmentsTable[[#This Row],[Immutable Key]]=""),"",SUBSTITUTE(CommitmentsTable[[#This Row],[Immutable Key]],"-K-","-"))</f>
        <v/>
      </c>
      <c r="B898" s="233"/>
      <c r="C898" s="233"/>
      <c r="D898" s="213"/>
      <c r="E898" s="230"/>
      <c r="F898" s="213"/>
      <c r="G898" s="245" t="str">
        <f ca="1">IF(CommitmentsTable[[#This Row],[Commitment / deliverable]]="","",IF(CommitmentsTable[[#This Row],[Date record entered]]="",TODAY(),CommitmentsTable[[#This Row],[Date record entered]]))</f>
        <v/>
      </c>
      <c r="H898" s="245"/>
      <c r="I898" s="245" t="str">
        <f ca="1">IF(CommitmentsTable[[#This Row],[Date Assigned if different from entry date]]&lt;&gt;"",CommitmentsTable[[#This Row],[Date Assigned if different from entry date]]+90,IF(CommitmentsTable[[#This Row],[Date record entered]]&lt;&gt;"",CommitmentsTable[[#This Row],[Date record entered]]+90,""))</f>
        <v/>
      </c>
      <c r="J898" s="245" t="str">
        <f ca="1">IF(CommitmentsTable[[#This Row],[Date Assigned if different from entry date]]&lt;&gt;"",CommitmentsTable[[#This Row],[Date Assigned if different from entry date]]+30,IF(CommitmentsTable[[#This Row],[Date record entered]]&lt;&gt;"",CommitmentsTable[[#This Row],[Date record entered]]+30,""))</f>
        <v/>
      </c>
      <c r="K898" s="245"/>
      <c r="L898" s="245" t="str">
        <f ca="1">IF(CommitmentsTable[[#This Row],[Date Assigned if different from entry date]]&lt;&gt;"",CommitmentsTable[[#This Row],[Date Assigned if different from entry date]]+60,IF(CommitmentsTable[[#This Row],[Date record entered]]&lt;&gt;"",CommitmentsTable[[#This Row],[Date record entered]]+60,""))</f>
        <v/>
      </c>
      <c r="M898" s="214"/>
      <c r="N898" s="214"/>
      <c r="O898" s="236"/>
      <c r="P898" s="214"/>
      <c r="Q898" s="214"/>
      <c r="R898" s="214"/>
      <c r="S898" s="238" t="str">
        <f>IF(CommitmentsTable[[#This Row],[Commitment / deliverable]]="","",IF(CommitmentsTable[[#This Row],[Revised due]]&lt;&gt;"",CommitmentsTable[[#This Row],[Revised due]],CommitmentsTable[[#This Row],[Original due]]))</f>
        <v/>
      </c>
      <c r="T898" s="237" t="str">
        <f>IF(OR(CommitmentsTable[[#This Row],[Commitment / deliverable]]="",CommitmentsTable[[#This Row],[Owner]]=""),"",IF(CommitmentsTable[[#This Row],[Status2]]="","Open",CommitmentsTable[[#This Row],[Status2]]))</f>
        <v/>
      </c>
      <c r="U898" s="237" t="str">
        <f t="shared" ca="1" si="13"/>
        <v/>
      </c>
      <c r="V898" s="233"/>
      <c r="W898" s="63" t="s">
        <v>1800</v>
      </c>
    </row>
    <row r="899" spans="1:23" ht="26">
      <c r="A899" s="213" t="str">
        <f>IF(OR(CommitmentsTable[[#This Row],[Commitment / deliverable]]="",CommitmentsTable[[#This Row],[Immutable Key]]=""),"",SUBSTITUTE(CommitmentsTable[[#This Row],[Immutable Key]],"-K-","-"))</f>
        <v/>
      </c>
      <c r="B899" s="233"/>
      <c r="C899" s="233"/>
      <c r="D899" s="213"/>
      <c r="E899" s="230"/>
      <c r="F899" s="213"/>
      <c r="G899" s="245" t="str">
        <f ca="1">IF(CommitmentsTable[[#This Row],[Commitment / deliverable]]="","",IF(CommitmentsTable[[#This Row],[Date record entered]]="",TODAY(),CommitmentsTable[[#This Row],[Date record entered]]))</f>
        <v/>
      </c>
      <c r="H899" s="245"/>
      <c r="I899" s="245" t="str">
        <f ca="1">IF(CommitmentsTable[[#This Row],[Date Assigned if different from entry date]]&lt;&gt;"",CommitmentsTable[[#This Row],[Date Assigned if different from entry date]]+90,IF(CommitmentsTable[[#This Row],[Date record entered]]&lt;&gt;"",CommitmentsTable[[#This Row],[Date record entered]]+90,""))</f>
        <v/>
      </c>
      <c r="J899" s="245" t="str">
        <f ca="1">IF(CommitmentsTable[[#This Row],[Date Assigned if different from entry date]]&lt;&gt;"",CommitmentsTable[[#This Row],[Date Assigned if different from entry date]]+30,IF(CommitmentsTable[[#This Row],[Date record entered]]&lt;&gt;"",CommitmentsTable[[#This Row],[Date record entered]]+30,""))</f>
        <v/>
      </c>
      <c r="K899" s="245"/>
      <c r="L899" s="245" t="str">
        <f ca="1">IF(CommitmentsTable[[#This Row],[Date Assigned if different from entry date]]&lt;&gt;"",CommitmentsTable[[#This Row],[Date Assigned if different from entry date]]+60,IF(CommitmentsTable[[#This Row],[Date record entered]]&lt;&gt;"",CommitmentsTable[[#This Row],[Date record entered]]+60,""))</f>
        <v/>
      </c>
      <c r="M899" s="214"/>
      <c r="N899" s="214"/>
      <c r="O899" s="236"/>
      <c r="P899" s="214"/>
      <c r="Q899" s="214"/>
      <c r="R899" s="214"/>
      <c r="S899" s="238" t="str">
        <f>IF(CommitmentsTable[[#This Row],[Commitment / deliverable]]="","",IF(CommitmentsTable[[#This Row],[Revised due]]&lt;&gt;"",CommitmentsTable[[#This Row],[Revised due]],CommitmentsTable[[#This Row],[Original due]]))</f>
        <v/>
      </c>
      <c r="T899" s="237" t="str">
        <f>IF(OR(CommitmentsTable[[#This Row],[Commitment / deliverable]]="",CommitmentsTable[[#This Row],[Owner]]=""),"",IF(CommitmentsTable[[#This Row],[Status2]]="","Open",CommitmentsTable[[#This Row],[Status2]]))</f>
        <v/>
      </c>
      <c r="U899" s="237" t="str">
        <f t="shared" ca="1" si="13"/>
        <v/>
      </c>
      <c r="V899" s="233"/>
      <c r="W899" s="63" t="s">
        <v>1801</v>
      </c>
    </row>
    <row r="900" spans="1:23" ht="26">
      <c r="A900" s="213" t="str">
        <f>IF(OR(CommitmentsTable[[#This Row],[Commitment / deliverable]]="",CommitmentsTable[[#This Row],[Immutable Key]]=""),"",SUBSTITUTE(CommitmentsTable[[#This Row],[Immutable Key]],"-K-","-"))</f>
        <v/>
      </c>
      <c r="B900" s="233"/>
      <c r="C900" s="233"/>
      <c r="D900" s="213"/>
      <c r="E900" s="230"/>
      <c r="F900" s="213"/>
      <c r="G900" s="245" t="str">
        <f ca="1">IF(CommitmentsTable[[#This Row],[Commitment / deliverable]]="","",IF(CommitmentsTable[[#This Row],[Date record entered]]="",TODAY(),CommitmentsTable[[#This Row],[Date record entered]]))</f>
        <v/>
      </c>
      <c r="H900" s="245"/>
      <c r="I900" s="245" t="str">
        <f ca="1">IF(CommitmentsTable[[#This Row],[Date Assigned if different from entry date]]&lt;&gt;"",CommitmentsTable[[#This Row],[Date Assigned if different from entry date]]+90,IF(CommitmentsTable[[#This Row],[Date record entered]]&lt;&gt;"",CommitmentsTable[[#This Row],[Date record entered]]+90,""))</f>
        <v/>
      </c>
      <c r="J900" s="245" t="str">
        <f ca="1">IF(CommitmentsTable[[#This Row],[Date Assigned if different from entry date]]&lt;&gt;"",CommitmentsTable[[#This Row],[Date Assigned if different from entry date]]+30,IF(CommitmentsTable[[#This Row],[Date record entered]]&lt;&gt;"",CommitmentsTable[[#This Row],[Date record entered]]+30,""))</f>
        <v/>
      </c>
      <c r="K900" s="245"/>
      <c r="L900" s="245" t="str">
        <f ca="1">IF(CommitmentsTable[[#This Row],[Date Assigned if different from entry date]]&lt;&gt;"",CommitmentsTable[[#This Row],[Date Assigned if different from entry date]]+60,IF(CommitmentsTable[[#This Row],[Date record entered]]&lt;&gt;"",CommitmentsTable[[#This Row],[Date record entered]]+60,""))</f>
        <v/>
      </c>
      <c r="M900" s="214"/>
      <c r="N900" s="214"/>
      <c r="O900" s="236"/>
      <c r="P900" s="214"/>
      <c r="Q900" s="214"/>
      <c r="R900" s="214"/>
      <c r="S900" s="238" t="str">
        <f>IF(CommitmentsTable[[#This Row],[Commitment / deliverable]]="","",IF(CommitmentsTable[[#This Row],[Revised due]]&lt;&gt;"",CommitmentsTable[[#This Row],[Revised due]],CommitmentsTable[[#This Row],[Original due]]))</f>
        <v/>
      </c>
      <c r="T900" s="237" t="str">
        <f>IF(OR(CommitmentsTable[[#This Row],[Commitment / deliverable]]="",CommitmentsTable[[#This Row],[Owner]]=""),"",IF(CommitmentsTable[[#This Row],[Status2]]="","Open",CommitmentsTable[[#This Row],[Status2]]))</f>
        <v/>
      </c>
      <c r="U900" s="237" t="str">
        <f t="shared" ca="1" si="13"/>
        <v/>
      </c>
      <c r="V900" s="233"/>
      <c r="W900" s="63" t="s">
        <v>1802</v>
      </c>
    </row>
    <row r="901" spans="1:23" ht="26">
      <c r="A901" s="213" t="str">
        <f>IF(OR(CommitmentsTable[[#This Row],[Commitment / deliverable]]="",CommitmentsTable[[#This Row],[Immutable Key]]=""),"",SUBSTITUTE(CommitmentsTable[[#This Row],[Immutable Key]],"-K-","-"))</f>
        <v/>
      </c>
      <c r="B901" s="233"/>
      <c r="C901" s="233"/>
      <c r="D901" s="213"/>
      <c r="E901" s="230"/>
      <c r="F901" s="213"/>
      <c r="G901" s="245" t="str">
        <f ca="1">IF(CommitmentsTable[[#This Row],[Commitment / deliverable]]="","",IF(CommitmentsTable[[#This Row],[Date record entered]]="",TODAY(),CommitmentsTable[[#This Row],[Date record entered]]))</f>
        <v/>
      </c>
      <c r="H901" s="245"/>
      <c r="I901" s="245" t="str">
        <f ca="1">IF(CommitmentsTable[[#This Row],[Date Assigned if different from entry date]]&lt;&gt;"",CommitmentsTable[[#This Row],[Date Assigned if different from entry date]]+90,IF(CommitmentsTable[[#This Row],[Date record entered]]&lt;&gt;"",CommitmentsTable[[#This Row],[Date record entered]]+90,""))</f>
        <v/>
      </c>
      <c r="J901" s="245" t="str">
        <f ca="1">IF(CommitmentsTable[[#This Row],[Date Assigned if different from entry date]]&lt;&gt;"",CommitmentsTable[[#This Row],[Date Assigned if different from entry date]]+30,IF(CommitmentsTable[[#This Row],[Date record entered]]&lt;&gt;"",CommitmentsTable[[#This Row],[Date record entered]]+30,""))</f>
        <v/>
      </c>
      <c r="K901" s="245"/>
      <c r="L901" s="245" t="str">
        <f ca="1">IF(CommitmentsTable[[#This Row],[Date Assigned if different from entry date]]&lt;&gt;"",CommitmentsTable[[#This Row],[Date Assigned if different from entry date]]+60,IF(CommitmentsTable[[#This Row],[Date record entered]]&lt;&gt;"",CommitmentsTable[[#This Row],[Date record entered]]+60,""))</f>
        <v/>
      </c>
      <c r="M901" s="214"/>
      <c r="N901" s="214"/>
      <c r="O901" s="236"/>
      <c r="P901" s="214"/>
      <c r="Q901" s="214"/>
      <c r="R901" s="214"/>
      <c r="S901" s="238" t="str">
        <f>IF(CommitmentsTable[[#This Row],[Commitment / deliverable]]="","",IF(CommitmentsTable[[#This Row],[Revised due]]&lt;&gt;"",CommitmentsTable[[#This Row],[Revised due]],CommitmentsTable[[#This Row],[Original due]]))</f>
        <v/>
      </c>
      <c r="T901" s="237" t="str">
        <f>IF(OR(CommitmentsTable[[#This Row],[Commitment / deliverable]]="",CommitmentsTable[[#This Row],[Owner]]=""),"",IF(CommitmentsTable[[#This Row],[Status2]]="","Open",CommitmentsTable[[#This Row],[Status2]]))</f>
        <v/>
      </c>
      <c r="U901" s="237" t="str">
        <f t="shared" ca="1" si="13"/>
        <v/>
      </c>
      <c r="V901" s="233"/>
      <c r="W901" s="63" t="s">
        <v>1803</v>
      </c>
    </row>
    <row r="902" spans="1:23" ht="26">
      <c r="A902" s="213" t="str">
        <f>IF(OR(CommitmentsTable[[#This Row],[Commitment / deliverable]]="",CommitmentsTable[[#This Row],[Immutable Key]]=""),"",SUBSTITUTE(CommitmentsTable[[#This Row],[Immutable Key]],"-K-","-"))</f>
        <v/>
      </c>
      <c r="B902" s="233"/>
      <c r="C902" s="233"/>
      <c r="D902" s="213"/>
      <c r="E902" s="230"/>
      <c r="F902" s="213"/>
      <c r="G902" s="245" t="str">
        <f ca="1">IF(CommitmentsTable[[#This Row],[Commitment / deliverable]]="","",IF(CommitmentsTable[[#This Row],[Date record entered]]="",TODAY(),CommitmentsTable[[#This Row],[Date record entered]]))</f>
        <v/>
      </c>
      <c r="H902" s="245"/>
      <c r="I902" s="245" t="str">
        <f ca="1">IF(CommitmentsTable[[#This Row],[Date Assigned if different from entry date]]&lt;&gt;"",CommitmentsTable[[#This Row],[Date Assigned if different from entry date]]+90,IF(CommitmentsTable[[#This Row],[Date record entered]]&lt;&gt;"",CommitmentsTable[[#This Row],[Date record entered]]+90,""))</f>
        <v/>
      </c>
      <c r="J902" s="245" t="str">
        <f ca="1">IF(CommitmentsTable[[#This Row],[Date Assigned if different from entry date]]&lt;&gt;"",CommitmentsTable[[#This Row],[Date Assigned if different from entry date]]+30,IF(CommitmentsTable[[#This Row],[Date record entered]]&lt;&gt;"",CommitmentsTable[[#This Row],[Date record entered]]+30,""))</f>
        <v/>
      </c>
      <c r="K902" s="245"/>
      <c r="L902" s="245" t="str">
        <f ca="1">IF(CommitmentsTable[[#This Row],[Date Assigned if different from entry date]]&lt;&gt;"",CommitmentsTable[[#This Row],[Date Assigned if different from entry date]]+60,IF(CommitmentsTable[[#This Row],[Date record entered]]&lt;&gt;"",CommitmentsTable[[#This Row],[Date record entered]]+60,""))</f>
        <v/>
      </c>
      <c r="M902" s="214"/>
      <c r="N902" s="214"/>
      <c r="O902" s="236"/>
      <c r="P902" s="214"/>
      <c r="Q902" s="214"/>
      <c r="R902" s="214"/>
      <c r="S902" s="238" t="str">
        <f>IF(CommitmentsTable[[#This Row],[Commitment / deliverable]]="","",IF(CommitmentsTable[[#This Row],[Revised due]]&lt;&gt;"",CommitmentsTable[[#This Row],[Revised due]],CommitmentsTable[[#This Row],[Original due]]))</f>
        <v/>
      </c>
      <c r="T902" s="237" t="str">
        <f>IF(OR(CommitmentsTable[[#This Row],[Commitment / deliverable]]="",CommitmentsTable[[#This Row],[Owner]]=""),"",IF(CommitmentsTable[[#This Row],[Status2]]="","Open",CommitmentsTable[[#This Row],[Status2]]))</f>
        <v/>
      </c>
      <c r="U902" s="237" t="str">
        <f t="shared" ca="1" si="13"/>
        <v/>
      </c>
      <c r="V902" s="233"/>
      <c r="W902" s="63" t="s">
        <v>1804</v>
      </c>
    </row>
    <row r="903" spans="1:23" ht="26">
      <c r="A903" s="213" t="str">
        <f>IF(OR(CommitmentsTable[[#This Row],[Commitment / deliverable]]="",CommitmentsTable[[#This Row],[Immutable Key]]=""),"",SUBSTITUTE(CommitmentsTable[[#This Row],[Immutable Key]],"-K-","-"))</f>
        <v/>
      </c>
      <c r="B903" s="233"/>
      <c r="C903" s="233"/>
      <c r="D903" s="213"/>
      <c r="E903" s="230"/>
      <c r="F903" s="213"/>
      <c r="G903" s="245" t="str">
        <f ca="1">IF(CommitmentsTable[[#This Row],[Commitment / deliverable]]="","",IF(CommitmentsTable[[#This Row],[Date record entered]]="",TODAY(),CommitmentsTable[[#This Row],[Date record entered]]))</f>
        <v/>
      </c>
      <c r="H903" s="245"/>
      <c r="I903" s="245" t="str">
        <f ca="1">IF(CommitmentsTable[[#This Row],[Date Assigned if different from entry date]]&lt;&gt;"",CommitmentsTable[[#This Row],[Date Assigned if different from entry date]]+90,IF(CommitmentsTable[[#This Row],[Date record entered]]&lt;&gt;"",CommitmentsTable[[#This Row],[Date record entered]]+90,""))</f>
        <v/>
      </c>
      <c r="J903" s="245" t="str">
        <f ca="1">IF(CommitmentsTable[[#This Row],[Date Assigned if different from entry date]]&lt;&gt;"",CommitmentsTable[[#This Row],[Date Assigned if different from entry date]]+30,IF(CommitmentsTable[[#This Row],[Date record entered]]&lt;&gt;"",CommitmentsTable[[#This Row],[Date record entered]]+30,""))</f>
        <v/>
      </c>
      <c r="K903" s="245"/>
      <c r="L903" s="245" t="str">
        <f ca="1">IF(CommitmentsTable[[#This Row],[Date Assigned if different from entry date]]&lt;&gt;"",CommitmentsTable[[#This Row],[Date Assigned if different from entry date]]+60,IF(CommitmentsTable[[#This Row],[Date record entered]]&lt;&gt;"",CommitmentsTable[[#This Row],[Date record entered]]+60,""))</f>
        <v/>
      </c>
      <c r="M903" s="214"/>
      <c r="N903" s="214"/>
      <c r="O903" s="236"/>
      <c r="P903" s="214"/>
      <c r="Q903" s="214"/>
      <c r="R903" s="214"/>
      <c r="S903" s="238" t="str">
        <f>IF(CommitmentsTable[[#This Row],[Commitment / deliverable]]="","",IF(CommitmentsTable[[#This Row],[Revised due]]&lt;&gt;"",CommitmentsTable[[#This Row],[Revised due]],CommitmentsTable[[#This Row],[Original due]]))</f>
        <v/>
      </c>
      <c r="T903" s="237" t="str">
        <f>IF(OR(CommitmentsTable[[#This Row],[Commitment / deliverable]]="",CommitmentsTable[[#This Row],[Owner]]=""),"",IF(CommitmentsTable[[#This Row],[Status2]]="","Open",CommitmentsTable[[#This Row],[Status2]]))</f>
        <v/>
      </c>
      <c r="U903" s="237" t="str">
        <f t="shared" ca="1" si="13"/>
        <v/>
      </c>
      <c r="V903" s="233"/>
      <c r="W903" s="63" t="s">
        <v>1805</v>
      </c>
    </row>
    <row r="904" spans="1:23" ht="26">
      <c r="A904" s="213" t="str">
        <f>IF(OR(CommitmentsTable[[#This Row],[Commitment / deliverable]]="",CommitmentsTable[[#This Row],[Immutable Key]]=""),"",SUBSTITUTE(CommitmentsTable[[#This Row],[Immutable Key]],"-K-","-"))</f>
        <v/>
      </c>
      <c r="B904" s="233"/>
      <c r="C904" s="233"/>
      <c r="D904" s="213"/>
      <c r="E904" s="230"/>
      <c r="F904" s="213"/>
      <c r="G904" s="245" t="str">
        <f ca="1">IF(CommitmentsTable[[#This Row],[Commitment / deliverable]]="","",IF(CommitmentsTable[[#This Row],[Date record entered]]="",TODAY(),CommitmentsTable[[#This Row],[Date record entered]]))</f>
        <v/>
      </c>
      <c r="H904" s="245"/>
      <c r="I904" s="245" t="str">
        <f ca="1">IF(CommitmentsTable[[#This Row],[Date Assigned if different from entry date]]&lt;&gt;"",CommitmentsTable[[#This Row],[Date Assigned if different from entry date]]+90,IF(CommitmentsTable[[#This Row],[Date record entered]]&lt;&gt;"",CommitmentsTable[[#This Row],[Date record entered]]+90,""))</f>
        <v/>
      </c>
      <c r="J904" s="245" t="str">
        <f ca="1">IF(CommitmentsTable[[#This Row],[Date Assigned if different from entry date]]&lt;&gt;"",CommitmentsTable[[#This Row],[Date Assigned if different from entry date]]+30,IF(CommitmentsTable[[#This Row],[Date record entered]]&lt;&gt;"",CommitmentsTable[[#This Row],[Date record entered]]+30,""))</f>
        <v/>
      </c>
      <c r="K904" s="245"/>
      <c r="L904" s="245" t="str">
        <f ca="1">IF(CommitmentsTable[[#This Row],[Date Assigned if different from entry date]]&lt;&gt;"",CommitmentsTable[[#This Row],[Date Assigned if different from entry date]]+60,IF(CommitmentsTable[[#This Row],[Date record entered]]&lt;&gt;"",CommitmentsTable[[#This Row],[Date record entered]]+60,""))</f>
        <v/>
      </c>
      <c r="M904" s="214"/>
      <c r="N904" s="214"/>
      <c r="O904" s="236"/>
      <c r="P904" s="214"/>
      <c r="Q904" s="214"/>
      <c r="R904" s="214"/>
      <c r="S904" s="238" t="str">
        <f>IF(CommitmentsTable[[#This Row],[Commitment / deliverable]]="","",IF(CommitmentsTable[[#This Row],[Revised due]]&lt;&gt;"",CommitmentsTable[[#This Row],[Revised due]],CommitmentsTable[[#This Row],[Original due]]))</f>
        <v/>
      </c>
      <c r="T904" s="237" t="str">
        <f>IF(OR(CommitmentsTable[[#This Row],[Commitment / deliverable]]="",CommitmentsTable[[#This Row],[Owner]]=""),"",IF(CommitmentsTable[[#This Row],[Status2]]="","Open",CommitmentsTable[[#This Row],[Status2]]))</f>
        <v/>
      </c>
      <c r="U904" s="237" t="str">
        <f t="shared" ca="1" si="13"/>
        <v/>
      </c>
      <c r="V904" s="233"/>
      <c r="W904" s="63" t="s">
        <v>1806</v>
      </c>
    </row>
    <row r="905" spans="1:23" ht="26">
      <c r="A905" s="213" t="str">
        <f>IF(OR(CommitmentsTable[[#This Row],[Commitment / deliverable]]="",CommitmentsTable[[#This Row],[Immutable Key]]=""),"",SUBSTITUTE(CommitmentsTable[[#This Row],[Immutable Key]],"-K-","-"))</f>
        <v/>
      </c>
      <c r="B905" s="233"/>
      <c r="C905" s="233"/>
      <c r="D905" s="213"/>
      <c r="E905" s="230"/>
      <c r="F905" s="213"/>
      <c r="G905" s="245" t="str">
        <f ca="1">IF(CommitmentsTable[[#This Row],[Commitment / deliverable]]="","",IF(CommitmentsTable[[#This Row],[Date record entered]]="",TODAY(),CommitmentsTable[[#This Row],[Date record entered]]))</f>
        <v/>
      </c>
      <c r="H905" s="245"/>
      <c r="I905" s="245" t="str">
        <f ca="1">IF(CommitmentsTable[[#This Row],[Date Assigned if different from entry date]]&lt;&gt;"",CommitmentsTable[[#This Row],[Date Assigned if different from entry date]]+90,IF(CommitmentsTable[[#This Row],[Date record entered]]&lt;&gt;"",CommitmentsTable[[#This Row],[Date record entered]]+90,""))</f>
        <v/>
      </c>
      <c r="J905" s="245" t="str">
        <f ca="1">IF(CommitmentsTable[[#This Row],[Date Assigned if different from entry date]]&lt;&gt;"",CommitmentsTable[[#This Row],[Date Assigned if different from entry date]]+30,IF(CommitmentsTable[[#This Row],[Date record entered]]&lt;&gt;"",CommitmentsTable[[#This Row],[Date record entered]]+30,""))</f>
        <v/>
      </c>
      <c r="K905" s="245"/>
      <c r="L905" s="245" t="str">
        <f ca="1">IF(CommitmentsTable[[#This Row],[Date Assigned if different from entry date]]&lt;&gt;"",CommitmentsTable[[#This Row],[Date Assigned if different from entry date]]+60,IF(CommitmentsTable[[#This Row],[Date record entered]]&lt;&gt;"",CommitmentsTable[[#This Row],[Date record entered]]+60,""))</f>
        <v/>
      </c>
      <c r="M905" s="214"/>
      <c r="N905" s="214"/>
      <c r="O905" s="236"/>
      <c r="P905" s="214"/>
      <c r="Q905" s="214"/>
      <c r="R905" s="214"/>
      <c r="S905" s="238" t="str">
        <f>IF(CommitmentsTable[[#This Row],[Commitment / deliverable]]="","",IF(CommitmentsTable[[#This Row],[Revised due]]&lt;&gt;"",CommitmentsTable[[#This Row],[Revised due]],CommitmentsTable[[#This Row],[Original due]]))</f>
        <v/>
      </c>
      <c r="T905" s="237" t="str">
        <f>IF(OR(CommitmentsTable[[#This Row],[Commitment / deliverable]]="",CommitmentsTable[[#This Row],[Owner]]=""),"",IF(CommitmentsTable[[#This Row],[Status2]]="","Open",CommitmentsTable[[#This Row],[Status2]]))</f>
        <v/>
      </c>
      <c r="U905" s="237" t="str">
        <f t="shared" ca="1" si="13"/>
        <v/>
      </c>
      <c r="V905" s="233"/>
      <c r="W905" s="63" t="s">
        <v>1807</v>
      </c>
    </row>
    <row r="906" spans="1:23" ht="26">
      <c r="A906" s="213" t="str">
        <f>IF(OR(CommitmentsTable[[#This Row],[Commitment / deliverable]]="",CommitmentsTable[[#This Row],[Immutable Key]]=""),"",SUBSTITUTE(CommitmentsTable[[#This Row],[Immutable Key]],"-K-","-"))</f>
        <v/>
      </c>
      <c r="B906" s="233"/>
      <c r="C906" s="233"/>
      <c r="D906" s="213"/>
      <c r="E906" s="230"/>
      <c r="F906" s="213"/>
      <c r="G906" s="245" t="str">
        <f ca="1">IF(CommitmentsTable[[#This Row],[Commitment / deliverable]]="","",IF(CommitmentsTable[[#This Row],[Date record entered]]="",TODAY(),CommitmentsTable[[#This Row],[Date record entered]]))</f>
        <v/>
      </c>
      <c r="H906" s="245"/>
      <c r="I906" s="245" t="str">
        <f ca="1">IF(CommitmentsTable[[#This Row],[Date Assigned if different from entry date]]&lt;&gt;"",CommitmentsTable[[#This Row],[Date Assigned if different from entry date]]+90,IF(CommitmentsTable[[#This Row],[Date record entered]]&lt;&gt;"",CommitmentsTable[[#This Row],[Date record entered]]+90,""))</f>
        <v/>
      </c>
      <c r="J906" s="245" t="str">
        <f ca="1">IF(CommitmentsTable[[#This Row],[Date Assigned if different from entry date]]&lt;&gt;"",CommitmentsTable[[#This Row],[Date Assigned if different from entry date]]+30,IF(CommitmentsTable[[#This Row],[Date record entered]]&lt;&gt;"",CommitmentsTable[[#This Row],[Date record entered]]+30,""))</f>
        <v/>
      </c>
      <c r="K906" s="245"/>
      <c r="L906" s="245" t="str">
        <f ca="1">IF(CommitmentsTable[[#This Row],[Date Assigned if different from entry date]]&lt;&gt;"",CommitmentsTable[[#This Row],[Date Assigned if different from entry date]]+60,IF(CommitmentsTable[[#This Row],[Date record entered]]&lt;&gt;"",CommitmentsTable[[#This Row],[Date record entered]]+60,""))</f>
        <v/>
      </c>
      <c r="M906" s="214"/>
      <c r="N906" s="214"/>
      <c r="O906" s="236"/>
      <c r="P906" s="214"/>
      <c r="Q906" s="214"/>
      <c r="R906" s="214"/>
      <c r="S906" s="238" t="str">
        <f>IF(CommitmentsTable[[#This Row],[Commitment / deliverable]]="","",IF(CommitmentsTable[[#This Row],[Revised due]]&lt;&gt;"",CommitmentsTable[[#This Row],[Revised due]],CommitmentsTable[[#This Row],[Original due]]))</f>
        <v/>
      </c>
      <c r="T906" s="237" t="str">
        <f>IF(OR(CommitmentsTable[[#This Row],[Commitment / deliverable]]="",CommitmentsTable[[#This Row],[Owner]]=""),"",IF(CommitmentsTable[[#This Row],[Status2]]="","Open",CommitmentsTable[[#This Row],[Status2]]))</f>
        <v/>
      </c>
      <c r="U906" s="237" t="str">
        <f t="shared" ca="1" si="13"/>
        <v/>
      </c>
      <c r="V906" s="233"/>
      <c r="W906" s="63" t="s">
        <v>1808</v>
      </c>
    </row>
    <row r="907" spans="1:23" ht="26">
      <c r="A907" s="213" t="str">
        <f>IF(OR(CommitmentsTable[[#This Row],[Commitment / deliverable]]="",CommitmentsTable[[#This Row],[Immutable Key]]=""),"",SUBSTITUTE(CommitmentsTable[[#This Row],[Immutable Key]],"-K-","-"))</f>
        <v/>
      </c>
      <c r="B907" s="233"/>
      <c r="C907" s="233"/>
      <c r="D907" s="213"/>
      <c r="E907" s="230"/>
      <c r="F907" s="213"/>
      <c r="G907" s="245" t="str">
        <f ca="1">IF(CommitmentsTable[[#This Row],[Commitment / deliverable]]="","",IF(CommitmentsTable[[#This Row],[Date record entered]]="",TODAY(),CommitmentsTable[[#This Row],[Date record entered]]))</f>
        <v/>
      </c>
      <c r="H907" s="245"/>
      <c r="I907" s="245" t="str">
        <f ca="1">IF(CommitmentsTable[[#This Row],[Date Assigned if different from entry date]]&lt;&gt;"",CommitmentsTable[[#This Row],[Date Assigned if different from entry date]]+90,IF(CommitmentsTable[[#This Row],[Date record entered]]&lt;&gt;"",CommitmentsTable[[#This Row],[Date record entered]]+90,""))</f>
        <v/>
      </c>
      <c r="J907" s="245" t="str">
        <f ca="1">IF(CommitmentsTable[[#This Row],[Date Assigned if different from entry date]]&lt;&gt;"",CommitmentsTable[[#This Row],[Date Assigned if different from entry date]]+30,IF(CommitmentsTable[[#This Row],[Date record entered]]&lt;&gt;"",CommitmentsTable[[#This Row],[Date record entered]]+30,""))</f>
        <v/>
      </c>
      <c r="K907" s="245"/>
      <c r="L907" s="245" t="str">
        <f ca="1">IF(CommitmentsTable[[#This Row],[Date Assigned if different from entry date]]&lt;&gt;"",CommitmentsTable[[#This Row],[Date Assigned if different from entry date]]+60,IF(CommitmentsTable[[#This Row],[Date record entered]]&lt;&gt;"",CommitmentsTable[[#This Row],[Date record entered]]+60,""))</f>
        <v/>
      </c>
      <c r="M907" s="214"/>
      <c r="N907" s="214"/>
      <c r="O907" s="236"/>
      <c r="P907" s="214"/>
      <c r="Q907" s="214"/>
      <c r="R907" s="214"/>
      <c r="S907" s="238" t="str">
        <f>IF(CommitmentsTable[[#This Row],[Commitment / deliverable]]="","",IF(CommitmentsTable[[#This Row],[Revised due]]&lt;&gt;"",CommitmentsTable[[#This Row],[Revised due]],CommitmentsTable[[#This Row],[Original due]]))</f>
        <v/>
      </c>
      <c r="T907" s="237" t="str">
        <f>IF(OR(CommitmentsTable[[#This Row],[Commitment / deliverable]]="",CommitmentsTable[[#This Row],[Owner]]=""),"",IF(CommitmentsTable[[#This Row],[Status2]]="","Open",CommitmentsTable[[#This Row],[Status2]]))</f>
        <v/>
      </c>
      <c r="U907" s="237" t="str">
        <f t="shared" ca="1" si="13"/>
        <v/>
      </c>
      <c r="V907" s="233"/>
      <c r="W907" s="63" t="s">
        <v>1809</v>
      </c>
    </row>
    <row r="908" spans="1:23" ht="26">
      <c r="A908" s="213" t="str">
        <f>IF(OR(CommitmentsTable[[#This Row],[Commitment / deliverable]]="",CommitmentsTable[[#This Row],[Immutable Key]]=""),"",SUBSTITUTE(CommitmentsTable[[#This Row],[Immutable Key]],"-K-","-"))</f>
        <v/>
      </c>
      <c r="B908" s="233"/>
      <c r="C908" s="233"/>
      <c r="D908" s="213"/>
      <c r="E908" s="230"/>
      <c r="F908" s="213"/>
      <c r="G908" s="245" t="str">
        <f ca="1">IF(CommitmentsTable[[#This Row],[Commitment / deliverable]]="","",IF(CommitmentsTable[[#This Row],[Date record entered]]="",TODAY(),CommitmentsTable[[#This Row],[Date record entered]]))</f>
        <v/>
      </c>
      <c r="H908" s="245"/>
      <c r="I908" s="245" t="str">
        <f ca="1">IF(CommitmentsTable[[#This Row],[Date Assigned if different from entry date]]&lt;&gt;"",CommitmentsTable[[#This Row],[Date Assigned if different from entry date]]+90,IF(CommitmentsTable[[#This Row],[Date record entered]]&lt;&gt;"",CommitmentsTable[[#This Row],[Date record entered]]+90,""))</f>
        <v/>
      </c>
      <c r="J908" s="245" t="str">
        <f ca="1">IF(CommitmentsTable[[#This Row],[Date Assigned if different from entry date]]&lt;&gt;"",CommitmentsTable[[#This Row],[Date Assigned if different from entry date]]+30,IF(CommitmentsTable[[#This Row],[Date record entered]]&lt;&gt;"",CommitmentsTable[[#This Row],[Date record entered]]+30,""))</f>
        <v/>
      </c>
      <c r="K908" s="245"/>
      <c r="L908" s="245" t="str">
        <f ca="1">IF(CommitmentsTable[[#This Row],[Date Assigned if different from entry date]]&lt;&gt;"",CommitmentsTable[[#This Row],[Date Assigned if different from entry date]]+60,IF(CommitmentsTable[[#This Row],[Date record entered]]&lt;&gt;"",CommitmentsTable[[#This Row],[Date record entered]]+60,""))</f>
        <v/>
      </c>
      <c r="M908" s="214"/>
      <c r="N908" s="214"/>
      <c r="O908" s="236"/>
      <c r="P908" s="214"/>
      <c r="Q908" s="214"/>
      <c r="R908" s="214"/>
      <c r="S908" s="238" t="str">
        <f>IF(CommitmentsTable[[#This Row],[Commitment / deliverable]]="","",IF(CommitmentsTable[[#This Row],[Revised due]]&lt;&gt;"",CommitmentsTable[[#This Row],[Revised due]],CommitmentsTable[[#This Row],[Original due]]))</f>
        <v/>
      </c>
      <c r="T908" s="237" t="str">
        <f>IF(OR(CommitmentsTable[[#This Row],[Commitment / deliverable]]="",CommitmentsTable[[#This Row],[Owner]]=""),"",IF(CommitmentsTable[[#This Row],[Status2]]="","Open",CommitmentsTable[[#This Row],[Status2]]))</f>
        <v/>
      </c>
      <c r="U908" s="237" t="str">
        <f t="shared" ca="1" si="13"/>
        <v/>
      </c>
      <c r="V908" s="233"/>
      <c r="W908" s="63" t="s">
        <v>1810</v>
      </c>
    </row>
    <row r="909" spans="1:23" ht="26">
      <c r="A909" s="213" t="str">
        <f>IF(OR(CommitmentsTable[[#This Row],[Commitment / deliverable]]="",CommitmentsTable[[#This Row],[Immutable Key]]=""),"",SUBSTITUTE(CommitmentsTable[[#This Row],[Immutable Key]],"-K-","-"))</f>
        <v/>
      </c>
      <c r="B909" s="233"/>
      <c r="C909" s="233"/>
      <c r="D909" s="213"/>
      <c r="E909" s="230"/>
      <c r="F909" s="213"/>
      <c r="G909" s="245" t="str">
        <f ca="1">IF(CommitmentsTable[[#This Row],[Commitment / deliverable]]="","",IF(CommitmentsTable[[#This Row],[Date record entered]]="",TODAY(),CommitmentsTable[[#This Row],[Date record entered]]))</f>
        <v/>
      </c>
      <c r="H909" s="245"/>
      <c r="I909" s="245" t="str">
        <f ca="1">IF(CommitmentsTable[[#This Row],[Date Assigned if different from entry date]]&lt;&gt;"",CommitmentsTable[[#This Row],[Date Assigned if different from entry date]]+90,IF(CommitmentsTable[[#This Row],[Date record entered]]&lt;&gt;"",CommitmentsTable[[#This Row],[Date record entered]]+90,""))</f>
        <v/>
      </c>
      <c r="J909" s="245" t="str">
        <f ca="1">IF(CommitmentsTable[[#This Row],[Date Assigned if different from entry date]]&lt;&gt;"",CommitmentsTable[[#This Row],[Date Assigned if different from entry date]]+30,IF(CommitmentsTable[[#This Row],[Date record entered]]&lt;&gt;"",CommitmentsTable[[#This Row],[Date record entered]]+30,""))</f>
        <v/>
      </c>
      <c r="K909" s="245"/>
      <c r="L909" s="245" t="str">
        <f ca="1">IF(CommitmentsTable[[#This Row],[Date Assigned if different from entry date]]&lt;&gt;"",CommitmentsTable[[#This Row],[Date Assigned if different from entry date]]+60,IF(CommitmentsTable[[#This Row],[Date record entered]]&lt;&gt;"",CommitmentsTable[[#This Row],[Date record entered]]+60,""))</f>
        <v/>
      </c>
      <c r="M909" s="214"/>
      <c r="N909" s="214"/>
      <c r="O909" s="236"/>
      <c r="P909" s="214"/>
      <c r="Q909" s="214"/>
      <c r="R909" s="214"/>
      <c r="S909" s="238" t="str">
        <f>IF(CommitmentsTable[[#This Row],[Commitment / deliverable]]="","",IF(CommitmentsTable[[#This Row],[Revised due]]&lt;&gt;"",CommitmentsTable[[#This Row],[Revised due]],CommitmentsTable[[#This Row],[Original due]]))</f>
        <v/>
      </c>
      <c r="T909" s="237" t="str">
        <f>IF(OR(CommitmentsTable[[#This Row],[Commitment / deliverable]]="",CommitmentsTable[[#This Row],[Owner]]=""),"",IF(CommitmentsTable[[#This Row],[Status2]]="","Open",CommitmentsTable[[#This Row],[Status2]]))</f>
        <v/>
      </c>
      <c r="U909" s="237" t="str">
        <f t="shared" ref="U909:U972" ca="1" si="14">IF(B909="","",IF(T909="Closed","",IF(OR(T909="Slipped",T909="At risk",AND(S909&lt;&gt;"",S909&lt;TODAY())),"Slipped / at risk",IF(G909=TODAY(),"New today",IF(S909=TODAY()+1,"Due tomorrow","")))))</f>
        <v/>
      </c>
      <c r="V909" s="233"/>
      <c r="W909" s="63" t="s">
        <v>1811</v>
      </c>
    </row>
    <row r="910" spans="1:23" ht="26">
      <c r="A910" s="213" t="str">
        <f>IF(OR(CommitmentsTable[[#This Row],[Commitment / deliverable]]="",CommitmentsTable[[#This Row],[Immutable Key]]=""),"",SUBSTITUTE(CommitmentsTable[[#This Row],[Immutable Key]],"-K-","-"))</f>
        <v/>
      </c>
      <c r="B910" s="233"/>
      <c r="C910" s="233"/>
      <c r="D910" s="213"/>
      <c r="E910" s="230"/>
      <c r="F910" s="213"/>
      <c r="G910" s="245" t="str">
        <f ca="1">IF(CommitmentsTable[[#This Row],[Commitment / deliverable]]="","",IF(CommitmentsTable[[#This Row],[Date record entered]]="",TODAY(),CommitmentsTable[[#This Row],[Date record entered]]))</f>
        <v/>
      </c>
      <c r="H910" s="245"/>
      <c r="I910" s="245" t="str">
        <f ca="1">IF(CommitmentsTable[[#This Row],[Date Assigned if different from entry date]]&lt;&gt;"",CommitmentsTable[[#This Row],[Date Assigned if different from entry date]]+90,IF(CommitmentsTable[[#This Row],[Date record entered]]&lt;&gt;"",CommitmentsTable[[#This Row],[Date record entered]]+90,""))</f>
        <v/>
      </c>
      <c r="J910" s="245" t="str">
        <f ca="1">IF(CommitmentsTable[[#This Row],[Date Assigned if different from entry date]]&lt;&gt;"",CommitmentsTable[[#This Row],[Date Assigned if different from entry date]]+30,IF(CommitmentsTable[[#This Row],[Date record entered]]&lt;&gt;"",CommitmentsTable[[#This Row],[Date record entered]]+30,""))</f>
        <v/>
      </c>
      <c r="K910" s="245"/>
      <c r="L910" s="245" t="str">
        <f ca="1">IF(CommitmentsTable[[#This Row],[Date Assigned if different from entry date]]&lt;&gt;"",CommitmentsTable[[#This Row],[Date Assigned if different from entry date]]+60,IF(CommitmentsTable[[#This Row],[Date record entered]]&lt;&gt;"",CommitmentsTable[[#This Row],[Date record entered]]+60,""))</f>
        <v/>
      </c>
      <c r="M910" s="214"/>
      <c r="N910" s="214"/>
      <c r="O910" s="236"/>
      <c r="P910" s="214"/>
      <c r="Q910" s="214"/>
      <c r="R910" s="214"/>
      <c r="S910" s="238" t="str">
        <f>IF(CommitmentsTable[[#This Row],[Commitment / deliverable]]="","",IF(CommitmentsTable[[#This Row],[Revised due]]&lt;&gt;"",CommitmentsTable[[#This Row],[Revised due]],CommitmentsTable[[#This Row],[Original due]]))</f>
        <v/>
      </c>
      <c r="T910" s="237" t="str">
        <f>IF(OR(CommitmentsTable[[#This Row],[Commitment / deliverable]]="",CommitmentsTable[[#This Row],[Owner]]=""),"",IF(CommitmentsTable[[#This Row],[Status2]]="","Open",CommitmentsTable[[#This Row],[Status2]]))</f>
        <v/>
      </c>
      <c r="U910" s="237" t="str">
        <f t="shared" ca="1" si="14"/>
        <v/>
      </c>
      <c r="V910" s="233"/>
      <c r="W910" s="63" t="s">
        <v>1812</v>
      </c>
    </row>
    <row r="911" spans="1:23" ht="26">
      <c r="A911" s="213" t="str">
        <f>IF(OR(CommitmentsTable[[#This Row],[Commitment / deliverable]]="",CommitmentsTable[[#This Row],[Immutable Key]]=""),"",SUBSTITUTE(CommitmentsTable[[#This Row],[Immutable Key]],"-K-","-"))</f>
        <v/>
      </c>
      <c r="B911" s="233"/>
      <c r="C911" s="233"/>
      <c r="D911" s="213"/>
      <c r="E911" s="230"/>
      <c r="F911" s="213"/>
      <c r="G911" s="245" t="str">
        <f ca="1">IF(CommitmentsTable[[#This Row],[Commitment / deliverable]]="","",IF(CommitmentsTable[[#This Row],[Date record entered]]="",TODAY(),CommitmentsTable[[#This Row],[Date record entered]]))</f>
        <v/>
      </c>
      <c r="H911" s="245"/>
      <c r="I911" s="245" t="str">
        <f ca="1">IF(CommitmentsTable[[#This Row],[Date Assigned if different from entry date]]&lt;&gt;"",CommitmentsTable[[#This Row],[Date Assigned if different from entry date]]+90,IF(CommitmentsTable[[#This Row],[Date record entered]]&lt;&gt;"",CommitmentsTable[[#This Row],[Date record entered]]+90,""))</f>
        <v/>
      </c>
      <c r="J911" s="245" t="str">
        <f ca="1">IF(CommitmentsTable[[#This Row],[Date Assigned if different from entry date]]&lt;&gt;"",CommitmentsTable[[#This Row],[Date Assigned if different from entry date]]+30,IF(CommitmentsTable[[#This Row],[Date record entered]]&lt;&gt;"",CommitmentsTable[[#This Row],[Date record entered]]+30,""))</f>
        <v/>
      </c>
      <c r="K911" s="245"/>
      <c r="L911" s="245" t="str">
        <f ca="1">IF(CommitmentsTable[[#This Row],[Date Assigned if different from entry date]]&lt;&gt;"",CommitmentsTable[[#This Row],[Date Assigned if different from entry date]]+60,IF(CommitmentsTable[[#This Row],[Date record entered]]&lt;&gt;"",CommitmentsTable[[#This Row],[Date record entered]]+60,""))</f>
        <v/>
      </c>
      <c r="M911" s="214"/>
      <c r="N911" s="214"/>
      <c r="O911" s="236"/>
      <c r="P911" s="214"/>
      <c r="Q911" s="214"/>
      <c r="R911" s="214"/>
      <c r="S911" s="238" t="str">
        <f>IF(CommitmentsTable[[#This Row],[Commitment / deliverable]]="","",IF(CommitmentsTable[[#This Row],[Revised due]]&lt;&gt;"",CommitmentsTable[[#This Row],[Revised due]],CommitmentsTable[[#This Row],[Original due]]))</f>
        <v/>
      </c>
      <c r="T911" s="237" t="str">
        <f>IF(OR(CommitmentsTable[[#This Row],[Commitment / deliverable]]="",CommitmentsTable[[#This Row],[Owner]]=""),"",IF(CommitmentsTable[[#This Row],[Status2]]="","Open",CommitmentsTable[[#This Row],[Status2]]))</f>
        <v/>
      </c>
      <c r="U911" s="237" t="str">
        <f t="shared" ca="1" si="14"/>
        <v/>
      </c>
      <c r="V911" s="233"/>
      <c r="W911" s="63" t="s">
        <v>1813</v>
      </c>
    </row>
    <row r="912" spans="1:23" ht="26">
      <c r="A912" s="213" t="str">
        <f>IF(OR(CommitmentsTable[[#This Row],[Commitment / deliverable]]="",CommitmentsTable[[#This Row],[Immutable Key]]=""),"",SUBSTITUTE(CommitmentsTable[[#This Row],[Immutable Key]],"-K-","-"))</f>
        <v/>
      </c>
      <c r="B912" s="233"/>
      <c r="C912" s="233"/>
      <c r="D912" s="213"/>
      <c r="E912" s="230"/>
      <c r="F912" s="213"/>
      <c r="G912" s="245" t="str">
        <f ca="1">IF(CommitmentsTable[[#This Row],[Commitment / deliverable]]="","",IF(CommitmentsTable[[#This Row],[Date record entered]]="",TODAY(),CommitmentsTable[[#This Row],[Date record entered]]))</f>
        <v/>
      </c>
      <c r="H912" s="245"/>
      <c r="I912" s="245" t="str">
        <f ca="1">IF(CommitmentsTable[[#This Row],[Date Assigned if different from entry date]]&lt;&gt;"",CommitmentsTable[[#This Row],[Date Assigned if different from entry date]]+90,IF(CommitmentsTable[[#This Row],[Date record entered]]&lt;&gt;"",CommitmentsTable[[#This Row],[Date record entered]]+90,""))</f>
        <v/>
      </c>
      <c r="J912" s="245" t="str">
        <f ca="1">IF(CommitmentsTable[[#This Row],[Date Assigned if different from entry date]]&lt;&gt;"",CommitmentsTable[[#This Row],[Date Assigned if different from entry date]]+30,IF(CommitmentsTable[[#This Row],[Date record entered]]&lt;&gt;"",CommitmentsTable[[#This Row],[Date record entered]]+30,""))</f>
        <v/>
      </c>
      <c r="K912" s="245"/>
      <c r="L912" s="245" t="str">
        <f ca="1">IF(CommitmentsTable[[#This Row],[Date Assigned if different from entry date]]&lt;&gt;"",CommitmentsTable[[#This Row],[Date Assigned if different from entry date]]+60,IF(CommitmentsTable[[#This Row],[Date record entered]]&lt;&gt;"",CommitmentsTable[[#This Row],[Date record entered]]+60,""))</f>
        <v/>
      </c>
      <c r="M912" s="214"/>
      <c r="N912" s="214"/>
      <c r="O912" s="236"/>
      <c r="P912" s="214"/>
      <c r="Q912" s="214"/>
      <c r="R912" s="214"/>
      <c r="S912" s="238" t="str">
        <f>IF(CommitmentsTable[[#This Row],[Commitment / deliverable]]="","",IF(CommitmentsTable[[#This Row],[Revised due]]&lt;&gt;"",CommitmentsTable[[#This Row],[Revised due]],CommitmentsTable[[#This Row],[Original due]]))</f>
        <v/>
      </c>
      <c r="T912" s="237" t="str">
        <f>IF(OR(CommitmentsTable[[#This Row],[Commitment / deliverable]]="",CommitmentsTable[[#This Row],[Owner]]=""),"",IF(CommitmentsTable[[#This Row],[Status2]]="","Open",CommitmentsTable[[#This Row],[Status2]]))</f>
        <v/>
      </c>
      <c r="U912" s="237" t="str">
        <f t="shared" ca="1" si="14"/>
        <v/>
      </c>
      <c r="V912" s="233"/>
      <c r="W912" s="63" t="s">
        <v>1814</v>
      </c>
    </row>
    <row r="913" spans="1:23" ht="26">
      <c r="A913" s="213" t="str">
        <f>IF(OR(CommitmentsTable[[#This Row],[Commitment / deliverable]]="",CommitmentsTable[[#This Row],[Immutable Key]]=""),"",SUBSTITUTE(CommitmentsTable[[#This Row],[Immutable Key]],"-K-","-"))</f>
        <v/>
      </c>
      <c r="B913" s="233"/>
      <c r="C913" s="233"/>
      <c r="D913" s="213"/>
      <c r="E913" s="230"/>
      <c r="F913" s="213"/>
      <c r="G913" s="245" t="str">
        <f ca="1">IF(CommitmentsTable[[#This Row],[Commitment / deliverable]]="","",IF(CommitmentsTable[[#This Row],[Date record entered]]="",TODAY(),CommitmentsTable[[#This Row],[Date record entered]]))</f>
        <v/>
      </c>
      <c r="H913" s="245"/>
      <c r="I913" s="245" t="str">
        <f ca="1">IF(CommitmentsTable[[#This Row],[Date Assigned if different from entry date]]&lt;&gt;"",CommitmentsTable[[#This Row],[Date Assigned if different from entry date]]+90,IF(CommitmentsTable[[#This Row],[Date record entered]]&lt;&gt;"",CommitmentsTable[[#This Row],[Date record entered]]+90,""))</f>
        <v/>
      </c>
      <c r="J913" s="245" t="str">
        <f ca="1">IF(CommitmentsTable[[#This Row],[Date Assigned if different from entry date]]&lt;&gt;"",CommitmentsTable[[#This Row],[Date Assigned if different from entry date]]+30,IF(CommitmentsTable[[#This Row],[Date record entered]]&lt;&gt;"",CommitmentsTable[[#This Row],[Date record entered]]+30,""))</f>
        <v/>
      </c>
      <c r="K913" s="245"/>
      <c r="L913" s="245" t="str">
        <f ca="1">IF(CommitmentsTable[[#This Row],[Date Assigned if different from entry date]]&lt;&gt;"",CommitmentsTable[[#This Row],[Date Assigned if different from entry date]]+60,IF(CommitmentsTable[[#This Row],[Date record entered]]&lt;&gt;"",CommitmentsTable[[#This Row],[Date record entered]]+60,""))</f>
        <v/>
      </c>
      <c r="M913" s="214"/>
      <c r="N913" s="214"/>
      <c r="O913" s="236"/>
      <c r="P913" s="214"/>
      <c r="Q913" s="214"/>
      <c r="R913" s="214"/>
      <c r="S913" s="238" t="str">
        <f>IF(CommitmentsTable[[#This Row],[Commitment / deliverable]]="","",IF(CommitmentsTable[[#This Row],[Revised due]]&lt;&gt;"",CommitmentsTable[[#This Row],[Revised due]],CommitmentsTable[[#This Row],[Original due]]))</f>
        <v/>
      </c>
      <c r="T913" s="237" t="str">
        <f>IF(OR(CommitmentsTable[[#This Row],[Commitment / deliverable]]="",CommitmentsTable[[#This Row],[Owner]]=""),"",IF(CommitmentsTable[[#This Row],[Status2]]="","Open",CommitmentsTable[[#This Row],[Status2]]))</f>
        <v/>
      </c>
      <c r="U913" s="237" t="str">
        <f t="shared" ca="1" si="14"/>
        <v/>
      </c>
      <c r="V913" s="233"/>
      <c r="W913" s="63" t="s">
        <v>1815</v>
      </c>
    </row>
    <row r="914" spans="1:23" ht="26">
      <c r="A914" s="213" t="str">
        <f>IF(OR(CommitmentsTable[[#This Row],[Commitment / deliverable]]="",CommitmentsTable[[#This Row],[Immutable Key]]=""),"",SUBSTITUTE(CommitmentsTable[[#This Row],[Immutable Key]],"-K-","-"))</f>
        <v/>
      </c>
      <c r="B914" s="233"/>
      <c r="C914" s="233"/>
      <c r="D914" s="213"/>
      <c r="E914" s="230"/>
      <c r="F914" s="213"/>
      <c r="G914" s="245" t="str">
        <f ca="1">IF(CommitmentsTable[[#This Row],[Commitment / deliverable]]="","",IF(CommitmentsTable[[#This Row],[Date record entered]]="",TODAY(),CommitmentsTable[[#This Row],[Date record entered]]))</f>
        <v/>
      </c>
      <c r="H914" s="245"/>
      <c r="I914" s="245" t="str">
        <f ca="1">IF(CommitmentsTable[[#This Row],[Date Assigned if different from entry date]]&lt;&gt;"",CommitmentsTable[[#This Row],[Date Assigned if different from entry date]]+90,IF(CommitmentsTable[[#This Row],[Date record entered]]&lt;&gt;"",CommitmentsTable[[#This Row],[Date record entered]]+90,""))</f>
        <v/>
      </c>
      <c r="J914" s="245" t="str">
        <f ca="1">IF(CommitmentsTable[[#This Row],[Date Assigned if different from entry date]]&lt;&gt;"",CommitmentsTable[[#This Row],[Date Assigned if different from entry date]]+30,IF(CommitmentsTable[[#This Row],[Date record entered]]&lt;&gt;"",CommitmentsTable[[#This Row],[Date record entered]]+30,""))</f>
        <v/>
      </c>
      <c r="K914" s="245"/>
      <c r="L914" s="245" t="str">
        <f ca="1">IF(CommitmentsTable[[#This Row],[Date Assigned if different from entry date]]&lt;&gt;"",CommitmentsTable[[#This Row],[Date Assigned if different from entry date]]+60,IF(CommitmentsTable[[#This Row],[Date record entered]]&lt;&gt;"",CommitmentsTable[[#This Row],[Date record entered]]+60,""))</f>
        <v/>
      </c>
      <c r="M914" s="214"/>
      <c r="N914" s="214"/>
      <c r="O914" s="236"/>
      <c r="P914" s="214"/>
      <c r="Q914" s="214"/>
      <c r="R914" s="214"/>
      <c r="S914" s="238" t="str">
        <f>IF(CommitmentsTable[[#This Row],[Commitment / deliverable]]="","",IF(CommitmentsTable[[#This Row],[Revised due]]&lt;&gt;"",CommitmentsTable[[#This Row],[Revised due]],CommitmentsTable[[#This Row],[Original due]]))</f>
        <v/>
      </c>
      <c r="T914" s="237" t="str">
        <f>IF(OR(CommitmentsTable[[#This Row],[Commitment / deliverable]]="",CommitmentsTable[[#This Row],[Owner]]=""),"",IF(CommitmentsTable[[#This Row],[Status2]]="","Open",CommitmentsTable[[#This Row],[Status2]]))</f>
        <v/>
      </c>
      <c r="U914" s="237" t="str">
        <f t="shared" ca="1" si="14"/>
        <v/>
      </c>
      <c r="V914" s="233"/>
      <c r="W914" s="63" t="s">
        <v>1816</v>
      </c>
    </row>
    <row r="915" spans="1:23" ht="26">
      <c r="A915" s="213" t="str">
        <f>IF(OR(CommitmentsTable[[#This Row],[Commitment / deliverable]]="",CommitmentsTable[[#This Row],[Immutable Key]]=""),"",SUBSTITUTE(CommitmentsTable[[#This Row],[Immutable Key]],"-K-","-"))</f>
        <v/>
      </c>
      <c r="B915" s="233"/>
      <c r="C915" s="233"/>
      <c r="D915" s="213"/>
      <c r="E915" s="230"/>
      <c r="F915" s="213"/>
      <c r="G915" s="245" t="str">
        <f ca="1">IF(CommitmentsTable[[#This Row],[Commitment / deliverable]]="","",IF(CommitmentsTable[[#This Row],[Date record entered]]="",TODAY(),CommitmentsTable[[#This Row],[Date record entered]]))</f>
        <v/>
      </c>
      <c r="H915" s="245"/>
      <c r="I915" s="245" t="str">
        <f ca="1">IF(CommitmentsTable[[#This Row],[Date Assigned if different from entry date]]&lt;&gt;"",CommitmentsTable[[#This Row],[Date Assigned if different from entry date]]+90,IF(CommitmentsTable[[#This Row],[Date record entered]]&lt;&gt;"",CommitmentsTable[[#This Row],[Date record entered]]+90,""))</f>
        <v/>
      </c>
      <c r="J915" s="245" t="str">
        <f ca="1">IF(CommitmentsTable[[#This Row],[Date Assigned if different from entry date]]&lt;&gt;"",CommitmentsTable[[#This Row],[Date Assigned if different from entry date]]+30,IF(CommitmentsTable[[#This Row],[Date record entered]]&lt;&gt;"",CommitmentsTable[[#This Row],[Date record entered]]+30,""))</f>
        <v/>
      </c>
      <c r="K915" s="245"/>
      <c r="L915" s="245" t="str">
        <f ca="1">IF(CommitmentsTable[[#This Row],[Date Assigned if different from entry date]]&lt;&gt;"",CommitmentsTable[[#This Row],[Date Assigned if different from entry date]]+60,IF(CommitmentsTable[[#This Row],[Date record entered]]&lt;&gt;"",CommitmentsTable[[#This Row],[Date record entered]]+60,""))</f>
        <v/>
      </c>
      <c r="M915" s="214"/>
      <c r="N915" s="214"/>
      <c r="O915" s="236"/>
      <c r="P915" s="214"/>
      <c r="Q915" s="214"/>
      <c r="R915" s="214"/>
      <c r="S915" s="238" t="str">
        <f>IF(CommitmentsTable[[#This Row],[Commitment / deliverable]]="","",IF(CommitmentsTable[[#This Row],[Revised due]]&lt;&gt;"",CommitmentsTable[[#This Row],[Revised due]],CommitmentsTable[[#This Row],[Original due]]))</f>
        <v/>
      </c>
      <c r="T915" s="237" t="str">
        <f>IF(OR(CommitmentsTable[[#This Row],[Commitment / deliverable]]="",CommitmentsTable[[#This Row],[Owner]]=""),"",IF(CommitmentsTable[[#This Row],[Status2]]="","Open",CommitmentsTable[[#This Row],[Status2]]))</f>
        <v/>
      </c>
      <c r="U915" s="237" t="str">
        <f t="shared" ca="1" si="14"/>
        <v/>
      </c>
      <c r="V915" s="233"/>
      <c r="W915" s="63" t="s">
        <v>1817</v>
      </c>
    </row>
    <row r="916" spans="1:23" ht="26">
      <c r="A916" s="213" t="str">
        <f>IF(OR(CommitmentsTable[[#This Row],[Commitment / deliverable]]="",CommitmentsTable[[#This Row],[Immutable Key]]=""),"",SUBSTITUTE(CommitmentsTable[[#This Row],[Immutable Key]],"-K-","-"))</f>
        <v/>
      </c>
      <c r="B916" s="233"/>
      <c r="C916" s="233"/>
      <c r="D916" s="213"/>
      <c r="E916" s="230"/>
      <c r="F916" s="213"/>
      <c r="G916" s="245" t="str">
        <f ca="1">IF(CommitmentsTable[[#This Row],[Commitment / deliverable]]="","",IF(CommitmentsTable[[#This Row],[Date record entered]]="",TODAY(),CommitmentsTable[[#This Row],[Date record entered]]))</f>
        <v/>
      </c>
      <c r="H916" s="245"/>
      <c r="I916" s="245" t="str">
        <f ca="1">IF(CommitmentsTable[[#This Row],[Date Assigned if different from entry date]]&lt;&gt;"",CommitmentsTable[[#This Row],[Date Assigned if different from entry date]]+90,IF(CommitmentsTable[[#This Row],[Date record entered]]&lt;&gt;"",CommitmentsTable[[#This Row],[Date record entered]]+90,""))</f>
        <v/>
      </c>
      <c r="J916" s="245" t="str">
        <f ca="1">IF(CommitmentsTable[[#This Row],[Date Assigned if different from entry date]]&lt;&gt;"",CommitmentsTable[[#This Row],[Date Assigned if different from entry date]]+30,IF(CommitmentsTable[[#This Row],[Date record entered]]&lt;&gt;"",CommitmentsTable[[#This Row],[Date record entered]]+30,""))</f>
        <v/>
      </c>
      <c r="K916" s="245"/>
      <c r="L916" s="245" t="str">
        <f ca="1">IF(CommitmentsTable[[#This Row],[Date Assigned if different from entry date]]&lt;&gt;"",CommitmentsTable[[#This Row],[Date Assigned if different from entry date]]+60,IF(CommitmentsTable[[#This Row],[Date record entered]]&lt;&gt;"",CommitmentsTable[[#This Row],[Date record entered]]+60,""))</f>
        <v/>
      </c>
      <c r="M916" s="214"/>
      <c r="N916" s="214"/>
      <c r="O916" s="236"/>
      <c r="P916" s="214"/>
      <c r="Q916" s="214"/>
      <c r="R916" s="214"/>
      <c r="S916" s="238" t="str">
        <f>IF(CommitmentsTable[[#This Row],[Commitment / deliverable]]="","",IF(CommitmentsTable[[#This Row],[Revised due]]&lt;&gt;"",CommitmentsTable[[#This Row],[Revised due]],CommitmentsTable[[#This Row],[Original due]]))</f>
        <v/>
      </c>
      <c r="T916" s="237" t="str">
        <f>IF(OR(CommitmentsTable[[#This Row],[Commitment / deliverable]]="",CommitmentsTable[[#This Row],[Owner]]=""),"",IF(CommitmentsTable[[#This Row],[Status2]]="","Open",CommitmentsTable[[#This Row],[Status2]]))</f>
        <v/>
      </c>
      <c r="U916" s="237" t="str">
        <f t="shared" ca="1" si="14"/>
        <v/>
      </c>
      <c r="V916" s="233"/>
      <c r="W916" s="63" t="s">
        <v>1818</v>
      </c>
    </row>
    <row r="917" spans="1:23" ht="26">
      <c r="A917" s="213" t="str">
        <f>IF(OR(CommitmentsTable[[#This Row],[Commitment / deliverable]]="",CommitmentsTable[[#This Row],[Immutable Key]]=""),"",SUBSTITUTE(CommitmentsTable[[#This Row],[Immutable Key]],"-K-","-"))</f>
        <v/>
      </c>
      <c r="B917" s="233"/>
      <c r="C917" s="233"/>
      <c r="D917" s="213"/>
      <c r="E917" s="230"/>
      <c r="F917" s="213"/>
      <c r="G917" s="245" t="str">
        <f ca="1">IF(CommitmentsTable[[#This Row],[Commitment / deliverable]]="","",IF(CommitmentsTable[[#This Row],[Date record entered]]="",TODAY(),CommitmentsTable[[#This Row],[Date record entered]]))</f>
        <v/>
      </c>
      <c r="H917" s="245"/>
      <c r="I917" s="245" t="str">
        <f ca="1">IF(CommitmentsTable[[#This Row],[Date Assigned if different from entry date]]&lt;&gt;"",CommitmentsTable[[#This Row],[Date Assigned if different from entry date]]+90,IF(CommitmentsTable[[#This Row],[Date record entered]]&lt;&gt;"",CommitmentsTable[[#This Row],[Date record entered]]+90,""))</f>
        <v/>
      </c>
      <c r="J917" s="245" t="str">
        <f ca="1">IF(CommitmentsTable[[#This Row],[Date Assigned if different from entry date]]&lt;&gt;"",CommitmentsTable[[#This Row],[Date Assigned if different from entry date]]+30,IF(CommitmentsTable[[#This Row],[Date record entered]]&lt;&gt;"",CommitmentsTable[[#This Row],[Date record entered]]+30,""))</f>
        <v/>
      </c>
      <c r="K917" s="245"/>
      <c r="L917" s="245" t="str">
        <f ca="1">IF(CommitmentsTable[[#This Row],[Date Assigned if different from entry date]]&lt;&gt;"",CommitmentsTable[[#This Row],[Date Assigned if different from entry date]]+60,IF(CommitmentsTable[[#This Row],[Date record entered]]&lt;&gt;"",CommitmentsTable[[#This Row],[Date record entered]]+60,""))</f>
        <v/>
      </c>
      <c r="M917" s="214"/>
      <c r="N917" s="214"/>
      <c r="O917" s="236"/>
      <c r="P917" s="214"/>
      <c r="Q917" s="214"/>
      <c r="R917" s="214"/>
      <c r="S917" s="238" t="str">
        <f>IF(CommitmentsTable[[#This Row],[Commitment / deliverable]]="","",IF(CommitmentsTable[[#This Row],[Revised due]]&lt;&gt;"",CommitmentsTable[[#This Row],[Revised due]],CommitmentsTable[[#This Row],[Original due]]))</f>
        <v/>
      </c>
      <c r="T917" s="237" t="str">
        <f>IF(OR(CommitmentsTable[[#This Row],[Commitment / deliverable]]="",CommitmentsTable[[#This Row],[Owner]]=""),"",IF(CommitmentsTable[[#This Row],[Status2]]="","Open",CommitmentsTable[[#This Row],[Status2]]))</f>
        <v/>
      </c>
      <c r="U917" s="237" t="str">
        <f t="shared" ca="1" si="14"/>
        <v/>
      </c>
      <c r="V917" s="233"/>
      <c r="W917" s="63" t="s">
        <v>1819</v>
      </c>
    </row>
    <row r="918" spans="1:23" ht="26">
      <c r="A918" s="213" t="str">
        <f>IF(OR(CommitmentsTable[[#This Row],[Commitment / deliverable]]="",CommitmentsTable[[#This Row],[Immutable Key]]=""),"",SUBSTITUTE(CommitmentsTable[[#This Row],[Immutable Key]],"-K-","-"))</f>
        <v/>
      </c>
      <c r="B918" s="233"/>
      <c r="C918" s="233"/>
      <c r="D918" s="213"/>
      <c r="E918" s="230"/>
      <c r="F918" s="213"/>
      <c r="G918" s="245" t="str">
        <f ca="1">IF(CommitmentsTable[[#This Row],[Commitment / deliverable]]="","",IF(CommitmentsTable[[#This Row],[Date record entered]]="",TODAY(),CommitmentsTable[[#This Row],[Date record entered]]))</f>
        <v/>
      </c>
      <c r="H918" s="245"/>
      <c r="I918" s="245" t="str">
        <f ca="1">IF(CommitmentsTable[[#This Row],[Date Assigned if different from entry date]]&lt;&gt;"",CommitmentsTable[[#This Row],[Date Assigned if different from entry date]]+90,IF(CommitmentsTable[[#This Row],[Date record entered]]&lt;&gt;"",CommitmentsTable[[#This Row],[Date record entered]]+90,""))</f>
        <v/>
      </c>
      <c r="J918" s="245" t="str">
        <f ca="1">IF(CommitmentsTable[[#This Row],[Date Assigned if different from entry date]]&lt;&gt;"",CommitmentsTable[[#This Row],[Date Assigned if different from entry date]]+30,IF(CommitmentsTable[[#This Row],[Date record entered]]&lt;&gt;"",CommitmentsTable[[#This Row],[Date record entered]]+30,""))</f>
        <v/>
      </c>
      <c r="K918" s="245"/>
      <c r="L918" s="245" t="str">
        <f ca="1">IF(CommitmentsTable[[#This Row],[Date Assigned if different from entry date]]&lt;&gt;"",CommitmentsTable[[#This Row],[Date Assigned if different from entry date]]+60,IF(CommitmentsTable[[#This Row],[Date record entered]]&lt;&gt;"",CommitmentsTable[[#This Row],[Date record entered]]+60,""))</f>
        <v/>
      </c>
      <c r="M918" s="214"/>
      <c r="N918" s="214"/>
      <c r="O918" s="236"/>
      <c r="P918" s="214"/>
      <c r="Q918" s="214"/>
      <c r="R918" s="214"/>
      <c r="S918" s="238" t="str">
        <f>IF(CommitmentsTable[[#This Row],[Commitment / deliverable]]="","",IF(CommitmentsTable[[#This Row],[Revised due]]&lt;&gt;"",CommitmentsTable[[#This Row],[Revised due]],CommitmentsTable[[#This Row],[Original due]]))</f>
        <v/>
      </c>
      <c r="T918" s="237" t="str">
        <f>IF(OR(CommitmentsTable[[#This Row],[Commitment / deliverable]]="",CommitmentsTable[[#This Row],[Owner]]=""),"",IF(CommitmentsTable[[#This Row],[Status2]]="","Open",CommitmentsTable[[#This Row],[Status2]]))</f>
        <v/>
      </c>
      <c r="U918" s="237" t="str">
        <f t="shared" ca="1" si="14"/>
        <v/>
      </c>
      <c r="V918" s="233"/>
      <c r="W918" s="63" t="s">
        <v>1820</v>
      </c>
    </row>
    <row r="919" spans="1:23" ht="26">
      <c r="A919" s="213" t="str">
        <f>IF(OR(CommitmentsTable[[#This Row],[Commitment / deliverable]]="",CommitmentsTable[[#This Row],[Immutable Key]]=""),"",SUBSTITUTE(CommitmentsTable[[#This Row],[Immutable Key]],"-K-","-"))</f>
        <v/>
      </c>
      <c r="B919" s="233"/>
      <c r="C919" s="233"/>
      <c r="D919" s="213"/>
      <c r="E919" s="230"/>
      <c r="F919" s="213"/>
      <c r="G919" s="245" t="str">
        <f ca="1">IF(CommitmentsTable[[#This Row],[Commitment / deliverable]]="","",IF(CommitmentsTable[[#This Row],[Date record entered]]="",TODAY(),CommitmentsTable[[#This Row],[Date record entered]]))</f>
        <v/>
      </c>
      <c r="H919" s="245"/>
      <c r="I919" s="245" t="str">
        <f ca="1">IF(CommitmentsTable[[#This Row],[Date Assigned if different from entry date]]&lt;&gt;"",CommitmentsTable[[#This Row],[Date Assigned if different from entry date]]+90,IF(CommitmentsTable[[#This Row],[Date record entered]]&lt;&gt;"",CommitmentsTable[[#This Row],[Date record entered]]+90,""))</f>
        <v/>
      </c>
      <c r="J919" s="245" t="str">
        <f ca="1">IF(CommitmentsTable[[#This Row],[Date Assigned if different from entry date]]&lt;&gt;"",CommitmentsTable[[#This Row],[Date Assigned if different from entry date]]+30,IF(CommitmentsTable[[#This Row],[Date record entered]]&lt;&gt;"",CommitmentsTable[[#This Row],[Date record entered]]+30,""))</f>
        <v/>
      </c>
      <c r="K919" s="245"/>
      <c r="L919" s="245" t="str">
        <f ca="1">IF(CommitmentsTable[[#This Row],[Date Assigned if different from entry date]]&lt;&gt;"",CommitmentsTable[[#This Row],[Date Assigned if different from entry date]]+60,IF(CommitmentsTable[[#This Row],[Date record entered]]&lt;&gt;"",CommitmentsTable[[#This Row],[Date record entered]]+60,""))</f>
        <v/>
      </c>
      <c r="M919" s="214"/>
      <c r="N919" s="214"/>
      <c r="O919" s="236"/>
      <c r="P919" s="214"/>
      <c r="Q919" s="214"/>
      <c r="R919" s="214"/>
      <c r="S919" s="238" t="str">
        <f>IF(CommitmentsTable[[#This Row],[Commitment / deliverable]]="","",IF(CommitmentsTable[[#This Row],[Revised due]]&lt;&gt;"",CommitmentsTable[[#This Row],[Revised due]],CommitmentsTable[[#This Row],[Original due]]))</f>
        <v/>
      </c>
      <c r="T919" s="237" t="str">
        <f>IF(OR(CommitmentsTable[[#This Row],[Commitment / deliverable]]="",CommitmentsTable[[#This Row],[Owner]]=""),"",IF(CommitmentsTable[[#This Row],[Status2]]="","Open",CommitmentsTable[[#This Row],[Status2]]))</f>
        <v/>
      </c>
      <c r="U919" s="237" t="str">
        <f t="shared" ca="1" si="14"/>
        <v/>
      </c>
      <c r="V919" s="233"/>
      <c r="W919" s="63" t="s">
        <v>1821</v>
      </c>
    </row>
    <row r="920" spans="1:23" ht="26">
      <c r="A920" s="213" t="str">
        <f>IF(OR(CommitmentsTable[[#This Row],[Commitment / deliverable]]="",CommitmentsTable[[#This Row],[Immutable Key]]=""),"",SUBSTITUTE(CommitmentsTable[[#This Row],[Immutable Key]],"-K-","-"))</f>
        <v/>
      </c>
      <c r="B920" s="233"/>
      <c r="C920" s="233"/>
      <c r="D920" s="213"/>
      <c r="E920" s="230"/>
      <c r="F920" s="213"/>
      <c r="G920" s="245" t="str">
        <f ca="1">IF(CommitmentsTable[[#This Row],[Commitment / deliverable]]="","",IF(CommitmentsTable[[#This Row],[Date record entered]]="",TODAY(),CommitmentsTable[[#This Row],[Date record entered]]))</f>
        <v/>
      </c>
      <c r="H920" s="245"/>
      <c r="I920" s="245" t="str">
        <f ca="1">IF(CommitmentsTable[[#This Row],[Date Assigned if different from entry date]]&lt;&gt;"",CommitmentsTable[[#This Row],[Date Assigned if different from entry date]]+90,IF(CommitmentsTable[[#This Row],[Date record entered]]&lt;&gt;"",CommitmentsTable[[#This Row],[Date record entered]]+90,""))</f>
        <v/>
      </c>
      <c r="J920" s="245" t="str">
        <f ca="1">IF(CommitmentsTable[[#This Row],[Date Assigned if different from entry date]]&lt;&gt;"",CommitmentsTable[[#This Row],[Date Assigned if different from entry date]]+30,IF(CommitmentsTable[[#This Row],[Date record entered]]&lt;&gt;"",CommitmentsTable[[#This Row],[Date record entered]]+30,""))</f>
        <v/>
      </c>
      <c r="K920" s="245"/>
      <c r="L920" s="245" t="str">
        <f ca="1">IF(CommitmentsTable[[#This Row],[Date Assigned if different from entry date]]&lt;&gt;"",CommitmentsTable[[#This Row],[Date Assigned if different from entry date]]+60,IF(CommitmentsTable[[#This Row],[Date record entered]]&lt;&gt;"",CommitmentsTable[[#This Row],[Date record entered]]+60,""))</f>
        <v/>
      </c>
      <c r="M920" s="214"/>
      <c r="N920" s="214"/>
      <c r="O920" s="236"/>
      <c r="P920" s="214"/>
      <c r="Q920" s="214"/>
      <c r="R920" s="214"/>
      <c r="S920" s="238" t="str">
        <f>IF(CommitmentsTable[[#This Row],[Commitment / deliverable]]="","",IF(CommitmentsTable[[#This Row],[Revised due]]&lt;&gt;"",CommitmentsTable[[#This Row],[Revised due]],CommitmentsTable[[#This Row],[Original due]]))</f>
        <v/>
      </c>
      <c r="T920" s="237" t="str">
        <f>IF(OR(CommitmentsTable[[#This Row],[Commitment / deliverable]]="",CommitmentsTable[[#This Row],[Owner]]=""),"",IF(CommitmentsTable[[#This Row],[Status2]]="","Open",CommitmentsTable[[#This Row],[Status2]]))</f>
        <v/>
      </c>
      <c r="U920" s="237" t="str">
        <f t="shared" ca="1" si="14"/>
        <v/>
      </c>
      <c r="V920" s="233"/>
      <c r="W920" s="63" t="s">
        <v>1822</v>
      </c>
    </row>
    <row r="921" spans="1:23" ht="26">
      <c r="A921" s="213" t="str">
        <f>IF(OR(CommitmentsTable[[#This Row],[Commitment / deliverable]]="",CommitmentsTable[[#This Row],[Immutable Key]]=""),"",SUBSTITUTE(CommitmentsTable[[#This Row],[Immutable Key]],"-K-","-"))</f>
        <v/>
      </c>
      <c r="B921" s="233"/>
      <c r="C921" s="233"/>
      <c r="D921" s="213"/>
      <c r="E921" s="230"/>
      <c r="F921" s="213"/>
      <c r="G921" s="245" t="str">
        <f ca="1">IF(CommitmentsTable[[#This Row],[Commitment / deliverable]]="","",IF(CommitmentsTable[[#This Row],[Date record entered]]="",TODAY(),CommitmentsTable[[#This Row],[Date record entered]]))</f>
        <v/>
      </c>
      <c r="H921" s="245"/>
      <c r="I921" s="245" t="str">
        <f ca="1">IF(CommitmentsTable[[#This Row],[Date Assigned if different from entry date]]&lt;&gt;"",CommitmentsTable[[#This Row],[Date Assigned if different from entry date]]+90,IF(CommitmentsTable[[#This Row],[Date record entered]]&lt;&gt;"",CommitmentsTable[[#This Row],[Date record entered]]+90,""))</f>
        <v/>
      </c>
      <c r="J921" s="245" t="str">
        <f ca="1">IF(CommitmentsTable[[#This Row],[Date Assigned if different from entry date]]&lt;&gt;"",CommitmentsTable[[#This Row],[Date Assigned if different from entry date]]+30,IF(CommitmentsTable[[#This Row],[Date record entered]]&lt;&gt;"",CommitmentsTable[[#This Row],[Date record entered]]+30,""))</f>
        <v/>
      </c>
      <c r="K921" s="245"/>
      <c r="L921" s="245" t="str">
        <f ca="1">IF(CommitmentsTable[[#This Row],[Date Assigned if different from entry date]]&lt;&gt;"",CommitmentsTable[[#This Row],[Date Assigned if different from entry date]]+60,IF(CommitmentsTable[[#This Row],[Date record entered]]&lt;&gt;"",CommitmentsTable[[#This Row],[Date record entered]]+60,""))</f>
        <v/>
      </c>
      <c r="M921" s="214"/>
      <c r="N921" s="214"/>
      <c r="O921" s="236"/>
      <c r="P921" s="214"/>
      <c r="Q921" s="214"/>
      <c r="R921" s="214"/>
      <c r="S921" s="238" t="str">
        <f>IF(CommitmentsTable[[#This Row],[Commitment / deliverable]]="","",IF(CommitmentsTable[[#This Row],[Revised due]]&lt;&gt;"",CommitmentsTable[[#This Row],[Revised due]],CommitmentsTable[[#This Row],[Original due]]))</f>
        <v/>
      </c>
      <c r="T921" s="237" t="str">
        <f>IF(OR(CommitmentsTable[[#This Row],[Commitment / deliverable]]="",CommitmentsTable[[#This Row],[Owner]]=""),"",IF(CommitmentsTable[[#This Row],[Status2]]="","Open",CommitmentsTable[[#This Row],[Status2]]))</f>
        <v/>
      </c>
      <c r="U921" s="237" t="str">
        <f t="shared" ca="1" si="14"/>
        <v/>
      </c>
      <c r="V921" s="233"/>
      <c r="W921" s="63" t="s">
        <v>1823</v>
      </c>
    </row>
    <row r="922" spans="1:23" ht="26">
      <c r="A922" s="213" t="str">
        <f>IF(OR(CommitmentsTable[[#This Row],[Commitment / deliverable]]="",CommitmentsTable[[#This Row],[Immutable Key]]=""),"",SUBSTITUTE(CommitmentsTable[[#This Row],[Immutable Key]],"-K-","-"))</f>
        <v/>
      </c>
      <c r="B922" s="233"/>
      <c r="C922" s="233"/>
      <c r="D922" s="213"/>
      <c r="E922" s="230"/>
      <c r="F922" s="213"/>
      <c r="G922" s="245" t="str">
        <f ca="1">IF(CommitmentsTable[[#This Row],[Commitment / deliverable]]="","",IF(CommitmentsTable[[#This Row],[Date record entered]]="",TODAY(),CommitmentsTable[[#This Row],[Date record entered]]))</f>
        <v/>
      </c>
      <c r="H922" s="245"/>
      <c r="I922" s="245" t="str">
        <f ca="1">IF(CommitmentsTable[[#This Row],[Date Assigned if different from entry date]]&lt;&gt;"",CommitmentsTable[[#This Row],[Date Assigned if different from entry date]]+90,IF(CommitmentsTable[[#This Row],[Date record entered]]&lt;&gt;"",CommitmentsTable[[#This Row],[Date record entered]]+90,""))</f>
        <v/>
      </c>
      <c r="J922" s="245" t="str">
        <f ca="1">IF(CommitmentsTable[[#This Row],[Date Assigned if different from entry date]]&lt;&gt;"",CommitmentsTable[[#This Row],[Date Assigned if different from entry date]]+30,IF(CommitmentsTable[[#This Row],[Date record entered]]&lt;&gt;"",CommitmentsTable[[#This Row],[Date record entered]]+30,""))</f>
        <v/>
      </c>
      <c r="K922" s="245"/>
      <c r="L922" s="245" t="str">
        <f ca="1">IF(CommitmentsTable[[#This Row],[Date Assigned if different from entry date]]&lt;&gt;"",CommitmentsTable[[#This Row],[Date Assigned if different from entry date]]+60,IF(CommitmentsTable[[#This Row],[Date record entered]]&lt;&gt;"",CommitmentsTable[[#This Row],[Date record entered]]+60,""))</f>
        <v/>
      </c>
      <c r="M922" s="214"/>
      <c r="N922" s="214"/>
      <c r="O922" s="236"/>
      <c r="P922" s="214"/>
      <c r="Q922" s="214"/>
      <c r="R922" s="214"/>
      <c r="S922" s="238" t="str">
        <f>IF(CommitmentsTable[[#This Row],[Commitment / deliverable]]="","",IF(CommitmentsTable[[#This Row],[Revised due]]&lt;&gt;"",CommitmentsTable[[#This Row],[Revised due]],CommitmentsTable[[#This Row],[Original due]]))</f>
        <v/>
      </c>
      <c r="T922" s="237" t="str">
        <f>IF(OR(CommitmentsTable[[#This Row],[Commitment / deliverable]]="",CommitmentsTable[[#This Row],[Owner]]=""),"",IF(CommitmentsTable[[#This Row],[Status2]]="","Open",CommitmentsTable[[#This Row],[Status2]]))</f>
        <v/>
      </c>
      <c r="U922" s="237" t="str">
        <f t="shared" ca="1" si="14"/>
        <v/>
      </c>
      <c r="V922" s="233"/>
      <c r="W922" s="63" t="s">
        <v>1824</v>
      </c>
    </row>
    <row r="923" spans="1:23" ht="26">
      <c r="A923" s="213" t="str">
        <f>IF(OR(CommitmentsTable[[#This Row],[Commitment / deliverable]]="",CommitmentsTable[[#This Row],[Immutable Key]]=""),"",SUBSTITUTE(CommitmentsTable[[#This Row],[Immutable Key]],"-K-","-"))</f>
        <v/>
      </c>
      <c r="B923" s="233"/>
      <c r="C923" s="233"/>
      <c r="D923" s="213"/>
      <c r="E923" s="230"/>
      <c r="F923" s="213"/>
      <c r="G923" s="245" t="str">
        <f ca="1">IF(CommitmentsTable[[#This Row],[Commitment / deliverable]]="","",IF(CommitmentsTable[[#This Row],[Date record entered]]="",TODAY(),CommitmentsTable[[#This Row],[Date record entered]]))</f>
        <v/>
      </c>
      <c r="H923" s="245"/>
      <c r="I923" s="245" t="str">
        <f ca="1">IF(CommitmentsTable[[#This Row],[Date Assigned if different from entry date]]&lt;&gt;"",CommitmentsTable[[#This Row],[Date Assigned if different from entry date]]+90,IF(CommitmentsTable[[#This Row],[Date record entered]]&lt;&gt;"",CommitmentsTable[[#This Row],[Date record entered]]+90,""))</f>
        <v/>
      </c>
      <c r="J923" s="245" t="str">
        <f ca="1">IF(CommitmentsTable[[#This Row],[Date Assigned if different from entry date]]&lt;&gt;"",CommitmentsTable[[#This Row],[Date Assigned if different from entry date]]+30,IF(CommitmentsTable[[#This Row],[Date record entered]]&lt;&gt;"",CommitmentsTable[[#This Row],[Date record entered]]+30,""))</f>
        <v/>
      </c>
      <c r="K923" s="245"/>
      <c r="L923" s="245" t="str">
        <f ca="1">IF(CommitmentsTable[[#This Row],[Date Assigned if different from entry date]]&lt;&gt;"",CommitmentsTable[[#This Row],[Date Assigned if different from entry date]]+60,IF(CommitmentsTable[[#This Row],[Date record entered]]&lt;&gt;"",CommitmentsTable[[#This Row],[Date record entered]]+60,""))</f>
        <v/>
      </c>
      <c r="M923" s="214"/>
      <c r="N923" s="214"/>
      <c r="O923" s="236"/>
      <c r="P923" s="214"/>
      <c r="Q923" s="214"/>
      <c r="R923" s="214"/>
      <c r="S923" s="238" t="str">
        <f>IF(CommitmentsTable[[#This Row],[Commitment / deliverable]]="","",IF(CommitmentsTable[[#This Row],[Revised due]]&lt;&gt;"",CommitmentsTable[[#This Row],[Revised due]],CommitmentsTable[[#This Row],[Original due]]))</f>
        <v/>
      </c>
      <c r="T923" s="237" t="str">
        <f>IF(OR(CommitmentsTable[[#This Row],[Commitment / deliverable]]="",CommitmentsTable[[#This Row],[Owner]]=""),"",IF(CommitmentsTable[[#This Row],[Status2]]="","Open",CommitmentsTable[[#This Row],[Status2]]))</f>
        <v/>
      </c>
      <c r="U923" s="237" t="str">
        <f t="shared" ca="1" si="14"/>
        <v/>
      </c>
      <c r="V923" s="233"/>
      <c r="W923" s="63" t="s">
        <v>1825</v>
      </c>
    </row>
    <row r="924" spans="1:23" ht="26">
      <c r="A924" s="213" t="str">
        <f>IF(OR(CommitmentsTable[[#This Row],[Commitment / deliverable]]="",CommitmentsTable[[#This Row],[Immutable Key]]=""),"",SUBSTITUTE(CommitmentsTable[[#This Row],[Immutable Key]],"-K-","-"))</f>
        <v/>
      </c>
      <c r="B924" s="233"/>
      <c r="C924" s="233"/>
      <c r="D924" s="213"/>
      <c r="E924" s="230"/>
      <c r="F924" s="213"/>
      <c r="G924" s="245" t="str">
        <f ca="1">IF(CommitmentsTable[[#This Row],[Commitment / deliverable]]="","",IF(CommitmentsTable[[#This Row],[Date record entered]]="",TODAY(),CommitmentsTable[[#This Row],[Date record entered]]))</f>
        <v/>
      </c>
      <c r="H924" s="245"/>
      <c r="I924" s="245" t="str">
        <f ca="1">IF(CommitmentsTable[[#This Row],[Date Assigned if different from entry date]]&lt;&gt;"",CommitmentsTable[[#This Row],[Date Assigned if different from entry date]]+90,IF(CommitmentsTable[[#This Row],[Date record entered]]&lt;&gt;"",CommitmentsTable[[#This Row],[Date record entered]]+90,""))</f>
        <v/>
      </c>
      <c r="J924" s="245" t="str">
        <f ca="1">IF(CommitmentsTable[[#This Row],[Date Assigned if different from entry date]]&lt;&gt;"",CommitmentsTable[[#This Row],[Date Assigned if different from entry date]]+30,IF(CommitmentsTable[[#This Row],[Date record entered]]&lt;&gt;"",CommitmentsTable[[#This Row],[Date record entered]]+30,""))</f>
        <v/>
      </c>
      <c r="K924" s="245"/>
      <c r="L924" s="245" t="str">
        <f ca="1">IF(CommitmentsTable[[#This Row],[Date Assigned if different from entry date]]&lt;&gt;"",CommitmentsTable[[#This Row],[Date Assigned if different from entry date]]+60,IF(CommitmentsTable[[#This Row],[Date record entered]]&lt;&gt;"",CommitmentsTable[[#This Row],[Date record entered]]+60,""))</f>
        <v/>
      </c>
      <c r="M924" s="214"/>
      <c r="N924" s="214"/>
      <c r="O924" s="236"/>
      <c r="P924" s="214"/>
      <c r="Q924" s="214"/>
      <c r="R924" s="214"/>
      <c r="S924" s="238" t="str">
        <f>IF(CommitmentsTable[[#This Row],[Commitment / deliverable]]="","",IF(CommitmentsTable[[#This Row],[Revised due]]&lt;&gt;"",CommitmentsTable[[#This Row],[Revised due]],CommitmentsTable[[#This Row],[Original due]]))</f>
        <v/>
      </c>
      <c r="T924" s="237" t="str">
        <f>IF(OR(CommitmentsTable[[#This Row],[Commitment / deliverable]]="",CommitmentsTable[[#This Row],[Owner]]=""),"",IF(CommitmentsTable[[#This Row],[Status2]]="","Open",CommitmentsTable[[#This Row],[Status2]]))</f>
        <v/>
      </c>
      <c r="U924" s="237" t="str">
        <f t="shared" ca="1" si="14"/>
        <v/>
      </c>
      <c r="V924" s="233"/>
      <c r="W924" s="63" t="s">
        <v>1826</v>
      </c>
    </row>
    <row r="925" spans="1:23" ht="26">
      <c r="A925" s="213" t="str">
        <f>IF(OR(CommitmentsTable[[#This Row],[Commitment / deliverable]]="",CommitmentsTable[[#This Row],[Immutable Key]]=""),"",SUBSTITUTE(CommitmentsTable[[#This Row],[Immutable Key]],"-K-","-"))</f>
        <v/>
      </c>
      <c r="B925" s="233"/>
      <c r="C925" s="233"/>
      <c r="D925" s="213"/>
      <c r="E925" s="230"/>
      <c r="F925" s="213"/>
      <c r="G925" s="245" t="str">
        <f ca="1">IF(CommitmentsTable[[#This Row],[Commitment / deliverable]]="","",IF(CommitmentsTable[[#This Row],[Date record entered]]="",TODAY(),CommitmentsTable[[#This Row],[Date record entered]]))</f>
        <v/>
      </c>
      <c r="H925" s="245"/>
      <c r="I925" s="245" t="str">
        <f ca="1">IF(CommitmentsTable[[#This Row],[Date Assigned if different from entry date]]&lt;&gt;"",CommitmentsTable[[#This Row],[Date Assigned if different from entry date]]+90,IF(CommitmentsTable[[#This Row],[Date record entered]]&lt;&gt;"",CommitmentsTable[[#This Row],[Date record entered]]+90,""))</f>
        <v/>
      </c>
      <c r="J925" s="245" t="str">
        <f ca="1">IF(CommitmentsTable[[#This Row],[Date Assigned if different from entry date]]&lt;&gt;"",CommitmentsTable[[#This Row],[Date Assigned if different from entry date]]+30,IF(CommitmentsTable[[#This Row],[Date record entered]]&lt;&gt;"",CommitmentsTable[[#This Row],[Date record entered]]+30,""))</f>
        <v/>
      </c>
      <c r="K925" s="245"/>
      <c r="L925" s="245" t="str">
        <f ca="1">IF(CommitmentsTable[[#This Row],[Date Assigned if different from entry date]]&lt;&gt;"",CommitmentsTable[[#This Row],[Date Assigned if different from entry date]]+60,IF(CommitmentsTable[[#This Row],[Date record entered]]&lt;&gt;"",CommitmentsTable[[#This Row],[Date record entered]]+60,""))</f>
        <v/>
      </c>
      <c r="M925" s="214"/>
      <c r="N925" s="214"/>
      <c r="O925" s="236"/>
      <c r="P925" s="214"/>
      <c r="Q925" s="214"/>
      <c r="R925" s="214"/>
      <c r="S925" s="238" t="str">
        <f>IF(CommitmentsTable[[#This Row],[Commitment / deliverable]]="","",IF(CommitmentsTable[[#This Row],[Revised due]]&lt;&gt;"",CommitmentsTable[[#This Row],[Revised due]],CommitmentsTable[[#This Row],[Original due]]))</f>
        <v/>
      </c>
      <c r="T925" s="237" t="str">
        <f>IF(OR(CommitmentsTable[[#This Row],[Commitment / deliverable]]="",CommitmentsTable[[#This Row],[Owner]]=""),"",IF(CommitmentsTable[[#This Row],[Status2]]="","Open",CommitmentsTable[[#This Row],[Status2]]))</f>
        <v/>
      </c>
      <c r="U925" s="237" t="str">
        <f t="shared" ca="1" si="14"/>
        <v/>
      </c>
      <c r="V925" s="233"/>
      <c r="W925" s="63" t="s">
        <v>1827</v>
      </c>
    </row>
    <row r="926" spans="1:23" ht="26">
      <c r="A926" s="213" t="str">
        <f>IF(OR(CommitmentsTable[[#This Row],[Commitment / deliverable]]="",CommitmentsTable[[#This Row],[Immutable Key]]=""),"",SUBSTITUTE(CommitmentsTable[[#This Row],[Immutable Key]],"-K-","-"))</f>
        <v/>
      </c>
      <c r="B926" s="233"/>
      <c r="C926" s="233"/>
      <c r="D926" s="213"/>
      <c r="E926" s="230"/>
      <c r="F926" s="213"/>
      <c r="G926" s="245" t="str">
        <f ca="1">IF(CommitmentsTable[[#This Row],[Commitment / deliverable]]="","",IF(CommitmentsTable[[#This Row],[Date record entered]]="",TODAY(),CommitmentsTable[[#This Row],[Date record entered]]))</f>
        <v/>
      </c>
      <c r="H926" s="245"/>
      <c r="I926" s="245" t="str">
        <f ca="1">IF(CommitmentsTable[[#This Row],[Date Assigned if different from entry date]]&lt;&gt;"",CommitmentsTable[[#This Row],[Date Assigned if different from entry date]]+90,IF(CommitmentsTable[[#This Row],[Date record entered]]&lt;&gt;"",CommitmentsTable[[#This Row],[Date record entered]]+90,""))</f>
        <v/>
      </c>
      <c r="J926" s="245" t="str">
        <f ca="1">IF(CommitmentsTable[[#This Row],[Date Assigned if different from entry date]]&lt;&gt;"",CommitmentsTable[[#This Row],[Date Assigned if different from entry date]]+30,IF(CommitmentsTable[[#This Row],[Date record entered]]&lt;&gt;"",CommitmentsTable[[#This Row],[Date record entered]]+30,""))</f>
        <v/>
      </c>
      <c r="K926" s="245"/>
      <c r="L926" s="245" t="str">
        <f ca="1">IF(CommitmentsTable[[#This Row],[Date Assigned if different from entry date]]&lt;&gt;"",CommitmentsTable[[#This Row],[Date Assigned if different from entry date]]+60,IF(CommitmentsTable[[#This Row],[Date record entered]]&lt;&gt;"",CommitmentsTable[[#This Row],[Date record entered]]+60,""))</f>
        <v/>
      </c>
      <c r="M926" s="214"/>
      <c r="N926" s="214"/>
      <c r="O926" s="236"/>
      <c r="P926" s="214"/>
      <c r="Q926" s="214"/>
      <c r="R926" s="214"/>
      <c r="S926" s="238" t="str">
        <f>IF(CommitmentsTable[[#This Row],[Commitment / deliverable]]="","",IF(CommitmentsTable[[#This Row],[Revised due]]&lt;&gt;"",CommitmentsTable[[#This Row],[Revised due]],CommitmentsTable[[#This Row],[Original due]]))</f>
        <v/>
      </c>
      <c r="T926" s="237" t="str">
        <f>IF(OR(CommitmentsTable[[#This Row],[Commitment / deliverable]]="",CommitmentsTable[[#This Row],[Owner]]=""),"",IF(CommitmentsTable[[#This Row],[Status2]]="","Open",CommitmentsTable[[#This Row],[Status2]]))</f>
        <v/>
      </c>
      <c r="U926" s="237" t="str">
        <f t="shared" ca="1" si="14"/>
        <v/>
      </c>
      <c r="V926" s="233"/>
      <c r="W926" s="63" t="s">
        <v>1828</v>
      </c>
    </row>
    <row r="927" spans="1:23" ht="26">
      <c r="A927" s="213" t="str">
        <f>IF(OR(CommitmentsTable[[#This Row],[Commitment / deliverable]]="",CommitmentsTable[[#This Row],[Immutable Key]]=""),"",SUBSTITUTE(CommitmentsTable[[#This Row],[Immutable Key]],"-K-","-"))</f>
        <v/>
      </c>
      <c r="B927" s="233"/>
      <c r="C927" s="233"/>
      <c r="D927" s="213"/>
      <c r="E927" s="230"/>
      <c r="F927" s="213"/>
      <c r="G927" s="245" t="str">
        <f ca="1">IF(CommitmentsTable[[#This Row],[Commitment / deliverable]]="","",IF(CommitmentsTable[[#This Row],[Date record entered]]="",TODAY(),CommitmentsTable[[#This Row],[Date record entered]]))</f>
        <v/>
      </c>
      <c r="H927" s="245"/>
      <c r="I927" s="245" t="str">
        <f ca="1">IF(CommitmentsTable[[#This Row],[Date Assigned if different from entry date]]&lt;&gt;"",CommitmentsTable[[#This Row],[Date Assigned if different from entry date]]+90,IF(CommitmentsTable[[#This Row],[Date record entered]]&lt;&gt;"",CommitmentsTable[[#This Row],[Date record entered]]+90,""))</f>
        <v/>
      </c>
      <c r="J927" s="245" t="str">
        <f ca="1">IF(CommitmentsTable[[#This Row],[Date Assigned if different from entry date]]&lt;&gt;"",CommitmentsTable[[#This Row],[Date Assigned if different from entry date]]+30,IF(CommitmentsTable[[#This Row],[Date record entered]]&lt;&gt;"",CommitmentsTable[[#This Row],[Date record entered]]+30,""))</f>
        <v/>
      </c>
      <c r="K927" s="245"/>
      <c r="L927" s="245" t="str">
        <f ca="1">IF(CommitmentsTable[[#This Row],[Date Assigned if different from entry date]]&lt;&gt;"",CommitmentsTable[[#This Row],[Date Assigned if different from entry date]]+60,IF(CommitmentsTable[[#This Row],[Date record entered]]&lt;&gt;"",CommitmentsTable[[#This Row],[Date record entered]]+60,""))</f>
        <v/>
      </c>
      <c r="M927" s="214"/>
      <c r="N927" s="214"/>
      <c r="O927" s="236"/>
      <c r="P927" s="214"/>
      <c r="Q927" s="214"/>
      <c r="R927" s="214"/>
      <c r="S927" s="238" t="str">
        <f>IF(CommitmentsTable[[#This Row],[Commitment / deliverable]]="","",IF(CommitmentsTable[[#This Row],[Revised due]]&lt;&gt;"",CommitmentsTable[[#This Row],[Revised due]],CommitmentsTable[[#This Row],[Original due]]))</f>
        <v/>
      </c>
      <c r="T927" s="237" t="str">
        <f>IF(OR(CommitmentsTable[[#This Row],[Commitment / deliverable]]="",CommitmentsTable[[#This Row],[Owner]]=""),"",IF(CommitmentsTable[[#This Row],[Status2]]="","Open",CommitmentsTable[[#This Row],[Status2]]))</f>
        <v/>
      </c>
      <c r="U927" s="237" t="str">
        <f t="shared" ca="1" si="14"/>
        <v/>
      </c>
      <c r="V927" s="233"/>
      <c r="W927" s="63" t="s">
        <v>1829</v>
      </c>
    </row>
    <row r="928" spans="1:23" ht="26">
      <c r="A928" s="213" t="str">
        <f>IF(OR(CommitmentsTable[[#This Row],[Commitment / deliverable]]="",CommitmentsTable[[#This Row],[Immutable Key]]=""),"",SUBSTITUTE(CommitmentsTable[[#This Row],[Immutable Key]],"-K-","-"))</f>
        <v/>
      </c>
      <c r="B928" s="233"/>
      <c r="C928" s="233"/>
      <c r="D928" s="213"/>
      <c r="E928" s="230"/>
      <c r="F928" s="213"/>
      <c r="G928" s="245" t="str">
        <f ca="1">IF(CommitmentsTable[[#This Row],[Commitment / deliverable]]="","",IF(CommitmentsTable[[#This Row],[Date record entered]]="",TODAY(),CommitmentsTable[[#This Row],[Date record entered]]))</f>
        <v/>
      </c>
      <c r="H928" s="245"/>
      <c r="I928" s="245" t="str">
        <f ca="1">IF(CommitmentsTable[[#This Row],[Date Assigned if different from entry date]]&lt;&gt;"",CommitmentsTable[[#This Row],[Date Assigned if different from entry date]]+90,IF(CommitmentsTable[[#This Row],[Date record entered]]&lt;&gt;"",CommitmentsTable[[#This Row],[Date record entered]]+90,""))</f>
        <v/>
      </c>
      <c r="J928" s="245" t="str">
        <f ca="1">IF(CommitmentsTable[[#This Row],[Date Assigned if different from entry date]]&lt;&gt;"",CommitmentsTable[[#This Row],[Date Assigned if different from entry date]]+30,IF(CommitmentsTable[[#This Row],[Date record entered]]&lt;&gt;"",CommitmentsTable[[#This Row],[Date record entered]]+30,""))</f>
        <v/>
      </c>
      <c r="K928" s="245"/>
      <c r="L928" s="245" t="str">
        <f ca="1">IF(CommitmentsTable[[#This Row],[Date Assigned if different from entry date]]&lt;&gt;"",CommitmentsTable[[#This Row],[Date Assigned if different from entry date]]+60,IF(CommitmentsTable[[#This Row],[Date record entered]]&lt;&gt;"",CommitmentsTable[[#This Row],[Date record entered]]+60,""))</f>
        <v/>
      </c>
      <c r="M928" s="214"/>
      <c r="N928" s="214"/>
      <c r="O928" s="236"/>
      <c r="P928" s="214"/>
      <c r="Q928" s="214"/>
      <c r="R928" s="214"/>
      <c r="S928" s="238" t="str">
        <f>IF(CommitmentsTable[[#This Row],[Commitment / deliverable]]="","",IF(CommitmentsTable[[#This Row],[Revised due]]&lt;&gt;"",CommitmentsTable[[#This Row],[Revised due]],CommitmentsTable[[#This Row],[Original due]]))</f>
        <v/>
      </c>
      <c r="T928" s="237" t="str">
        <f>IF(OR(CommitmentsTable[[#This Row],[Commitment / deliverable]]="",CommitmentsTable[[#This Row],[Owner]]=""),"",IF(CommitmentsTable[[#This Row],[Status2]]="","Open",CommitmentsTable[[#This Row],[Status2]]))</f>
        <v/>
      </c>
      <c r="U928" s="237" t="str">
        <f t="shared" ca="1" si="14"/>
        <v/>
      </c>
      <c r="V928" s="233"/>
      <c r="W928" s="63" t="s">
        <v>1830</v>
      </c>
    </row>
    <row r="929" spans="1:23" ht="26">
      <c r="A929" s="213" t="str">
        <f>IF(OR(CommitmentsTable[[#This Row],[Commitment / deliverable]]="",CommitmentsTable[[#This Row],[Immutable Key]]=""),"",SUBSTITUTE(CommitmentsTable[[#This Row],[Immutable Key]],"-K-","-"))</f>
        <v/>
      </c>
      <c r="B929" s="233"/>
      <c r="C929" s="233"/>
      <c r="D929" s="213"/>
      <c r="E929" s="230"/>
      <c r="F929" s="213"/>
      <c r="G929" s="245" t="str">
        <f ca="1">IF(CommitmentsTable[[#This Row],[Commitment / deliverable]]="","",IF(CommitmentsTable[[#This Row],[Date record entered]]="",TODAY(),CommitmentsTable[[#This Row],[Date record entered]]))</f>
        <v/>
      </c>
      <c r="H929" s="245"/>
      <c r="I929" s="245" t="str">
        <f ca="1">IF(CommitmentsTable[[#This Row],[Date Assigned if different from entry date]]&lt;&gt;"",CommitmentsTable[[#This Row],[Date Assigned if different from entry date]]+90,IF(CommitmentsTable[[#This Row],[Date record entered]]&lt;&gt;"",CommitmentsTable[[#This Row],[Date record entered]]+90,""))</f>
        <v/>
      </c>
      <c r="J929" s="245" t="str">
        <f ca="1">IF(CommitmentsTable[[#This Row],[Date Assigned if different from entry date]]&lt;&gt;"",CommitmentsTable[[#This Row],[Date Assigned if different from entry date]]+30,IF(CommitmentsTable[[#This Row],[Date record entered]]&lt;&gt;"",CommitmentsTable[[#This Row],[Date record entered]]+30,""))</f>
        <v/>
      </c>
      <c r="K929" s="245"/>
      <c r="L929" s="245" t="str">
        <f ca="1">IF(CommitmentsTable[[#This Row],[Date Assigned if different from entry date]]&lt;&gt;"",CommitmentsTable[[#This Row],[Date Assigned if different from entry date]]+60,IF(CommitmentsTable[[#This Row],[Date record entered]]&lt;&gt;"",CommitmentsTable[[#This Row],[Date record entered]]+60,""))</f>
        <v/>
      </c>
      <c r="M929" s="214"/>
      <c r="N929" s="214"/>
      <c r="O929" s="236"/>
      <c r="P929" s="214"/>
      <c r="Q929" s="214"/>
      <c r="R929" s="214"/>
      <c r="S929" s="238" t="str">
        <f>IF(CommitmentsTable[[#This Row],[Commitment / deliverable]]="","",IF(CommitmentsTable[[#This Row],[Revised due]]&lt;&gt;"",CommitmentsTable[[#This Row],[Revised due]],CommitmentsTable[[#This Row],[Original due]]))</f>
        <v/>
      </c>
      <c r="T929" s="237" t="str">
        <f>IF(OR(CommitmentsTable[[#This Row],[Commitment / deliverable]]="",CommitmentsTable[[#This Row],[Owner]]=""),"",IF(CommitmentsTable[[#This Row],[Status2]]="","Open",CommitmentsTable[[#This Row],[Status2]]))</f>
        <v/>
      </c>
      <c r="U929" s="237" t="str">
        <f t="shared" ca="1" si="14"/>
        <v/>
      </c>
      <c r="V929" s="233"/>
      <c r="W929" s="63" t="s">
        <v>1831</v>
      </c>
    </row>
    <row r="930" spans="1:23" ht="26">
      <c r="A930" s="213" t="str">
        <f>IF(OR(CommitmentsTable[[#This Row],[Commitment / deliverable]]="",CommitmentsTable[[#This Row],[Immutable Key]]=""),"",SUBSTITUTE(CommitmentsTable[[#This Row],[Immutable Key]],"-K-","-"))</f>
        <v/>
      </c>
      <c r="B930" s="233"/>
      <c r="C930" s="233"/>
      <c r="D930" s="213"/>
      <c r="E930" s="230"/>
      <c r="F930" s="213"/>
      <c r="G930" s="245" t="str">
        <f ca="1">IF(CommitmentsTable[[#This Row],[Commitment / deliverable]]="","",IF(CommitmentsTable[[#This Row],[Date record entered]]="",TODAY(),CommitmentsTable[[#This Row],[Date record entered]]))</f>
        <v/>
      </c>
      <c r="H930" s="245"/>
      <c r="I930" s="245" t="str">
        <f ca="1">IF(CommitmentsTable[[#This Row],[Date Assigned if different from entry date]]&lt;&gt;"",CommitmentsTable[[#This Row],[Date Assigned if different from entry date]]+90,IF(CommitmentsTable[[#This Row],[Date record entered]]&lt;&gt;"",CommitmentsTable[[#This Row],[Date record entered]]+90,""))</f>
        <v/>
      </c>
      <c r="J930" s="245" t="str">
        <f ca="1">IF(CommitmentsTable[[#This Row],[Date Assigned if different from entry date]]&lt;&gt;"",CommitmentsTable[[#This Row],[Date Assigned if different from entry date]]+30,IF(CommitmentsTable[[#This Row],[Date record entered]]&lt;&gt;"",CommitmentsTable[[#This Row],[Date record entered]]+30,""))</f>
        <v/>
      </c>
      <c r="K930" s="245"/>
      <c r="L930" s="245" t="str">
        <f ca="1">IF(CommitmentsTable[[#This Row],[Date Assigned if different from entry date]]&lt;&gt;"",CommitmentsTable[[#This Row],[Date Assigned if different from entry date]]+60,IF(CommitmentsTable[[#This Row],[Date record entered]]&lt;&gt;"",CommitmentsTable[[#This Row],[Date record entered]]+60,""))</f>
        <v/>
      </c>
      <c r="M930" s="214"/>
      <c r="N930" s="214"/>
      <c r="O930" s="236"/>
      <c r="P930" s="214"/>
      <c r="Q930" s="214"/>
      <c r="R930" s="214"/>
      <c r="S930" s="238" t="str">
        <f>IF(CommitmentsTable[[#This Row],[Commitment / deliverable]]="","",IF(CommitmentsTable[[#This Row],[Revised due]]&lt;&gt;"",CommitmentsTable[[#This Row],[Revised due]],CommitmentsTable[[#This Row],[Original due]]))</f>
        <v/>
      </c>
      <c r="T930" s="237" t="str">
        <f>IF(OR(CommitmentsTable[[#This Row],[Commitment / deliverable]]="",CommitmentsTable[[#This Row],[Owner]]=""),"",IF(CommitmentsTable[[#This Row],[Status2]]="","Open",CommitmentsTable[[#This Row],[Status2]]))</f>
        <v/>
      </c>
      <c r="U930" s="237" t="str">
        <f t="shared" ca="1" si="14"/>
        <v/>
      </c>
      <c r="V930" s="233"/>
      <c r="W930" s="63" t="s">
        <v>1832</v>
      </c>
    </row>
    <row r="931" spans="1:23" ht="26">
      <c r="A931" s="213" t="str">
        <f>IF(OR(CommitmentsTable[[#This Row],[Commitment / deliverable]]="",CommitmentsTable[[#This Row],[Immutable Key]]=""),"",SUBSTITUTE(CommitmentsTable[[#This Row],[Immutable Key]],"-K-","-"))</f>
        <v/>
      </c>
      <c r="B931" s="233"/>
      <c r="C931" s="233"/>
      <c r="D931" s="213"/>
      <c r="E931" s="230"/>
      <c r="F931" s="213"/>
      <c r="G931" s="245" t="str">
        <f ca="1">IF(CommitmentsTable[[#This Row],[Commitment / deliverable]]="","",IF(CommitmentsTable[[#This Row],[Date record entered]]="",TODAY(),CommitmentsTable[[#This Row],[Date record entered]]))</f>
        <v/>
      </c>
      <c r="H931" s="245"/>
      <c r="I931" s="245" t="str">
        <f ca="1">IF(CommitmentsTable[[#This Row],[Date Assigned if different from entry date]]&lt;&gt;"",CommitmentsTable[[#This Row],[Date Assigned if different from entry date]]+90,IF(CommitmentsTable[[#This Row],[Date record entered]]&lt;&gt;"",CommitmentsTable[[#This Row],[Date record entered]]+90,""))</f>
        <v/>
      </c>
      <c r="J931" s="245" t="str">
        <f ca="1">IF(CommitmentsTable[[#This Row],[Date Assigned if different from entry date]]&lt;&gt;"",CommitmentsTable[[#This Row],[Date Assigned if different from entry date]]+30,IF(CommitmentsTable[[#This Row],[Date record entered]]&lt;&gt;"",CommitmentsTable[[#This Row],[Date record entered]]+30,""))</f>
        <v/>
      </c>
      <c r="K931" s="245"/>
      <c r="L931" s="245" t="str">
        <f ca="1">IF(CommitmentsTable[[#This Row],[Date Assigned if different from entry date]]&lt;&gt;"",CommitmentsTable[[#This Row],[Date Assigned if different from entry date]]+60,IF(CommitmentsTable[[#This Row],[Date record entered]]&lt;&gt;"",CommitmentsTable[[#This Row],[Date record entered]]+60,""))</f>
        <v/>
      </c>
      <c r="M931" s="214"/>
      <c r="N931" s="214"/>
      <c r="O931" s="236"/>
      <c r="P931" s="214"/>
      <c r="Q931" s="214"/>
      <c r="R931" s="214"/>
      <c r="S931" s="238" t="str">
        <f>IF(CommitmentsTable[[#This Row],[Commitment / deliverable]]="","",IF(CommitmentsTable[[#This Row],[Revised due]]&lt;&gt;"",CommitmentsTable[[#This Row],[Revised due]],CommitmentsTable[[#This Row],[Original due]]))</f>
        <v/>
      </c>
      <c r="T931" s="237" t="str">
        <f>IF(OR(CommitmentsTable[[#This Row],[Commitment / deliverable]]="",CommitmentsTable[[#This Row],[Owner]]=""),"",IF(CommitmentsTable[[#This Row],[Status2]]="","Open",CommitmentsTable[[#This Row],[Status2]]))</f>
        <v/>
      </c>
      <c r="U931" s="237" t="str">
        <f t="shared" ca="1" si="14"/>
        <v/>
      </c>
      <c r="V931" s="233"/>
      <c r="W931" s="63" t="s">
        <v>1833</v>
      </c>
    </row>
    <row r="932" spans="1:23" ht="26">
      <c r="A932" s="213" t="str">
        <f>IF(OR(CommitmentsTable[[#This Row],[Commitment / deliverable]]="",CommitmentsTable[[#This Row],[Immutable Key]]=""),"",SUBSTITUTE(CommitmentsTable[[#This Row],[Immutable Key]],"-K-","-"))</f>
        <v/>
      </c>
      <c r="B932" s="233"/>
      <c r="C932" s="233"/>
      <c r="D932" s="213"/>
      <c r="E932" s="230"/>
      <c r="F932" s="213"/>
      <c r="G932" s="245" t="str">
        <f ca="1">IF(CommitmentsTable[[#This Row],[Commitment / deliverable]]="","",IF(CommitmentsTable[[#This Row],[Date record entered]]="",TODAY(),CommitmentsTable[[#This Row],[Date record entered]]))</f>
        <v/>
      </c>
      <c r="H932" s="245"/>
      <c r="I932" s="245" t="str">
        <f ca="1">IF(CommitmentsTable[[#This Row],[Date Assigned if different from entry date]]&lt;&gt;"",CommitmentsTable[[#This Row],[Date Assigned if different from entry date]]+90,IF(CommitmentsTable[[#This Row],[Date record entered]]&lt;&gt;"",CommitmentsTable[[#This Row],[Date record entered]]+90,""))</f>
        <v/>
      </c>
      <c r="J932" s="245" t="str">
        <f ca="1">IF(CommitmentsTable[[#This Row],[Date Assigned if different from entry date]]&lt;&gt;"",CommitmentsTable[[#This Row],[Date Assigned if different from entry date]]+30,IF(CommitmentsTable[[#This Row],[Date record entered]]&lt;&gt;"",CommitmentsTable[[#This Row],[Date record entered]]+30,""))</f>
        <v/>
      </c>
      <c r="K932" s="245"/>
      <c r="L932" s="245" t="str">
        <f ca="1">IF(CommitmentsTable[[#This Row],[Date Assigned if different from entry date]]&lt;&gt;"",CommitmentsTable[[#This Row],[Date Assigned if different from entry date]]+60,IF(CommitmentsTable[[#This Row],[Date record entered]]&lt;&gt;"",CommitmentsTable[[#This Row],[Date record entered]]+60,""))</f>
        <v/>
      </c>
      <c r="M932" s="214"/>
      <c r="N932" s="214"/>
      <c r="O932" s="236"/>
      <c r="P932" s="214"/>
      <c r="Q932" s="214"/>
      <c r="R932" s="214"/>
      <c r="S932" s="238" t="str">
        <f>IF(CommitmentsTable[[#This Row],[Commitment / deliverable]]="","",IF(CommitmentsTable[[#This Row],[Revised due]]&lt;&gt;"",CommitmentsTable[[#This Row],[Revised due]],CommitmentsTable[[#This Row],[Original due]]))</f>
        <v/>
      </c>
      <c r="T932" s="237" t="str">
        <f>IF(OR(CommitmentsTable[[#This Row],[Commitment / deliverable]]="",CommitmentsTable[[#This Row],[Owner]]=""),"",IF(CommitmentsTable[[#This Row],[Status2]]="","Open",CommitmentsTable[[#This Row],[Status2]]))</f>
        <v/>
      </c>
      <c r="U932" s="237" t="str">
        <f t="shared" ca="1" si="14"/>
        <v/>
      </c>
      <c r="V932" s="233"/>
      <c r="W932" s="63" t="s">
        <v>1834</v>
      </c>
    </row>
    <row r="933" spans="1:23" ht="26">
      <c r="A933" s="213" t="str">
        <f>IF(OR(CommitmentsTable[[#This Row],[Commitment / deliverable]]="",CommitmentsTable[[#This Row],[Immutable Key]]=""),"",SUBSTITUTE(CommitmentsTable[[#This Row],[Immutable Key]],"-K-","-"))</f>
        <v/>
      </c>
      <c r="B933" s="233"/>
      <c r="C933" s="233"/>
      <c r="D933" s="213"/>
      <c r="E933" s="230"/>
      <c r="F933" s="213"/>
      <c r="G933" s="245" t="str">
        <f ca="1">IF(CommitmentsTable[[#This Row],[Commitment / deliverable]]="","",IF(CommitmentsTable[[#This Row],[Date record entered]]="",TODAY(),CommitmentsTable[[#This Row],[Date record entered]]))</f>
        <v/>
      </c>
      <c r="H933" s="245"/>
      <c r="I933" s="245" t="str">
        <f ca="1">IF(CommitmentsTable[[#This Row],[Date Assigned if different from entry date]]&lt;&gt;"",CommitmentsTable[[#This Row],[Date Assigned if different from entry date]]+90,IF(CommitmentsTable[[#This Row],[Date record entered]]&lt;&gt;"",CommitmentsTable[[#This Row],[Date record entered]]+90,""))</f>
        <v/>
      </c>
      <c r="J933" s="245" t="str">
        <f ca="1">IF(CommitmentsTable[[#This Row],[Date Assigned if different from entry date]]&lt;&gt;"",CommitmentsTable[[#This Row],[Date Assigned if different from entry date]]+30,IF(CommitmentsTable[[#This Row],[Date record entered]]&lt;&gt;"",CommitmentsTable[[#This Row],[Date record entered]]+30,""))</f>
        <v/>
      </c>
      <c r="K933" s="245"/>
      <c r="L933" s="245" t="str">
        <f ca="1">IF(CommitmentsTable[[#This Row],[Date Assigned if different from entry date]]&lt;&gt;"",CommitmentsTable[[#This Row],[Date Assigned if different from entry date]]+60,IF(CommitmentsTable[[#This Row],[Date record entered]]&lt;&gt;"",CommitmentsTable[[#This Row],[Date record entered]]+60,""))</f>
        <v/>
      </c>
      <c r="M933" s="214"/>
      <c r="N933" s="214"/>
      <c r="O933" s="236"/>
      <c r="P933" s="214"/>
      <c r="Q933" s="214"/>
      <c r="R933" s="214"/>
      <c r="S933" s="238" t="str">
        <f>IF(CommitmentsTable[[#This Row],[Commitment / deliverable]]="","",IF(CommitmentsTable[[#This Row],[Revised due]]&lt;&gt;"",CommitmentsTable[[#This Row],[Revised due]],CommitmentsTable[[#This Row],[Original due]]))</f>
        <v/>
      </c>
      <c r="T933" s="237" t="str">
        <f>IF(OR(CommitmentsTable[[#This Row],[Commitment / deliverable]]="",CommitmentsTable[[#This Row],[Owner]]=""),"",IF(CommitmentsTable[[#This Row],[Status2]]="","Open",CommitmentsTable[[#This Row],[Status2]]))</f>
        <v/>
      </c>
      <c r="U933" s="237" t="str">
        <f t="shared" ca="1" si="14"/>
        <v/>
      </c>
      <c r="V933" s="233"/>
      <c r="W933" s="63" t="s">
        <v>1835</v>
      </c>
    </row>
    <row r="934" spans="1:23" ht="26">
      <c r="A934" s="213" t="str">
        <f>IF(OR(CommitmentsTable[[#This Row],[Commitment / deliverable]]="",CommitmentsTable[[#This Row],[Immutable Key]]=""),"",SUBSTITUTE(CommitmentsTable[[#This Row],[Immutable Key]],"-K-","-"))</f>
        <v/>
      </c>
      <c r="B934" s="233"/>
      <c r="C934" s="233"/>
      <c r="D934" s="213"/>
      <c r="E934" s="230"/>
      <c r="F934" s="213"/>
      <c r="G934" s="245" t="str">
        <f ca="1">IF(CommitmentsTable[[#This Row],[Commitment / deliverable]]="","",IF(CommitmentsTable[[#This Row],[Date record entered]]="",TODAY(),CommitmentsTable[[#This Row],[Date record entered]]))</f>
        <v/>
      </c>
      <c r="H934" s="245"/>
      <c r="I934" s="245" t="str">
        <f ca="1">IF(CommitmentsTable[[#This Row],[Date Assigned if different from entry date]]&lt;&gt;"",CommitmentsTable[[#This Row],[Date Assigned if different from entry date]]+90,IF(CommitmentsTable[[#This Row],[Date record entered]]&lt;&gt;"",CommitmentsTable[[#This Row],[Date record entered]]+90,""))</f>
        <v/>
      </c>
      <c r="J934" s="245" t="str">
        <f ca="1">IF(CommitmentsTable[[#This Row],[Date Assigned if different from entry date]]&lt;&gt;"",CommitmentsTable[[#This Row],[Date Assigned if different from entry date]]+30,IF(CommitmentsTable[[#This Row],[Date record entered]]&lt;&gt;"",CommitmentsTable[[#This Row],[Date record entered]]+30,""))</f>
        <v/>
      </c>
      <c r="K934" s="245"/>
      <c r="L934" s="245" t="str">
        <f ca="1">IF(CommitmentsTable[[#This Row],[Date Assigned if different from entry date]]&lt;&gt;"",CommitmentsTable[[#This Row],[Date Assigned if different from entry date]]+60,IF(CommitmentsTable[[#This Row],[Date record entered]]&lt;&gt;"",CommitmentsTable[[#This Row],[Date record entered]]+60,""))</f>
        <v/>
      </c>
      <c r="M934" s="214"/>
      <c r="N934" s="214"/>
      <c r="O934" s="236"/>
      <c r="P934" s="214"/>
      <c r="Q934" s="214"/>
      <c r="R934" s="214"/>
      <c r="S934" s="238" t="str">
        <f>IF(CommitmentsTable[[#This Row],[Commitment / deliverable]]="","",IF(CommitmentsTable[[#This Row],[Revised due]]&lt;&gt;"",CommitmentsTable[[#This Row],[Revised due]],CommitmentsTable[[#This Row],[Original due]]))</f>
        <v/>
      </c>
      <c r="T934" s="237" t="str">
        <f>IF(OR(CommitmentsTable[[#This Row],[Commitment / deliverable]]="",CommitmentsTable[[#This Row],[Owner]]=""),"",IF(CommitmentsTable[[#This Row],[Status2]]="","Open",CommitmentsTable[[#This Row],[Status2]]))</f>
        <v/>
      </c>
      <c r="U934" s="237" t="str">
        <f t="shared" ca="1" si="14"/>
        <v/>
      </c>
      <c r="V934" s="233"/>
      <c r="W934" s="63" t="s">
        <v>1836</v>
      </c>
    </row>
    <row r="935" spans="1:23" ht="26">
      <c r="A935" s="213" t="str">
        <f>IF(OR(CommitmentsTable[[#This Row],[Commitment / deliverable]]="",CommitmentsTable[[#This Row],[Immutable Key]]=""),"",SUBSTITUTE(CommitmentsTable[[#This Row],[Immutable Key]],"-K-","-"))</f>
        <v/>
      </c>
      <c r="B935" s="233"/>
      <c r="C935" s="233"/>
      <c r="D935" s="213"/>
      <c r="E935" s="230"/>
      <c r="F935" s="213"/>
      <c r="G935" s="245" t="str">
        <f ca="1">IF(CommitmentsTable[[#This Row],[Commitment / deliverable]]="","",IF(CommitmentsTable[[#This Row],[Date record entered]]="",TODAY(),CommitmentsTable[[#This Row],[Date record entered]]))</f>
        <v/>
      </c>
      <c r="H935" s="245"/>
      <c r="I935" s="245" t="str">
        <f ca="1">IF(CommitmentsTable[[#This Row],[Date Assigned if different from entry date]]&lt;&gt;"",CommitmentsTable[[#This Row],[Date Assigned if different from entry date]]+90,IF(CommitmentsTable[[#This Row],[Date record entered]]&lt;&gt;"",CommitmentsTable[[#This Row],[Date record entered]]+90,""))</f>
        <v/>
      </c>
      <c r="J935" s="245" t="str">
        <f ca="1">IF(CommitmentsTable[[#This Row],[Date Assigned if different from entry date]]&lt;&gt;"",CommitmentsTable[[#This Row],[Date Assigned if different from entry date]]+30,IF(CommitmentsTable[[#This Row],[Date record entered]]&lt;&gt;"",CommitmentsTable[[#This Row],[Date record entered]]+30,""))</f>
        <v/>
      </c>
      <c r="K935" s="245"/>
      <c r="L935" s="245" t="str">
        <f ca="1">IF(CommitmentsTable[[#This Row],[Date Assigned if different from entry date]]&lt;&gt;"",CommitmentsTable[[#This Row],[Date Assigned if different from entry date]]+60,IF(CommitmentsTable[[#This Row],[Date record entered]]&lt;&gt;"",CommitmentsTable[[#This Row],[Date record entered]]+60,""))</f>
        <v/>
      </c>
      <c r="M935" s="214"/>
      <c r="N935" s="214"/>
      <c r="O935" s="236"/>
      <c r="P935" s="214"/>
      <c r="Q935" s="214"/>
      <c r="R935" s="214"/>
      <c r="S935" s="238" t="str">
        <f>IF(CommitmentsTable[[#This Row],[Commitment / deliverable]]="","",IF(CommitmentsTable[[#This Row],[Revised due]]&lt;&gt;"",CommitmentsTable[[#This Row],[Revised due]],CommitmentsTable[[#This Row],[Original due]]))</f>
        <v/>
      </c>
      <c r="T935" s="237" t="str">
        <f>IF(OR(CommitmentsTable[[#This Row],[Commitment / deliverable]]="",CommitmentsTable[[#This Row],[Owner]]=""),"",IF(CommitmentsTable[[#This Row],[Status2]]="","Open",CommitmentsTable[[#This Row],[Status2]]))</f>
        <v/>
      </c>
      <c r="U935" s="237" t="str">
        <f t="shared" ca="1" si="14"/>
        <v/>
      </c>
      <c r="V935" s="233"/>
      <c r="W935" s="63" t="s">
        <v>1837</v>
      </c>
    </row>
    <row r="936" spans="1:23" ht="26">
      <c r="A936" s="213" t="str">
        <f>IF(OR(CommitmentsTable[[#This Row],[Commitment / deliverable]]="",CommitmentsTable[[#This Row],[Immutable Key]]=""),"",SUBSTITUTE(CommitmentsTable[[#This Row],[Immutable Key]],"-K-","-"))</f>
        <v/>
      </c>
      <c r="B936" s="233"/>
      <c r="C936" s="233"/>
      <c r="D936" s="213"/>
      <c r="E936" s="230"/>
      <c r="F936" s="213"/>
      <c r="G936" s="245" t="str">
        <f ca="1">IF(CommitmentsTable[[#This Row],[Commitment / deliverable]]="","",IF(CommitmentsTable[[#This Row],[Date record entered]]="",TODAY(),CommitmentsTable[[#This Row],[Date record entered]]))</f>
        <v/>
      </c>
      <c r="H936" s="245"/>
      <c r="I936" s="245" t="str">
        <f ca="1">IF(CommitmentsTable[[#This Row],[Date Assigned if different from entry date]]&lt;&gt;"",CommitmentsTable[[#This Row],[Date Assigned if different from entry date]]+90,IF(CommitmentsTable[[#This Row],[Date record entered]]&lt;&gt;"",CommitmentsTable[[#This Row],[Date record entered]]+90,""))</f>
        <v/>
      </c>
      <c r="J936" s="245" t="str">
        <f ca="1">IF(CommitmentsTable[[#This Row],[Date Assigned if different from entry date]]&lt;&gt;"",CommitmentsTable[[#This Row],[Date Assigned if different from entry date]]+30,IF(CommitmentsTable[[#This Row],[Date record entered]]&lt;&gt;"",CommitmentsTable[[#This Row],[Date record entered]]+30,""))</f>
        <v/>
      </c>
      <c r="K936" s="245"/>
      <c r="L936" s="245" t="str">
        <f ca="1">IF(CommitmentsTable[[#This Row],[Date Assigned if different from entry date]]&lt;&gt;"",CommitmentsTable[[#This Row],[Date Assigned if different from entry date]]+60,IF(CommitmentsTable[[#This Row],[Date record entered]]&lt;&gt;"",CommitmentsTable[[#This Row],[Date record entered]]+60,""))</f>
        <v/>
      </c>
      <c r="M936" s="214"/>
      <c r="N936" s="214"/>
      <c r="O936" s="236"/>
      <c r="P936" s="214"/>
      <c r="Q936" s="214"/>
      <c r="R936" s="214"/>
      <c r="S936" s="238" t="str">
        <f>IF(CommitmentsTable[[#This Row],[Commitment / deliverable]]="","",IF(CommitmentsTable[[#This Row],[Revised due]]&lt;&gt;"",CommitmentsTable[[#This Row],[Revised due]],CommitmentsTable[[#This Row],[Original due]]))</f>
        <v/>
      </c>
      <c r="T936" s="237" t="str">
        <f>IF(OR(CommitmentsTable[[#This Row],[Commitment / deliverable]]="",CommitmentsTable[[#This Row],[Owner]]=""),"",IF(CommitmentsTable[[#This Row],[Status2]]="","Open",CommitmentsTable[[#This Row],[Status2]]))</f>
        <v/>
      </c>
      <c r="U936" s="237" t="str">
        <f t="shared" ca="1" si="14"/>
        <v/>
      </c>
      <c r="V936" s="233"/>
      <c r="W936" s="63" t="s">
        <v>1838</v>
      </c>
    </row>
    <row r="937" spans="1:23" ht="26">
      <c r="A937" s="213" t="str">
        <f>IF(OR(CommitmentsTable[[#This Row],[Commitment / deliverable]]="",CommitmentsTable[[#This Row],[Immutable Key]]=""),"",SUBSTITUTE(CommitmentsTable[[#This Row],[Immutable Key]],"-K-","-"))</f>
        <v/>
      </c>
      <c r="B937" s="233"/>
      <c r="C937" s="233"/>
      <c r="D937" s="213"/>
      <c r="E937" s="230"/>
      <c r="F937" s="213"/>
      <c r="G937" s="245" t="str">
        <f ca="1">IF(CommitmentsTable[[#This Row],[Commitment / deliverable]]="","",IF(CommitmentsTable[[#This Row],[Date record entered]]="",TODAY(),CommitmentsTable[[#This Row],[Date record entered]]))</f>
        <v/>
      </c>
      <c r="H937" s="245"/>
      <c r="I937" s="245" t="str">
        <f ca="1">IF(CommitmentsTable[[#This Row],[Date Assigned if different from entry date]]&lt;&gt;"",CommitmentsTable[[#This Row],[Date Assigned if different from entry date]]+90,IF(CommitmentsTable[[#This Row],[Date record entered]]&lt;&gt;"",CommitmentsTable[[#This Row],[Date record entered]]+90,""))</f>
        <v/>
      </c>
      <c r="J937" s="245" t="str">
        <f ca="1">IF(CommitmentsTable[[#This Row],[Date Assigned if different from entry date]]&lt;&gt;"",CommitmentsTable[[#This Row],[Date Assigned if different from entry date]]+30,IF(CommitmentsTable[[#This Row],[Date record entered]]&lt;&gt;"",CommitmentsTable[[#This Row],[Date record entered]]+30,""))</f>
        <v/>
      </c>
      <c r="K937" s="245"/>
      <c r="L937" s="245" t="str">
        <f ca="1">IF(CommitmentsTable[[#This Row],[Date Assigned if different from entry date]]&lt;&gt;"",CommitmentsTable[[#This Row],[Date Assigned if different from entry date]]+60,IF(CommitmentsTable[[#This Row],[Date record entered]]&lt;&gt;"",CommitmentsTable[[#This Row],[Date record entered]]+60,""))</f>
        <v/>
      </c>
      <c r="M937" s="214"/>
      <c r="N937" s="214"/>
      <c r="O937" s="236"/>
      <c r="P937" s="214"/>
      <c r="Q937" s="214"/>
      <c r="R937" s="214"/>
      <c r="S937" s="238" t="str">
        <f>IF(CommitmentsTable[[#This Row],[Commitment / deliverable]]="","",IF(CommitmentsTable[[#This Row],[Revised due]]&lt;&gt;"",CommitmentsTable[[#This Row],[Revised due]],CommitmentsTable[[#This Row],[Original due]]))</f>
        <v/>
      </c>
      <c r="T937" s="237" t="str">
        <f>IF(OR(CommitmentsTable[[#This Row],[Commitment / deliverable]]="",CommitmentsTable[[#This Row],[Owner]]=""),"",IF(CommitmentsTable[[#This Row],[Status2]]="","Open",CommitmentsTable[[#This Row],[Status2]]))</f>
        <v/>
      </c>
      <c r="U937" s="237" t="str">
        <f t="shared" ca="1" si="14"/>
        <v/>
      </c>
      <c r="V937" s="233"/>
      <c r="W937" s="63" t="s">
        <v>1839</v>
      </c>
    </row>
    <row r="938" spans="1:23" ht="26">
      <c r="A938" s="213" t="str">
        <f>IF(OR(CommitmentsTable[[#This Row],[Commitment / deliverable]]="",CommitmentsTable[[#This Row],[Immutable Key]]=""),"",SUBSTITUTE(CommitmentsTable[[#This Row],[Immutable Key]],"-K-","-"))</f>
        <v/>
      </c>
      <c r="B938" s="233"/>
      <c r="C938" s="233"/>
      <c r="D938" s="213"/>
      <c r="E938" s="230"/>
      <c r="F938" s="213"/>
      <c r="G938" s="245" t="str">
        <f ca="1">IF(CommitmentsTable[[#This Row],[Commitment / deliverable]]="","",IF(CommitmentsTable[[#This Row],[Date record entered]]="",TODAY(),CommitmentsTable[[#This Row],[Date record entered]]))</f>
        <v/>
      </c>
      <c r="H938" s="245"/>
      <c r="I938" s="245" t="str">
        <f ca="1">IF(CommitmentsTable[[#This Row],[Date Assigned if different from entry date]]&lt;&gt;"",CommitmentsTable[[#This Row],[Date Assigned if different from entry date]]+90,IF(CommitmentsTable[[#This Row],[Date record entered]]&lt;&gt;"",CommitmentsTable[[#This Row],[Date record entered]]+90,""))</f>
        <v/>
      </c>
      <c r="J938" s="245" t="str">
        <f ca="1">IF(CommitmentsTable[[#This Row],[Date Assigned if different from entry date]]&lt;&gt;"",CommitmentsTable[[#This Row],[Date Assigned if different from entry date]]+30,IF(CommitmentsTable[[#This Row],[Date record entered]]&lt;&gt;"",CommitmentsTable[[#This Row],[Date record entered]]+30,""))</f>
        <v/>
      </c>
      <c r="K938" s="245"/>
      <c r="L938" s="245" t="str">
        <f ca="1">IF(CommitmentsTable[[#This Row],[Date Assigned if different from entry date]]&lt;&gt;"",CommitmentsTable[[#This Row],[Date Assigned if different from entry date]]+60,IF(CommitmentsTable[[#This Row],[Date record entered]]&lt;&gt;"",CommitmentsTable[[#This Row],[Date record entered]]+60,""))</f>
        <v/>
      </c>
      <c r="M938" s="214"/>
      <c r="N938" s="214"/>
      <c r="O938" s="236"/>
      <c r="P938" s="214"/>
      <c r="Q938" s="214"/>
      <c r="R938" s="214"/>
      <c r="S938" s="238" t="str">
        <f>IF(CommitmentsTable[[#This Row],[Commitment / deliverable]]="","",IF(CommitmentsTable[[#This Row],[Revised due]]&lt;&gt;"",CommitmentsTable[[#This Row],[Revised due]],CommitmentsTable[[#This Row],[Original due]]))</f>
        <v/>
      </c>
      <c r="T938" s="237" t="str">
        <f>IF(OR(CommitmentsTable[[#This Row],[Commitment / deliverable]]="",CommitmentsTable[[#This Row],[Owner]]=""),"",IF(CommitmentsTable[[#This Row],[Status2]]="","Open",CommitmentsTable[[#This Row],[Status2]]))</f>
        <v/>
      </c>
      <c r="U938" s="237" t="str">
        <f t="shared" ca="1" si="14"/>
        <v/>
      </c>
      <c r="V938" s="233"/>
      <c r="W938" s="63" t="s">
        <v>1840</v>
      </c>
    </row>
    <row r="939" spans="1:23" ht="26">
      <c r="A939" s="213" t="str">
        <f>IF(OR(CommitmentsTable[[#This Row],[Commitment / deliverable]]="",CommitmentsTable[[#This Row],[Immutable Key]]=""),"",SUBSTITUTE(CommitmentsTable[[#This Row],[Immutable Key]],"-K-","-"))</f>
        <v/>
      </c>
      <c r="B939" s="233"/>
      <c r="C939" s="233"/>
      <c r="D939" s="213"/>
      <c r="E939" s="230"/>
      <c r="F939" s="213"/>
      <c r="G939" s="245" t="str">
        <f ca="1">IF(CommitmentsTable[[#This Row],[Commitment / deliverable]]="","",IF(CommitmentsTable[[#This Row],[Date record entered]]="",TODAY(),CommitmentsTable[[#This Row],[Date record entered]]))</f>
        <v/>
      </c>
      <c r="H939" s="245"/>
      <c r="I939" s="245" t="str">
        <f ca="1">IF(CommitmentsTable[[#This Row],[Date Assigned if different from entry date]]&lt;&gt;"",CommitmentsTable[[#This Row],[Date Assigned if different from entry date]]+90,IF(CommitmentsTable[[#This Row],[Date record entered]]&lt;&gt;"",CommitmentsTable[[#This Row],[Date record entered]]+90,""))</f>
        <v/>
      </c>
      <c r="J939" s="245" t="str">
        <f ca="1">IF(CommitmentsTable[[#This Row],[Date Assigned if different from entry date]]&lt;&gt;"",CommitmentsTable[[#This Row],[Date Assigned if different from entry date]]+30,IF(CommitmentsTable[[#This Row],[Date record entered]]&lt;&gt;"",CommitmentsTable[[#This Row],[Date record entered]]+30,""))</f>
        <v/>
      </c>
      <c r="K939" s="245"/>
      <c r="L939" s="245" t="str">
        <f ca="1">IF(CommitmentsTable[[#This Row],[Date Assigned if different from entry date]]&lt;&gt;"",CommitmentsTable[[#This Row],[Date Assigned if different from entry date]]+60,IF(CommitmentsTable[[#This Row],[Date record entered]]&lt;&gt;"",CommitmentsTable[[#This Row],[Date record entered]]+60,""))</f>
        <v/>
      </c>
      <c r="M939" s="214"/>
      <c r="N939" s="214"/>
      <c r="O939" s="236"/>
      <c r="P939" s="214"/>
      <c r="Q939" s="214"/>
      <c r="R939" s="214"/>
      <c r="S939" s="238" t="str">
        <f>IF(CommitmentsTable[[#This Row],[Commitment / deliverable]]="","",IF(CommitmentsTable[[#This Row],[Revised due]]&lt;&gt;"",CommitmentsTable[[#This Row],[Revised due]],CommitmentsTable[[#This Row],[Original due]]))</f>
        <v/>
      </c>
      <c r="T939" s="237" t="str">
        <f>IF(OR(CommitmentsTable[[#This Row],[Commitment / deliverable]]="",CommitmentsTable[[#This Row],[Owner]]=""),"",IF(CommitmentsTable[[#This Row],[Status2]]="","Open",CommitmentsTable[[#This Row],[Status2]]))</f>
        <v/>
      </c>
      <c r="U939" s="237" t="str">
        <f t="shared" ca="1" si="14"/>
        <v/>
      </c>
      <c r="V939" s="233"/>
      <c r="W939" s="63" t="s">
        <v>1841</v>
      </c>
    </row>
    <row r="940" spans="1:23" ht="26">
      <c r="A940" s="213" t="str">
        <f>IF(OR(CommitmentsTable[[#This Row],[Commitment / deliverable]]="",CommitmentsTable[[#This Row],[Immutable Key]]=""),"",SUBSTITUTE(CommitmentsTable[[#This Row],[Immutable Key]],"-K-","-"))</f>
        <v/>
      </c>
      <c r="B940" s="233"/>
      <c r="C940" s="233"/>
      <c r="D940" s="213"/>
      <c r="E940" s="230"/>
      <c r="F940" s="213"/>
      <c r="G940" s="245" t="str">
        <f ca="1">IF(CommitmentsTable[[#This Row],[Commitment / deliverable]]="","",IF(CommitmentsTable[[#This Row],[Date record entered]]="",TODAY(),CommitmentsTable[[#This Row],[Date record entered]]))</f>
        <v/>
      </c>
      <c r="H940" s="245"/>
      <c r="I940" s="245" t="str">
        <f ca="1">IF(CommitmentsTable[[#This Row],[Date Assigned if different from entry date]]&lt;&gt;"",CommitmentsTable[[#This Row],[Date Assigned if different from entry date]]+90,IF(CommitmentsTable[[#This Row],[Date record entered]]&lt;&gt;"",CommitmentsTable[[#This Row],[Date record entered]]+90,""))</f>
        <v/>
      </c>
      <c r="J940" s="245" t="str">
        <f ca="1">IF(CommitmentsTable[[#This Row],[Date Assigned if different from entry date]]&lt;&gt;"",CommitmentsTable[[#This Row],[Date Assigned if different from entry date]]+30,IF(CommitmentsTable[[#This Row],[Date record entered]]&lt;&gt;"",CommitmentsTable[[#This Row],[Date record entered]]+30,""))</f>
        <v/>
      </c>
      <c r="K940" s="245"/>
      <c r="L940" s="245" t="str">
        <f ca="1">IF(CommitmentsTable[[#This Row],[Date Assigned if different from entry date]]&lt;&gt;"",CommitmentsTable[[#This Row],[Date Assigned if different from entry date]]+60,IF(CommitmentsTable[[#This Row],[Date record entered]]&lt;&gt;"",CommitmentsTable[[#This Row],[Date record entered]]+60,""))</f>
        <v/>
      </c>
      <c r="M940" s="214"/>
      <c r="N940" s="214"/>
      <c r="O940" s="236"/>
      <c r="P940" s="214"/>
      <c r="Q940" s="214"/>
      <c r="R940" s="214"/>
      <c r="S940" s="238" t="str">
        <f>IF(CommitmentsTable[[#This Row],[Commitment / deliverable]]="","",IF(CommitmentsTable[[#This Row],[Revised due]]&lt;&gt;"",CommitmentsTable[[#This Row],[Revised due]],CommitmentsTable[[#This Row],[Original due]]))</f>
        <v/>
      </c>
      <c r="T940" s="237" t="str">
        <f>IF(OR(CommitmentsTable[[#This Row],[Commitment / deliverable]]="",CommitmentsTable[[#This Row],[Owner]]=""),"",IF(CommitmentsTable[[#This Row],[Status2]]="","Open",CommitmentsTable[[#This Row],[Status2]]))</f>
        <v/>
      </c>
      <c r="U940" s="237" t="str">
        <f t="shared" ca="1" si="14"/>
        <v/>
      </c>
      <c r="V940" s="233"/>
      <c r="W940" s="63" t="s">
        <v>1842</v>
      </c>
    </row>
    <row r="941" spans="1:23" ht="26">
      <c r="A941" s="213" t="str">
        <f>IF(OR(CommitmentsTable[[#This Row],[Commitment / deliverable]]="",CommitmentsTable[[#This Row],[Immutable Key]]=""),"",SUBSTITUTE(CommitmentsTable[[#This Row],[Immutable Key]],"-K-","-"))</f>
        <v/>
      </c>
      <c r="B941" s="233"/>
      <c r="C941" s="233"/>
      <c r="D941" s="213"/>
      <c r="E941" s="230"/>
      <c r="F941" s="213"/>
      <c r="G941" s="245" t="str">
        <f ca="1">IF(CommitmentsTable[[#This Row],[Commitment / deliverable]]="","",IF(CommitmentsTable[[#This Row],[Date record entered]]="",TODAY(),CommitmentsTable[[#This Row],[Date record entered]]))</f>
        <v/>
      </c>
      <c r="H941" s="245"/>
      <c r="I941" s="245" t="str">
        <f ca="1">IF(CommitmentsTable[[#This Row],[Date Assigned if different from entry date]]&lt;&gt;"",CommitmentsTable[[#This Row],[Date Assigned if different from entry date]]+90,IF(CommitmentsTable[[#This Row],[Date record entered]]&lt;&gt;"",CommitmentsTable[[#This Row],[Date record entered]]+90,""))</f>
        <v/>
      </c>
      <c r="J941" s="245" t="str">
        <f ca="1">IF(CommitmentsTable[[#This Row],[Date Assigned if different from entry date]]&lt;&gt;"",CommitmentsTable[[#This Row],[Date Assigned if different from entry date]]+30,IF(CommitmentsTable[[#This Row],[Date record entered]]&lt;&gt;"",CommitmentsTable[[#This Row],[Date record entered]]+30,""))</f>
        <v/>
      </c>
      <c r="K941" s="245"/>
      <c r="L941" s="245" t="str">
        <f ca="1">IF(CommitmentsTable[[#This Row],[Date Assigned if different from entry date]]&lt;&gt;"",CommitmentsTable[[#This Row],[Date Assigned if different from entry date]]+60,IF(CommitmentsTable[[#This Row],[Date record entered]]&lt;&gt;"",CommitmentsTable[[#This Row],[Date record entered]]+60,""))</f>
        <v/>
      </c>
      <c r="M941" s="214"/>
      <c r="N941" s="214"/>
      <c r="O941" s="236"/>
      <c r="P941" s="214"/>
      <c r="Q941" s="214"/>
      <c r="R941" s="214"/>
      <c r="S941" s="238" t="str">
        <f>IF(CommitmentsTable[[#This Row],[Commitment / deliverable]]="","",IF(CommitmentsTable[[#This Row],[Revised due]]&lt;&gt;"",CommitmentsTable[[#This Row],[Revised due]],CommitmentsTable[[#This Row],[Original due]]))</f>
        <v/>
      </c>
      <c r="T941" s="237" t="str">
        <f>IF(OR(CommitmentsTable[[#This Row],[Commitment / deliverable]]="",CommitmentsTable[[#This Row],[Owner]]=""),"",IF(CommitmentsTable[[#This Row],[Status2]]="","Open",CommitmentsTable[[#This Row],[Status2]]))</f>
        <v/>
      </c>
      <c r="U941" s="237" t="str">
        <f t="shared" ca="1" si="14"/>
        <v/>
      </c>
      <c r="V941" s="233"/>
      <c r="W941" s="63" t="s">
        <v>1843</v>
      </c>
    </row>
    <row r="942" spans="1:23" ht="26">
      <c r="A942" s="213" t="str">
        <f>IF(OR(CommitmentsTable[[#This Row],[Commitment / deliverable]]="",CommitmentsTable[[#This Row],[Immutable Key]]=""),"",SUBSTITUTE(CommitmentsTable[[#This Row],[Immutable Key]],"-K-","-"))</f>
        <v/>
      </c>
      <c r="B942" s="233"/>
      <c r="C942" s="233"/>
      <c r="D942" s="213"/>
      <c r="E942" s="230"/>
      <c r="F942" s="213"/>
      <c r="G942" s="245" t="str">
        <f ca="1">IF(CommitmentsTable[[#This Row],[Commitment / deliverable]]="","",IF(CommitmentsTable[[#This Row],[Date record entered]]="",TODAY(),CommitmentsTable[[#This Row],[Date record entered]]))</f>
        <v/>
      </c>
      <c r="H942" s="245"/>
      <c r="I942" s="245" t="str">
        <f ca="1">IF(CommitmentsTable[[#This Row],[Date Assigned if different from entry date]]&lt;&gt;"",CommitmentsTable[[#This Row],[Date Assigned if different from entry date]]+90,IF(CommitmentsTable[[#This Row],[Date record entered]]&lt;&gt;"",CommitmentsTable[[#This Row],[Date record entered]]+90,""))</f>
        <v/>
      </c>
      <c r="J942" s="245" t="str">
        <f ca="1">IF(CommitmentsTable[[#This Row],[Date Assigned if different from entry date]]&lt;&gt;"",CommitmentsTable[[#This Row],[Date Assigned if different from entry date]]+30,IF(CommitmentsTable[[#This Row],[Date record entered]]&lt;&gt;"",CommitmentsTable[[#This Row],[Date record entered]]+30,""))</f>
        <v/>
      </c>
      <c r="K942" s="245"/>
      <c r="L942" s="245" t="str">
        <f ca="1">IF(CommitmentsTable[[#This Row],[Date Assigned if different from entry date]]&lt;&gt;"",CommitmentsTable[[#This Row],[Date Assigned if different from entry date]]+60,IF(CommitmentsTable[[#This Row],[Date record entered]]&lt;&gt;"",CommitmentsTable[[#This Row],[Date record entered]]+60,""))</f>
        <v/>
      </c>
      <c r="M942" s="214"/>
      <c r="N942" s="214"/>
      <c r="O942" s="236"/>
      <c r="P942" s="214"/>
      <c r="Q942" s="214"/>
      <c r="R942" s="214"/>
      <c r="S942" s="238" t="str">
        <f>IF(CommitmentsTable[[#This Row],[Commitment / deliverable]]="","",IF(CommitmentsTable[[#This Row],[Revised due]]&lt;&gt;"",CommitmentsTable[[#This Row],[Revised due]],CommitmentsTable[[#This Row],[Original due]]))</f>
        <v/>
      </c>
      <c r="T942" s="237" t="str">
        <f>IF(OR(CommitmentsTable[[#This Row],[Commitment / deliverable]]="",CommitmentsTable[[#This Row],[Owner]]=""),"",IF(CommitmentsTable[[#This Row],[Status2]]="","Open",CommitmentsTable[[#This Row],[Status2]]))</f>
        <v/>
      </c>
      <c r="U942" s="237" t="str">
        <f t="shared" ca="1" si="14"/>
        <v/>
      </c>
      <c r="V942" s="233"/>
      <c r="W942" s="63" t="s">
        <v>1844</v>
      </c>
    </row>
    <row r="943" spans="1:23" ht="26">
      <c r="A943" s="213" t="str">
        <f>IF(OR(CommitmentsTable[[#This Row],[Commitment / deliverable]]="",CommitmentsTable[[#This Row],[Immutable Key]]=""),"",SUBSTITUTE(CommitmentsTable[[#This Row],[Immutable Key]],"-K-","-"))</f>
        <v/>
      </c>
      <c r="B943" s="233"/>
      <c r="C943" s="233"/>
      <c r="D943" s="213"/>
      <c r="E943" s="230"/>
      <c r="F943" s="213"/>
      <c r="G943" s="245" t="str">
        <f ca="1">IF(CommitmentsTable[[#This Row],[Commitment / deliverable]]="","",IF(CommitmentsTable[[#This Row],[Date record entered]]="",TODAY(),CommitmentsTable[[#This Row],[Date record entered]]))</f>
        <v/>
      </c>
      <c r="H943" s="245"/>
      <c r="I943" s="245" t="str">
        <f ca="1">IF(CommitmentsTable[[#This Row],[Date Assigned if different from entry date]]&lt;&gt;"",CommitmentsTable[[#This Row],[Date Assigned if different from entry date]]+90,IF(CommitmentsTable[[#This Row],[Date record entered]]&lt;&gt;"",CommitmentsTable[[#This Row],[Date record entered]]+90,""))</f>
        <v/>
      </c>
      <c r="J943" s="245" t="str">
        <f ca="1">IF(CommitmentsTable[[#This Row],[Date Assigned if different from entry date]]&lt;&gt;"",CommitmentsTable[[#This Row],[Date Assigned if different from entry date]]+30,IF(CommitmentsTable[[#This Row],[Date record entered]]&lt;&gt;"",CommitmentsTable[[#This Row],[Date record entered]]+30,""))</f>
        <v/>
      </c>
      <c r="K943" s="245"/>
      <c r="L943" s="245" t="str">
        <f ca="1">IF(CommitmentsTable[[#This Row],[Date Assigned if different from entry date]]&lt;&gt;"",CommitmentsTable[[#This Row],[Date Assigned if different from entry date]]+60,IF(CommitmentsTable[[#This Row],[Date record entered]]&lt;&gt;"",CommitmentsTable[[#This Row],[Date record entered]]+60,""))</f>
        <v/>
      </c>
      <c r="M943" s="214"/>
      <c r="N943" s="214"/>
      <c r="O943" s="236"/>
      <c r="P943" s="214"/>
      <c r="Q943" s="214"/>
      <c r="R943" s="214"/>
      <c r="S943" s="238" t="str">
        <f>IF(CommitmentsTable[[#This Row],[Commitment / deliverable]]="","",IF(CommitmentsTable[[#This Row],[Revised due]]&lt;&gt;"",CommitmentsTable[[#This Row],[Revised due]],CommitmentsTable[[#This Row],[Original due]]))</f>
        <v/>
      </c>
      <c r="T943" s="237" t="str">
        <f>IF(OR(CommitmentsTable[[#This Row],[Commitment / deliverable]]="",CommitmentsTable[[#This Row],[Owner]]=""),"",IF(CommitmentsTable[[#This Row],[Status2]]="","Open",CommitmentsTable[[#This Row],[Status2]]))</f>
        <v/>
      </c>
      <c r="U943" s="237" t="str">
        <f t="shared" ca="1" si="14"/>
        <v/>
      </c>
      <c r="V943" s="233"/>
      <c r="W943" s="63" t="s">
        <v>1845</v>
      </c>
    </row>
    <row r="944" spans="1:23" ht="26">
      <c r="A944" s="213" t="str">
        <f>IF(OR(CommitmentsTable[[#This Row],[Commitment / deliverable]]="",CommitmentsTable[[#This Row],[Immutable Key]]=""),"",SUBSTITUTE(CommitmentsTable[[#This Row],[Immutable Key]],"-K-","-"))</f>
        <v/>
      </c>
      <c r="B944" s="233"/>
      <c r="C944" s="233"/>
      <c r="D944" s="213"/>
      <c r="E944" s="230"/>
      <c r="F944" s="213"/>
      <c r="G944" s="245" t="str">
        <f ca="1">IF(CommitmentsTable[[#This Row],[Commitment / deliverable]]="","",IF(CommitmentsTable[[#This Row],[Date record entered]]="",TODAY(),CommitmentsTable[[#This Row],[Date record entered]]))</f>
        <v/>
      </c>
      <c r="H944" s="245"/>
      <c r="I944" s="245" t="str">
        <f ca="1">IF(CommitmentsTable[[#This Row],[Date Assigned if different from entry date]]&lt;&gt;"",CommitmentsTable[[#This Row],[Date Assigned if different from entry date]]+90,IF(CommitmentsTable[[#This Row],[Date record entered]]&lt;&gt;"",CommitmentsTable[[#This Row],[Date record entered]]+90,""))</f>
        <v/>
      </c>
      <c r="J944" s="245" t="str">
        <f ca="1">IF(CommitmentsTable[[#This Row],[Date Assigned if different from entry date]]&lt;&gt;"",CommitmentsTable[[#This Row],[Date Assigned if different from entry date]]+30,IF(CommitmentsTable[[#This Row],[Date record entered]]&lt;&gt;"",CommitmentsTable[[#This Row],[Date record entered]]+30,""))</f>
        <v/>
      </c>
      <c r="K944" s="245"/>
      <c r="L944" s="245" t="str">
        <f ca="1">IF(CommitmentsTable[[#This Row],[Date Assigned if different from entry date]]&lt;&gt;"",CommitmentsTable[[#This Row],[Date Assigned if different from entry date]]+60,IF(CommitmentsTable[[#This Row],[Date record entered]]&lt;&gt;"",CommitmentsTable[[#This Row],[Date record entered]]+60,""))</f>
        <v/>
      </c>
      <c r="M944" s="214"/>
      <c r="N944" s="214"/>
      <c r="O944" s="236"/>
      <c r="P944" s="214"/>
      <c r="Q944" s="214"/>
      <c r="R944" s="214"/>
      <c r="S944" s="238" t="str">
        <f>IF(CommitmentsTable[[#This Row],[Commitment / deliverable]]="","",IF(CommitmentsTable[[#This Row],[Revised due]]&lt;&gt;"",CommitmentsTable[[#This Row],[Revised due]],CommitmentsTable[[#This Row],[Original due]]))</f>
        <v/>
      </c>
      <c r="T944" s="237" t="str">
        <f>IF(OR(CommitmentsTable[[#This Row],[Commitment / deliverable]]="",CommitmentsTable[[#This Row],[Owner]]=""),"",IF(CommitmentsTable[[#This Row],[Status2]]="","Open",CommitmentsTable[[#This Row],[Status2]]))</f>
        <v/>
      </c>
      <c r="U944" s="237" t="str">
        <f t="shared" ca="1" si="14"/>
        <v/>
      </c>
      <c r="V944" s="233"/>
      <c r="W944" s="63" t="s">
        <v>1846</v>
      </c>
    </row>
    <row r="945" spans="1:23" ht="26">
      <c r="A945" s="213" t="str">
        <f>IF(OR(CommitmentsTable[[#This Row],[Commitment / deliverable]]="",CommitmentsTable[[#This Row],[Immutable Key]]=""),"",SUBSTITUTE(CommitmentsTable[[#This Row],[Immutable Key]],"-K-","-"))</f>
        <v/>
      </c>
      <c r="B945" s="233"/>
      <c r="C945" s="233"/>
      <c r="D945" s="213"/>
      <c r="E945" s="230"/>
      <c r="F945" s="213"/>
      <c r="G945" s="245" t="str">
        <f ca="1">IF(CommitmentsTable[[#This Row],[Commitment / deliverable]]="","",IF(CommitmentsTable[[#This Row],[Date record entered]]="",TODAY(),CommitmentsTable[[#This Row],[Date record entered]]))</f>
        <v/>
      </c>
      <c r="H945" s="245"/>
      <c r="I945" s="245" t="str">
        <f ca="1">IF(CommitmentsTable[[#This Row],[Date Assigned if different from entry date]]&lt;&gt;"",CommitmentsTable[[#This Row],[Date Assigned if different from entry date]]+90,IF(CommitmentsTable[[#This Row],[Date record entered]]&lt;&gt;"",CommitmentsTable[[#This Row],[Date record entered]]+90,""))</f>
        <v/>
      </c>
      <c r="J945" s="245" t="str">
        <f ca="1">IF(CommitmentsTable[[#This Row],[Date Assigned if different from entry date]]&lt;&gt;"",CommitmentsTable[[#This Row],[Date Assigned if different from entry date]]+30,IF(CommitmentsTable[[#This Row],[Date record entered]]&lt;&gt;"",CommitmentsTable[[#This Row],[Date record entered]]+30,""))</f>
        <v/>
      </c>
      <c r="K945" s="245"/>
      <c r="L945" s="245" t="str">
        <f ca="1">IF(CommitmentsTable[[#This Row],[Date Assigned if different from entry date]]&lt;&gt;"",CommitmentsTable[[#This Row],[Date Assigned if different from entry date]]+60,IF(CommitmentsTable[[#This Row],[Date record entered]]&lt;&gt;"",CommitmentsTable[[#This Row],[Date record entered]]+60,""))</f>
        <v/>
      </c>
      <c r="M945" s="214"/>
      <c r="N945" s="214"/>
      <c r="O945" s="236"/>
      <c r="P945" s="214"/>
      <c r="Q945" s="214"/>
      <c r="R945" s="214"/>
      <c r="S945" s="238" t="str">
        <f>IF(CommitmentsTable[[#This Row],[Commitment / deliverable]]="","",IF(CommitmentsTable[[#This Row],[Revised due]]&lt;&gt;"",CommitmentsTable[[#This Row],[Revised due]],CommitmentsTable[[#This Row],[Original due]]))</f>
        <v/>
      </c>
      <c r="T945" s="237" t="str">
        <f>IF(OR(CommitmentsTable[[#This Row],[Commitment / deliverable]]="",CommitmentsTable[[#This Row],[Owner]]=""),"",IF(CommitmentsTable[[#This Row],[Status2]]="","Open",CommitmentsTable[[#This Row],[Status2]]))</f>
        <v/>
      </c>
      <c r="U945" s="237" t="str">
        <f t="shared" ca="1" si="14"/>
        <v/>
      </c>
      <c r="V945" s="233"/>
      <c r="W945" s="63" t="s">
        <v>1847</v>
      </c>
    </row>
    <row r="946" spans="1:23" ht="26">
      <c r="A946" s="213" t="str">
        <f>IF(OR(CommitmentsTable[[#This Row],[Commitment / deliverable]]="",CommitmentsTable[[#This Row],[Immutable Key]]=""),"",SUBSTITUTE(CommitmentsTable[[#This Row],[Immutable Key]],"-K-","-"))</f>
        <v/>
      </c>
      <c r="B946" s="233"/>
      <c r="C946" s="233"/>
      <c r="D946" s="213"/>
      <c r="E946" s="230"/>
      <c r="F946" s="213"/>
      <c r="G946" s="245" t="str">
        <f ca="1">IF(CommitmentsTable[[#This Row],[Commitment / deliverable]]="","",IF(CommitmentsTable[[#This Row],[Date record entered]]="",TODAY(),CommitmentsTable[[#This Row],[Date record entered]]))</f>
        <v/>
      </c>
      <c r="H946" s="245"/>
      <c r="I946" s="245" t="str">
        <f ca="1">IF(CommitmentsTable[[#This Row],[Date Assigned if different from entry date]]&lt;&gt;"",CommitmentsTable[[#This Row],[Date Assigned if different from entry date]]+90,IF(CommitmentsTable[[#This Row],[Date record entered]]&lt;&gt;"",CommitmentsTable[[#This Row],[Date record entered]]+90,""))</f>
        <v/>
      </c>
      <c r="J946" s="245" t="str">
        <f ca="1">IF(CommitmentsTable[[#This Row],[Date Assigned if different from entry date]]&lt;&gt;"",CommitmentsTable[[#This Row],[Date Assigned if different from entry date]]+30,IF(CommitmentsTable[[#This Row],[Date record entered]]&lt;&gt;"",CommitmentsTable[[#This Row],[Date record entered]]+30,""))</f>
        <v/>
      </c>
      <c r="K946" s="245"/>
      <c r="L946" s="245" t="str">
        <f ca="1">IF(CommitmentsTable[[#This Row],[Date Assigned if different from entry date]]&lt;&gt;"",CommitmentsTable[[#This Row],[Date Assigned if different from entry date]]+60,IF(CommitmentsTable[[#This Row],[Date record entered]]&lt;&gt;"",CommitmentsTable[[#This Row],[Date record entered]]+60,""))</f>
        <v/>
      </c>
      <c r="M946" s="214"/>
      <c r="N946" s="214"/>
      <c r="O946" s="236"/>
      <c r="P946" s="214"/>
      <c r="Q946" s="214"/>
      <c r="R946" s="214"/>
      <c r="S946" s="238" t="str">
        <f>IF(CommitmentsTable[[#This Row],[Commitment / deliverable]]="","",IF(CommitmentsTable[[#This Row],[Revised due]]&lt;&gt;"",CommitmentsTable[[#This Row],[Revised due]],CommitmentsTable[[#This Row],[Original due]]))</f>
        <v/>
      </c>
      <c r="T946" s="237" t="str">
        <f>IF(OR(CommitmentsTable[[#This Row],[Commitment / deliverable]]="",CommitmentsTable[[#This Row],[Owner]]=""),"",IF(CommitmentsTable[[#This Row],[Status2]]="","Open",CommitmentsTable[[#This Row],[Status2]]))</f>
        <v/>
      </c>
      <c r="U946" s="237" t="str">
        <f t="shared" ca="1" si="14"/>
        <v/>
      </c>
      <c r="V946" s="233"/>
      <c r="W946" s="63" t="s">
        <v>1848</v>
      </c>
    </row>
    <row r="947" spans="1:23" ht="26">
      <c r="A947" s="213" t="str">
        <f>IF(OR(CommitmentsTable[[#This Row],[Commitment / deliverable]]="",CommitmentsTable[[#This Row],[Immutable Key]]=""),"",SUBSTITUTE(CommitmentsTable[[#This Row],[Immutable Key]],"-K-","-"))</f>
        <v/>
      </c>
      <c r="B947" s="233"/>
      <c r="C947" s="233"/>
      <c r="D947" s="213"/>
      <c r="E947" s="230"/>
      <c r="F947" s="213"/>
      <c r="G947" s="245" t="str">
        <f ca="1">IF(CommitmentsTable[[#This Row],[Commitment / deliverable]]="","",IF(CommitmentsTable[[#This Row],[Date record entered]]="",TODAY(),CommitmentsTable[[#This Row],[Date record entered]]))</f>
        <v/>
      </c>
      <c r="H947" s="245"/>
      <c r="I947" s="245" t="str">
        <f ca="1">IF(CommitmentsTable[[#This Row],[Date Assigned if different from entry date]]&lt;&gt;"",CommitmentsTable[[#This Row],[Date Assigned if different from entry date]]+90,IF(CommitmentsTable[[#This Row],[Date record entered]]&lt;&gt;"",CommitmentsTable[[#This Row],[Date record entered]]+90,""))</f>
        <v/>
      </c>
      <c r="J947" s="245" t="str">
        <f ca="1">IF(CommitmentsTable[[#This Row],[Date Assigned if different from entry date]]&lt;&gt;"",CommitmentsTable[[#This Row],[Date Assigned if different from entry date]]+30,IF(CommitmentsTable[[#This Row],[Date record entered]]&lt;&gt;"",CommitmentsTable[[#This Row],[Date record entered]]+30,""))</f>
        <v/>
      </c>
      <c r="K947" s="245"/>
      <c r="L947" s="245" t="str">
        <f ca="1">IF(CommitmentsTable[[#This Row],[Date Assigned if different from entry date]]&lt;&gt;"",CommitmentsTable[[#This Row],[Date Assigned if different from entry date]]+60,IF(CommitmentsTable[[#This Row],[Date record entered]]&lt;&gt;"",CommitmentsTable[[#This Row],[Date record entered]]+60,""))</f>
        <v/>
      </c>
      <c r="M947" s="214"/>
      <c r="N947" s="214"/>
      <c r="O947" s="236"/>
      <c r="P947" s="214"/>
      <c r="Q947" s="214"/>
      <c r="R947" s="214"/>
      <c r="S947" s="238" t="str">
        <f>IF(CommitmentsTable[[#This Row],[Commitment / deliverable]]="","",IF(CommitmentsTable[[#This Row],[Revised due]]&lt;&gt;"",CommitmentsTable[[#This Row],[Revised due]],CommitmentsTable[[#This Row],[Original due]]))</f>
        <v/>
      </c>
      <c r="T947" s="237" t="str">
        <f>IF(OR(CommitmentsTable[[#This Row],[Commitment / deliverable]]="",CommitmentsTable[[#This Row],[Owner]]=""),"",IF(CommitmentsTable[[#This Row],[Status2]]="","Open",CommitmentsTable[[#This Row],[Status2]]))</f>
        <v/>
      </c>
      <c r="U947" s="237" t="str">
        <f t="shared" ca="1" si="14"/>
        <v/>
      </c>
      <c r="V947" s="233"/>
      <c r="W947" s="63" t="s">
        <v>1849</v>
      </c>
    </row>
    <row r="948" spans="1:23" ht="26">
      <c r="A948" s="213" t="str">
        <f>IF(OR(CommitmentsTable[[#This Row],[Commitment / deliverable]]="",CommitmentsTable[[#This Row],[Immutable Key]]=""),"",SUBSTITUTE(CommitmentsTable[[#This Row],[Immutable Key]],"-K-","-"))</f>
        <v/>
      </c>
      <c r="B948" s="233"/>
      <c r="C948" s="233"/>
      <c r="D948" s="213"/>
      <c r="E948" s="230"/>
      <c r="F948" s="213"/>
      <c r="G948" s="245" t="str">
        <f ca="1">IF(CommitmentsTable[[#This Row],[Commitment / deliverable]]="","",IF(CommitmentsTable[[#This Row],[Date record entered]]="",TODAY(),CommitmentsTable[[#This Row],[Date record entered]]))</f>
        <v/>
      </c>
      <c r="H948" s="245"/>
      <c r="I948" s="245" t="str">
        <f ca="1">IF(CommitmentsTable[[#This Row],[Date Assigned if different from entry date]]&lt;&gt;"",CommitmentsTable[[#This Row],[Date Assigned if different from entry date]]+90,IF(CommitmentsTable[[#This Row],[Date record entered]]&lt;&gt;"",CommitmentsTable[[#This Row],[Date record entered]]+90,""))</f>
        <v/>
      </c>
      <c r="J948" s="245" t="str">
        <f ca="1">IF(CommitmentsTable[[#This Row],[Date Assigned if different from entry date]]&lt;&gt;"",CommitmentsTable[[#This Row],[Date Assigned if different from entry date]]+30,IF(CommitmentsTable[[#This Row],[Date record entered]]&lt;&gt;"",CommitmentsTable[[#This Row],[Date record entered]]+30,""))</f>
        <v/>
      </c>
      <c r="K948" s="245"/>
      <c r="L948" s="245" t="str">
        <f ca="1">IF(CommitmentsTable[[#This Row],[Date Assigned if different from entry date]]&lt;&gt;"",CommitmentsTable[[#This Row],[Date Assigned if different from entry date]]+60,IF(CommitmentsTable[[#This Row],[Date record entered]]&lt;&gt;"",CommitmentsTable[[#This Row],[Date record entered]]+60,""))</f>
        <v/>
      </c>
      <c r="M948" s="214"/>
      <c r="N948" s="214"/>
      <c r="O948" s="236"/>
      <c r="P948" s="214"/>
      <c r="Q948" s="214"/>
      <c r="R948" s="214"/>
      <c r="S948" s="238" t="str">
        <f>IF(CommitmentsTable[[#This Row],[Commitment / deliverable]]="","",IF(CommitmentsTable[[#This Row],[Revised due]]&lt;&gt;"",CommitmentsTable[[#This Row],[Revised due]],CommitmentsTable[[#This Row],[Original due]]))</f>
        <v/>
      </c>
      <c r="T948" s="237" t="str">
        <f>IF(OR(CommitmentsTable[[#This Row],[Commitment / deliverable]]="",CommitmentsTable[[#This Row],[Owner]]=""),"",IF(CommitmentsTable[[#This Row],[Status2]]="","Open",CommitmentsTable[[#This Row],[Status2]]))</f>
        <v/>
      </c>
      <c r="U948" s="237" t="str">
        <f t="shared" ca="1" si="14"/>
        <v/>
      </c>
      <c r="V948" s="233"/>
      <c r="W948" s="63" t="s">
        <v>1850</v>
      </c>
    </row>
    <row r="949" spans="1:23" ht="26">
      <c r="A949" s="213" t="str">
        <f>IF(OR(CommitmentsTable[[#This Row],[Commitment / deliverable]]="",CommitmentsTable[[#This Row],[Immutable Key]]=""),"",SUBSTITUTE(CommitmentsTable[[#This Row],[Immutable Key]],"-K-","-"))</f>
        <v/>
      </c>
      <c r="B949" s="233"/>
      <c r="C949" s="233"/>
      <c r="D949" s="213"/>
      <c r="E949" s="230"/>
      <c r="F949" s="213"/>
      <c r="G949" s="245" t="str">
        <f ca="1">IF(CommitmentsTable[[#This Row],[Commitment / deliverable]]="","",IF(CommitmentsTable[[#This Row],[Date record entered]]="",TODAY(),CommitmentsTable[[#This Row],[Date record entered]]))</f>
        <v/>
      </c>
      <c r="H949" s="245"/>
      <c r="I949" s="245" t="str">
        <f ca="1">IF(CommitmentsTable[[#This Row],[Date Assigned if different from entry date]]&lt;&gt;"",CommitmentsTable[[#This Row],[Date Assigned if different from entry date]]+90,IF(CommitmentsTable[[#This Row],[Date record entered]]&lt;&gt;"",CommitmentsTable[[#This Row],[Date record entered]]+90,""))</f>
        <v/>
      </c>
      <c r="J949" s="245" t="str">
        <f ca="1">IF(CommitmentsTable[[#This Row],[Date Assigned if different from entry date]]&lt;&gt;"",CommitmentsTable[[#This Row],[Date Assigned if different from entry date]]+30,IF(CommitmentsTable[[#This Row],[Date record entered]]&lt;&gt;"",CommitmentsTable[[#This Row],[Date record entered]]+30,""))</f>
        <v/>
      </c>
      <c r="K949" s="245"/>
      <c r="L949" s="245" t="str">
        <f ca="1">IF(CommitmentsTable[[#This Row],[Date Assigned if different from entry date]]&lt;&gt;"",CommitmentsTable[[#This Row],[Date Assigned if different from entry date]]+60,IF(CommitmentsTable[[#This Row],[Date record entered]]&lt;&gt;"",CommitmentsTable[[#This Row],[Date record entered]]+60,""))</f>
        <v/>
      </c>
      <c r="M949" s="214"/>
      <c r="N949" s="214"/>
      <c r="O949" s="236"/>
      <c r="P949" s="214"/>
      <c r="Q949" s="214"/>
      <c r="R949" s="214"/>
      <c r="S949" s="238" t="str">
        <f>IF(CommitmentsTable[[#This Row],[Commitment / deliverable]]="","",IF(CommitmentsTable[[#This Row],[Revised due]]&lt;&gt;"",CommitmentsTable[[#This Row],[Revised due]],CommitmentsTable[[#This Row],[Original due]]))</f>
        <v/>
      </c>
      <c r="T949" s="237" t="str">
        <f>IF(OR(CommitmentsTable[[#This Row],[Commitment / deliverable]]="",CommitmentsTable[[#This Row],[Owner]]=""),"",IF(CommitmentsTable[[#This Row],[Status2]]="","Open",CommitmentsTable[[#This Row],[Status2]]))</f>
        <v/>
      </c>
      <c r="U949" s="237" t="str">
        <f t="shared" ca="1" si="14"/>
        <v/>
      </c>
      <c r="V949" s="233"/>
      <c r="W949" s="63" t="s">
        <v>1851</v>
      </c>
    </row>
    <row r="950" spans="1:23" ht="26">
      <c r="A950" s="213" t="str">
        <f>IF(OR(CommitmentsTable[[#This Row],[Commitment / deliverable]]="",CommitmentsTable[[#This Row],[Immutable Key]]=""),"",SUBSTITUTE(CommitmentsTable[[#This Row],[Immutable Key]],"-K-","-"))</f>
        <v/>
      </c>
      <c r="B950" s="233"/>
      <c r="C950" s="233"/>
      <c r="D950" s="213"/>
      <c r="E950" s="230"/>
      <c r="F950" s="213"/>
      <c r="G950" s="245" t="str">
        <f ca="1">IF(CommitmentsTable[[#This Row],[Commitment / deliverable]]="","",IF(CommitmentsTable[[#This Row],[Date record entered]]="",TODAY(),CommitmentsTable[[#This Row],[Date record entered]]))</f>
        <v/>
      </c>
      <c r="H950" s="245"/>
      <c r="I950" s="245" t="str">
        <f ca="1">IF(CommitmentsTable[[#This Row],[Date Assigned if different from entry date]]&lt;&gt;"",CommitmentsTable[[#This Row],[Date Assigned if different from entry date]]+90,IF(CommitmentsTable[[#This Row],[Date record entered]]&lt;&gt;"",CommitmentsTable[[#This Row],[Date record entered]]+90,""))</f>
        <v/>
      </c>
      <c r="J950" s="245" t="str">
        <f ca="1">IF(CommitmentsTable[[#This Row],[Date Assigned if different from entry date]]&lt;&gt;"",CommitmentsTable[[#This Row],[Date Assigned if different from entry date]]+30,IF(CommitmentsTable[[#This Row],[Date record entered]]&lt;&gt;"",CommitmentsTable[[#This Row],[Date record entered]]+30,""))</f>
        <v/>
      </c>
      <c r="K950" s="245"/>
      <c r="L950" s="245" t="str">
        <f ca="1">IF(CommitmentsTable[[#This Row],[Date Assigned if different from entry date]]&lt;&gt;"",CommitmentsTable[[#This Row],[Date Assigned if different from entry date]]+60,IF(CommitmentsTable[[#This Row],[Date record entered]]&lt;&gt;"",CommitmentsTable[[#This Row],[Date record entered]]+60,""))</f>
        <v/>
      </c>
      <c r="M950" s="214"/>
      <c r="N950" s="214"/>
      <c r="O950" s="236"/>
      <c r="P950" s="214"/>
      <c r="Q950" s="214"/>
      <c r="R950" s="214"/>
      <c r="S950" s="238" t="str">
        <f>IF(CommitmentsTable[[#This Row],[Commitment / deliverable]]="","",IF(CommitmentsTable[[#This Row],[Revised due]]&lt;&gt;"",CommitmentsTable[[#This Row],[Revised due]],CommitmentsTable[[#This Row],[Original due]]))</f>
        <v/>
      </c>
      <c r="T950" s="237" t="str">
        <f>IF(OR(CommitmentsTable[[#This Row],[Commitment / deliverable]]="",CommitmentsTable[[#This Row],[Owner]]=""),"",IF(CommitmentsTable[[#This Row],[Status2]]="","Open",CommitmentsTable[[#This Row],[Status2]]))</f>
        <v/>
      </c>
      <c r="U950" s="237" t="str">
        <f t="shared" ca="1" si="14"/>
        <v/>
      </c>
      <c r="V950" s="233"/>
      <c r="W950" s="63" t="s">
        <v>1852</v>
      </c>
    </row>
    <row r="951" spans="1:23" ht="26">
      <c r="A951" s="213" t="str">
        <f>IF(OR(CommitmentsTable[[#This Row],[Commitment / deliverable]]="",CommitmentsTable[[#This Row],[Immutable Key]]=""),"",SUBSTITUTE(CommitmentsTable[[#This Row],[Immutable Key]],"-K-","-"))</f>
        <v/>
      </c>
      <c r="B951" s="233"/>
      <c r="C951" s="233"/>
      <c r="D951" s="213"/>
      <c r="E951" s="230"/>
      <c r="F951" s="213"/>
      <c r="G951" s="245" t="str">
        <f ca="1">IF(CommitmentsTable[[#This Row],[Commitment / deliverable]]="","",IF(CommitmentsTable[[#This Row],[Date record entered]]="",TODAY(),CommitmentsTable[[#This Row],[Date record entered]]))</f>
        <v/>
      </c>
      <c r="H951" s="245"/>
      <c r="I951" s="245" t="str">
        <f ca="1">IF(CommitmentsTable[[#This Row],[Date Assigned if different from entry date]]&lt;&gt;"",CommitmentsTable[[#This Row],[Date Assigned if different from entry date]]+90,IF(CommitmentsTable[[#This Row],[Date record entered]]&lt;&gt;"",CommitmentsTable[[#This Row],[Date record entered]]+90,""))</f>
        <v/>
      </c>
      <c r="J951" s="245" t="str">
        <f ca="1">IF(CommitmentsTable[[#This Row],[Date Assigned if different from entry date]]&lt;&gt;"",CommitmentsTable[[#This Row],[Date Assigned if different from entry date]]+30,IF(CommitmentsTable[[#This Row],[Date record entered]]&lt;&gt;"",CommitmentsTable[[#This Row],[Date record entered]]+30,""))</f>
        <v/>
      </c>
      <c r="K951" s="245"/>
      <c r="L951" s="245" t="str">
        <f ca="1">IF(CommitmentsTable[[#This Row],[Date Assigned if different from entry date]]&lt;&gt;"",CommitmentsTable[[#This Row],[Date Assigned if different from entry date]]+60,IF(CommitmentsTable[[#This Row],[Date record entered]]&lt;&gt;"",CommitmentsTable[[#This Row],[Date record entered]]+60,""))</f>
        <v/>
      </c>
      <c r="M951" s="214"/>
      <c r="N951" s="214"/>
      <c r="O951" s="236"/>
      <c r="P951" s="214"/>
      <c r="Q951" s="214"/>
      <c r="R951" s="214"/>
      <c r="S951" s="238" t="str">
        <f>IF(CommitmentsTable[[#This Row],[Commitment / deliverable]]="","",IF(CommitmentsTable[[#This Row],[Revised due]]&lt;&gt;"",CommitmentsTable[[#This Row],[Revised due]],CommitmentsTable[[#This Row],[Original due]]))</f>
        <v/>
      </c>
      <c r="T951" s="237" t="str">
        <f>IF(OR(CommitmentsTable[[#This Row],[Commitment / deliverable]]="",CommitmentsTable[[#This Row],[Owner]]=""),"",IF(CommitmentsTable[[#This Row],[Status2]]="","Open",CommitmentsTable[[#This Row],[Status2]]))</f>
        <v/>
      </c>
      <c r="U951" s="237" t="str">
        <f t="shared" ca="1" si="14"/>
        <v/>
      </c>
      <c r="V951" s="233"/>
      <c r="W951" s="63" t="s">
        <v>1853</v>
      </c>
    </row>
    <row r="952" spans="1:23" ht="26">
      <c r="A952" s="213" t="str">
        <f>IF(OR(CommitmentsTable[[#This Row],[Commitment / deliverable]]="",CommitmentsTable[[#This Row],[Immutable Key]]=""),"",SUBSTITUTE(CommitmentsTable[[#This Row],[Immutable Key]],"-K-","-"))</f>
        <v/>
      </c>
      <c r="B952" s="233"/>
      <c r="C952" s="233"/>
      <c r="D952" s="213"/>
      <c r="E952" s="230"/>
      <c r="F952" s="213"/>
      <c r="G952" s="245" t="str">
        <f ca="1">IF(CommitmentsTable[[#This Row],[Commitment / deliverable]]="","",IF(CommitmentsTable[[#This Row],[Date record entered]]="",TODAY(),CommitmentsTable[[#This Row],[Date record entered]]))</f>
        <v/>
      </c>
      <c r="H952" s="245"/>
      <c r="I952" s="245" t="str">
        <f ca="1">IF(CommitmentsTable[[#This Row],[Date Assigned if different from entry date]]&lt;&gt;"",CommitmentsTable[[#This Row],[Date Assigned if different from entry date]]+90,IF(CommitmentsTable[[#This Row],[Date record entered]]&lt;&gt;"",CommitmentsTable[[#This Row],[Date record entered]]+90,""))</f>
        <v/>
      </c>
      <c r="J952" s="245" t="str">
        <f ca="1">IF(CommitmentsTable[[#This Row],[Date Assigned if different from entry date]]&lt;&gt;"",CommitmentsTable[[#This Row],[Date Assigned if different from entry date]]+30,IF(CommitmentsTable[[#This Row],[Date record entered]]&lt;&gt;"",CommitmentsTable[[#This Row],[Date record entered]]+30,""))</f>
        <v/>
      </c>
      <c r="K952" s="245"/>
      <c r="L952" s="245" t="str">
        <f ca="1">IF(CommitmentsTable[[#This Row],[Date Assigned if different from entry date]]&lt;&gt;"",CommitmentsTable[[#This Row],[Date Assigned if different from entry date]]+60,IF(CommitmentsTable[[#This Row],[Date record entered]]&lt;&gt;"",CommitmentsTable[[#This Row],[Date record entered]]+60,""))</f>
        <v/>
      </c>
      <c r="M952" s="214"/>
      <c r="N952" s="214"/>
      <c r="O952" s="236"/>
      <c r="P952" s="214"/>
      <c r="Q952" s="214"/>
      <c r="R952" s="214"/>
      <c r="S952" s="238" t="str">
        <f>IF(CommitmentsTable[[#This Row],[Commitment / deliverable]]="","",IF(CommitmentsTable[[#This Row],[Revised due]]&lt;&gt;"",CommitmentsTable[[#This Row],[Revised due]],CommitmentsTable[[#This Row],[Original due]]))</f>
        <v/>
      </c>
      <c r="T952" s="237" t="str">
        <f>IF(OR(CommitmentsTable[[#This Row],[Commitment / deliverable]]="",CommitmentsTable[[#This Row],[Owner]]=""),"",IF(CommitmentsTable[[#This Row],[Status2]]="","Open",CommitmentsTable[[#This Row],[Status2]]))</f>
        <v/>
      </c>
      <c r="U952" s="237" t="str">
        <f t="shared" ca="1" si="14"/>
        <v/>
      </c>
      <c r="V952" s="233"/>
      <c r="W952" s="63" t="s">
        <v>1854</v>
      </c>
    </row>
    <row r="953" spans="1:23" ht="26">
      <c r="A953" s="213" t="str">
        <f>IF(OR(CommitmentsTable[[#This Row],[Commitment / deliverable]]="",CommitmentsTable[[#This Row],[Immutable Key]]=""),"",SUBSTITUTE(CommitmentsTable[[#This Row],[Immutable Key]],"-K-","-"))</f>
        <v/>
      </c>
      <c r="B953" s="233"/>
      <c r="C953" s="233"/>
      <c r="D953" s="213"/>
      <c r="E953" s="230"/>
      <c r="F953" s="213"/>
      <c r="G953" s="245" t="str">
        <f ca="1">IF(CommitmentsTable[[#This Row],[Commitment / deliverable]]="","",IF(CommitmentsTable[[#This Row],[Date record entered]]="",TODAY(),CommitmentsTable[[#This Row],[Date record entered]]))</f>
        <v/>
      </c>
      <c r="H953" s="245"/>
      <c r="I953" s="245" t="str">
        <f ca="1">IF(CommitmentsTable[[#This Row],[Date Assigned if different from entry date]]&lt;&gt;"",CommitmentsTable[[#This Row],[Date Assigned if different from entry date]]+90,IF(CommitmentsTable[[#This Row],[Date record entered]]&lt;&gt;"",CommitmentsTable[[#This Row],[Date record entered]]+90,""))</f>
        <v/>
      </c>
      <c r="J953" s="245" t="str">
        <f ca="1">IF(CommitmentsTable[[#This Row],[Date Assigned if different from entry date]]&lt;&gt;"",CommitmentsTable[[#This Row],[Date Assigned if different from entry date]]+30,IF(CommitmentsTable[[#This Row],[Date record entered]]&lt;&gt;"",CommitmentsTable[[#This Row],[Date record entered]]+30,""))</f>
        <v/>
      </c>
      <c r="K953" s="245"/>
      <c r="L953" s="245" t="str">
        <f ca="1">IF(CommitmentsTable[[#This Row],[Date Assigned if different from entry date]]&lt;&gt;"",CommitmentsTable[[#This Row],[Date Assigned if different from entry date]]+60,IF(CommitmentsTable[[#This Row],[Date record entered]]&lt;&gt;"",CommitmentsTable[[#This Row],[Date record entered]]+60,""))</f>
        <v/>
      </c>
      <c r="M953" s="214"/>
      <c r="N953" s="214"/>
      <c r="O953" s="236"/>
      <c r="P953" s="214"/>
      <c r="Q953" s="214"/>
      <c r="R953" s="214"/>
      <c r="S953" s="238" t="str">
        <f>IF(CommitmentsTable[[#This Row],[Commitment / deliverable]]="","",IF(CommitmentsTable[[#This Row],[Revised due]]&lt;&gt;"",CommitmentsTable[[#This Row],[Revised due]],CommitmentsTable[[#This Row],[Original due]]))</f>
        <v/>
      </c>
      <c r="T953" s="237" t="str">
        <f>IF(OR(CommitmentsTable[[#This Row],[Commitment / deliverable]]="",CommitmentsTable[[#This Row],[Owner]]=""),"",IF(CommitmentsTable[[#This Row],[Status2]]="","Open",CommitmentsTable[[#This Row],[Status2]]))</f>
        <v/>
      </c>
      <c r="U953" s="237" t="str">
        <f t="shared" ca="1" si="14"/>
        <v/>
      </c>
      <c r="V953" s="233"/>
      <c r="W953" s="63" t="s">
        <v>1855</v>
      </c>
    </row>
    <row r="954" spans="1:23" ht="26">
      <c r="A954" s="213" t="str">
        <f>IF(OR(CommitmentsTable[[#This Row],[Commitment / deliverable]]="",CommitmentsTable[[#This Row],[Immutable Key]]=""),"",SUBSTITUTE(CommitmentsTable[[#This Row],[Immutable Key]],"-K-","-"))</f>
        <v/>
      </c>
      <c r="B954" s="233"/>
      <c r="C954" s="233"/>
      <c r="D954" s="213"/>
      <c r="E954" s="230"/>
      <c r="F954" s="213"/>
      <c r="G954" s="245" t="str">
        <f ca="1">IF(CommitmentsTable[[#This Row],[Commitment / deliverable]]="","",IF(CommitmentsTable[[#This Row],[Date record entered]]="",TODAY(),CommitmentsTable[[#This Row],[Date record entered]]))</f>
        <v/>
      </c>
      <c r="H954" s="245"/>
      <c r="I954" s="245" t="str">
        <f ca="1">IF(CommitmentsTable[[#This Row],[Date Assigned if different from entry date]]&lt;&gt;"",CommitmentsTable[[#This Row],[Date Assigned if different from entry date]]+90,IF(CommitmentsTable[[#This Row],[Date record entered]]&lt;&gt;"",CommitmentsTable[[#This Row],[Date record entered]]+90,""))</f>
        <v/>
      </c>
      <c r="J954" s="245" t="str">
        <f ca="1">IF(CommitmentsTable[[#This Row],[Date Assigned if different from entry date]]&lt;&gt;"",CommitmentsTable[[#This Row],[Date Assigned if different from entry date]]+30,IF(CommitmentsTable[[#This Row],[Date record entered]]&lt;&gt;"",CommitmentsTable[[#This Row],[Date record entered]]+30,""))</f>
        <v/>
      </c>
      <c r="K954" s="245"/>
      <c r="L954" s="245" t="str">
        <f ca="1">IF(CommitmentsTable[[#This Row],[Date Assigned if different from entry date]]&lt;&gt;"",CommitmentsTable[[#This Row],[Date Assigned if different from entry date]]+60,IF(CommitmentsTable[[#This Row],[Date record entered]]&lt;&gt;"",CommitmentsTable[[#This Row],[Date record entered]]+60,""))</f>
        <v/>
      </c>
      <c r="M954" s="214"/>
      <c r="N954" s="214"/>
      <c r="O954" s="236"/>
      <c r="P954" s="214"/>
      <c r="Q954" s="214"/>
      <c r="R954" s="214"/>
      <c r="S954" s="238" t="str">
        <f>IF(CommitmentsTable[[#This Row],[Commitment / deliverable]]="","",IF(CommitmentsTable[[#This Row],[Revised due]]&lt;&gt;"",CommitmentsTable[[#This Row],[Revised due]],CommitmentsTable[[#This Row],[Original due]]))</f>
        <v/>
      </c>
      <c r="T954" s="237" t="str">
        <f>IF(OR(CommitmentsTable[[#This Row],[Commitment / deliverable]]="",CommitmentsTable[[#This Row],[Owner]]=""),"",IF(CommitmentsTable[[#This Row],[Status2]]="","Open",CommitmentsTable[[#This Row],[Status2]]))</f>
        <v/>
      </c>
      <c r="U954" s="237" t="str">
        <f t="shared" ca="1" si="14"/>
        <v/>
      </c>
      <c r="V954" s="233"/>
      <c r="W954" s="63" t="s">
        <v>1856</v>
      </c>
    </row>
    <row r="955" spans="1:23" ht="26">
      <c r="A955" s="213" t="str">
        <f>IF(OR(CommitmentsTable[[#This Row],[Commitment / deliverable]]="",CommitmentsTable[[#This Row],[Immutable Key]]=""),"",SUBSTITUTE(CommitmentsTable[[#This Row],[Immutable Key]],"-K-","-"))</f>
        <v/>
      </c>
      <c r="B955" s="233"/>
      <c r="C955" s="233"/>
      <c r="D955" s="213"/>
      <c r="E955" s="230"/>
      <c r="F955" s="213"/>
      <c r="G955" s="245" t="str">
        <f ca="1">IF(CommitmentsTable[[#This Row],[Commitment / deliverable]]="","",IF(CommitmentsTable[[#This Row],[Date record entered]]="",TODAY(),CommitmentsTable[[#This Row],[Date record entered]]))</f>
        <v/>
      </c>
      <c r="H955" s="245"/>
      <c r="I955" s="245" t="str">
        <f ca="1">IF(CommitmentsTable[[#This Row],[Date Assigned if different from entry date]]&lt;&gt;"",CommitmentsTable[[#This Row],[Date Assigned if different from entry date]]+90,IF(CommitmentsTable[[#This Row],[Date record entered]]&lt;&gt;"",CommitmentsTable[[#This Row],[Date record entered]]+90,""))</f>
        <v/>
      </c>
      <c r="J955" s="245" t="str">
        <f ca="1">IF(CommitmentsTable[[#This Row],[Date Assigned if different from entry date]]&lt;&gt;"",CommitmentsTable[[#This Row],[Date Assigned if different from entry date]]+30,IF(CommitmentsTable[[#This Row],[Date record entered]]&lt;&gt;"",CommitmentsTable[[#This Row],[Date record entered]]+30,""))</f>
        <v/>
      </c>
      <c r="K955" s="245"/>
      <c r="L955" s="245" t="str">
        <f ca="1">IF(CommitmentsTable[[#This Row],[Date Assigned if different from entry date]]&lt;&gt;"",CommitmentsTable[[#This Row],[Date Assigned if different from entry date]]+60,IF(CommitmentsTable[[#This Row],[Date record entered]]&lt;&gt;"",CommitmentsTable[[#This Row],[Date record entered]]+60,""))</f>
        <v/>
      </c>
      <c r="M955" s="214"/>
      <c r="N955" s="214"/>
      <c r="O955" s="236"/>
      <c r="P955" s="214"/>
      <c r="Q955" s="214"/>
      <c r="R955" s="214"/>
      <c r="S955" s="238" t="str">
        <f>IF(CommitmentsTable[[#This Row],[Commitment / deliverable]]="","",IF(CommitmentsTable[[#This Row],[Revised due]]&lt;&gt;"",CommitmentsTable[[#This Row],[Revised due]],CommitmentsTable[[#This Row],[Original due]]))</f>
        <v/>
      </c>
      <c r="T955" s="237" t="str">
        <f>IF(OR(CommitmentsTable[[#This Row],[Commitment / deliverable]]="",CommitmentsTable[[#This Row],[Owner]]=""),"",IF(CommitmentsTable[[#This Row],[Status2]]="","Open",CommitmentsTable[[#This Row],[Status2]]))</f>
        <v/>
      </c>
      <c r="U955" s="237" t="str">
        <f t="shared" ca="1" si="14"/>
        <v/>
      </c>
      <c r="V955" s="233"/>
      <c r="W955" s="63" t="s">
        <v>1857</v>
      </c>
    </row>
    <row r="956" spans="1:23" ht="26">
      <c r="A956" s="213" t="str">
        <f>IF(OR(CommitmentsTable[[#This Row],[Commitment / deliverable]]="",CommitmentsTable[[#This Row],[Immutable Key]]=""),"",SUBSTITUTE(CommitmentsTable[[#This Row],[Immutable Key]],"-K-","-"))</f>
        <v/>
      </c>
      <c r="B956" s="233"/>
      <c r="C956" s="233"/>
      <c r="D956" s="213"/>
      <c r="E956" s="230"/>
      <c r="F956" s="213"/>
      <c r="G956" s="245" t="str">
        <f ca="1">IF(CommitmentsTable[[#This Row],[Commitment / deliverable]]="","",IF(CommitmentsTable[[#This Row],[Date record entered]]="",TODAY(),CommitmentsTable[[#This Row],[Date record entered]]))</f>
        <v/>
      </c>
      <c r="H956" s="245"/>
      <c r="I956" s="245" t="str">
        <f ca="1">IF(CommitmentsTable[[#This Row],[Date Assigned if different from entry date]]&lt;&gt;"",CommitmentsTable[[#This Row],[Date Assigned if different from entry date]]+90,IF(CommitmentsTable[[#This Row],[Date record entered]]&lt;&gt;"",CommitmentsTable[[#This Row],[Date record entered]]+90,""))</f>
        <v/>
      </c>
      <c r="J956" s="245" t="str">
        <f ca="1">IF(CommitmentsTable[[#This Row],[Date Assigned if different from entry date]]&lt;&gt;"",CommitmentsTable[[#This Row],[Date Assigned if different from entry date]]+30,IF(CommitmentsTable[[#This Row],[Date record entered]]&lt;&gt;"",CommitmentsTable[[#This Row],[Date record entered]]+30,""))</f>
        <v/>
      </c>
      <c r="K956" s="245"/>
      <c r="L956" s="245" t="str">
        <f ca="1">IF(CommitmentsTable[[#This Row],[Date Assigned if different from entry date]]&lt;&gt;"",CommitmentsTable[[#This Row],[Date Assigned if different from entry date]]+60,IF(CommitmentsTable[[#This Row],[Date record entered]]&lt;&gt;"",CommitmentsTable[[#This Row],[Date record entered]]+60,""))</f>
        <v/>
      </c>
      <c r="M956" s="214"/>
      <c r="N956" s="214"/>
      <c r="O956" s="236"/>
      <c r="P956" s="214"/>
      <c r="Q956" s="214"/>
      <c r="R956" s="214"/>
      <c r="S956" s="238" t="str">
        <f>IF(CommitmentsTable[[#This Row],[Commitment / deliverable]]="","",IF(CommitmentsTable[[#This Row],[Revised due]]&lt;&gt;"",CommitmentsTable[[#This Row],[Revised due]],CommitmentsTable[[#This Row],[Original due]]))</f>
        <v/>
      </c>
      <c r="T956" s="237" t="str">
        <f>IF(OR(CommitmentsTable[[#This Row],[Commitment / deliverable]]="",CommitmentsTable[[#This Row],[Owner]]=""),"",IF(CommitmentsTable[[#This Row],[Status2]]="","Open",CommitmentsTable[[#This Row],[Status2]]))</f>
        <v/>
      </c>
      <c r="U956" s="237" t="str">
        <f t="shared" ca="1" si="14"/>
        <v/>
      </c>
      <c r="V956" s="233"/>
      <c r="W956" s="63" t="s">
        <v>1858</v>
      </c>
    </row>
    <row r="957" spans="1:23" ht="26">
      <c r="A957" s="213" t="str">
        <f>IF(OR(CommitmentsTable[[#This Row],[Commitment / deliverable]]="",CommitmentsTable[[#This Row],[Immutable Key]]=""),"",SUBSTITUTE(CommitmentsTable[[#This Row],[Immutable Key]],"-K-","-"))</f>
        <v/>
      </c>
      <c r="B957" s="233"/>
      <c r="C957" s="233"/>
      <c r="D957" s="213"/>
      <c r="E957" s="230"/>
      <c r="F957" s="213"/>
      <c r="G957" s="245" t="str">
        <f ca="1">IF(CommitmentsTable[[#This Row],[Commitment / deliverable]]="","",IF(CommitmentsTable[[#This Row],[Date record entered]]="",TODAY(),CommitmentsTable[[#This Row],[Date record entered]]))</f>
        <v/>
      </c>
      <c r="H957" s="245"/>
      <c r="I957" s="245" t="str">
        <f ca="1">IF(CommitmentsTable[[#This Row],[Date Assigned if different from entry date]]&lt;&gt;"",CommitmentsTable[[#This Row],[Date Assigned if different from entry date]]+90,IF(CommitmentsTable[[#This Row],[Date record entered]]&lt;&gt;"",CommitmentsTable[[#This Row],[Date record entered]]+90,""))</f>
        <v/>
      </c>
      <c r="J957" s="245" t="str">
        <f ca="1">IF(CommitmentsTable[[#This Row],[Date Assigned if different from entry date]]&lt;&gt;"",CommitmentsTable[[#This Row],[Date Assigned if different from entry date]]+30,IF(CommitmentsTable[[#This Row],[Date record entered]]&lt;&gt;"",CommitmentsTable[[#This Row],[Date record entered]]+30,""))</f>
        <v/>
      </c>
      <c r="K957" s="245"/>
      <c r="L957" s="245" t="str">
        <f ca="1">IF(CommitmentsTable[[#This Row],[Date Assigned if different from entry date]]&lt;&gt;"",CommitmentsTable[[#This Row],[Date Assigned if different from entry date]]+60,IF(CommitmentsTable[[#This Row],[Date record entered]]&lt;&gt;"",CommitmentsTable[[#This Row],[Date record entered]]+60,""))</f>
        <v/>
      </c>
      <c r="M957" s="214"/>
      <c r="N957" s="214"/>
      <c r="O957" s="236"/>
      <c r="P957" s="214"/>
      <c r="Q957" s="214"/>
      <c r="R957" s="214"/>
      <c r="S957" s="238" t="str">
        <f>IF(CommitmentsTable[[#This Row],[Commitment / deliverable]]="","",IF(CommitmentsTable[[#This Row],[Revised due]]&lt;&gt;"",CommitmentsTable[[#This Row],[Revised due]],CommitmentsTable[[#This Row],[Original due]]))</f>
        <v/>
      </c>
      <c r="T957" s="237" t="str">
        <f>IF(OR(CommitmentsTable[[#This Row],[Commitment / deliverable]]="",CommitmentsTable[[#This Row],[Owner]]=""),"",IF(CommitmentsTable[[#This Row],[Status2]]="","Open",CommitmentsTable[[#This Row],[Status2]]))</f>
        <v/>
      </c>
      <c r="U957" s="237" t="str">
        <f t="shared" ca="1" si="14"/>
        <v/>
      </c>
      <c r="V957" s="233"/>
      <c r="W957" s="63" t="s">
        <v>1859</v>
      </c>
    </row>
    <row r="958" spans="1:23" ht="26">
      <c r="A958" s="213" t="str">
        <f>IF(OR(CommitmentsTable[[#This Row],[Commitment / deliverable]]="",CommitmentsTable[[#This Row],[Immutable Key]]=""),"",SUBSTITUTE(CommitmentsTable[[#This Row],[Immutable Key]],"-K-","-"))</f>
        <v/>
      </c>
      <c r="B958" s="233"/>
      <c r="C958" s="233"/>
      <c r="D958" s="213"/>
      <c r="E958" s="230"/>
      <c r="F958" s="213"/>
      <c r="G958" s="245" t="str">
        <f ca="1">IF(CommitmentsTable[[#This Row],[Commitment / deliverable]]="","",IF(CommitmentsTable[[#This Row],[Date record entered]]="",TODAY(),CommitmentsTable[[#This Row],[Date record entered]]))</f>
        <v/>
      </c>
      <c r="H958" s="245"/>
      <c r="I958" s="245" t="str">
        <f ca="1">IF(CommitmentsTable[[#This Row],[Date Assigned if different from entry date]]&lt;&gt;"",CommitmentsTable[[#This Row],[Date Assigned if different from entry date]]+90,IF(CommitmentsTable[[#This Row],[Date record entered]]&lt;&gt;"",CommitmentsTable[[#This Row],[Date record entered]]+90,""))</f>
        <v/>
      </c>
      <c r="J958" s="245" t="str">
        <f ca="1">IF(CommitmentsTable[[#This Row],[Date Assigned if different from entry date]]&lt;&gt;"",CommitmentsTable[[#This Row],[Date Assigned if different from entry date]]+30,IF(CommitmentsTable[[#This Row],[Date record entered]]&lt;&gt;"",CommitmentsTable[[#This Row],[Date record entered]]+30,""))</f>
        <v/>
      </c>
      <c r="K958" s="245"/>
      <c r="L958" s="245" t="str">
        <f ca="1">IF(CommitmentsTable[[#This Row],[Date Assigned if different from entry date]]&lt;&gt;"",CommitmentsTable[[#This Row],[Date Assigned if different from entry date]]+60,IF(CommitmentsTable[[#This Row],[Date record entered]]&lt;&gt;"",CommitmentsTable[[#This Row],[Date record entered]]+60,""))</f>
        <v/>
      </c>
      <c r="M958" s="214"/>
      <c r="N958" s="214"/>
      <c r="O958" s="236"/>
      <c r="P958" s="214"/>
      <c r="Q958" s="214"/>
      <c r="R958" s="214"/>
      <c r="S958" s="238" t="str">
        <f>IF(CommitmentsTable[[#This Row],[Commitment / deliverable]]="","",IF(CommitmentsTable[[#This Row],[Revised due]]&lt;&gt;"",CommitmentsTable[[#This Row],[Revised due]],CommitmentsTable[[#This Row],[Original due]]))</f>
        <v/>
      </c>
      <c r="T958" s="237" t="str">
        <f>IF(OR(CommitmentsTable[[#This Row],[Commitment / deliverable]]="",CommitmentsTable[[#This Row],[Owner]]=""),"",IF(CommitmentsTable[[#This Row],[Status2]]="","Open",CommitmentsTable[[#This Row],[Status2]]))</f>
        <v/>
      </c>
      <c r="U958" s="237" t="str">
        <f t="shared" ca="1" si="14"/>
        <v/>
      </c>
      <c r="V958" s="233"/>
      <c r="W958" s="63" t="s">
        <v>1860</v>
      </c>
    </row>
    <row r="959" spans="1:23" ht="26">
      <c r="A959" s="213" t="str">
        <f>IF(OR(CommitmentsTable[[#This Row],[Commitment / deliverable]]="",CommitmentsTable[[#This Row],[Immutable Key]]=""),"",SUBSTITUTE(CommitmentsTable[[#This Row],[Immutable Key]],"-K-","-"))</f>
        <v/>
      </c>
      <c r="B959" s="233"/>
      <c r="C959" s="233"/>
      <c r="D959" s="213"/>
      <c r="E959" s="230"/>
      <c r="F959" s="213"/>
      <c r="G959" s="245" t="str">
        <f ca="1">IF(CommitmentsTable[[#This Row],[Commitment / deliverable]]="","",IF(CommitmentsTable[[#This Row],[Date record entered]]="",TODAY(),CommitmentsTable[[#This Row],[Date record entered]]))</f>
        <v/>
      </c>
      <c r="H959" s="245"/>
      <c r="I959" s="245" t="str">
        <f ca="1">IF(CommitmentsTable[[#This Row],[Date Assigned if different from entry date]]&lt;&gt;"",CommitmentsTable[[#This Row],[Date Assigned if different from entry date]]+90,IF(CommitmentsTable[[#This Row],[Date record entered]]&lt;&gt;"",CommitmentsTable[[#This Row],[Date record entered]]+90,""))</f>
        <v/>
      </c>
      <c r="J959" s="245" t="str">
        <f ca="1">IF(CommitmentsTable[[#This Row],[Date Assigned if different from entry date]]&lt;&gt;"",CommitmentsTable[[#This Row],[Date Assigned if different from entry date]]+30,IF(CommitmentsTable[[#This Row],[Date record entered]]&lt;&gt;"",CommitmentsTable[[#This Row],[Date record entered]]+30,""))</f>
        <v/>
      </c>
      <c r="K959" s="245"/>
      <c r="L959" s="245" t="str">
        <f ca="1">IF(CommitmentsTable[[#This Row],[Date Assigned if different from entry date]]&lt;&gt;"",CommitmentsTable[[#This Row],[Date Assigned if different from entry date]]+60,IF(CommitmentsTable[[#This Row],[Date record entered]]&lt;&gt;"",CommitmentsTable[[#This Row],[Date record entered]]+60,""))</f>
        <v/>
      </c>
      <c r="M959" s="214"/>
      <c r="N959" s="214"/>
      <c r="O959" s="236"/>
      <c r="P959" s="214"/>
      <c r="Q959" s="214"/>
      <c r="R959" s="214"/>
      <c r="S959" s="238" t="str">
        <f>IF(CommitmentsTable[[#This Row],[Commitment / deliverable]]="","",IF(CommitmentsTable[[#This Row],[Revised due]]&lt;&gt;"",CommitmentsTable[[#This Row],[Revised due]],CommitmentsTable[[#This Row],[Original due]]))</f>
        <v/>
      </c>
      <c r="T959" s="237" t="str">
        <f>IF(OR(CommitmentsTable[[#This Row],[Commitment / deliverable]]="",CommitmentsTable[[#This Row],[Owner]]=""),"",IF(CommitmentsTable[[#This Row],[Status2]]="","Open",CommitmentsTable[[#This Row],[Status2]]))</f>
        <v/>
      </c>
      <c r="U959" s="237" t="str">
        <f t="shared" ca="1" si="14"/>
        <v/>
      </c>
      <c r="V959" s="233"/>
      <c r="W959" s="63" t="s">
        <v>1861</v>
      </c>
    </row>
    <row r="960" spans="1:23" ht="26">
      <c r="A960" s="213" t="str">
        <f>IF(OR(CommitmentsTable[[#This Row],[Commitment / deliverable]]="",CommitmentsTable[[#This Row],[Immutable Key]]=""),"",SUBSTITUTE(CommitmentsTable[[#This Row],[Immutable Key]],"-K-","-"))</f>
        <v/>
      </c>
      <c r="B960" s="233"/>
      <c r="C960" s="233"/>
      <c r="D960" s="213"/>
      <c r="E960" s="230"/>
      <c r="F960" s="213"/>
      <c r="G960" s="245" t="str">
        <f ca="1">IF(CommitmentsTable[[#This Row],[Commitment / deliverable]]="","",IF(CommitmentsTable[[#This Row],[Date record entered]]="",TODAY(),CommitmentsTable[[#This Row],[Date record entered]]))</f>
        <v/>
      </c>
      <c r="H960" s="245"/>
      <c r="I960" s="245" t="str">
        <f ca="1">IF(CommitmentsTable[[#This Row],[Date Assigned if different from entry date]]&lt;&gt;"",CommitmentsTable[[#This Row],[Date Assigned if different from entry date]]+90,IF(CommitmentsTable[[#This Row],[Date record entered]]&lt;&gt;"",CommitmentsTable[[#This Row],[Date record entered]]+90,""))</f>
        <v/>
      </c>
      <c r="J960" s="245" t="str">
        <f ca="1">IF(CommitmentsTable[[#This Row],[Date Assigned if different from entry date]]&lt;&gt;"",CommitmentsTable[[#This Row],[Date Assigned if different from entry date]]+30,IF(CommitmentsTable[[#This Row],[Date record entered]]&lt;&gt;"",CommitmentsTable[[#This Row],[Date record entered]]+30,""))</f>
        <v/>
      </c>
      <c r="K960" s="245"/>
      <c r="L960" s="245" t="str">
        <f ca="1">IF(CommitmentsTable[[#This Row],[Date Assigned if different from entry date]]&lt;&gt;"",CommitmentsTable[[#This Row],[Date Assigned if different from entry date]]+60,IF(CommitmentsTable[[#This Row],[Date record entered]]&lt;&gt;"",CommitmentsTable[[#This Row],[Date record entered]]+60,""))</f>
        <v/>
      </c>
      <c r="M960" s="214"/>
      <c r="N960" s="214"/>
      <c r="O960" s="236"/>
      <c r="P960" s="214"/>
      <c r="Q960" s="214"/>
      <c r="R960" s="214"/>
      <c r="S960" s="238" t="str">
        <f>IF(CommitmentsTable[[#This Row],[Commitment / deliverable]]="","",IF(CommitmentsTable[[#This Row],[Revised due]]&lt;&gt;"",CommitmentsTable[[#This Row],[Revised due]],CommitmentsTable[[#This Row],[Original due]]))</f>
        <v/>
      </c>
      <c r="T960" s="237" t="str">
        <f>IF(OR(CommitmentsTable[[#This Row],[Commitment / deliverable]]="",CommitmentsTable[[#This Row],[Owner]]=""),"",IF(CommitmentsTable[[#This Row],[Status2]]="","Open",CommitmentsTable[[#This Row],[Status2]]))</f>
        <v/>
      </c>
      <c r="U960" s="237" t="str">
        <f t="shared" ca="1" si="14"/>
        <v/>
      </c>
      <c r="V960" s="233"/>
      <c r="W960" s="63" t="s">
        <v>1862</v>
      </c>
    </row>
    <row r="961" spans="1:23" ht="26">
      <c r="A961" s="213" t="str">
        <f>IF(OR(CommitmentsTable[[#This Row],[Commitment / deliverable]]="",CommitmentsTable[[#This Row],[Immutable Key]]=""),"",SUBSTITUTE(CommitmentsTable[[#This Row],[Immutable Key]],"-K-","-"))</f>
        <v/>
      </c>
      <c r="B961" s="233"/>
      <c r="C961" s="233"/>
      <c r="D961" s="213"/>
      <c r="E961" s="230"/>
      <c r="F961" s="213"/>
      <c r="G961" s="245" t="str">
        <f ca="1">IF(CommitmentsTable[[#This Row],[Commitment / deliverable]]="","",IF(CommitmentsTable[[#This Row],[Date record entered]]="",TODAY(),CommitmentsTable[[#This Row],[Date record entered]]))</f>
        <v/>
      </c>
      <c r="H961" s="245"/>
      <c r="I961" s="245" t="str">
        <f ca="1">IF(CommitmentsTable[[#This Row],[Date Assigned if different from entry date]]&lt;&gt;"",CommitmentsTable[[#This Row],[Date Assigned if different from entry date]]+90,IF(CommitmentsTable[[#This Row],[Date record entered]]&lt;&gt;"",CommitmentsTable[[#This Row],[Date record entered]]+90,""))</f>
        <v/>
      </c>
      <c r="J961" s="245" t="str">
        <f ca="1">IF(CommitmentsTable[[#This Row],[Date Assigned if different from entry date]]&lt;&gt;"",CommitmentsTable[[#This Row],[Date Assigned if different from entry date]]+30,IF(CommitmentsTable[[#This Row],[Date record entered]]&lt;&gt;"",CommitmentsTable[[#This Row],[Date record entered]]+30,""))</f>
        <v/>
      </c>
      <c r="K961" s="245"/>
      <c r="L961" s="245" t="str">
        <f ca="1">IF(CommitmentsTable[[#This Row],[Date Assigned if different from entry date]]&lt;&gt;"",CommitmentsTable[[#This Row],[Date Assigned if different from entry date]]+60,IF(CommitmentsTable[[#This Row],[Date record entered]]&lt;&gt;"",CommitmentsTable[[#This Row],[Date record entered]]+60,""))</f>
        <v/>
      </c>
      <c r="M961" s="214"/>
      <c r="N961" s="214"/>
      <c r="O961" s="236"/>
      <c r="P961" s="214"/>
      <c r="Q961" s="214"/>
      <c r="R961" s="214"/>
      <c r="S961" s="238" t="str">
        <f>IF(CommitmentsTable[[#This Row],[Commitment / deliverable]]="","",IF(CommitmentsTable[[#This Row],[Revised due]]&lt;&gt;"",CommitmentsTable[[#This Row],[Revised due]],CommitmentsTable[[#This Row],[Original due]]))</f>
        <v/>
      </c>
      <c r="T961" s="237" t="str">
        <f>IF(OR(CommitmentsTable[[#This Row],[Commitment / deliverable]]="",CommitmentsTable[[#This Row],[Owner]]=""),"",IF(CommitmentsTable[[#This Row],[Status2]]="","Open",CommitmentsTable[[#This Row],[Status2]]))</f>
        <v/>
      </c>
      <c r="U961" s="237" t="str">
        <f t="shared" ca="1" si="14"/>
        <v/>
      </c>
      <c r="V961" s="233"/>
      <c r="W961" s="63" t="s">
        <v>1863</v>
      </c>
    </row>
    <row r="962" spans="1:23" ht="26">
      <c r="A962" s="213" t="str">
        <f>IF(OR(CommitmentsTable[[#This Row],[Commitment / deliverable]]="",CommitmentsTable[[#This Row],[Immutable Key]]=""),"",SUBSTITUTE(CommitmentsTable[[#This Row],[Immutable Key]],"-K-","-"))</f>
        <v/>
      </c>
      <c r="B962" s="233"/>
      <c r="C962" s="233"/>
      <c r="D962" s="213"/>
      <c r="E962" s="230"/>
      <c r="F962" s="213"/>
      <c r="G962" s="245" t="str">
        <f ca="1">IF(CommitmentsTable[[#This Row],[Commitment / deliverable]]="","",IF(CommitmentsTable[[#This Row],[Date record entered]]="",TODAY(),CommitmentsTable[[#This Row],[Date record entered]]))</f>
        <v/>
      </c>
      <c r="H962" s="245"/>
      <c r="I962" s="245" t="str">
        <f ca="1">IF(CommitmentsTable[[#This Row],[Date Assigned if different from entry date]]&lt;&gt;"",CommitmentsTable[[#This Row],[Date Assigned if different from entry date]]+90,IF(CommitmentsTable[[#This Row],[Date record entered]]&lt;&gt;"",CommitmentsTable[[#This Row],[Date record entered]]+90,""))</f>
        <v/>
      </c>
      <c r="J962" s="245" t="str">
        <f ca="1">IF(CommitmentsTable[[#This Row],[Date Assigned if different from entry date]]&lt;&gt;"",CommitmentsTable[[#This Row],[Date Assigned if different from entry date]]+30,IF(CommitmentsTable[[#This Row],[Date record entered]]&lt;&gt;"",CommitmentsTable[[#This Row],[Date record entered]]+30,""))</f>
        <v/>
      </c>
      <c r="K962" s="245"/>
      <c r="L962" s="245" t="str">
        <f ca="1">IF(CommitmentsTable[[#This Row],[Date Assigned if different from entry date]]&lt;&gt;"",CommitmentsTable[[#This Row],[Date Assigned if different from entry date]]+60,IF(CommitmentsTable[[#This Row],[Date record entered]]&lt;&gt;"",CommitmentsTable[[#This Row],[Date record entered]]+60,""))</f>
        <v/>
      </c>
      <c r="M962" s="214"/>
      <c r="N962" s="214"/>
      <c r="O962" s="236"/>
      <c r="P962" s="214"/>
      <c r="Q962" s="214"/>
      <c r="R962" s="214"/>
      <c r="S962" s="238" t="str">
        <f>IF(CommitmentsTable[[#This Row],[Commitment / deliverable]]="","",IF(CommitmentsTable[[#This Row],[Revised due]]&lt;&gt;"",CommitmentsTable[[#This Row],[Revised due]],CommitmentsTable[[#This Row],[Original due]]))</f>
        <v/>
      </c>
      <c r="T962" s="237" t="str">
        <f>IF(OR(CommitmentsTable[[#This Row],[Commitment / deliverable]]="",CommitmentsTable[[#This Row],[Owner]]=""),"",IF(CommitmentsTable[[#This Row],[Status2]]="","Open",CommitmentsTable[[#This Row],[Status2]]))</f>
        <v/>
      </c>
      <c r="U962" s="237" t="str">
        <f t="shared" ca="1" si="14"/>
        <v/>
      </c>
      <c r="V962" s="233"/>
      <c r="W962" s="63" t="s">
        <v>1864</v>
      </c>
    </row>
    <row r="963" spans="1:23" ht="26">
      <c r="A963" s="213" t="str">
        <f>IF(OR(CommitmentsTable[[#This Row],[Commitment / deliverable]]="",CommitmentsTable[[#This Row],[Immutable Key]]=""),"",SUBSTITUTE(CommitmentsTable[[#This Row],[Immutable Key]],"-K-","-"))</f>
        <v/>
      </c>
      <c r="B963" s="233"/>
      <c r="C963" s="233"/>
      <c r="D963" s="213"/>
      <c r="E963" s="230"/>
      <c r="F963" s="213"/>
      <c r="G963" s="245" t="str">
        <f ca="1">IF(CommitmentsTable[[#This Row],[Commitment / deliverable]]="","",IF(CommitmentsTable[[#This Row],[Date record entered]]="",TODAY(),CommitmentsTable[[#This Row],[Date record entered]]))</f>
        <v/>
      </c>
      <c r="H963" s="245"/>
      <c r="I963" s="245" t="str">
        <f ca="1">IF(CommitmentsTable[[#This Row],[Date Assigned if different from entry date]]&lt;&gt;"",CommitmentsTable[[#This Row],[Date Assigned if different from entry date]]+90,IF(CommitmentsTable[[#This Row],[Date record entered]]&lt;&gt;"",CommitmentsTable[[#This Row],[Date record entered]]+90,""))</f>
        <v/>
      </c>
      <c r="J963" s="245" t="str">
        <f ca="1">IF(CommitmentsTable[[#This Row],[Date Assigned if different from entry date]]&lt;&gt;"",CommitmentsTable[[#This Row],[Date Assigned if different from entry date]]+30,IF(CommitmentsTable[[#This Row],[Date record entered]]&lt;&gt;"",CommitmentsTable[[#This Row],[Date record entered]]+30,""))</f>
        <v/>
      </c>
      <c r="K963" s="245"/>
      <c r="L963" s="245" t="str">
        <f ca="1">IF(CommitmentsTable[[#This Row],[Date Assigned if different from entry date]]&lt;&gt;"",CommitmentsTable[[#This Row],[Date Assigned if different from entry date]]+60,IF(CommitmentsTable[[#This Row],[Date record entered]]&lt;&gt;"",CommitmentsTable[[#This Row],[Date record entered]]+60,""))</f>
        <v/>
      </c>
      <c r="M963" s="214"/>
      <c r="N963" s="214"/>
      <c r="O963" s="236"/>
      <c r="P963" s="214"/>
      <c r="Q963" s="214"/>
      <c r="R963" s="214"/>
      <c r="S963" s="238" t="str">
        <f>IF(CommitmentsTable[[#This Row],[Commitment / deliverable]]="","",IF(CommitmentsTable[[#This Row],[Revised due]]&lt;&gt;"",CommitmentsTable[[#This Row],[Revised due]],CommitmentsTable[[#This Row],[Original due]]))</f>
        <v/>
      </c>
      <c r="T963" s="237" t="str">
        <f>IF(OR(CommitmentsTable[[#This Row],[Commitment / deliverable]]="",CommitmentsTable[[#This Row],[Owner]]=""),"",IF(CommitmentsTable[[#This Row],[Status2]]="","Open",CommitmentsTable[[#This Row],[Status2]]))</f>
        <v/>
      </c>
      <c r="U963" s="237" t="str">
        <f t="shared" ca="1" si="14"/>
        <v/>
      </c>
      <c r="V963" s="233"/>
      <c r="W963" s="63" t="s">
        <v>1865</v>
      </c>
    </row>
    <row r="964" spans="1:23" ht="26">
      <c r="A964" s="213" t="str">
        <f>IF(OR(CommitmentsTable[[#This Row],[Commitment / deliverable]]="",CommitmentsTable[[#This Row],[Immutable Key]]=""),"",SUBSTITUTE(CommitmentsTable[[#This Row],[Immutable Key]],"-K-","-"))</f>
        <v/>
      </c>
      <c r="B964" s="233"/>
      <c r="C964" s="233"/>
      <c r="D964" s="213"/>
      <c r="E964" s="230"/>
      <c r="F964" s="213"/>
      <c r="G964" s="245" t="str">
        <f ca="1">IF(CommitmentsTable[[#This Row],[Commitment / deliverable]]="","",IF(CommitmentsTable[[#This Row],[Date record entered]]="",TODAY(),CommitmentsTable[[#This Row],[Date record entered]]))</f>
        <v/>
      </c>
      <c r="H964" s="245"/>
      <c r="I964" s="245" t="str">
        <f ca="1">IF(CommitmentsTable[[#This Row],[Date Assigned if different from entry date]]&lt;&gt;"",CommitmentsTable[[#This Row],[Date Assigned if different from entry date]]+90,IF(CommitmentsTable[[#This Row],[Date record entered]]&lt;&gt;"",CommitmentsTable[[#This Row],[Date record entered]]+90,""))</f>
        <v/>
      </c>
      <c r="J964" s="245" t="str">
        <f ca="1">IF(CommitmentsTable[[#This Row],[Date Assigned if different from entry date]]&lt;&gt;"",CommitmentsTable[[#This Row],[Date Assigned if different from entry date]]+30,IF(CommitmentsTable[[#This Row],[Date record entered]]&lt;&gt;"",CommitmentsTable[[#This Row],[Date record entered]]+30,""))</f>
        <v/>
      </c>
      <c r="K964" s="245"/>
      <c r="L964" s="245" t="str">
        <f ca="1">IF(CommitmentsTable[[#This Row],[Date Assigned if different from entry date]]&lt;&gt;"",CommitmentsTable[[#This Row],[Date Assigned if different from entry date]]+60,IF(CommitmentsTable[[#This Row],[Date record entered]]&lt;&gt;"",CommitmentsTable[[#This Row],[Date record entered]]+60,""))</f>
        <v/>
      </c>
      <c r="M964" s="214"/>
      <c r="N964" s="214"/>
      <c r="O964" s="236"/>
      <c r="P964" s="214"/>
      <c r="Q964" s="214"/>
      <c r="R964" s="214"/>
      <c r="S964" s="238" t="str">
        <f>IF(CommitmentsTable[[#This Row],[Commitment / deliverable]]="","",IF(CommitmentsTable[[#This Row],[Revised due]]&lt;&gt;"",CommitmentsTable[[#This Row],[Revised due]],CommitmentsTable[[#This Row],[Original due]]))</f>
        <v/>
      </c>
      <c r="T964" s="237" t="str">
        <f>IF(OR(CommitmentsTable[[#This Row],[Commitment / deliverable]]="",CommitmentsTable[[#This Row],[Owner]]=""),"",IF(CommitmentsTable[[#This Row],[Status2]]="","Open",CommitmentsTable[[#This Row],[Status2]]))</f>
        <v/>
      </c>
      <c r="U964" s="237" t="str">
        <f t="shared" ca="1" si="14"/>
        <v/>
      </c>
      <c r="V964" s="233"/>
      <c r="W964" s="63" t="s">
        <v>1866</v>
      </c>
    </row>
    <row r="965" spans="1:23" ht="26">
      <c r="A965" s="213" t="str">
        <f>IF(OR(CommitmentsTable[[#This Row],[Commitment / deliverable]]="",CommitmentsTable[[#This Row],[Immutable Key]]=""),"",SUBSTITUTE(CommitmentsTable[[#This Row],[Immutable Key]],"-K-","-"))</f>
        <v/>
      </c>
      <c r="B965" s="233"/>
      <c r="C965" s="233"/>
      <c r="D965" s="213"/>
      <c r="E965" s="230"/>
      <c r="F965" s="213"/>
      <c r="G965" s="245" t="str">
        <f ca="1">IF(CommitmentsTable[[#This Row],[Commitment / deliverable]]="","",IF(CommitmentsTable[[#This Row],[Date record entered]]="",TODAY(),CommitmentsTable[[#This Row],[Date record entered]]))</f>
        <v/>
      </c>
      <c r="H965" s="245"/>
      <c r="I965" s="245" t="str">
        <f ca="1">IF(CommitmentsTable[[#This Row],[Date Assigned if different from entry date]]&lt;&gt;"",CommitmentsTable[[#This Row],[Date Assigned if different from entry date]]+90,IF(CommitmentsTable[[#This Row],[Date record entered]]&lt;&gt;"",CommitmentsTable[[#This Row],[Date record entered]]+90,""))</f>
        <v/>
      </c>
      <c r="J965" s="245" t="str">
        <f ca="1">IF(CommitmentsTable[[#This Row],[Date Assigned if different from entry date]]&lt;&gt;"",CommitmentsTable[[#This Row],[Date Assigned if different from entry date]]+30,IF(CommitmentsTable[[#This Row],[Date record entered]]&lt;&gt;"",CommitmentsTable[[#This Row],[Date record entered]]+30,""))</f>
        <v/>
      </c>
      <c r="K965" s="245"/>
      <c r="L965" s="245" t="str">
        <f ca="1">IF(CommitmentsTable[[#This Row],[Date Assigned if different from entry date]]&lt;&gt;"",CommitmentsTable[[#This Row],[Date Assigned if different from entry date]]+60,IF(CommitmentsTable[[#This Row],[Date record entered]]&lt;&gt;"",CommitmentsTable[[#This Row],[Date record entered]]+60,""))</f>
        <v/>
      </c>
      <c r="M965" s="214"/>
      <c r="N965" s="214"/>
      <c r="O965" s="236"/>
      <c r="P965" s="214"/>
      <c r="Q965" s="214"/>
      <c r="R965" s="214"/>
      <c r="S965" s="238" t="str">
        <f>IF(CommitmentsTable[[#This Row],[Commitment / deliverable]]="","",IF(CommitmentsTable[[#This Row],[Revised due]]&lt;&gt;"",CommitmentsTable[[#This Row],[Revised due]],CommitmentsTable[[#This Row],[Original due]]))</f>
        <v/>
      </c>
      <c r="T965" s="237" t="str">
        <f>IF(OR(CommitmentsTable[[#This Row],[Commitment / deliverable]]="",CommitmentsTable[[#This Row],[Owner]]=""),"",IF(CommitmentsTable[[#This Row],[Status2]]="","Open",CommitmentsTable[[#This Row],[Status2]]))</f>
        <v/>
      </c>
      <c r="U965" s="237" t="str">
        <f t="shared" ca="1" si="14"/>
        <v/>
      </c>
      <c r="V965" s="233"/>
      <c r="W965" s="63" t="s">
        <v>1867</v>
      </c>
    </row>
    <row r="966" spans="1:23" ht="26">
      <c r="A966" s="213" t="str">
        <f>IF(OR(CommitmentsTable[[#This Row],[Commitment / deliverable]]="",CommitmentsTable[[#This Row],[Immutable Key]]=""),"",SUBSTITUTE(CommitmentsTable[[#This Row],[Immutable Key]],"-K-","-"))</f>
        <v/>
      </c>
      <c r="B966" s="233"/>
      <c r="C966" s="233"/>
      <c r="D966" s="213"/>
      <c r="E966" s="230"/>
      <c r="F966" s="213"/>
      <c r="G966" s="245" t="str">
        <f ca="1">IF(CommitmentsTable[[#This Row],[Commitment / deliverable]]="","",IF(CommitmentsTable[[#This Row],[Date record entered]]="",TODAY(),CommitmentsTable[[#This Row],[Date record entered]]))</f>
        <v/>
      </c>
      <c r="H966" s="245"/>
      <c r="I966" s="245" t="str">
        <f ca="1">IF(CommitmentsTable[[#This Row],[Date Assigned if different from entry date]]&lt;&gt;"",CommitmentsTable[[#This Row],[Date Assigned if different from entry date]]+90,IF(CommitmentsTable[[#This Row],[Date record entered]]&lt;&gt;"",CommitmentsTable[[#This Row],[Date record entered]]+90,""))</f>
        <v/>
      </c>
      <c r="J966" s="245" t="str">
        <f ca="1">IF(CommitmentsTable[[#This Row],[Date Assigned if different from entry date]]&lt;&gt;"",CommitmentsTable[[#This Row],[Date Assigned if different from entry date]]+30,IF(CommitmentsTable[[#This Row],[Date record entered]]&lt;&gt;"",CommitmentsTable[[#This Row],[Date record entered]]+30,""))</f>
        <v/>
      </c>
      <c r="K966" s="245"/>
      <c r="L966" s="245" t="str">
        <f ca="1">IF(CommitmentsTable[[#This Row],[Date Assigned if different from entry date]]&lt;&gt;"",CommitmentsTable[[#This Row],[Date Assigned if different from entry date]]+60,IF(CommitmentsTable[[#This Row],[Date record entered]]&lt;&gt;"",CommitmentsTable[[#This Row],[Date record entered]]+60,""))</f>
        <v/>
      </c>
      <c r="M966" s="214"/>
      <c r="N966" s="214"/>
      <c r="O966" s="236"/>
      <c r="P966" s="214"/>
      <c r="Q966" s="214"/>
      <c r="R966" s="214"/>
      <c r="S966" s="238" t="str">
        <f>IF(CommitmentsTable[[#This Row],[Commitment / deliverable]]="","",IF(CommitmentsTable[[#This Row],[Revised due]]&lt;&gt;"",CommitmentsTable[[#This Row],[Revised due]],CommitmentsTable[[#This Row],[Original due]]))</f>
        <v/>
      </c>
      <c r="T966" s="237" t="str">
        <f>IF(OR(CommitmentsTable[[#This Row],[Commitment / deliverable]]="",CommitmentsTable[[#This Row],[Owner]]=""),"",IF(CommitmentsTable[[#This Row],[Status2]]="","Open",CommitmentsTable[[#This Row],[Status2]]))</f>
        <v/>
      </c>
      <c r="U966" s="237" t="str">
        <f t="shared" ca="1" si="14"/>
        <v/>
      </c>
      <c r="V966" s="233"/>
      <c r="W966" s="63" t="s">
        <v>1868</v>
      </c>
    </row>
    <row r="967" spans="1:23" ht="26">
      <c r="A967" s="213" t="str">
        <f>IF(OR(CommitmentsTable[[#This Row],[Commitment / deliverable]]="",CommitmentsTable[[#This Row],[Immutable Key]]=""),"",SUBSTITUTE(CommitmentsTable[[#This Row],[Immutable Key]],"-K-","-"))</f>
        <v/>
      </c>
      <c r="B967" s="233"/>
      <c r="C967" s="233"/>
      <c r="D967" s="213"/>
      <c r="E967" s="230"/>
      <c r="F967" s="213"/>
      <c r="G967" s="245" t="str">
        <f ca="1">IF(CommitmentsTable[[#This Row],[Commitment / deliverable]]="","",IF(CommitmentsTable[[#This Row],[Date record entered]]="",TODAY(),CommitmentsTable[[#This Row],[Date record entered]]))</f>
        <v/>
      </c>
      <c r="H967" s="245"/>
      <c r="I967" s="245" t="str">
        <f ca="1">IF(CommitmentsTable[[#This Row],[Date Assigned if different from entry date]]&lt;&gt;"",CommitmentsTable[[#This Row],[Date Assigned if different from entry date]]+90,IF(CommitmentsTable[[#This Row],[Date record entered]]&lt;&gt;"",CommitmentsTable[[#This Row],[Date record entered]]+90,""))</f>
        <v/>
      </c>
      <c r="J967" s="245" t="str">
        <f ca="1">IF(CommitmentsTable[[#This Row],[Date Assigned if different from entry date]]&lt;&gt;"",CommitmentsTable[[#This Row],[Date Assigned if different from entry date]]+30,IF(CommitmentsTable[[#This Row],[Date record entered]]&lt;&gt;"",CommitmentsTable[[#This Row],[Date record entered]]+30,""))</f>
        <v/>
      </c>
      <c r="K967" s="245"/>
      <c r="L967" s="245" t="str">
        <f ca="1">IF(CommitmentsTable[[#This Row],[Date Assigned if different from entry date]]&lt;&gt;"",CommitmentsTable[[#This Row],[Date Assigned if different from entry date]]+60,IF(CommitmentsTable[[#This Row],[Date record entered]]&lt;&gt;"",CommitmentsTable[[#This Row],[Date record entered]]+60,""))</f>
        <v/>
      </c>
      <c r="M967" s="214"/>
      <c r="N967" s="214"/>
      <c r="O967" s="236"/>
      <c r="P967" s="214"/>
      <c r="Q967" s="214"/>
      <c r="R967" s="214"/>
      <c r="S967" s="238" t="str">
        <f>IF(CommitmentsTable[[#This Row],[Commitment / deliverable]]="","",IF(CommitmentsTable[[#This Row],[Revised due]]&lt;&gt;"",CommitmentsTable[[#This Row],[Revised due]],CommitmentsTable[[#This Row],[Original due]]))</f>
        <v/>
      </c>
      <c r="T967" s="237" t="str">
        <f>IF(OR(CommitmentsTable[[#This Row],[Commitment / deliverable]]="",CommitmentsTable[[#This Row],[Owner]]=""),"",IF(CommitmentsTable[[#This Row],[Status2]]="","Open",CommitmentsTable[[#This Row],[Status2]]))</f>
        <v/>
      </c>
      <c r="U967" s="237" t="str">
        <f t="shared" ca="1" si="14"/>
        <v/>
      </c>
      <c r="V967" s="233"/>
      <c r="W967" s="63" t="s">
        <v>1869</v>
      </c>
    </row>
    <row r="968" spans="1:23" ht="26">
      <c r="A968" s="213" t="str">
        <f>IF(OR(CommitmentsTable[[#This Row],[Commitment / deliverable]]="",CommitmentsTable[[#This Row],[Immutable Key]]=""),"",SUBSTITUTE(CommitmentsTable[[#This Row],[Immutable Key]],"-K-","-"))</f>
        <v/>
      </c>
      <c r="B968" s="233"/>
      <c r="C968" s="233"/>
      <c r="D968" s="213"/>
      <c r="E968" s="230"/>
      <c r="F968" s="213"/>
      <c r="G968" s="245" t="str">
        <f ca="1">IF(CommitmentsTable[[#This Row],[Commitment / deliverable]]="","",IF(CommitmentsTable[[#This Row],[Date record entered]]="",TODAY(),CommitmentsTable[[#This Row],[Date record entered]]))</f>
        <v/>
      </c>
      <c r="H968" s="245"/>
      <c r="I968" s="245" t="str">
        <f ca="1">IF(CommitmentsTable[[#This Row],[Date Assigned if different from entry date]]&lt;&gt;"",CommitmentsTable[[#This Row],[Date Assigned if different from entry date]]+90,IF(CommitmentsTable[[#This Row],[Date record entered]]&lt;&gt;"",CommitmentsTable[[#This Row],[Date record entered]]+90,""))</f>
        <v/>
      </c>
      <c r="J968" s="245" t="str">
        <f ca="1">IF(CommitmentsTable[[#This Row],[Date Assigned if different from entry date]]&lt;&gt;"",CommitmentsTable[[#This Row],[Date Assigned if different from entry date]]+30,IF(CommitmentsTable[[#This Row],[Date record entered]]&lt;&gt;"",CommitmentsTable[[#This Row],[Date record entered]]+30,""))</f>
        <v/>
      </c>
      <c r="K968" s="245"/>
      <c r="L968" s="245" t="str">
        <f ca="1">IF(CommitmentsTable[[#This Row],[Date Assigned if different from entry date]]&lt;&gt;"",CommitmentsTable[[#This Row],[Date Assigned if different from entry date]]+60,IF(CommitmentsTable[[#This Row],[Date record entered]]&lt;&gt;"",CommitmentsTable[[#This Row],[Date record entered]]+60,""))</f>
        <v/>
      </c>
      <c r="M968" s="214"/>
      <c r="N968" s="214"/>
      <c r="O968" s="236"/>
      <c r="P968" s="214"/>
      <c r="Q968" s="214"/>
      <c r="R968" s="214"/>
      <c r="S968" s="238" t="str">
        <f>IF(CommitmentsTable[[#This Row],[Commitment / deliverable]]="","",IF(CommitmentsTable[[#This Row],[Revised due]]&lt;&gt;"",CommitmentsTable[[#This Row],[Revised due]],CommitmentsTable[[#This Row],[Original due]]))</f>
        <v/>
      </c>
      <c r="T968" s="237" t="str">
        <f>IF(OR(CommitmentsTable[[#This Row],[Commitment / deliverable]]="",CommitmentsTable[[#This Row],[Owner]]=""),"",IF(CommitmentsTable[[#This Row],[Status2]]="","Open",CommitmentsTable[[#This Row],[Status2]]))</f>
        <v/>
      </c>
      <c r="U968" s="237" t="str">
        <f t="shared" ca="1" si="14"/>
        <v/>
      </c>
      <c r="V968" s="233"/>
      <c r="W968" s="63" t="s">
        <v>1870</v>
      </c>
    </row>
    <row r="969" spans="1:23" ht="26">
      <c r="A969" s="213" t="str">
        <f>IF(OR(CommitmentsTable[[#This Row],[Commitment / deliverable]]="",CommitmentsTable[[#This Row],[Immutable Key]]=""),"",SUBSTITUTE(CommitmentsTable[[#This Row],[Immutable Key]],"-K-","-"))</f>
        <v/>
      </c>
      <c r="B969" s="233"/>
      <c r="C969" s="233"/>
      <c r="D969" s="213"/>
      <c r="E969" s="230"/>
      <c r="F969" s="213"/>
      <c r="G969" s="245" t="str">
        <f ca="1">IF(CommitmentsTable[[#This Row],[Commitment / deliverable]]="","",IF(CommitmentsTable[[#This Row],[Date record entered]]="",TODAY(),CommitmentsTable[[#This Row],[Date record entered]]))</f>
        <v/>
      </c>
      <c r="H969" s="245"/>
      <c r="I969" s="245" t="str">
        <f ca="1">IF(CommitmentsTable[[#This Row],[Date Assigned if different from entry date]]&lt;&gt;"",CommitmentsTable[[#This Row],[Date Assigned if different from entry date]]+90,IF(CommitmentsTable[[#This Row],[Date record entered]]&lt;&gt;"",CommitmentsTable[[#This Row],[Date record entered]]+90,""))</f>
        <v/>
      </c>
      <c r="J969" s="245" t="str">
        <f ca="1">IF(CommitmentsTable[[#This Row],[Date Assigned if different from entry date]]&lt;&gt;"",CommitmentsTable[[#This Row],[Date Assigned if different from entry date]]+30,IF(CommitmentsTable[[#This Row],[Date record entered]]&lt;&gt;"",CommitmentsTable[[#This Row],[Date record entered]]+30,""))</f>
        <v/>
      </c>
      <c r="K969" s="245"/>
      <c r="L969" s="245" t="str">
        <f ca="1">IF(CommitmentsTable[[#This Row],[Date Assigned if different from entry date]]&lt;&gt;"",CommitmentsTable[[#This Row],[Date Assigned if different from entry date]]+60,IF(CommitmentsTable[[#This Row],[Date record entered]]&lt;&gt;"",CommitmentsTable[[#This Row],[Date record entered]]+60,""))</f>
        <v/>
      </c>
      <c r="M969" s="214"/>
      <c r="N969" s="214"/>
      <c r="O969" s="236"/>
      <c r="P969" s="214"/>
      <c r="Q969" s="214"/>
      <c r="R969" s="214"/>
      <c r="S969" s="238" t="str">
        <f>IF(CommitmentsTable[[#This Row],[Commitment / deliverable]]="","",IF(CommitmentsTable[[#This Row],[Revised due]]&lt;&gt;"",CommitmentsTable[[#This Row],[Revised due]],CommitmentsTable[[#This Row],[Original due]]))</f>
        <v/>
      </c>
      <c r="T969" s="237" t="str">
        <f>IF(OR(CommitmentsTable[[#This Row],[Commitment / deliverable]]="",CommitmentsTable[[#This Row],[Owner]]=""),"",IF(CommitmentsTable[[#This Row],[Status2]]="","Open",CommitmentsTable[[#This Row],[Status2]]))</f>
        <v/>
      </c>
      <c r="U969" s="237" t="str">
        <f t="shared" ca="1" si="14"/>
        <v/>
      </c>
      <c r="V969" s="233"/>
      <c r="W969" s="63" t="s">
        <v>1871</v>
      </c>
    </row>
    <row r="970" spans="1:23" ht="26">
      <c r="A970" s="213" t="str">
        <f>IF(OR(CommitmentsTable[[#This Row],[Commitment / deliverable]]="",CommitmentsTable[[#This Row],[Immutable Key]]=""),"",SUBSTITUTE(CommitmentsTable[[#This Row],[Immutable Key]],"-K-","-"))</f>
        <v/>
      </c>
      <c r="B970" s="233"/>
      <c r="C970" s="233"/>
      <c r="D970" s="213"/>
      <c r="E970" s="230"/>
      <c r="F970" s="213"/>
      <c r="G970" s="245" t="str">
        <f ca="1">IF(CommitmentsTable[[#This Row],[Commitment / deliverable]]="","",IF(CommitmentsTable[[#This Row],[Date record entered]]="",TODAY(),CommitmentsTable[[#This Row],[Date record entered]]))</f>
        <v/>
      </c>
      <c r="H970" s="245"/>
      <c r="I970" s="245" t="str">
        <f ca="1">IF(CommitmentsTable[[#This Row],[Date Assigned if different from entry date]]&lt;&gt;"",CommitmentsTable[[#This Row],[Date Assigned if different from entry date]]+90,IF(CommitmentsTable[[#This Row],[Date record entered]]&lt;&gt;"",CommitmentsTable[[#This Row],[Date record entered]]+90,""))</f>
        <v/>
      </c>
      <c r="J970" s="245" t="str">
        <f ca="1">IF(CommitmentsTable[[#This Row],[Date Assigned if different from entry date]]&lt;&gt;"",CommitmentsTable[[#This Row],[Date Assigned if different from entry date]]+30,IF(CommitmentsTable[[#This Row],[Date record entered]]&lt;&gt;"",CommitmentsTable[[#This Row],[Date record entered]]+30,""))</f>
        <v/>
      </c>
      <c r="K970" s="245"/>
      <c r="L970" s="245" t="str">
        <f ca="1">IF(CommitmentsTable[[#This Row],[Date Assigned if different from entry date]]&lt;&gt;"",CommitmentsTable[[#This Row],[Date Assigned if different from entry date]]+60,IF(CommitmentsTable[[#This Row],[Date record entered]]&lt;&gt;"",CommitmentsTable[[#This Row],[Date record entered]]+60,""))</f>
        <v/>
      </c>
      <c r="M970" s="214"/>
      <c r="N970" s="214"/>
      <c r="O970" s="236"/>
      <c r="P970" s="214"/>
      <c r="Q970" s="214"/>
      <c r="R970" s="214"/>
      <c r="S970" s="238" t="str">
        <f>IF(CommitmentsTable[[#This Row],[Commitment / deliverable]]="","",IF(CommitmentsTable[[#This Row],[Revised due]]&lt;&gt;"",CommitmentsTable[[#This Row],[Revised due]],CommitmentsTable[[#This Row],[Original due]]))</f>
        <v/>
      </c>
      <c r="T970" s="237" t="str">
        <f>IF(OR(CommitmentsTable[[#This Row],[Commitment / deliverable]]="",CommitmentsTable[[#This Row],[Owner]]=""),"",IF(CommitmentsTable[[#This Row],[Status2]]="","Open",CommitmentsTable[[#This Row],[Status2]]))</f>
        <v/>
      </c>
      <c r="U970" s="237" t="str">
        <f t="shared" ca="1" si="14"/>
        <v/>
      </c>
      <c r="V970" s="233"/>
      <c r="W970" s="63" t="s">
        <v>1872</v>
      </c>
    </row>
    <row r="971" spans="1:23" ht="26">
      <c r="A971" s="213" t="str">
        <f>IF(OR(CommitmentsTable[[#This Row],[Commitment / deliverable]]="",CommitmentsTable[[#This Row],[Immutable Key]]=""),"",SUBSTITUTE(CommitmentsTable[[#This Row],[Immutable Key]],"-K-","-"))</f>
        <v/>
      </c>
      <c r="B971" s="233"/>
      <c r="C971" s="233"/>
      <c r="D971" s="213"/>
      <c r="E971" s="230"/>
      <c r="F971" s="213"/>
      <c r="G971" s="245" t="str">
        <f ca="1">IF(CommitmentsTable[[#This Row],[Commitment / deliverable]]="","",IF(CommitmentsTable[[#This Row],[Date record entered]]="",TODAY(),CommitmentsTable[[#This Row],[Date record entered]]))</f>
        <v/>
      </c>
      <c r="H971" s="245"/>
      <c r="I971" s="245" t="str">
        <f ca="1">IF(CommitmentsTable[[#This Row],[Date Assigned if different from entry date]]&lt;&gt;"",CommitmentsTable[[#This Row],[Date Assigned if different from entry date]]+90,IF(CommitmentsTable[[#This Row],[Date record entered]]&lt;&gt;"",CommitmentsTable[[#This Row],[Date record entered]]+90,""))</f>
        <v/>
      </c>
      <c r="J971" s="245" t="str">
        <f ca="1">IF(CommitmentsTable[[#This Row],[Date Assigned if different from entry date]]&lt;&gt;"",CommitmentsTable[[#This Row],[Date Assigned if different from entry date]]+30,IF(CommitmentsTable[[#This Row],[Date record entered]]&lt;&gt;"",CommitmentsTable[[#This Row],[Date record entered]]+30,""))</f>
        <v/>
      </c>
      <c r="K971" s="245"/>
      <c r="L971" s="245" t="str">
        <f ca="1">IF(CommitmentsTable[[#This Row],[Date Assigned if different from entry date]]&lt;&gt;"",CommitmentsTable[[#This Row],[Date Assigned if different from entry date]]+60,IF(CommitmentsTable[[#This Row],[Date record entered]]&lt;&gt;"",CommitmentsTable[[#This Row],[Date record entered]]+60,""))</f>
        <v/>
      </c>
      <c r="M971" s="214"/>
      <c r="N971" s="214"/>
      <c r="O971" s="236"/>
      <c r="P971" s="214"/>
      <c r="Q971" s="214"/>
      <c r="R971" s="214"/>
      <c r="S971" s="238" t="str">
        <f>IF(CommitmentsTable[[#This Row],[Commitment / deliverable]]="","",IF(CommitmentsTable[[#This Row],[Revised due]]&lt;&gt;"",CommitmentsTable[[#This Row],[Revised due]],CommitmentsTable[[#This Row],[Original due]]))</f>
        <v/>
      </c>
      <c r="T971" s="237" t="str">
        <f>IF(OR(CommitmentsTable[[#This Row],[Commitment / deliverable]]="",CommitmentsTable[[#This Row],[Owner]]=""),"",IF(CommitmentsTable[[#This Row],[Status2]]="","Open",CommitmentsTable[[#This Row],[Status2]]))</f>
        <v/>
      </c>
      <c r="U971" s="237" t="str">
        <f t="shared" ca="1" si="14"/>
        <v/>
      </c>
      <c r="V971" s="233"/>
      <c r="W971" s="63" t="s">
        <v>1873</v>
      </c>
    </row>
    <row r="972" spans="1:23" ht="26">
      <c r="A972" s="213" t="str">
        <f>IF(OR(CommitmentsTable[[#This Row],[Commitment / deliverable]]="",CommitmentsTable[[#This Row],[Immutable Key]]=""),"",SUBSTITUTE(CommitmentsTable[[#This Row],[Immutable Key]],"-K-","-"))</f>
        <v/>
      </c>
      <c r="B972" s="233"/>
      <c r="C972" s="233"/>
      <c r="D972" s="213"/>
      <c r="E972" s="230"/>
      <c r="F972" s="213"/>
      <c r="G972" s="245" t="str">
        <f ca="1">IF(CommitmentsTable[[#This Row],[Commitment / deliverable]]="","",IF(CommitmentsTable[[#This Row],[Date record entered]]="",TODAY(),CommitmentsTable[[#This Row],[Date record entered]]))</f>
        <v/>
      </c>
      <c r="H972" s="245"/>
      <c r="I972" s="245" t="str">
        <f ca="1">IF(CommitmentsTable[[#This Row],[Date Assigned if different from entry date]]&lt;&gt;"",CommitmentsTable[[#This Row],[Date Assigned if different from entry date]]+90,IF(CommitmentsTable[[#This Row],[Date record entered]]&lt;&gt;"",CommitmentsTable[[#This Row],[Date record entered]]+90,""))</f>
        <v/>
      </c>
      <c r="J972" s="245" t="str">
        <f ca="1">IF(CommitmentsTable[[#This Row],[Date Assigned if different from entry date]]&lt;&gt;"",CommitmentsTable[[#This Row],[Date Assigned if different from entry date]]+30,IF(CommitmentsTable[[#This Row],[Date record entered]]&lt;&gt;"",CommitmentsTable[[#This Row],[Date record entered]]+30,""))</f>
        <v/>
      </c>
      <c r="K972" s="245"/>
      <c r="L972" s="245" t="str">
        <f ca="1">IF(CommitmentsTable[[#This Row],[Date Assigned if different from entry date]]&lt;&gt;"",CommitmentsTable[[#This Row],[Date Assigned if different from entry date]]+60,IF(CommitmentsTable[[#This Row],[Date record entered]]&lt;&gt;"",CommitmentsTable[[#This Row],[Date record entered]]+60,""))</f>
        <v/>
      </c>
      <c r="M972" s="214"/>
      <c r="N972" s="214"/>
      <c r="O972" s="236"/>
      <c r="P972" s="214"/>
      <c r="Q972" s="214"/>
      <c r="R972" s="214"/>
      <c r="S972" s="238" t="str">
        <f>IF(CommitmentsTable[[#This Row],[Commitment / deliverable]]="","",IF(CommitmentsTable[[#This Row],[Revised due]]&lt;&gt;"",CommitmentsTable[[#This Row],[Revised due]],CommitmentsTable[[#This Row],[Original due]]))</f>
        <v/>
      </c>
      <c r="T972" s="237" t="str">
        <f>IF(OR(CommitmentsTable[[#This Row],[Commitment / deliverable]]="",CommitmentsTable[[#This Row],[Owner]]=""),"",IF(CommitmentsTable[[#This Row],[Status2]]="","Open",CommitmentsTable[[#This Row],[Status2]]))</f>
        <v/>
      </c>
      <c r="U972" s="237" t="str">
        <f t="shared" ca="1" si="14"/>
        <v/>
      </c>
      <c r="V972" s="233"/>
      <c r="W972" s="63" t="s">
        <v>1874</v>
      </c>
    </row>
    <row r="973" spans="1:23" ht="26">
      <c r="A973" s="213" t="str">
        <f>IF(OR(CommitmentsTable[[#This Row],[Commitment / deliverable]]="",CommitmentsTable[[#This Row],[Immutable Key]]=""),"",SUBSTITUTE(CommitmentsTable[[#This Row],[Immutable Key]],"-K-","-"))</f>
        <v/>
      </c>
      <c r="B973" s="233"/>
      <c r="C973" s="233"/>
      <c r="D973" s="213"/>
      <c r="E973" s="230"/>
      <c r="F973" s="213"/>
      <c r="G973" s="245" t="str">
        <f ca="1">IF(CommitmentsTable[[#This Row],[Commitment / deliverable]]="","",IF(CommitmentsTable[[#This Row],[Date record entered]]="",TODAY(),CommitmentsTable[[#This Row],[Date record entered]]))</f>
        <v/>
      </c>
      <c r="H973" s="245"/>
      <c r="I973" s="245" t="str">
        <f ca="1">IF(CommitmentsTable[[#This Row],[Date Assigned if different from entry date]]&lt;&gt;"",CommitmentsTable[[#This Row],[Date Assigned if different from entry date]]+90,IF(CommitmentsTable[[#This Row],[Date record entered]]&lt;&gt;"",CommitmentsTable[[#This Row],[Date record entered]]+90,""))</f>
        <v/>
      </c>
      <c r="J973" s="245" t="str">
        <f ca="1">IF(CommitmentsTable[[#This Row],[Date Assigned if different from entry date]]&lt;&gt;"",CommitmentsTable[[#This Row],[Date Assigned if different from entry date]]+30,IF(CommitmentsTable[[#This Row],[Date record entered]]&lt;&gt;"",CommitmentsTable[[#This Row],[Date record entered]]+30,""))</f>
        <v/>
      </c>
      <c r="K973" s="245"/>
      <c r="L973" s="245" t="str">
        <f ca="1">IF(CommitmentsTable[[#This Row],[Date Assigned if different from entry date]]&lt;&gt;"",CommitmentsTable[[#This Row],[Date Assigned if different from entry date]]+60,IF(CommitmentsTable[[#This Row],[Date record entered]]&lt;&gt;"",CommitmentsTable[[#This Row],[Date record entered]]+60,""))</f>
        <v/>
      </c>
      <c r="M973" s="214"/>
      <c r="N973" s="214"/>
      <c r="O973" s="236"/>
      <c r="P973" s="214"/>
      <c r="Q973" s="214"/>
      <c r="R973" s="214"/>
      <c r="S973" s="238" t="str">
        <f>IF(CommitmentsTable[[#This Row],[Commitment / deliverable]]="","",IF(CommitmentsTable[[#This Row],[Revised due]]&lt;&gt;"",CommitmentsTable[[#This Row],[Revised due]],CommitmentsTable[[#This Row],[Original due]]))</f>
        <v/>
      </c>
      <c r="T973" s="237" t="str">
        <f>IF(OR(CommitmentsTable[[#This Row],[Commitment / deliverable]]="",CommitmentsTable[[#This Row],[Owner]]=""),"",IF(CommitmentsTable[[#This Row],[Status2]]="","Open",CommitmentsTable[[#This Row],[Status2]]))</f>
        <v/>
      </c>
      <c r="U973" s="237" t="str">
        <f t="shared" ref="U973:U1036" ca="1" si="15">IF(B973="","",IF(T973="Closed","",IF(OR(T973="Slipped",T973="At risk",AND(S973&lt;&gt;"",S973&lt;TODAY())),"Slipped / at risk",IF(G973=TODAY(),"New today",IF(S973=TODAY()+1,"Due tomorrow","")))))</f>
        <v/>
      </c>
      <c r="V973" s="233"/>
      <c r="W973" s="63" t="s">
        <v>1875</v>
      </c>
    </row>
    <row r="974" spans="1:23" ht="26">
      <c r="A974" s="213" t="str">
        <f>IF(OR(CommitmentsTable[[#This Row],[Commitment / deliverable]]="",CommitmentsTable[[#This Row],[Immutable Key]]=""),"",SUBSTITUTE(CommitmentsTable[[#This Row],[Immutable Key]],"-K-","-"))</f>
        <v/>
      </c>
      <c r="B974" s="233"/>
      <c r="C974" s="233"/>
      <c r="D974" s="213"/>
      <c r="E974" s="230"/>
      <c r="F974" s="213"/>
      <c r="G974" s="245" t="str">
        <f ca="1">IF(CommitmentsTable[[#This Row],[Commitment / deliverable]]="","",IF(CommitmentsTable[[#This Row],[Date record entered]]="",TODAY(),CommitmentsTable[[#This Row],[Date record entered]]))</f>
        <v/>
      </c>
      <c r="H974" s="245"/>
      <c r="I974" s="245" t="str">
        <f ca="1">IF(CommitmentsTable[[#This Row],[Date Assigned if different from entry date]]&lt;&gt;"",CommitmentsTable[[#This Row],[Date Assigned if different from entry date]]+90,IF(CommitmentsTable[[#This Row],[Date record entered]]&lt;&gt;"",CommitmentsTable[[#This Row],[Date record entered]]+90,""))</f>
        <v/>
      </c>
      <c r="J974" s="245" t="str">
        <f ca="1">IF(CommitmentsTable[[#This Row],[Date Assigned if different from entry date]]&lt;&gt;"",CommitmentsTable[[#This Row],[Date Assigned if different from entry date]]+30,IF(CommitmentsTable[[#This Row],[Date record entered]]&lt;&gt;"",CommitmentsTable[[#This Row],[Date record entered]]+30,""))</f>
        <v/>
      </c>
      <c r="K974" s="245"/>
      <c r="L974" s="245" t="str">
        <f ca="1">IF(CommitmentsTable[[#This Row],[Date Assigned if different from entry date]]&lt;&gt;"",CommitmentsTable[[#This Row],[Date Assigned if different from entry date]]+60,IF(CommitmentsTable[[#This Row],[Date record entered]]&lt;&gt;"",CommitmentsTable[[#This Row],[Date record entered]]+60,""))</f>
        <v/>
      </c>
      <c r="M974" s="214"/>
      <c r="N974" s="214"/>
      <c r="O974" s="236"/>
      <c r="P974" s="214"/>
      <c r="Q974" s="214"/>
      <c r="R974" s="214"/>
      <c r="S974" s="238" t="str">
        <f>IF(CommitmentsTable[[#This Row],[Commitment / deliverable]]="","",IF(CommitmentsTable[[#This Row],[Revised due]]&lt;&gt;"",CommitmentsTable[[#This Row],[Revised due]],CommitmentsTable[[#This Row],[Original due]]))</f>
        <v/>
      </c>
      <c r="T974" s="237" t="str">
        <f>IF(OR(CommitmentsTable[[#This Row],[Commitment / deliverable]]="",CommitmentsTable[[#This Row],[Owner]]=""),"",IF(CommitmentsTable[[#This Row],[Status2]]="","Open",CommitmentsTable[[#This Row],[Status2]]))</f>
        <v/>
      </c>
      <c r="U974" s="237" t="str">
        <f t="shared" ca="1" si="15"/>
        <v/>
      </c>
      <c r="V974" s="233"/>
      <c r="W974" s="63" t="s">
        <v>1876</v>
      </c>
    </row>
    <row r="975" spans="1:23" ht="26">
      <c r="A975" s="213" t="str">
        <f>IF(OR(CommitmentsTable[[#This Row],[Commitment / deliverable]]="",CommitmentsTable[[#This Row],[Immutable Key]]=""),"",SUBSTITUTE(CommitmentsTable[[#This Row],[Immutable Key]],"-K-","-"))</f>
        <v/>
      </c>
      <c r="B975" s="233"/>
      <c r="C975" s="233"/>
      <c r="D975" s="213"/>
      <c r="E975" s="230"/>
      <c r="F975" s="213"/>
      <c r="G975" s="245" t="str">
        <f ca="1">IF(CommitmentsTable[[#This Row],[Commitment / deliverable]]="","",IF(CommitmentsTable[[#This Row],[Date record entered]]="",TODAY(),CommitmentsTable[[#This Row],[Date record entered]]))</f>
        <v/>
      </c>
      <c r="H975" s="245"/>
      <c r="I975" s="245" t="str">
        <f ca="1">IF(CommitmentsTable[[#This Row],[Date Assigned if different from entry date]]&lt;&gt;"",CommitmentsTable[[#This Row],[Date Assigned if different from entry date]]+90,IF(CommitmentsTable[[#This Row],[Date record entered]]&lt;&gt;"",CommitmentsTable[[#This Row],[Date record entered]]+90,""))</f>
        <v/>
      </c>
      <c r="J975" s="245" t="str">
        <f ca="1">IF(CommitmentsTable[[#This Row],[Date Assigned if different from entry date]]&lt;&gt;"",CommitmentsTable[[#This Row],[Date Assigned if different from entry date]]+30,IF(CommitmentsTable[[#This Row],[Date record entered]]&lt;&gt;"",CommitmentsTable[[#This Row],[Date record entered]]+30,""))</f>
        <v/>
      </c>
      <c r="K975" s="245"/>
      <c r="L975" s="245" t="str">
        <f ca="1">IF(CommitmentsTable[[#This Row],[Date Assigned if different from entry date]]&lt;&gt;"",CommitmentsTable[[#This Row],[Date Assigned if different from entry date]]+60,IF(CommitmentsTable[[#This Row],[Date record entered]]&lt;&gt;"",CommitmentsTable[[#This Row],[Date record entered]]+60,""))</f>
        <v/>
      </c>
      <c r="M975" s="214"/>
      <c r="N975" s="214"/>
      <c r="O975" s="236"/>
      <c r="P975" s="214"/>
      <c r="Q975" s="214"/>
      <c r="R975" s="214"/>
      <c r="S975" s="238" t="str">
        <f>IF(CommitmentsTable[[#This Row],[Commitment / deliverable]]="","",IF(CommitmentsTable[[#This Row],[Revised due]]&lt;&gt;"",CommitmentsTable[[#This Row],[Revised due]],CommitmentsTable[[#This Row],[Original due]]))</f>
        <v/>
      </c>
      <c r="T975" s="237" t="str">
        <f>IF(OR(CommitmentsTable[[#This Row],[Commitment / deliverable]]="",CommitmentsTable[[#This Row],[Owner]]=""),"",IF(CommitmentsTable[[#This Row],[Status2]]="","Open",CommitmentsTable[[#This Row],[Status2]]))</f>
        <v/>
      </c>
      <c r="U975" s="237" t="str">
        <f t="shared" ca="1" si="15"/>
        <v/>
      </c>
      <c r="V975" s="233"/>
      <c r="W975" s="63" t="s">
        <v>1877</v>
      </c>
    </row>
    <row r="976" spans="1:23" ht="26">
      <c r="A976" s="213" t="str">
        <f>IF(OR(CommitmentsTable[[#This Row],[Commitment / deliverable]]="",CommitmentsTable[[#This Row],[Immutable Key]]=""),"",SUBSTITUTE(CommitmentsTable[[#This Row],[Immutable Key]],"-K-","-"))</f>
        <v/>
      </c>
      <c r="B976" s="233"/>
      <c r="C976" s="233"/>
      <c r="D976" s="213"/>
      <c r="E976" s="230"/>
      <c r="F976" s="213"/>
      <c r="G976" s="245" t="str">
        <f ca="1">IF(CommitmentsTable[[#This Row],[Commitment / deliverable]]="","",IF(CommitmentsTable[[#This Row],[Date record entered]]="",TODAY(),CommitmentsTable[[#This Row],[Date record entered]]))</f>
        <v/>
      </c>
      <c r="H976" s="245"/>
      <c r="I976" s="245" t="str">
        <f ca="1">IF(CommitmentsTable[[#This Row],[Date Assigned if different from entry date]]&lt;&gt;"",CommitmentsTable[[#This Row],[Date Assigned if different from entry date]]+90,IF(CommitmentsTable[[#This Row],[Date record entered]]&lt;&gt;"",CommitmentsTable[[#This Row],[Date record entered]]+90,""))</f>
        <v/>
      </c>
      <c r="J976" s="245" t="str">
        <f ca="1">IF(CommitmentsTable[[#This Row],[Date Assigned if different from entry date]]&lt;&gt;"",CommitmentsTable[[#This Row],[Date Assigned if different from entry date]]+30,IF(CommitmentsTable[[#This Row],[Date record entered]]&lt;&gt;"",CommitmentsTable[[#This Row],[Date record entered]]+30,""))</f>
        <v/>
      </c>
      <c r="K976" s="245"/>
      <c r="L976" s="245" t="str">
        <f ca="1">IF(CommitmentsTable[[#This Row],[Date Assigned if different from entry date]]&lt;&gt;"",CommitmentsTable[[#This Row],[Date Assigned if different from entry date]]+60,IF(CommitmentsTable[[#This Row],[Date record entered]]&lt;&gt;"",CommitmentsTable[[#This Row],[Date record entered]]+60,""))</f>
        <v/>
      </c>
      <c r="M976" s="214"/>
      <c r="N976" s="214"/>
      <c r="O976" s="236"/>
      <c r="P976" s="214"/>
      <c r="Q976" s="214"/>
      <c r="R976" s="214"/>
      <c r="S976" s="238" t="str">
        <f>IF(CommitmentsTable[[#This Row],[Commitment / deliverable]]="","",IF(CommitmentsTable[[#This Row],[Revised due]]&lt;&gt;"",CommitmentsTable[[#This Row],[Revised due]],CommitmentsTable[[#This Row],[Original due]]))</f>
        <v/>
      </c>
      <c r="T976" s="237" t="str">
        <f>IF(OR(CommitmentsTable[[#This Row],[Commitment / deliverable]]="",CommitmentsTable[[#This Row],[Owner]]=""),"",IF(CommitmentsTable[[#This Row],[Status2]]="","Open",CommitmentsTable[[#This Row],[Status2]]))</f>
        <v/>
      </c>
      <c r="U976" s="237" t="str">
        <f t="shared" ca="1" si="15"/>
        <v/>
      </c>
      <c r="V976" s="233"/>
      <c r="W976" s="63" t="s">
        <v>1878</v>
      </c>
    </row>
    <row r="977" spans="1:23" ht="26">
      <c r="A977" s="213" t="str">
        <f>IF(OR(CommitmentsTable[[#This Row],[Commitment / deliverable]]="",CommitmentsTable[[#This Row],[Immutable Key]]=""),"",SUBSTITUTE(CommitmentsTable[[#This Row],[Immutable Key]],"-K-","-"))</f>
        <v/>
      </c>
      <c r="B977" s="233"/>
      <c r="C977" s="233"/>
      <c r="D977" s="213"/>
      <c r="E977" s="230"/>
      <c r="F977" s="213"/>
      <c r="G977" s="245" t="str">
        <f ca="1">IF(CommitmentsTable[[#This Row],[Commitment / deliverable]]="","",IF(CommitmentsTable[[#This Row],[Date record entered]]="",TODAY(),CommitmentsTable[[#This Row],[Date record entered]]))</f>
        <v/>
      </c>
      <c r="H977" s="245"/>
      <c r="I977" s="245" t="str">
        <f ca="1">IF(CommitmentsTable[[#This Row],[Date Assigned if different from entry date]]&lt;&gt;"",CommitmentsTable[[#This Row],[Date Assigned if different from entry date]]+90,IF(CommitmentsTable[[#This Row],[Date record entered]]&lt;&gt;"",CommitmentsTable[[#This Row],[Date record entered]]+90,""))</f>
        <v/>
      </c>
      <c r="J977" s="245" t="str">
        <f ca="1">IF(CommitmentsTable[[#This Row],[Date Assigned if different from entry date]]&lt;&gt;"",CommitmentsTable[[#This Row],[Date Assigned if different from entry date]]+30,IF(CommitmentsTable[[#This Row],[Date record entered]]&lt;&gt;"",CommitmentsTable[[#This Row],[Date record entered]]+30,""))</f>
        <v/>
      </c>
      <c r="K977" s="245"/>
      <c r="L977" s="245" t="str">
        <f ca="1">IF(CommitmentsTable[[#This Row],[Date Assigned if different from entry date]]&lt;&gt;"",CommitmentsTable[[#This Row],[Date Assigned if different from entry date]]+60,IF(CommitmentsTable[[#This Row],[Date record entered]]&lt;&gt;"",CommitmentsTable[[#This Row],[Date record entered]]+60,""))</f>
        <v/>
      </c>
      <c r="M977" s="214"/>
      <c r="N977" s="214"/>
      <c r="O977" s="236"/>
      <c r="P977" s="214"/>
      <c r="Q977" s="214"/>
      <c r="R977" s="214"/>
      <c r="S977" s="238" t="str">
        <f>IF(CommitmentsTable[[#This Row],[Commitment / deliverable]]="","",IF(CommitmentsTable[[#This Row],[Revised due]]&lt;&gt;"",CommitmentsTable[[#This Row],[Revised due]],CommitmentsTable[[#This Row],[Original due]]))</f>
        <v/>
      </c>
      <c r="T977" s="237" t="str">
        <f>IF(OR(CommitmentsTable[[#This Row],[Commitment / deliverable]]="",CommitmentsTable[[#This Row],[Owner]]=""),"",IF(CommitmentsTable[[#This Row],[Status2]]="","Open",CommitmentsTable[[#This Row],[Status2]]))</f>
        <v/>
      </c>
      <c r="U977" s="237" t="str">
        <f t="shared" ca="1" si="15"/>
        <v/>
      </c>
      <c r="V977" s="233"/>
      <c r="W977" s="63" t="s">
        <v>1879</v>
      </c>
    </row>
    <row r="978" spans="1:23" ht="26">
      <c r="A978" s="213" t="str">
        <f>IF(OR(CommitmentsTable[[#This Row],[Commitment / deliverable]]="",CommitmentsTable[[#This Row],[Immutable Key]]=""),"",SUBSTITUTE(CommitmentsTable[[#This Row],[Immutable Key]],"-K-","-"))</f>
        <v/>
      </c>
      <c r="B978" s="233"/>
      <c r="C978" s="233"/>
      <c r="D978" s="213"/>
      <c r="E978" s="230"/>
      <c r="F978" s="213"/>
      <c r="G978" s="245" t="str">
        <f ca="1">IF(CommitmentsTable[[#This Row],[Commitment / deliverable]]="","",IF(CommitmentsTable[[#This Row],[Date record entered]]="",TODAY(),CommitmentsTable[[#This Row],[Date record entered]]))</f>
        <v/>
      </c>
      <c r="H978" s="245"/>
      <c r="I978" s="245" t="str">
        <f ca="1">IF(CommitmentsTable[[#This Row],[Date Assigned if different from entry date]]&lt;&gt;"",CommitmentsTable[[#This Row],[Date Assigned if different from entry date]]+90,IF(CommitmentsTable[[#This Row],[Date record entered]]&lt;&gt;"",CommitmentsTable[[#This Row],[Date record entered]]+90,""))</f>
        <v/>
      </c>
      <c r="J978" s="245" t="str">
        <f ca="1">IF(CommitmentsTable[[#This Row],[Date Assigned if different from entry date]]&lt;&gt;"",CommitmentsTable[[#This Row],[Date Assigned if different from entry date]]+30,IF(CommitmentsTable[[#This Row],[Date record entered]]&lt;&gt;"",CommitmentsTable[[#This Row],[Date record entered]]+30,""))</f>
        <v/>
      </c>
      <c r="K978" s="245"/>
      <c r="L978" s="245" t="str">
        <f ca="1">IF(CommitmentsTable[[#This Row],[Date Assigned if different from entry date]]&lt;&gt;"",CommitmentsTable[[#This Row],[Date Assigned if different from entry date]]+60,IF(CommitmentsTable[[#This Row],[Date record entered]]&lt;&gt;"",CommitmentsTable[[#This Row],[Date record entered]]+60,""))</f>
        <v/>
      </c>
      <c r="M978" s="214"/>
      <c r="N978" s="214"/>
      <c r="O978" s="236"/>
      <c r="P978" s="214"/>
      <c r="Q978" s="214"/>
      <c r="R978" s="214"/>
      <c r="S978" s="238" t="str">
        <f>IF(CommitmentsTable[[#This Row],[Commitment / deliverable]]="","",IF(CommitmentsTable[[#This Row],[Revised due]]&lt;&gt;"",CommitmentsTable[[#This Row],[Revised due]],CommitmentsTable[[#This Row],[Original due]]))</f>
        <v/>
      </c>
      <c r="T978" s="237" t="str">
        <f>IF(OR(CommitmentsTable[[#This Row],[Commitment / deliverable]]="",CommitmentsTable[[#This Row],[Owner]]=""),"",IF(CommitmentsTable[[#This Row],[Status2]]="","Open",CommitmentsTable[[#This Row],[Status2]]))</f>
        <v/>
      </c>
      <c r="U978" s="237" t="str">
        <f t="shared" ca="1" si="15"/>
        <v/>
      </c>
      <c r="V978" s="233"/>
      <c r="W978" s="63" t="s">
        <v>1880</v>
      </c>
    </row>
    <row r="979" spans="1:23" ht="26">
      <c r="A979" s="213" t="str">
        <f>IF(OR(CommitmentsTable[[#This Row],[Commitment / deliverable]]="",CommitmentsTable[[#This Row],[Immutable Key]]=""),"",SUBSTITUTE(CommitmentsTable[[#This Row],[Immutable Key]],"-K-","-"))</f>
        <v/>
      </c>
      <c r="B979" s="233"/>
      <c r="C979" s="233"/>
      <c r="D979" s="213"/>
      <c r="E979" s="230"/>
      <c r="F979" s="213"/>
      <c r="G979" s="245" t="str">
        <f ca="1">IF(CommitmentsTable[[#This Row],[Commitment / deliverable]]="","",IF(CommitmentsTable[[#This Row],[Date record entered]]="",TODAY(),CommitmentsTable[[#This Row],[Date record entered]]))</f>
        <v/>
      </c>
      <c r="H979" s="245"/>
      <c r="I979" s="245" t="str">
        <f ca="1">IF(CommitmentsTable[[#This Row],[Date Assigned if different from entry date]]&lt;&gt;"",CommitmentsTable[[#This Row],[Date Assigned if different from entry date]]+90,IF(CommitmentsTable[[#This Row],[Date record entered]]&lt;&gt;"",CommitmentsTable[[#This Row],[Date record entered]]+90,""))</f>
        <v/>
      </c>
      <c r="J979" s="245" t="str">
        <f ca="1">IF(CommitmentsTable[[#This Row],[Date Assigned if different from entry date]]&lt;&gt;"",CommitmentsTable[[#This Row],[Date Assigned if different from entry date]]+30,IF(CommitmentsTable[[#This Row],[Date record entered]]&lt;&gt;"",CommitmentsTable[[#This Row],[Date record entered]]+30,""))</f>
        <v/>
      </c>
      <c r="K979" s="245"/>
      <c r="L979" s="245" t="str">
        <f ca="1">IF(CommitmentsTable[[#This Row],[Date Assigned if different from entry date]]&lt;&gt;"",CommitmentsTable[[#This Row],[Date Assigned if different from entry date]]+60,IF(CommitmentsTable[[#This Row],[Date record entered]]&lt;&gt;"",CommitmentsTable[[#This Row],[Date record entered]]+60,""))</f>
        <v/>
      </c>
      <c r="M979" s="214"/>
      <c r="N979" s="214"/>
      <c r="O979" s="236"/>
      <c r="P979" s="214"/>
      <c r="Q979" s="214"/>
      <c r="R979" s="214"/>
      <c r="S979" s="238" t="str">
        <f>IF(CommitmentsTable[[#This Row],[Commitment / deliverable]]="","",IF(CommitmentsTable[[#This Row],[Revised due]]&lt;&gt;"",CommitmentsTable[[#This Row],[Revised due]],CommitmentsTable[[#This Row],[Original due]]))</f>
        <v/>
      </c>
      <c r="T979" s="237" t="str">
        <f>IF(OR(CommitmentsTable[[#This Row],[Commitment / deliverable]]="",CommitmentsTable[[#This Row],[Owner]]=""),"",IF(CommitmentsTable[[#This Row],[Status2]]="","Open",CommitmentsTable[[#This Row],[Status2]]))</f>
        <v/>
      </c>
      <c r="U979" s="237" t="str">
        <f t="shared" ca="1" si="15"/>
        <v/>
      </c>
      <c r="V979" s="233"/>
      <c r="W979" s="63" t="s">
        <v>1881</v>
      </c>
    </row>
    <row r="980" spans="1:23" ht="26">
      <c r="A980" s="213" t="str">
        <f>IF(OR(CommitmentsTable[[#This Row],[Commitment / deliverable]]="",CommitmentsTable[[#This Row],[Immutable Key]]=""),"",SUBSTITUTE(CommitmentsTable[[#This Row],[Immutable Key]],"-K-","-"))</f>
        <v/>
      </c>
      <c r="B980" s="233"/>
      <c r="C980" s="233"/>
      <c r="D980" s="213"/>
      <c r="E980" s="230"/>
      <c r="F980" s="213"/>
      <c r="G980" s="245" t="str">
        <f ca="1">IF(CommitmentsTable[[#This Row],[Commitment / deliverable]]="","",IF(CommitmentsTable[[#This Row],[Date record entered]]="",TODAY(),CommitmentsTable[[#This Row],[Date record entered]]))</f>
        <v/>
      </c>
      <c r="H980" s="245"/>
      <c r="I980" s="245" t="str">
        <f ca="1">IF(CommitmentsTable[[#This Row],[Date Assigned if different from entry date]]&lt;&gt;"",CommitmentsTable[[#This Row],[Date Assigned if different from entry date]]+90,IF(CommitmentsTable[[#This Row],[Date record entered]]&lt;&gt;"",CommitmentsTable[[#This Row],[Date record entered]]+90,""))</f>
        <v/>
      </c>
      <c r="J980" s="245" t="str">
        <f ca="1">IF(CommitmentsTable[[#This Row],[Date Assigned if different from entry date]]&lt;&gt;"",CommitmentsTable[[#This Row],[Date Assigned if different from entry date]]+30,IF(CommitmentsTable[[#This Row],[Date record entered]]&lt;&gt;"",CommitmentsTable[[#This Row],[Date record entered]]+30,""))</f>
        <v/>
      </c>
      <c r="K980" s="245"/>
      <c r="L980" s="245" t="str">
        <f ca="1">IF(CommitmentsTable[[#This Row],[Date Assigned if different from entry date]]&lt;&gt;"",CommitmentsTable[[#This Row],[Date Assigned if different from entry date]]+60,IF(CommitmentsTable[[#This Row],[Date record entered]]&lt;&gt;"",CommitmentsTable[[#This Row],[Date record entered]]+60,""))</f>
        <v/>
      </c>
      <c r="M980" s="214"/>
      <c r="N980" s="214"/>
      <c r="O980" s="236"/>
      <c r="P980" s="214"/>
      <c r="Q980" s="214"/>
      <c r="R980" s="214"/>
      <c r="S980" s="238" t="str">
        <f>IF(CommitmentsTable[[#This Row],[Commitment / deliverable]]="","",IF(CommitmentsTable[[#This Row],[Revised due]]&lt;&gt;"",CommitmentsTable[[#This Row],[Revised due]],CommitmentsTable[[#This Row],[Original due]]))</f>
        <v/>
      </c>
      <c r="T980" s="237" t="str">
        <f>IF(OR(CommitmentsTable[[#This Row],[Commitment / deliverable]]="",CommitmentsTable[[#This Row],[Owner]]=""),"",IF(CommitmentsTable[[#This Row],[Status2]]="","Open",CommitmentsTable[[#This Row],[Status2]]))</f>
        <v/>
      </c>
      <c r="U980" s="237" t="str">
        <f t="shared" ca="1" si="15"/>
        <v/>
      </c>
      <c r="V980" s="233"/>
      <c r="W980" s="63" t="s">
        <v>1882</v>
      </c>
    </row>
    <row r="981" spans="1:23" ht="26">
      <c r="A981" s="213" t="str">
        <f>IF(OR(CommitmentsTable[[#This Row],[Commitment / deliverable]]="",CommitmentsTable[[#This Row],[Immutable Key]]=""),"",SUBSTITUTE(CommitmentsTable[[#This Row],[Immutable Key]],"-K-","-"))</f>
        <v/>
      </c>
      <c r="B981" s="233"/>
      <c r="C981" s="233"/>
      <c r="D981" s="213"/>
      <c r="E981" s="230"/>
      <c r="F981" s="213"/>
      <c r="G981" s="245" t="str">
        <f ca="1">IF(CommitmentsTable[[#This Row],[Commitment / deliverable]]="","",IF(CommitmentsTable[[#This Row],[Date record entered]]="",TODAY(),CommitmentsTable[[#This Row],[Date record entered]]))</f>
        <v/>
      </c>
      <c r="H981" s="245"/>
      <c r="I981" s="245" t="str">
        <f ca="1">IF(CommitmentsTable[[#This Row],[Date Assigned if different from entry date]]&lt;&gt;"",CommitmentsTable[[#This Row],[Date Assigned if different from entry date]]+90,IF(CommitmentsTable[[#This Row],[Date record entered]]&lt;&gt;"",CommitmentsTable[[#This Row],[Date record entered]]+90,""))</f>
        <v/>
      </c>
      <c r="J981" s="245" t="str">
        <f ca="1">IF(CommitmentsTable[[#This Row],[Date Assigned if different from entry date]]&lt;&gt;"",CommitmentsTable[[#This Row],[Date Assigned if different from entry date]]+30,IF(CommitmentsTable[[#This Row],[Date record entered]]&lt;&gt;"",CommitmentsTable[[#This Row],[Date record entered]]+30,""))</f>
        <v/>
      </c>
      <c r="K981" s="245"/>
      <c r="L981" s="245" t="str">
        <f ca="1">IF(CommitmentsTable[[#This Row],[Date Assigned if different from entry date]]&lt;&gt;"",CommitmentsTable[[#This Row],[Date Assigned if different from entry date]]+60,IF(CommitmentsTable[[#This Row],[Date record entered]]&lt;&gt;"",CommitmentsTable[[#This Row],[Date record entered]]+60,""))</f>
        <v/>
      </c>
      <c r="M981" s="214"/>
      <c r="N981" s="214"/>
      <c r="O981" s="236"/>
      <c r="P981" s="214"/>
      <c r="Q981" s="214"/>
      <c r="R981" s="214"/>
      <c r="S981" s="238" t="str">
        <f>IF(CommitmentsTable[[#This Row],[Commitment / deliverable]]="","",IF(CommitmentsTable[[#This Row],[Revised due]]&lt;&gt;"",CommitmentsTable[[#This Row],[Revised due]],CommitmentsTable[[#This Row],[Original due]]))</f>
        <v/>
      </c>
      <c r="T981" s="237" t="str">
        <f>IF(OR(CommitmentsTable[[#This Row],[Commitment / deliverable]]="",CommitmentsTable[[#This Row],[Owner]]=""),"",IF(CommitmentsTable[[#This Row],[Status2]]="","Open",CommitmentsTable[[#This Row],[Status2]]))</f>
        <v/>
      </c>
      <c r="U981" s="237" t="str">
        <f t="shared" ca="1" si="15"/>
        <v/>
      </c>
      <c r="V981" s="233"/>
      <c r="W981" s="63" t="s">
        <v>1883</v>
      </c>
    </row>
    <row r="982" spans="1:23" ht="26">
      <c r="A982" s="213" t="str">
        <f>IF(OR(CommitmentsTable[[#This Row],[Commitment / deliverable]]="",CommitmentsTable[[#This Row],[Immutable Key]]=""),"",SUBSTITUTE(CommitmentsTable[[#This Row],[Immutable Key]],"-K-","-"))</f>
        <v/>
      </c>
      <c r="B982" s="233"/>
      <c r="C982" s="233"/>
      <c r="D982" s="213"/>
      <c r="E982" s="230"/>
      <c r="F982" s="213"/>
      <c r="G982" s="245" t="str">
        <f ca="1">IF(CommitmentsTable[[#This Row],[Commitment / deliverable]]="","",IF(CommitmentsTable[[#This Row],[Date record entered]]="",TODAY(),CommitmentsTable[[#This Row],[Date record entered]]))</f>
        <v/>
      </c>
      <c r="H982" s="245"/>
      <c r="I982" s="245" t="str">
        <f ca="1">IF(CommitmentsTable[[#This Row],[Date Assigned if different from entry date]]&lt;&gt;"",CommitmentsTable[[#This Row],[Date Assigned if different from entry date]]+90,IF(CommitmentsTable[[#This Row],[Date record entered]]&lt;&gt;"",CommitmentsTable[[#This Row],[Date record entered]]+90,""))</f>
        <v/>
      </c>
      <c r="J982" s="245" t="str">
        <f ca="1">IF(CommitmentsTable[[#This Row],[Date Assigned if different from entry date]]&lt;&gt;"",CommitmentsTable[[#This Row],[Date Assigned if different from entry date]]+30,IF(CommitmentsTable[[#This Row],[Date record entered]]&lt;&gt;"",CommitmentsTable[[#This Row],[Date record entered]]+30,""))</f>
        <v/>
      </c>
      <c r="K982" s="245"/>
      <c r="L982" s="245" t="str">
        <f ca="1">IF(CommitmentsTable[[#This Row],[Date Assigned if different from entry date]]&lt;&gt;"",CommitmentsTable[[#This Row],[Date Assigned if different from entry date]]+60,IF(CommitmentsTable[[#This Row],[Date record entered]]&lt;&gt;"",CommitmentsTable[[#This Row],[Date record entered]]+60,""))</f>
        <v/>
      </c>
      <c r="M982" s="214"/>
      <c r="N982" s="214"/>
      <c r="O982" s="236"/>
      <c r="P982" s="214"/>
      <c r="Q982" s="214"/>
      <c r="R982" s="214"/>
      <c r="S982" s="238" t="str">
        <f>IF(CommitmentsTable[[#This Row],[Commitment / deliverable]]="","",IF(CommitmentsTable[[#This Row],[Revised due]]&lt;&gt;"",CommitmentsTable[[#This Row],[Revised due]],CommitmentsTable[[#This Row],[Original due]]))</f>
        <v/>
      </c>
      <c r="T982" s="237" t="str">
        <f>IF(OR(CommitmentsTable[[#This Row],[Commitment / deliverable]]="",CommitmentsTable[[#This Row],[Owner]]=""),"",IF(CommitmentsTable[[#This Row],[Status2]]="","Open",CommitmentsTable[[#This Row],[Status2]]))</f>
        <v/>
      </c>
      <c r="U982" s="237" t="str">
        <f t="shared" ca="1" si="15"/>
        <v/>
      </c>
      <c r="V982" s="233"/>
      <c r="W982" s="63" t="s">
        <v>1884</v>
      </c>
    </row>
    <row r="983" spans="1:23" ht="26">
      <c r="A983" s="213" t="str">
        <f>IF(OR(CommitmentsTable[[#This Row],[Commitment / deliverable]]="",CommitmentsTable[[#This Row],[Immutable Key]]=""),"",SUBSTITUTE(CommitmentsTable[[#This Row],[Immutable Key]],"-K-","-"))</f>
        <v/>
      </c>
      <c r="B983" s="233"/>
      <c r="C983" s="233"/>
      <c r="D983" s="213"/>
      <c r="E983" s="230"/>
      <c r="F983" s="213"/>
      <c r="G983" s="245" t="str">
        <f ca="1">IF(CommitmentsTable[[#This Row],[Commitment / deliverable]]="","",IF(CommitmentsTable[[#This Row],[Date record entered]]="",TODAY(),CommitmentsTable[[#This Row],[Date record entered]]))</f>
        <v/>
      </c>
      <c r="H983" s="245"/>
      <c r="I983" s="245" t="str">
        <f ca="1">IF(CommitmentsTable[[#This Row],[Date Assigned if different from entry date]]&lt;&gt;"",CommitmentsTable[[#This Row],[Date Assigned if different from entry date]]+90,IF(CommitmentsTable[[#This Row],[Date record entered]]&lt;&gt;"",CommitmentsTable[[#This Row],[Date record entered]]+90,""))</f>
        <v/>
      </c>
      <c r="J983" s="245" t="str">
        <f ca="1">IF(CommitmentsTable[[#This Row],[Date Assigned if different from entry date]]&lt;&gt;"",CommitmentsTable[[#This Row],[Date Assigned if different from entry date]]+30,IF(CommitmentsTable[[#This Row],[Date record entered]]&lt;&gt;"",CommitmentsTable[[#This Row],[Date record entered]]+30,""))</f>
        <v/>
      </c>
      <c r="K983" s="245"/>
      <c r="L983" s="245" t="str">
        <f ca="1">IF(CommitmentsTable[[#This Row],[Date Assigned if different from entry date]]&lt;&gt;"",CommitmentsTable[[#This Row],[Date Assigned if different from entry date]]+60,IF(CommitmentsTable[[#This Row],[Date record entered]]&lt;&gt;"",CommitmentsTable[[#This Row],[Date record entered]]+60,""))</f>
        <v/>
      </c>
      <c r="M983" s="214"/>
      <c r="N983" s="214"/>
      <c r="O983" s="236"/>
      <c r="P983" s="214"/>
      <c r="Q983" s="214"/>
      <c r="R983" s="214"/>
      <c r="S983" s="238" t="str">
        <f>IF(CommitmentsTable[[#This Row],[Commitment / deliverable]]="","",IF(CommitmentsTable[[#This Row],[Revised due]]&lt;&gt;"",CommitmentsTable[[#This Row],[Revised due]],CommitmentsTable[[#This Row],[Original due]]))</f>
        <v/>
      </c>
      <c r="T983" s="237" t="str">
        <f>IF(OR(CommitmentsTable[[#This Row],[Commitment / deliverable]]="",CommitmentsTable[[#This Row],[Owner]]=""),"",IF(CommitmentsTable[[#This Row],[Status2]]="","Open",CommitmentsTable[[#This Row],[Status2]]))</f>
        <v/>
      </c>
      <c r="U983" s="237" t="str">
        <f t="shared" ca="1" si="15"/>
        <v/>
      </c>
      <c r="V983" s="233"/>
      <c r="W983" s="63" t="s">
        <v>1885</v>
      </c>
    </row>
    <row r="984" spans="1:23" ht="26">
      <c r="A984" s="213" t="str">
        <f>IF(OR(CommitmentsTable[[#This Row],[Commitment / deliverable]]="",CommitmentsTable[[#This Row],[Immutable Key]]=""),"",SUBSTITUTE(CommitmentsTable[[#This Row],[Immutable Key]],"-K-","-"))</f>
        <v/>
      </c>
      <c r="B984" s="233"/>
      <c r="C984" s="233"/>
      <c r="D984" s="213"/>
      <c r="E984" s="230"/>
      <c r="F984" s="213"/>
      <c r="G984" s="245" t="str">
        <f ca="1">IF(CommitmentsTable[[#This Row],[Commitment / deliverable]]="","",IF(CommitmentsTable[[#This Row],[Date record entered]]="",TODAY(),CommitmentsTable[[#This Row],[Date record entered]]))</f>
        <v/>
      </c>
      <c r="H984" s="245"/>
      <c r="I984" s="245" t="str">
        <f ca="1">IF(CommitmentsTable[[#This Row],[Date Assigned if different from entry date]]&lt;&gt;"",CommitmentsTable[[#This Row],[Date Assigned if different from entry date]]+90,IF(CommitmentsTable[[#This Row],[Date record entered]]&lt;&gt;"",CommitmentsTable[[#This Row],[Date record entered]]+90,""))</f>
        <v/>
      </c>
      <c r="J984" s="245" t="str">
        <f ca="1">IF(CommitmentsTable[[#This Row],[Date Assigned if different from entry date]]&lt;&gt;"",CommitmentsTable[[#This Row],[Date Assigned if different from entry date]]+30,IF(CommitmentsTable[[#This Row],[Date record entered]]&lt;&gt;"",CommitmentsTable[[#This Row],[Date record entered]]+30,""))</f>
        <v/>
      </c>
      <c r="K984" s="245"/>
      <c r="L984" s="245" t="str">
        <f ca="1">IF(CommitmentsTable[[#This Row],[Date Assigned if different from entry date]]&lt;&gt;"",CommitmentsTable[[#This Row],[Date Assigned if different from entry date]]+60,IF(CommitmentsTable[[#This Row],[Date record entered]]&lt;&gt;"",CommitmentsTable[[#This Row],[Date record entered]]+60,""))</f>
        <v/>
      </c>
      <c r="M984" s="214"/>
      <c r="N984" s="214"/>
      <c r="O984" s="236"/>
      <c r="P984" s="214"/>
      <c r="Q984" s="214"/>
      <c r="R984" s="214"/>
      <c r="S984" s="238" t="str">
        <f>IF(CommitmentsTable[[#This Row],[Commitment / deliverable]]="","",IF(CommitmentsTable[[#This Row],[Revised due]]&lt;&gt;"",CommitmentsTable[[#This Row],[Revised due]],CommitmentsTable[[#This Row],[Original due]]))</f>
        <v/>
      </c>
      <c r="T984" s="237" t="str">
        <f>IF(OR(CommitmentsTable[[#This Row],[Commitment / deliverable]]="",CommitmentsTable[[#This Row],[Owner]]=""),"",IF(CommitmentsTable[[#This Row],[Status2]]="","Open",CommitmentsTable[[#This Row],[Status2]]))</f>
        <v/>
      </c>
      <c r="U984" s="237" t="str">
        <f t="shared" ca="1" si="15"/>
        <v/>
      </c>
      <c r="V984" s="233"/>
      <c r="W984" s="63" t="s">
        <v>1886</v>
      </c>
    </row>
    <row r="985" spans="1:23" ht="26">
      <c r="A985" s="213" t="str">
        <f>IF(OR(CommitmentsTable[[#This Row],[Commitment / deliverable]]="",CommitmentsTable[[#This Row],[Immutable Key]]=""),"",SUBSTITUTE(CommitmentsTable[[#This Row],[Immutable Key]],"-K-","-"))</f>
        <v/>
      </c>
      <c r="B985" s="233"/>
      <c r="C985" s="233"/>
      <c r="D985" s="213"/>
      <c r="E985" s="230"/>
      <c r="F985" s="213"/>
      <c r="G985" s="245" t="str">
        <f ca="1">IF(CommitmentsTable[[#This Row],[Commitment / deliverable]]="","",IF(CommitmentsTable[[#This Row],[Date record entered]]="",TODAY(),CommitmentsTable[[#This Row],[Date record entered]]))</f>
        <v/>
      </c>
      <c r="H985" s="245"/>
      <c r="I985" s="245" t="str">
        <f ca="1">IF(CommitmentsTable[[#This Row],[Date Assigned if different from entry date]]&lt;&gt;"",CommitmentsTable[[#This Row],[Date Assigned if different from entry date]]+90,IF(CommitmentsTable[[#This Row],[Date record entered]]&lt;&gt;"",CommitmentsTable[[#This Row],[Date record entered]]+90,""))</f>
        <v/>
      </c>
      <c r="J985" s="245" t="str">
        <f ca="1">IF(CommitmentsTable[[#This Row],[Date Assigned if different from entry date]]&lt;&gt;"",CommitmentsTable[[#This Row],[Date Assigned if different from entry date]]+30,IF(CommitmentsTable[[#This Row],[Date record entered]]&lt;&gt;"",CommitmentsTable[[#This Row],[Date record entered]]+30,""))</f>
        <v/>
      </c>
      <c r="K985" s="245"/>
      <c r="L985" s="245" t="str">
        <f ca="1">IF(CommitmentsTable[[#This Row],[Date Assigned if different from entry date]]&lt;&gt;"",CommitmentsTable[[#This Row],[Date Assigned if different from entry date]]+60,IF(CommitmentsTable[[#This Row],[Date record entered]]&lt;&gt;"",CommitmentsTable[[#This Row],[Date record entered]]+60,""))</f>
        <v/>
      </c>
      <c r="M985" s="214"/>
      <c r="N985" s="214"/>
      <c r="O985" s="236"/>
      <c r="P985" s="214"/>
      <c r="Q985" s="214"/>
      <c r="R985" s="214"/>
      <c r="S985" s="238" t="str">
        <f>IF(CommitmentsTable[[#This Row],[Commitment / deliverable]]="","",IF(CommitmentsTable[[#This Row],[Revised due]]&lt;&gt;"",CommitmentsTable[[#This Row],[Revised due]],CommitmentsTable[[#This Row],[Original due]]))</f>
        <v/>
      </c>
      <c r="T985" s="237" t="str">
        <f>IF(OR(CommitmentsTable[[#This Row],[Commitment / deliverable]]="",CommitmentsTable[[#This Row],[Owner]]=""),"",IF(CommitmentsTable[[#This Row],[Status2]]="","Open",CommitmentsTable[[#This Row],[Status2]]))</f>
        <v/>
      </c>
      <c r="U985" s="237" t="str">
        <f t="shared" ca="1" si="15"/>
        <v/>
      </c>
      <c r="V985" s="233"/>
      <c r="W985" s="63" t="s">
        <v>1887</v>
      </c>
    </row>
    <row r="986" spans="1:23" ht="26">
      <c r="A986" s="213" t="str">
        <f>IF(OR(CommitmentsTable[[#This Row],[Commitment / deliverable]]="",CommitmentsTable[[#This Row],[Immutable Key]]=""),"",SUBSTITUTE(CommitmentsTable[[#This Row],[Immutable Key]],"-K-","-"))</f>
        <v/>
      </c>
      <c r="B986" s="233"/>
      <c r="C986" s="233"/>
      <c r="D986" s="213"/>
      <c r="E986" s="230"/>
      <c r="F986" s="213"/>
      <c r="G986" s="245" t="str">
        <f ca="1">IF(CommitmentsTable[[#This Row],[Commitment / deliverable]]="","",IF(CommitmentsTable[[#This Row],[Date record entered]]="",TODAY(),CommitmentsTable[[#This Row],[Date record entered]]))</f>
        <v/>
      </c>
      <c r="H986" s="245"/>
      <c r="I986" s="245" t="str">
        <f ca="1">IF(CommitmentsTable[[#This Row],[Date Assigned if different from entry date]]&lt;&gt;"",CommitmentsTable[[#This Row],[Date Assigned if different from entry date]]+90,IF(CommitmentsTable[[#This Row],[Date record entered]]&lt;&gt;"",CommitmentsTable[[#This Row],[Date record entered]]+90,""))</f>
        <v/>
      </c>
      <c r="J986" s="245" t="str">
        <f ca="1">IF(CommitmentsTable[[#This Row],[Date Assigned if different from entry date]]&lt;&gt;"",CommitmentsTable[[#This Row],[Date Assigned if different from entry date]]+30,IF(CommitmentsTable[[#This Row],[Date record entered]]&lt;&gt;"",CommitmentsTable[[#This Row],[Date record entered]]+30,""))</f>
        <v/>
      </c>
      <c r="K986" s="245"/>
      <c r="L986" s="245" t="str">
        <f ca="1">IF(CommitmentsTable[[#This Row],[Date Assigned if different from entry date]]&lt;&gt;"",CommitmentsTable[[#This Row],[Date Assigned if different from entry date]]+60,IF(CommitmentsTable[[#This Row],[Date record entered]]&lt;&gt;"",CommitmentsTable[[#This Row],[Date record entered]]+60,""))</f>
        <v/>
      </c>
      <c r="M986" s="214"/>
      <c r="N986" s="214"/>
      <c r="O986" s="236"/>
      <c r="P986" s="214"/>
      <c r="Q986" s="214"/>
      <c r="R986" s="214"/>
      <c r="S986" s="238" t="str">
        <f>IF(CommitmentsTable[[#This Row],[Commitment / deliverable]]="","",IF(CommitmentsTable[[#This Row],[Revised due]]&lt;&gt;"",CommitmentsTable[[#This Row],[Revised due]],CommitmentsTable[[#This Row],[Original due]]))</f>
        <v/>
      </c>
      <c r="T986" s="237" t="str">
        <f>IF(OR(CommitmentsTable[[#This Row],[Commitment / deliverable]]="",CommitmentsTable[[#This Row],[Owner]]=""),"",IF(CommitmentsTable[[#This Row],[Status2]]="","Open",CommitmentsTable[[#This Row],[Status2]]))</f>
        <v/>
      </c>
      <c r="U986" s="237" t="str">
        <f t="shared" ca="1" si="15"/>
        <v/>
      </c>
      <c r="V986" s="233"/>
      <c r="W986" s="63" t="s">
        <v>1888</v>
      </c>
    </row>
    <row r="987" spans="1:23" ht="26">
      <c r="A987" s="213" t="str">
        <f>IF(OR(CommitmentsTable[[#This Row],[Commitment / deliverable]]="",CommitmentsTable[[#This Row],[Immutable Key]]=""),"",SUBSTITUTE(CommitmentsTable[[#This Row],[Immutable Key]],"-K-","-"))</f>
        <v/>
      </c>
      <c r="B987" s="233"/>
      <c r="C987" s="233"/>
      <c r="D987" s="213"/>
      <c r="E987" s="230"/>
      <c r="F987" s="213"/>
      <c r="G987" s="245" t="str">
        <f ca="1">IF(CommitmentsTable[[#This Row],[Commitment / deliverable]]="","",IF(CommitmentsTable[[#This Row],[Date record entered]]="",TODAY(),CommitmentsTable[[#This Row],[Date record entered]]))</f>
        <v/>
      </c>
      <c r="H987" s="245"/>
      <c r="I987" s="245" t="str">
        <f ca="1">IF(CommitmentsTable[[#This Row],[Date Assigned if different from entry date]]&lt;&gt;"",CommitmentsTable[[#This Row],[Date Assigned if different from entry date]]+90,IF(CommitmentsTable[[#This Row],[Date record entered]]&lt;&gt;"",CommitmentsTable[[#This Row],[Date record entered]]+90,""))</f>
        <v/>
      </c>
      <c r="J987" s="245" t="str">
        <f ca="1">IF(CommitmentsTable[[#This Row],[Date Assigned if different from entry date]]&lt;&gt;"",CommitmentsTable[[#This Row],[Date Assigned if different from entry date]]+30,IF(CommitmentsTable[[#This Row],[Date record entered]]&lt;&gt;"",CommitmentsTable[[#This Row],[Date record entered]]+30,""))</f>
        <v/>
      </c>
      <c r="K987" s="245"/>
      <c r="L987" s="245" t="str">
        <f ca="1">IF(CommitmentsTable[[#This Row],[Date Assigned if different from entry date]]&lt;&gt;"",CommitmentsTable[[#This Row],[Date Assigned if different from entry date]]+60,IF(CommitmentsTable[[#This Row],[Date record entered]]&lt;&gt;"",CommitmentsTable[[#This Row],[Date record entered]]+60,""))</f>
        <v/>
      </c>
      <c r="M987" s="214"/>
      <c r="N987" s="214"/>
      <c r="O987" s="236"/>
      <c r="P987" s="214"/>
      <c r="Q987" s="214"/>
      <c r="R987" s="214"/>
      <c r="S987" s="238" t="str">
        <f>IF(CommitmentsTable[[#This Row],[Commitment / deliverable]]="","",IF(CommitmentsTable[[#This Row],[Revised due]]&lt;&gt;"",CommitmentsTable[[#This Row],[Revised due]],CommitmentsTable[[#This Row],[Original due]]))</f>
        <v/>
      </c>
      <c r="T987" s="237" t="str">
        <f>IF(OR(CommitmentsTable[[#This Row],[Commitment / deliverable]]="",CommitmentsTable[[#This Row],[Owner]]=""),"",IF(CommitmentsTable[[#This Row],[Status2]]="","Open",CommitmentsTable[[#This Row],[Status2]]))</f>
        <v/>
      </c>
      <c r="U987" s="237" t="str">
        <f t="shared" ca="1" si="15"/>
        <v/>
      </c>
      <c r="V987" s="233"/>
      <c r="W987" s="63" t="s">
        <v>1889</v>
      </c>
    </row>
    <row r="988" spans="1:23" ht="26">
      <c r="A988" s="213" t="str">
        <f>IF(OR(CommitmentsTable[[#This Row],[Commitment / deliverable]]="",CommitmentsTable[[#This Row],[Immutable Key]]=""),"",SUBSTITUTE(CommitmentsTable[[#This Row],[Immutable Key]],"-K-","-"))</f>
        <v/>
      </c>
      <c r="B988" s="233"/>
      <c r="C988" s="233"/>
      <c r="D988" s="213"/>
      <c r="E988" s="230"/>
      <c r="F988" s="213"/>
      <c r="G988" s="245" t="str">
        <f ca="1">IF(CommitmentsTable[[#This Row],[Commitment / deliverable]]="","",IF(CommitmentsTable[[#This Row],[Date record entered]]="",TODAY(),CommitmentsTable[[#This Row],[Date record entered]]))</f>
        <v/>
      </c>
      <c r="H988" s="245"/>
      <c r="I988" s="245" t="str">
        <f ca="1">IF(CommitmentsTable[[#This Row],[Date Assigned if different from entry date]]&lt;&gt;"",CommitmentsTable[[#This Row],[Date Assigned if different from entry date]]+90,IF(CommitmentsTable[[#This Row],[Date record entered]]&lt;&gt;"",CommitmentsTable[[#This Row],[Date record entered]]+90,""))</f>
        <v/>
      </c>
      <c r="J988" s="245" t="str">
        <f ca="1">IF(CommitmentsTable[[#This Row],[Date Assigned if different from entry date]]&lt;&gt;"",CommitmentsTable[[#This Row],[Date Assigned if different from entry date]]+30,IF(CommitmentsTable[[#This Row],[Date record entered]]&lt;&gt;"",CommitmentsTable[[#This Row],[Date record entered]]+30,""))</f>
        <v/>
      </c>
      <c r="K988" s="245"/>
      <c r="L988" s="245" t="str">
        <f ca="1">IF(CommitmentsTable[[#This Row],[Date Assigned if different from entry date]]&lt;&gt;"",CommitmentsTable[[#This Row],[Date Assigned if different from entry date]]+60,IF(CommitmentsTable[[#This Row],[Date record entered]]&lt;&gt;"",CommitmentsTable[[#This Row],[Date record entered]]+60,""))</f>
        <v/>
      </c>
      <c r="M988" s="214"/>
      <c r="N988" s="214"/>
      <c r="O988" s="236"/>
      <c r="P988" s="214"/>
      <c r="Q988" s="214"/>
      <c r="R988" s="214"/>
      <c r="S988" s="238" t="str">
        <f>IF(CommitmentsTable[[#This Row],[Commitment / deliverable]]="","",IF(CommitmentsTable[[#This Row],[Revised due]]&lt;&gt;"",CommitmentsTable[[#This Row],[Revised due]],CommitmentsTable[[#This Row],[Original due]]))</f>
        <v/>
      </c>
      <c r="T988" s="237" t="str">
        <f>IF(OR(CommitmentsTable[[#This Row],[Commitment / deliverable]]="",CommitmentsTable[[#This Row],[Owner]]=""),"",IF(CommitmentsTable[[#This Row],[Status2]]="","Open",CommitmentsTable[[#This Row],[Status2]]))</f>
        <v/>
      </c>
      <c r="U988" s="237" t="str">
        <f t="shared" ca="1" si="15"/>
        <v/>
      </c>
      <c r="V988" s="233"/>
      <c r="W988" s="63" t="s">
        <v>1890</v>
      </c>
    </row>
    <row r="989" spans="1:23" ht="26">
      <c r="A989" s="213" t="str">
        <f>IF(OR(CommitmentsTable[[#This Row],[Commitment / deliverable]]="",CommitmentsTable[[#This Row],[Immutable Key]]=""),"",SUBSTITUTE(CommitmentsTable[[#This Row],[Immutable Key]],"-K-","-"))</f>
        <v/>
      </c>
      <c r="B989" s="233"/>
      <c r="C989" s="233"/>
      <c r="D989" s="213"/>
      <c r="E989" s="230"/>
      <c r="F989" s="213"/>
      <c r="G989" s="245" t="str">
        <f ca="1">IF(CommitmentsTable[[#This Row],[Commitment / deliverable]]="","",IF(CommitmentsTable[[#This Row],[Date record entered]]="",TODAY(),CommitmentsTable[[#This Row],[Date record entered]]))</f>
        <v/>
      </c>
      <c r="H989" s="245"/>
      <c r="I989" s="245" t="str">
        <f ca="1">IF(CommitmentsTable[[#This Row],[Date Assigned if different from entry date]]&lt;&gt;"",CommitmentsTable[[#This Row],[Date Assigned if different from entry date]]+90,IF(CommitmentsTable[[#This Row],[Date record entered]]&lt;&gt;"",CommitmentsTable[[#This Row],[Date record entered]]+90,""))</f>
        <v/>
      </c>
      <c r="J989" s="245" t="str">
        <f ca="1">IF(CommitmentsTable[[#This Row],[Date Assigned if different from entry date]]&lt;&gt;"",CommitmentsTable[[#This Row],[Date Assigned if different from entry date]]+30,IF(CommitmentsTable[[#This Row],[Date record entered]]&lt;&gt;"",CommitmentsTable[[#This Row],[Date record entered]]+30,""))</f>
        <v/>
      </c>
      <c r="K989" s="245"/>
      <c r="L989" s="245" t="str">
        <f ca="1">IF(CommitmentsTable[[#This Row],[Date Assigned if different from entry date]]&lt;&gt;"",CommitmentsTable[[#This Row],[Date Assigned if different from entry date]]+60,IF(CommitmentsTable[[#This Row],[Date record entered]]&lt;&gt;"",CommitmentsTable[[#This Row],[Date record entered]]+60,""))</f>
        <v/>
      </c>
      <c r="M989" s="214"/>
      <c r="N989" s="214"/>
      <c r="O989" s="236"/>
      <c r="P989" s="214"/>
      <c r="Q989" s="214"/>
      <c r="R989" s="214"/>
      <c r="S989" s="238" t="str">
        <f>IF(CommitmentsTable[[#This Row],[Commitment / deliverable]]="","",IF(CommitmentsTable[[#This Row],[Revised due]]&lt;&gt;"",CommitmentsTable[[#This Row],[Revised due]],CommitmentsTable[[#This Row],[Original due]]))</f>
        <v/>
      </c>
      <c r="T989" s="237" t="str">
        <f>IF(OR(CommitmentsTable[[#This Row],[Commitment / deliverable]]="",CommitmentsTable[[#This Row],[Owner]]=""),"",IF(CommitmentsTable[[#This Row],[Status2]]="","Open",CommitmentsTable[[#This Row],[Status2]]))</f>
        <v/>
      </c>
      <c r="U989" s="237" t="str">
        <f t="shared" ca="1" si="15"/>
        <v/>
      </c>
      <c r="V989" s="233"/>
      <c r="W989" s="63" t="s">
        <v>1891</v>
      </c>
    </row>
    <row r="990" spans="1:23" ht="26">
      <c r="A990" s="213" t="str">
        <f>IF(OR(CommitmentsTable[[#This Row],[Commitment / deliverable]]="",CommitmentsTable[[#This Row],[Immutable Key]]=""),"",SUBSTITUTE(CommitmentsTable[[#This Row],[Immutable Key]],"-K-","-"))</f>
        <v/>
      </c>
      <c r="B990" s="233"/>
      <c r="C990" s="233"/>
      <c r="D990" s="213"/>
      <c r="E990" s="230"/>
      <c r="F990" s="213"/>
      <c r="G990" s="245" t="str">
        <f ca="1">IF(CommitmentsTable[[#This Row],[Commitment / deliverable]]="","",IF(CommitmentsTable[[#This Row],[Date record entered]]="",TODAY(),CommitmentsTable[[#This Row],[Date record entered]]))</f>
        <v/>
      </c>
      <c r="H990" s="245"/>
      <c r="I990" s="245" t="str">
        <f ca="1">IF(CommitmentsTable[[#This Row],[Date Assigned if different from entry date]]&lt;&gt;"",CommitmentsTable[[#This Row],[Date Assigned if different from entry date]]+90,IF(CommitmentsTable[[#This Row],[Date record entered]]&lt;&gt;"",CommitmentsTable[[#This Row],[Date record entered]]+90,""))</f>
        <v/>
      </c>
      <c r="J990" s="245" t="str">
        <f ca="1">IF(CommitmentsTable[[#This Row],[Date Assigned if different from entry date]]&lt;&gt;"",CommitmentsTable[[#This Row],[Date Assigned if different from entry date]]+30,IF(CommitmentsTable[[#This Row],[Date record entered]]&lt;&gt;"",CommitmentsTable[[#This Row],[Date record entered]]+30,""))</f>
        <v/>
      </c>
      <c r="K990" s="245"/>
      <c r="L990" s="245" t="str">
        <f ca="1">IF(CommitmentsTable[[#This Row],[Date Assigned if different from entry date]]&lt;&gt;"",CommitmentsTable[[#This Row],[Date Assigned if different from entry date]]+60,IF(CommitmentsTable[[#This Row],[Date record entered]]&lt;&gt;"",CommitmentsTable[[#This Row],[Date record entered]]+60,""))</f>
        <v/>
      </c>
      <c r="M990" s="214"/>
      <c r="N990" s="214"/>
      <c r="O990" s="236"/>
      <c r="P990" s="214"/>
      <c r="Q990" s="214"/>
      <c r="R990" s="214"/>
      <c r="S990" s="238" t="str">
        <f>IF(CommitmentsTable[[#This Row],[Commitment / deliverable]]="","",IF(CommitmentsTable[[#This Row],[Revised due]]&lt;&gt;"",CommitmentsTable[[#This Row],[Revised due]],CommitmentsTable[[#This Row],[Original due]]))</f>
        <v/>
      </c>
      <c r="T990" s="237" t="str">
        <f>IF(OR(CommitmentsTable[[#This Row],[Commitment / deliverable]]="",CommitmentsTable[[#This Row],[Owner]]=""),"",IF(CommitmentsTable[[#This Row],[Status2]]="","Open",CommitmentsTable[[#This Row],[Status2]]))</f>
        <v/>
      </c>
      <c r="U990" s="237" t="str">
        <f t="shared" ca="1" si="15"/>
        <v/>
      </c>
      <c r="V990" s="233"/>
      <c r="W990" s="63" t="s">
        <v>1892</v>
      </c>
    </row>
    <row r="991" spans="1:23" ht="26">
      <c r="A991" s="213" t="str">
        <f>IF(OR(CommitmentsTable[[#This Row],[Commitment / deliverable]]="",CommitmentsTable[[#This Row],[Immutable Key]]=""),"",SUBSTITUTE(CommitmentsTable[[#This Row],[Immutable Key]],"-K-","-"))</f>
        <v/>
      </c>
      <c r="B991" s="233"/>
      <c r="C991" s="233"/>
      <c r="D991" s="213"/>
      <c r="E991" s="230"/>
      <c r="F991" s="213"/>
      <c r="G991" s="245" t="str">
        <f ca="1">IF(CommitmentsTable[[#This Row],[Commitment / deliverable]]="","",IF(CommitmentsTable[[#This Row],[Date record entered]]="",TODAY(),CommitmentsTable[[#This Row],[Date record entered]]))</f>
        <v/>
      </c>
      <c r="H991" s="245"/>
      <c r="I991" s="245" t="str">
        <f ca="1">IF(CommitmentsTable[[#This Row],[Date Assigned if different from entry date]]&lt;&gt;"",CommitmentsTable[[#This Row],[Date Assigned if different from entry date]]+90,IF(CommitmentsTable[[#This Row],[Date record entered]]&lt;&gt;"",CommitmentsTable[[#This Row],[Date record entered]]+90,""))</f>
        <v/>
      </c>
      <c r="J991" s="245" t="str">
        <f ca="1">IF(CommitmentsTable[[#This Row],[Date Assigned if different from entry date]]&lt;&gt;"",CommitmentsTable[[#This Row],[Date Assigned if different from entry date]]+30,IF(CommitmentsTable[[#This Row],[Date record entered]]&lt;&gt;"",CommitmentsTable[[#This Row],[Date record entered]]+30,""))</f>
        <v/>
      </c>
      <c r="K991" s="245"/>
      <c r="L991" s="245" t="str">
        <f ca="1">IF(CommitmentsTable[[#This Row],[Date Assigned if different from entry date]]&lt;&gt;"",CommitmentsTable[[#This Row],[Date Assigned if different from entry date]]+60,IF(CommitmentsTable[[#This Row],[Date record entered]]&lt;&gt;"",CommitmentsTable[[#This Row],[Date record entered]]+60,""))</f>
        <v/>
      </c>
      <c r="M991" s="214"/>
      <c r="N991" s="214"/>
      <c r="O991" s="236"/>
      <c r="P991" s="214"/>
      <c r="Q991" s="214"/>
      <c r="R991" s="214"/>
      <c r="S991" s="238" t="str">
        <f>IF(CommitmentsTable[[#This Row],[Commitment / deliverable]]="","",IF(CommitmentsTable[[#This Row],[Revised due]]&lt;&gt;"",CommitmentsTable[[#This Row],[Revised due]],CommitmentsTable[[#This Row],[Original due]]))</f>
        <v/>
      </c>
      <c r="T991" s="237" t="str">
        <f>IF(OR(CommitmentsTable[[#This Row],[Commitment / deliverable]]="",CommitmentsTable[[#This Row],[Owner]]=""),"",IF(CommitmentsTable[[#This Row],[Status2]]="","Open",CommitmentsTable[[#This Row],[Status2]]))</f>
        <v/>
      </c>
      <c r="U991" s="237" t="str">
        <f t="shared" ca="1" si="15"/>
        <v/>
      </c>
      <c r="V991" s="233"/>
      <c r="W991" s="63" t="s">
        <v>1893</v>
      </c>
    </row>
    <row r="992" spans="1:23" ht="26">
      <c r="A992" s="213" t="str">
        <f>IF(OR(CommitmentsTable[[#This Row],[Commitment / deliverable]]="",CommitmentsTable[[#This Row],[Immutable Key]]=""),"",SUBSTITUTE(CommitmentsTable[[#This Row],[Immutable Key]],"-K-","-"))</f>
        <v/>
      </c>
      <c r="B992" s="233"/>
      <c r="C992" s="233"/>
      <c r="D992" s="213"/>
      <c r="E992" s="230"/>
      <c r="F992" s="213"/>
      <c r="G992" s="245" t="str">
        <f ca="1">IF(CommitmentsTable[[#This Row],[Commitment / deliverable]]="","",IF(CommitmentsTable[[#This Row],[Date record entered]]="",TODAY(),CommitmentsTable[[#This Row],[Date record entered]]))</f>
        <v/>
      </c>
      <c r="H992" s="245"/>
      <c r="I992" s="245" t="str">
        <f ca="1">IF(CommitmentsTable[[#This Row],[Date Assigned if different from entry date]]&lt;&gt;"",CommitmentsTable[[#This Row],[Date Assigned if different from entry date]]+90,IF(CommitmentsTable[[#This Row],[Date record entered]]&lt;&gt;"",CommitmentsTable[[#This Row],[Date record entered]]+90,""))</f>
        <v/>
      </c>
      <c r="J992" s="245" t="str">
        <f ca="1">IF(CommitmentsTable[[#This Row],[Date Assigned if different from entry date]]&lt;&gt;"",CommitmentsTable[[#This Row],[Date Assigned if different from entry date]]+30,IF(CommitmentsTable[[#This Row],[Date record entered]]&lt;&gt;"",CommitmentsTable[[#This Row],[Date record entered]]+30,""))</f>
        <v/>
      </c>
      <c r="K992" s="245"/>
      <c r="L992" s="245" t="str">
        <f ca="1">IF(CommitmentsTable[[#This Row],[Date Assigned if different from entry date]]&lt;&gt;"",CommitmentsTable[[#This Row],[Date Assigned if different from entry date]]+60,IF(CommitmentsTable[[#This Row],[Date record entered]]&lt;&gt;"",CommitmentsTable[[#This Row],[Date record entered]]+60,""))</f>
        <v/>
      </c>
      <c r="M992" s="214"/>
      <c r="N992" s="214"/>
      <c r="O992" s="236"/>
      <c r="P992" s="214"/>
      <c r="Q992" s="214"/>
      <c r="R992" s="214"/>
      <c r="S992" s="238" t="str">
        <f>IF(CommitmentsTable[[#This Row],[Commitment / deliverable]]="","",IF(CommitmentsTable[[#This Row],[Revised due]]&lt;&gt;"",CommitmentsTable[[#This Row],[Revised due]],CommitmentsTable[[#This Row],[Original due]]))</f>
        <v/>
      </c>
      <c r="T992" s="237" t="str">
        <f>IF(OR(CommitmentsTable[[#This Row],[Commitment / deliverable]]="",CommitmentsTable[[#This Row],[Owner]]=""),"",IF(CommitmentsTable[[#This Row],[Status2]]="","Open",CommitmentsTable[[#This Row],[Status2]]))</f>
        <v/>
      </c>
      <c r="U992" s="237" t="str">
        <f t="shared" ca="1" si="15"/>
        <v/>
      </c>
      <c r="V992" s="233"/>
      <c r="W992" s="63" t="s">
        <v>1894</v>
      </c>
    </row>
    <row r="993" spans="1:23" ht="26">
      <c r="A993" s="213" t="str">
        <f>IF(OR(CommitmentsTable[[#This Row],[Commitment / deliverable]]="",CommitmentsTable[[#This Row],[Immutable Key]]=""),"",SUBSTITUTE(CommitmentsTable[[#This Row],[Immutable Key]],"-K-","-"))</f>
        <v/>
      </c>
      <c r="B993" s="233"/>
      <c r="C993" s="233"/>
      <c r="D993" s="213"/>
      <c r="E993" s="230"/>
      <c r="F993" s="213"/>
      <c r="G993" s="245" t="str">
        <f ca="1">IF(CommitmentsTable[[#This Row],[Commitment / deliverable]]="","",IF(CommitmentsTable[[#This Row],[Date record entered]]="",TODAY(),CommitmentsTable[[#This Row],[Date record entered]]))</f>
        <v/>
      </c>
      <c r="H993" s="245"/>
      <c r="I993" s="245" t="str">
        <f ca="1">IF(CommitmentsTable[[#This Row],[Date Assigned if different from entry date]]&lt;&gt;"",CommitmentsTable[[#This Row],[Date Assigned if different from entry date]]+90,IF(CommitmentsTable[[#This Row],[Date record entered]]&lt;&gt;"",CommitmentsTable[[#This Row],[Date record entered]]+90,""))</f>
        <v/>
      </c>
      <c r="J993" s="245" t="str">
        <f ca="1">IF(CommitmentsTable[[#This Row],[Date Assigned if different from entry date]]&lt;&gt;"",CommitmentsTable[[#This Row],[Date Assigned if different from entry date]]+30,IF(CommitmentsTable[[#This Row],[Date record entered]]&lt;&gt;"",CommitmentsTable[[#This Row],[Date record entered]]+30,""))</f>
        <v/>
      </c>
      <c r="K993" s="245"/>
      <c r="L993" s="245" t="str">
        <f ca="1">IF(CommitmentsTable[[#This Row],[Date Assigned if different from entry date]]&lt;&gt;"",CommitmentsTable[[#This Row],[Date Assigned if different from entry date]]+60,IF(CommitmentsTable[[#This Row],[Date record entered]]&lt;&gt;"",CommitmentsTable[[#This Row],[Date record entered]]+60,""))</f>
        <v/>
      </c>
      <c r="M993" s="214"/>
      <c r="N993" s="214"/>
      <c r="O993" s="236"/>
      <c r="P993" s="214"/>
      <c r="Q993" s="214"/>
      <c r="R993" s="214"/>
      <c r="S993" s="238" t="str">
        <f>IF(CommitmentsTable[[#This Row],[Commitment / deliverable]]="","",IF(CommitmentsTable[[#This Row],[Revised due]]&lt;&gt;"",CommitmentsTable[[#This Row],[Revised due]],CommitmentsTable[[#This Row],[Original due]]))</f>
        <v/>
      </c>
      <c r="T993" s="237" t="str">
        <f>IF(OR(CommitmentsTable[[#This Row],[Commitment / deliverable]]="",CommitmentsTable[[#This Row],[Owner]]=""),"",IF(CommitmentsTable[[#This Row],[Status2]]="","Open",CommitmentsTable[[#This Row],[Status2]]))</f>
        <v/>
      </c>
      <c r="U993" s="237" t="str">
        <f t="shared" ca="1" si="15"/>
        <v/>
      </c>
      <c r="V993" s="233"/>
      <c r="W993" s="63" t="s">
        <v>1895</v>
      </c>
    </row>
    <row r="994" spans="1:23" ht="26">
      <c r="A994" s="213" t="str">
        <f>IF(OR(CommitmentsTable[[#This Row],[Commitment / deliverable]]="",CommitmentsTable[[#This Row],[Immutable Key]]=""),"",SUBSTITUTE(CommitmentsTable[[#This Row],[Immutable Key]],"-K-","-"))</f>
        <v/>
      </c>
      <c r="B994" s="233"/>
      <c r="C994" s="233"/>
      <c r="D994" s="213"/>
      <c r="E994" s="230"/>
      <c r="F994" s="213"/>
      <c r="G994" s="245" t="str">
        <f ca="1">IF(CommitmentsTable[[#This Row],[Commitment / deliverable]]="","",IF(CommitmentsTable[[#This Row],[Date record entered]]="",TODAY(),CommitmentsTable[[#This Row],[Date record entered]]))</f>
        <v/>
      </c>
      <c r="H994" s="245"/>
      <c r="I994" s="245" t="str">
        <f ca="1">IF(CommitmentsTable[[#This Row],[Date Assigned if different from entry date]]&lt;&gt;"",CommitmentsTable[[#This Row],[Date Assigned if different from entry date]]+90,IF(CommitmentsTable[[#This Row],[Date record entered]]&lt;&gt;"",CommitmentsTable[[#This Row],[Date record entered]]+90,""))</f>
        <v/>
      </c>
      <c r="J994" s="245" t="str">
        <f ca="1">IF(CommitmentsTable[[#This Row],[Date Assigned if different from entry date]]&lt;&gt;"",CommitmentsTable[[#This Row],[Date Assigned if different from entry date]]+30,IF(CommitmentsTable[[#This Row],[Date record entered]]&lt;&gt;"",CommitmentsTable[[#This Row],[Date record entered]]+30,""))</f>
        <v/>
      </c>
      <c r="K994" s="245"/>
      <c r="L994" s="245" t="str">
        <f ca="1">IF(CommitmentsTable[[#This Row],[Date Assigned if different from entry date]]&lt;&gt;"",CommitmentsTable[[#This Row],[Date Assigned if different from entry date]]+60,IF(CommitmentsTable[[#This Row],[Date record entered]]&lt;&gt;"",CommitmentsTable[[#This Row],[Date record entered]]+60,""))</f>
        <v/>
      </c>
      <c r="M994" s="214"/>
      <c r="N994" s="214"/>
      <c r="O994" s="236"/>
      <c r="P994" s="214"/>
      <c r="Q994" s="214"/>
      <c r="R994" s="214"/>
      <c r="S994" s="238" t="str">
        <f>IF(CommitmentsTable[[#This Row],[Commitment / deliverable]]="","",IF(CommitmentsTable[[#This Row],[Revised due]]&lt;&gt;"",CommitmentsTable[[#This Row],[Revised due]],CommitmentsTable[[#This Row],[Original due]]))</f>
        <v/>
      </c>
      <c r="T994" s="237" t="str">
        <f>IF(OR(CommitmentsTable[[#This Row],[Commitment / deliverable]]="",CommitmentsTable[[#This Row],[Owner]]=""),"",IF(CommitmentsTable[[#This Row],[Status2]]="","Open",CommitmentsTable[[#This Row],[Status2]]))</f>
        <v/>
      </c>
      <c r="U994" s="237" t="str">
        <f t="shared" ca="1" si="15"/>
        <v/>
      </c>
      <c r="V994" s="233"/>
      <c r="W994" s="63" t="s">
        <v>1896</v>
      </c>
    </row>
    <row r="995" spans="1:23" ht="26">
      <c r="A995" s="213" t="str">
        <f>IF(OR(CommitmentsTable[[#This Row],[Commitment / deliverable]]="",CommitmentsTable[[#This Row],[Immutable Key]]=""),"",SUBSTITUTE(CommitmentsTable[[#This Row],[Immutable Key]],"-K-","-"))</f>
        <v/>
      </c>
      <c r="B995" s="233"/>
      <c r="C995" s="233"/>
      <c r="D995" s="213"/>
      <c r="E995" s="230"/>
      <c r="F995" s="213"/>
      <c r="G995" s="245" t="str">
        <f ca="1">IF(CommitmentsTable[[#This Row],[Commitment / deliverable]]="","",IF(CommitmentsTable[[#This Row],[Date record entered]]="",TODAY(),CommitmentsTable[[#This Row],[Date record entered]]))</f>
        <v/>
      </c>
      <c r="H995" s="245"/>
      <c r="I995" s="245" t="str">
        <f ca="1">IF(CommitmentsTable[[#This Row],[Date Assigned if different from entry date]]&lt;&gt;"",CommitmentsTable[[#This Row],[Date Assigned if different from entry date]]+90,IF(CommitmentsTable[[#This Row],[Date record entered]]&lt;&gt;"",CommitmentsTable[[#This Row],[Date record entered]]+90,""))</f>
        <v/>
      </c>
      <c r="J995" s="245" t="str">
        <f ca="1">IF(CommitmentsTable[[#This Row],[Date Assigned if different from entry date]]&lt;&gt;"",CommitmentsTable[[#This Row],[Date Assigned if different from entry date]]+30,IF(CommitmentsTable[[#This Row],[Date record entered]]&lt;&gt;"",CommitmentsTable[[#This Row],[Date record entered]]+30,""))</f>
        <v/>
      </c>
      <c r="K995" s="245"/>
      <c r="L995" s="245" t="str">
        <f ca="1">IF(CommitmentsTable[[#This Row],[Date Assigned if different from entry date]]&lt;&gt;"",CommitmentsTable[[#This Row],[Date Assigned if different from entry date]]+60,IF(CommitmentsTable[[#This Row],[Date record entered]]&lt;&gt;"",CommitmentsTable[[#This Row],[Date record entered]]+60,""))</f>
        <v/>
      </c>
      <c r="M995" s="214"/>
      <c r="N995" s="214"/>
      <c r="O995" s="236"/>
      <c r="P995" s="214"/>
      <c r="Q995" s="214"/>
      <c r="R995" s="214"/>
      <c r="S995" s="238" t="str">
        <f>IF(CommitmentsTable[[#This Row],[Commitment / deliverable]]="","",IF(CommitmentsTable[[#This Row],[Revised due]]&lt;&gt;"",CommitmentsTable[[#This Row],[Revised due]],CommitmentsTable[[#This Row],[Original due]]))</f>
        <v/>
      </c>
      <c r="T995" s="237" t="str">
        <f>IF(OR(CommitmentsTable[[#This Row],[Commitment / deliverable]]="",CommitmentsTable[[#This Row],[Owner]]=""),"",IF(CommitmentsTable[[#This Row],[Status2]]="","Open",CommitmentsTable[[#This Row],[Status2]]))</f>
        <v/>
      </c>
      <c r="U995" s="237" t="str">
        <f t="shared" ca="1" si="15"/>
        <v/>
      </c>
      <c r="V995" s="233"/>
      <c r="W995" s="63" t="s">
        <v>1897</v>
      </c>
    </row>
    <row r="996" spans="1:23" ht="26">
      <c r="A996" s="213" t="str">
        <f>IF(OR(CommitmentsTable[[#This Row],[Commitment / deliverable]]="",CommitmentsTable[[#This Row],[Immutable Key]]=""),"",SUBSTITUTE(CommitmentsTable[[#This Row],[Immutable Key]],"-K-","-"))</f>
        <v/>
      </c>
      <c r="B996" s="233"/>
      <c r="C996" s="233"/>
      <c r="D996" s="213"/>
      <c r="E996" s="230"/>
      <c r="F996" s="213"/>
      <c r="G996" s="245" t="str">
        <f ca="1">IF(CommitmentsTable[[#This Row],[Commitment / deliverable]]="","",IF(CommitmentsTable[[#This Row],[Date record entered]]="",TODAY(),CommitmentsTable[[#This Row],[Date record entered]]))</f>
        <v/>
      </c>
      <c r="H996" s="245"/>
      <c r="I996" s="245" t="str">
        <f ca="1">IF(CommitmentsTable[[#This Row],[Date Assigned if different from entry date]]&lt;&gt;"",CommitmentsTable[[#This Row],[Date Assigned if different from entry date]]+90,IF(CommitmentsTable[[#This Row],[Date record entered]]&lt;&gt;"",CommitmentsTable[[#This Row],[Date record entered]]+90,""))</f>
        <v/>
      </c>
      <c r="J996" s="245" t="str">
        <f ca="1">IF(CommitmentsTable[[#This Row],[Date Assigned if different from entry date]]&lt;&gt;"",CommitmentsTable[[#This Row],[Date Assigned if different from entry date]]+30,IF(CommitmentsTable[[#This Row],[Date record entered]]&lt;&gt;"",CommitmentsTable[[#This Row],[Date record entered]]+30,""))</f>
        <v/>
      </c>
      <c r="K996" s="245"/>
      <c r="L996" s="245" t="str">
        <f ca="1">IF(CommitmentsTable[[#This Row],[Date Assigned if different from entry date]]&lt;&gt;"",CommitmentsTable[[#This Row],[Date Assigned if different from entry date]]+60,IF(CommitmentsTable[[#This Row],[Date record entered]]&lt;&gt;"",CommitmentsTable[[#This Row],[Date record entered]]+60,""))</f>
        <v/>
      </c>
      <c r="M996" s="214"/>
      <c r="N996" s="214"/>
      <c r="O996" s="236"/>
      <c r="P996" s="214"/>
      <c r="Q996" s="214"/>
      <c r="R996" s="214"/>
      <c r="S996" s="238" t="str">
        <f>IF(CommitmentsTable[[#This Row],[Commitment / deliverable]]="","",IF(CommitmentsTable[[#This Row],[Revised due]]&lt;&gt;"",CommitmentsTable[[#This Row],[Revised due]],CommitmentsTable[[#This Row],[Original due]]))</f>
        <v/>
      </c>
      <c r="T996" s="237" t="str">
        <f>IF(OR(CommitmentsTable[[#This Row],[Commitment / deliverable]]="",CommitmentsTable[[#This Row],[Owner]]=""),"",IF(CommitmentsTable[[#This Row],[Status2]]="","Open",CommitmentsTable[[#This Row],[Status2]]))</f>
        <v/>
      </c>
      <c r="U996" s="237" t="str">
        <f t="shared" ca="1" si="15"/>
        <v/>
      </c>
      <c r="V996" s="233"/>
      <c r="W996" s="63" t="s">
        <v>1898</v>
      </c>
    </row>
    <row r="997" spans="1:23" ht="26">
      <c r="A997" s="213" t="str">
        <f>IF(OR(CommitmentsTable[[#This Row],[Commitment / deliverable]]="",CommitmentsTable[[#This Row],[Immutable Key]]=""),"",SUBSTITUTE(CommitmentsTable[[#This Row],[Immutable Key]],"-K-","-"))</f>
        <v/>
      </c>
      <c r="B997" s="233"/>
      <c r="C997" s="233"/>
      <c r="D997" s="213"/>
      <c r="E997" s="230"/>
      <c r="F997" s="213"/>
      <c r="G997" s="245" t="str">
        <f ca="1">IF(CommitmentsTable[[#This Row],[Commitment / deliverable]]="","",IF(CommitmentsTable[[#This Row],[Date record entered]]="",TODAY(),CommitmentsTable[[#This Row],[Date record entered]]))</f>
        <v/>
      </c>
      <c r="H997" s="245"/>
      <c r="I997" s="245" t="str">
        <f ca="1">IF(CommitmentsTable[[#This Row],[Date Assigned if different from entry date]]&lt;&gt;"",CommitmentsTable[[#This Row],[Date Assigned if different from entry date]]+90,IF(CommitmentsTable[[#This Row],[Date record entered]]&lt;&gt;"",CommitmentsTable[[#This Row],[Date record entered]]+90,""))</f>
        <v/>
      </c>
      <c r="J997" s="245" t="str">
        <f ca="1">IF(CommitmentsTable[[#This Row],[Date Assigned if different from entry date]]&lt;&gt;"",CommitmentsTable[[#This Row],[Date Assigned if different from entry date]]+30,IF(CommitmentsTable[[#This Row],[Date record entered]]&lt;&gt;"",CommitmentsTable[[#This Row],[Date record entered]]+30,""))</f>
        <v/>
      </c>
      <c r="K997" s="245"/>
      <c r="L997" s="245" t="str">
        <f ca="1">IF(CommitmentsTable[[#This Row],[Date Assigned if different from entry date]]&lt;&gt;"",CommitmentsTable[[#This Row],[Date Assigned if different from entry date]]+60,IF(CommitmentsTable[[#This Row],[Date record entered]]&lt;&gt;"",CommitmentsTable[[#This Row],[Date record entered]]+60,""))</f>
        <v/>
      </c>
      <c r="M997" s="214"/>
      <c r="N997" s="214"/>
      <c r="O997" s="236"/>
      <c r="P997" s="214"/>
      <c r="Q997" s="214"/>
      <c r="R997" s="214"/>
      <c r="S997" s="238" t="str">
        <f>IF(CommitmentsTable[[#This Row],[Commitment / deliverable]]="","",IF(CommitmentsTable[[#This Row],[Revised due]]&lt;&gt;"",CommitmentsTable[[#This Row],[Revised due]],CommitmentsTable[[#This Row],[Original due]]))</f>
        <v/>
      </c>
      <c r="T997" s="237" t="str">
        <f>IF(OR(CommitmentsTable[[#This Row],[Commitment / deliverable]]="",CommitmentsTable[[#This Row],[Owner]]=""),"",IF(CommitmentsTable[[#This Row],[Status2]]="","Open",CommitmentsTable[[#This Row],[Status2]]))</f>
        <v/>
      </c>
      <c r="U997" s="237" t="str">
        <f t="shared" ca="1" si="15"/>
        <v/>
      </c>
      <c r="V997" s="233"/>
      <c r="W997" s="63" t="s">
        <v>1899</v>
      </c>
    </row>
    <row r="998" spans="1:23" ht="26">
      <c r="A998" s="213" t="str">
        <f>IF(OR(CommitmentsTable[[#This Row],[Commitment / deliverable]]="",CommitmentsTable[[#This Row],[Immutable Key]]=""),"",SUBSTITUTE(CommitmentsTable[[#This Row],[Immutable Key]],"-K-","-"))</f>
        <v/>
      </c>
      <c r="B998" s="233"/>
      <c r="C998" s="233"/>
      <c r="D998" s="213"/>
      <c r="E998" s="230"/>
      <c r="F998" s="213"/>
      <c r="G998" s="245" t="str">
        <f ca="1">IF(CommitmentsTable[[#This Row],[Commitment / deliverable]]="","",IF(CommitmentsTable[[#This Row],[Date record entered]]="",TODAY(),CommitmentsTable[[#This Row],[Date record entered]]))</f>
        <v/>
      </c>
      <c r="H998" s="245"/>
      <c r="I998" s="245" t="str">
        <f ca="1">IF(CommitmentsTable[[#This Row],[Date Assigned if different from entry date]]&lt;&gt;"",CommitmentsTable[[#This Row],[Date Assigned if different from entry date]]+90,IF(CommitmentsTable[[#This Row],[Date record entered]]&lt;&gt;"",CommitmentsTable[[#This Row],[Date record entered]]+90,""))</f>
        <v/>
      </c>
      <c r="J998" s="245" t="str">
        <f ca="1">IF(CommitmentsTable[[#This Row],[Date Assigned if different from entry date]]&lt;&gt;"",CommitmentsTable[[#This Row],[Date Assigned if different from entry date]]+30,IF(CommitmentsTable[[#This Row],[Date record entered]]&lt;&gt;"",CommitmentsTable[[#This Row],[Date record entered]]+30,""))</f>
        <v/>
      </c>
      <c r="K998" s="245"/>
      <c r="L998" s="245" t="str">
        <f ca="1">IF(CommitmentsTable[[#This Row],[Date Assigned if different from entry date]]&lt;&gt;"",CommitmentsTable[[#This Row],[Date Assigned if different from entry date]]+60,IF(CommitmentsTable[[#This Row],[Date record entered]]&lt;&gt;"",CommitmentsTable[[#This Row],[Date record entered]]+60,""))</f>
        <v/>
      </c>
      <c r="M998" s="214"/>
      <c r="N998" s="214"/>
      <c r="O998" s="236"/>
      <c r="P998" s="214"/>
      <c r="Q998" s="214"/>
      <c r="R998" s="214"/>
      <c r="S998" s="238" t="str">
        <f>IF(CommitmentsTable[[#This Row],[Commitment / deliverable]]="","",IF(CommitmentsTable[[#This Row],[Revised due]]&lt;&gt;"",CommitmentsTable[[#This Row],[Revised due]],CommitmentsTable[[#This Row],[Original due]]))</f>
        <v/>
      </c>
      <c r="T998" s="237" t="str">
        <f>IF(OR(CommitmentsTable[[#This Row],[Commitment / deliverable]]="",CommitmentsTable[[#This Row],[Owner]]=""),"",IF(CommitmentsTable[[#This Row],[Status2]]="","Open",CommitmentsTable[[#This Row],[Status2]]))</f>
        <v/>
      </c>
      <c r="U998" s="237" t="str">
        <f t="shared" ca="1" si="15"/>
        <v/>
      </c>
      <c r="V998" s="233"/>
      <c r="W998" s="63" t="s">
        <v>1900</v>
      </c>
    </row>
    <row r="999" spans="1:23" ht="26">
      <c r="A999" s="213" t="str">
        <f>IF(OR(CommitmentsTable[[#This Row],[Commitment / deliverable]]="",CommitmentsTable[[#This Row],[Immutable Key]]=""),"",SUBSTITUTE(CommitmentsTable[[#This Row],[Immutable Key]],"-K-","-"))</f>
        <v/>
      </c>
      <c r="B999" s="233"/>
      <c r="C999" s="233"/>
      <c r="D999" s="213"/>
      <c r="E999" s="230"/>
      <c r="F999" s="213"/>
      <c r="G999" s="245" t="str">
        <f ca="1">IF(CommitmentsTable[[#This Row],[Commitment / deliverable]]="","",IF(CommitmentsTable[[#This Row],[Date record entered]]="",TODAY(),CommitmentsTable[[#This Row],[Date record entered]]))</f>
        <v/>
      </c>
      <c r="H999" s="245"/>
      <c r="I999" s="245" t="str">
        <f ca="1">IF(CommitmentsTable[[#This Row],[Date Assigned if different from entry date]]&lt;&gt;"",CommitmentsTable[[#This Row],[Date Assigned if different from entry date]]+90,IF(CommitmentsTable[[#This Row],[Date record entered]]&lt;&gt;"",CommitmentsTable[[#This Row],[Date record entered]]+90,""))</f>
        <v/>
      </c>
      <c r="J999" s="245" t="str">
        <f ca="1">IF(CommitmentsTable[[#This Row],[Date Assigned if different from entry date]]&lt;&gt;"",CommitmentsTable[[#This Row],[Date Assigned if different from entry date]]+30,IF(CommitmentsTable[[#This Row],[Date record entered]]&lt;&gt;"",CommitmentsTable[[#This Row],[Date record entered]]+30,""))</f>
        <v/>
      </c>
      <c r="K999" s="245"/>
      <c r="L999" s="245" t="str">
        <f ca="1">IF(CommitmentsTable[[#This Row],[Date Assigned if different from entry date]]&lt;&gt;"",CommitmentsTable[[#This Row],[Date Assigned if different from entry date]]+60,IF(CommitmentsTable[[#This Row],[Date record entered]]&lt;&gt;"",CommitmentsTable[[#This Row],[Date record entered]]+60,""))</f>
        <v/>
      </c>
      <c r="M999" s="214"/>
      <c r="N999" s="214"/>
      <c r="O999" s="236"/>
      <c r="P999" s="214"/>
      <c r="Q999" s="214"/>
      <c r="R999" s="214"/>
      <c r="S999" s="238" t="str">
        <f>IF(CommitmentsTable[[#This Row],[Commitment / deliverable]]="","",IF(CommitmentsTable[[#This Row],[Revised due]]&lt;&gt;"",CommitmentsTable[[#This Row],[Revised due]],CommitmentsTable[[#This Row],[Original due]]))</f>
        <v/>
      </c>
      <c r="T999" s="237" t="str">
        <f>IF(OR(CommitmentsTable[[#This Row],[Commitment / deliverable]]="",CommitmentsTable[[#This Row],[Owner]]=""),"",IF(CommitmentsTable[[#This Row],[Status2]]="","Open",CommitmentsTable[[#This Row],[Status2]]))</f>
        <v/>
      </c>
      <c r="U999" s="237" t="str">
        <f t="shared" ca="1" si="15"/>
        <v/>
      </c>
      <c r="V999" s="233"/>
      <c r="W999" s="63" t="s">
        <v>1901</v>
      </c>
    </row>
    <row r="1000" spans="1:23" ht="26">
      <c r="A1000" s="213" t="str">
        <f>IF(OR(CommitmentsTable[[#This Row],[Commitment / deliverable]]="",CommitmentsTable[[#This Row],[Immutable Key]]=""),"",SUBSTITUTE(CommitmentsTable[[#This Row],[Immutable Key]],"-K-","-"))</f>
        <v/>
      </c>
      <c r="B1000" s="233"/>
      <c r="C1000" s="233"/>
      <c r="D1000" s="213"/>
      <c r="E1000" s="230"/>
      <c r="F1000" s="213"/>
      <c r="G1000" s="245" t="str">
        <f ca="1">IF(CommitmentsTable[[#This Row],[Commitment / deliverable]]="","",IF(CommitmentsTable[[#This Row],[Date record entered]]="",TODAY(),CommitmentsTable[[#This Row],[Date record entered]]))</f>
        <v/>
      </c>
      <c r="H1000" s="245"/>
      <c r="I1000" s="245" t="str">
        <f ca="1">IF(CommitmentsTable[[#This Row],[Date Assigned if different from entry date]]&lt;&gt;"",CommitmentsTable[[#This Row],[Date Assigned if different from entry date]]+90,IF(CommitmentsTable[[#This Row],[Date record entered]]&lt;&gt;"",CommitmentsTable[[#This Row],[Date record entered]]+90,""))</f>
        <v/>
      </c>
      <c r="J1000" s="245" t="str">
        <f ca="1">IF(CommitmentsTable[[#This Row],[Date Assigned if different from entry date]]&lt;&gt;"",CommitmentsTable[[#This Row],[Date Assigned if different from entry date]]+30,IF(CommitmentsTable[[#This Row],[Date record entered]]&lt;&gt;"",CommitmentsTable[[#This Row],[Date record entered]]+30,""))</f>
        <v/>
      </c>
      <c r="K1000" s="245"/>
      <c r="L1000" s="245" t="str">
        <f ca="1">IF(CommitmentsTable[[#This Row],[Date Assigned if different from entry date]]&lt;&gt;"",CommitmentsTable[[#This Row],[Date Assigned if different from entry date]]+60,IF(CommitmentsTable[[#This Row],[Date record entered]]&lt;&gt;"",CommitmentsTable[[#This Row],[Date record entered]]+60,""))</f>
        <v/>
      </c>
      <c r="M1000" s="214"/>
      <c r="N1000" s="214"/>
      <c r="O1000" s="236"/>
      <c r="P1000" s="214"/>
      <c r="Q1000" s="214"/>
      <c r="R1000" s="214"/>
      <c r="S1000" s="238" t="str">
        <f>IF(CommitmentsTable[[#This Row],[Commitment / deliverable]]="","",IF(CommitmentsTable[[#This Row],[Revised due]]&lt;&gt;"",CommitmentsTable[[#This Row],[Revised due]],CommitmentsTable[[#This Row],[Original due]]))</f>
        <v/>
      </c>
      <c r="T1000" s="237" t="str">
        <f>IF(OR(CommitmentsTable[[#This Row],[Commitment / deliverable]]="",CommitmentsTable[[#This Row],[Owner]]=""),"",IF(CommitmentsTable[[#This Row],[Status2]]="","Open",CommitmentsTable[[#This Row],[Status2]]))</f>
        <v/>
      </c>
      <c r="U1000" s="237" t="str">
        <f t="shared" ca="1" si="15"/>
        <v/>
      </c>
      <c r="V1000" s="233"/>
      <c r="W1000" s="63" t="s">
        <v>1902</v>
      </c>
    </row>
    <row r="1001" spans="1:23" ht="26">
      <c r="A1001" s="213" t="str">
        <f>IF(OR(CommitmentsTable[[#This Row],[Commitment / deliverable]]="",CommitmentsTable[[#This Row],[Immutable Key]]=""),"",SUBSTITUTE(CommitmentsTable[[#This Row],[Immutable Key]],"-K-","-"))</f>
        <v/>
      </c>
      <c r="B1001" s="233"/>
      <c r="C1001" s="233"/>
      <c r="D1001" s="213"/>
      <c r="E1001" s="230"/>
      <c r="F1001" s="213"/>
      <c r="G1001" s="245" t="str">
        <f ca="1">IF(CommitmentsTable[[#This Row],[Commitment / deliverable]]="","",IF(CommitmentsTable[[#This Row],[Date record entered]]="",TODAY(),CommitmentsTable[[#This Row],[Date record entered]]))</f>
        <v/>
      </c>
      <c r="H1001" s="245"/>
      <c r="I1001" s="245" t="str">
        <f ca="1">IF(CommitmentsTable[[#This Row],[Date Assigned if different from entry date]]&lt;&gt;"",CommitmentsTable[[#This Row],[Date Assigned if different from entry date]]+90,IF(CommitmentsTable[[#This Row],[Date record entered]]&lt;&gt;"",CommitmentsTable[[#This Row],[Date record entered]]+90,""))</f>
        <v/>
      </c>
      <c r="J1001" s="245" t="str">
        <f ca="1">IF(CommitmentsTable[[#This Row],[Date Assigned if different from entry date]]&lt;&gt;"",CommitmentsTable[[#This Row],[Date Assigned if different from entry date]]+30,IF(CommitmentsTable[[#This Row],[Date record entered]]&lt;&gt;"",CommitmentsTable[[#This Row],[Date record entered]]+30,""))</f>
        <v/>
      </c>
      <c r="K1001" s="245"/>
      <c r="L1001" s="245" t="str">
        <f ca="1">IF(CommitmentsTable[[#This Row],[Date Assigned if different from entry date]]&lt;&gt;"",CommitmentsTable[[#This Row],[Date Assigned if different from entry date]]+60,IF(CommitmentsTable[[#This Row],[Date record entered]]&lt;&gt;"",CommitmentsTable[[#This Row],[Date record entered]]+60,""))</f>
        <v/>
      </c>
      <c r="M1001" s="214"/>
      <c r="N1001" s="214"/>
      <c r="O1001" s="236"/>
      <c r="P1001" s="214"/>
      <c r="Q1001" s="214"/>
      <c r="R1001" s="214"/>
      <c r="S1001" s="238" t="str">
        <f>IF(CommitmentsTable[[#This Row],[Commitment / deliverable]]="","",IF(CommitmentsTable[[#This Row],[Revised due]]&lt;&gt;"",CommitmentsTable[[#This Row],[Revised due]],CommitmentsTable[[#This Row],[Original due]]))</f>
        <v/>
      </c>
      <c r="T1001" s="237" t="str">
        <f>IF(OR(CommitmentsTable[[#This Row],[Commitment / deliverable]]="",CommitmentsTable[[#This Row],[Owner]]=""),"",IF(CommitmentsTable[[#This Row],[Status2]]="","Open",CommitmentsTable[[#This Row],[Status2]]))</f>
        <v/>
      </c>
      <c r="U1001" s="237" t="str">
        <f t="shared" ca="1" si="15"/>
        <v/>
      </c>
      <c r="V1001" s="233"/>
      <c r="W1001" s="63" t="s">
        <v>1903</v>
      </c>
    </row>
    <row r="1002" spans="1:23" ht="26">
      <c r="A1002" s="213" t="str">
        <f>IF(OR(CommitmentsTable[[#This Row],[Commitment / deliverable]]="",CommitmentsTable[[#This Row],[Immutable Key]]=""),"",SUBSTITUTE(CommitmentsTable[[#This Row],[Immutable Key]],"-K-","-"))</f>
        <v/>
      </c>
      <c r="B1002" s="233"/>
      <c r="C1002" s="233"/>
      <c r="D1002" s="213"/>
      <c r="E1002" s="230"/>
      <c r="F1002" s="213"/>
      <c r="G1002" s="245" t="str">
        <f ca="1">IF(CommitmentsTable[[#This Row],[Commitment / deliverable]]="","",IF(CommitmentsTable[[#This Row],[Date record entered]]="",TODAY(),CommitmentsTable[[#This Row],[Date record entered]]))</f>
        <v/>
      </c>
      <c r="H1002" s="245"/>
      <c r="I1002" s="245" t="str">
        <f ca="1">IF(CommitmentsTable[[#This Row],[Date Assigned if different from entry date]]&lt;&gt;"",CommitmentsTable[[#This Row],[Date Assigned if different from entry date]]+90,IF(CommitmentsTable[[#This Row],[Date record entered]]&lt;&gt;"",CommitmentsTable[[#This Row],[Date record entered]]+90,""))</f>
        <v/>
      </c>
      <c r="J1002" s="245" t="str">
        <f ca="1">IF(CommitmentsTable[[#This Row],[Date Assigned if different from entry date]]&lt;&gt;"",CommitmentsTable[[#This Row],[Date Assigned if different from entry date]]+30,IF(CommitmentsTable[[#This Row],[Date record entered]]&lt;&gt;"",CommitmentsTable[[#This Row],[Date record entered]]+30,""))</f>
        <v/>
      </c>
      <c r="K1002" s="245"/>
      <c r="L1002" s="245" t="str">
        <f ca="1">IF(CommitmentsTable[[#This Row],[Date Assigned if different from entry date]]&lt;&gt;"",CommitmentsTable[[#This Row],[Date Assigned if different from entry date]]+60,IF(CommitmentsTable[[#This Row],[Date record entered]]&lt;&gt;"",CommitmentsTable[[#This Row],[Date record entered]]+60,""))</f>
        <v/>
      </c>
      <c r="M1002" s="214"/>
      <c r="N1002" s="214"/>
      <c r="O1002" s="236"/>
      <c r="P1002" s="214"/>
      <c r="Q1002" s="214"/>
      <c r="R1002" s="214"/>
      <c r="S1002" s="238" t="str">
        <f>IF(CommitmentsTable[[#This Row],[Commitment / deliverable]]="","",IF(CommitmentsTable[[#This Row],[Revised due]]&lt;&gt;"",CommitmentsTable[[#This Row],[Revised due]],CommitmentsTable[[#This Row],[Original due]]))</f>
        <v/>
      </c>
      <c r="T1002" s="237" t="str">
        <f>IF(OR(CommitmentsTable[[#This Row],[Commitment / deliverable]]="",CommitmentsTable[[#This Row],[Owner]]=""),"",IF(CommitmentsTable[[#This Row],[Status2]]="","Open",CommitmentsTable[[#This Row],[Status2]]))</f>
        <v/>
      </c>
      <c r="U1002" s="237" t="str">
        <f t="shared" ca="1" si="15"/>
        <v/>
      </c>
      <c r="V1002" s="233"/>
      <c r="W1002" s="63" t="s">
        <v>1904</v>
      </c>
    </row>
    <row r="1003" spans="1:23" ht="26">
      <c r="A1003" s="213" t="str">
        <f>IF(OR(CommitmentsTable[[#This Row],[Commitment / deliverable]]="",CommitmentsTable[[#This Row],[Immutable Key]]=""),"",SUBSTITUTE(CommitmentsTable[[#This Row],[Immutable Key]],"-K-","-"))</f>
        <v/>
      </c>
      <c r="B1003" s="233"/>
      <c r="C1003" s="233"/>
      <c r="D1003" s="213"/>
      <c r="E1003" s="230"/>
      <c r="F1003" s="213"/>
      <c r="G1003" s="245" t="str">
        <f ca="1">IF(CommitmentsTable[[#This Row],[Commitment / deliverable]]="","",IF(CommitmentsTable[[#This Row],[Date record entered]]="",TODAY(),CommitmentsTable[[#This Row],[Date record entered]]))</f>
        <v/>
      </c>
      <c r="H1003" s="245"/>
      <c r="I1003" s="245" t="str">
        <f ca="1">IF(CommitmentsTable[[#This Row],[Date Assigned if different from entry date]]&lt;&gt;"",CommitmentsTable[[#This Row],[Date Assigned if different from entry date]]+90,IF(CommitmentsTable[[#This Row],[Date record entered]]&lt;&gt;"",CommitmentsTable[[#This Row],[Date record entered]]+90,""))</f>
        <v/>
      </c>
      <c r="J1003" s="245" t="str">
        <f ca="1">IF(CommitmentsTable[[#This Row],[Date Assigned if different from entry date]]&lt;&gt;"",CommitmentsTable[[#This Row],[Date Assigned if different from entry date]]+30,IF(CommitmentsTable[[#This Row],[Date record entered]]&lt;&gt;"",CommitmentsTable[[#This Row],[Date record entered]]+30,""))</f>
        <v/>
      </c>
      <c r="K1003" s="245"/>
      <c r="L1003" s="245" t="str">
        <f ca="1">IF(CommitmentsTable[[#This Row],[Date Assigned if different from entry date]]&lt;&gt;"",CommitmentsTable[[#This Row],[Date Assigned if different from entry date]]+60,IF(CommitmentsTable[[#This Row],[Date record entered]]&lt;&gt;"",CommitmentsTable[[#This Row],[Date record entered]]+60,""))</f>
        <v/>
      </c>
      <c r="M1003" s="214"/>
      <c r="N1003" s="214"/>
      <c r="O1003" s="236"/>
      <c r="P1003" s="214"/>
      <c r="Q1003" s="214"/>
      <c r="R1003" s="214"/>
      <c r="S1003" s="238" t="str">
        <f>IF(CommitmentsTable[[#This Row],[Commitment / deliverable]]="","",IF(CommitmentsTable[[#This Row],[Revised due]]&lt;&gt;"",CommitmentsTable[[#This Row],[Revised due]],CommitmentsTable[[#This Row],[Original due]]))</f>
        <v/>
      </c>
      <c r="T1003" s="237" t="str">
        <f>IF(OR(CommitmentsTable[[#This Row],[Commitment / deliverable]]="",CommitmentsTable[[#This Row],[Owner]]=""),"",IF(CommitmentsTable[[#This Row],[Status2]]="","Open",CommitmentsTable[[#This Row],[Status2]]))</f>
        <v/>
      </c>
      <c r="U1003" s="237" t="str">
        <f t="shared" ca="1" si="15"/>
        <v/>
      </c>
      <c r="V1003" s="233"/>
      <c r="W1003" s="63" t="s">
        <v>1905</v>
      </c>
    </row>
    <row r="1004" spans="1:23" ht="26">
      <c r="A1004" s="213" t="str">
        <f>IF(OR(CommitmentsTable[[#This Row],[Commitment / deliverable]]="",CommitmentsTable[[#This Row],[Immutable Key]]=""),"",SUBSTITUTE(CommitmentsTable[[#This Row],[Immutable Key]],"-K-","-"))</f>
        <v/>
      </c>
      <c r="B1004" s="233"/>
      <c r="C1004" s="233"/>
      <c r="D1004" s="213"/>
      <c r="E1004" s="230"/>
      <c r="F1004" s="213"/>
      <c r="G1004" s="245" t="str">
        <f ca="1">IF(CommitmentsTable[[#This Row],[Commitment / deliverable]]="","",IF(CommitmentsTable[[#This Row],[Date record entered]]="",TODAY(),CommitmentsTable[[#This Row],[Date record entered]]))</f>
        <v/>
      </c>
      <c r="H1004" s="245"/>
      <c r="I1004" s="245" t="str">
        <f ca="1">IF(CommitmentsTable[[#This Row],[Date Assigned if different from entry date]]&lt;&gt;"",CommitmentsTable[[#This Row],[Date Assigned if different from entry date]]+90,IF(CommitmentsTable[[#This Row],[Date record entered]]&lt;&gt;"",CommitmentsTable[[#This Row],[Date record entered]]+90,""))</f>
        <v/>
      </c>
      <c r="J1004" s="245" t="str">
        <f ca="1">IF(CommitmentsTable[[#This Row],[Date Assigned if different from entry date]]&lt;&gt;"",CommitmentsTable[[#This Row],[Date Assigned if different from entry date]]+30,IF(CommitmentsTable[[#This Row],[Date record entered]]&lt;&gt;"",CommitmentsTable[[#This Row],[Date record entered]]+30,""))</f>
        <v/>
      </c>
      <c r="K1004" s="245"/>
      <c r="L1004" s="245" t="str">
        <f ca="1">IF(CommitmentsTable[[#This Row],[Date Assigned if different from entry date]]&lt;&gt;"",CommitmentsTable[[#This Row],[Date Assigned if different from entry date]]+60,IF(CommitmentsTable[[#This Row],[Date record entered]]&lt;&gt;"",CommitmentsTable[[#This Row],[Date record entered]]+60,""))</f>
        <v/>
      </c>
      <c r="M1004" s="214"/>
      <c r="N1004" s="214"/>
      <c r="O1004" s="236"/>
      <c r="P1004" s="214"/>
      <c r="Q1004" s="214"/>
      <c r="R1004" s="214"/>
      <c r="S1004" s="238" t="str">
        <f>IF(CommitmentsTable[[#This Row],[Commitment / deliverable]]="","",IF(CommitmentsTable[[#This Row],[Revised due]]&lt;&gt;"",CommitmentsTable[[#This Row],[Revised due]],CommitmentsTable[[#This Row],[Original due]]))</f>
        <v/>
      </c>
      <c r="T1004" s="237" t="str">
        <f>IF(OR(CommitmentsTable[[#This Row],[Commitment / deliverable]]="",CommitmentsTable[[#This Row],[Owner]]=""),"",IF(CommitmentsTable[[#This Row],[Status2]]="","Open",CommitmentsTable[[#This Row],[Status2]]))</f>
        <v/>
      </c>
      <c r="U1004" s="237" t="str">
        <f t="shared" ca="1" si="15"/>
        <v/>
      </c>
      <c r="V1004" s="233"/>
      <c r="W1004" s="63" t="s">
        <v>1906</v>
      </c>
    </row>
    <row r="1005" spans="1:23" ht="26">
      <c r="A1005" s="213" t="str">
        <f>IF(OR(CommitmentsTable[[#This Row],[Commitment / deliverable]]="",CommitmentsTable[[#This Row],[Immutable Key]]=""),"",SUBSTITUTE(CommitmentsTable[[#This Row],[Immutable Key]],"-K-","-"))</f>
        <v/>
      </c>
      <c r="B1005" s="233"/>
      <c r="C1005" s="233"/>
      <c r="D1005" s="213"/>
      <c r="E1005" s="230"/>
      <c r="F1005" s="213"/>
      <c r="G1005" s="245" t="str">
        <f ca="1">IF(CommitmentsTable[[#This Row],[Commitment / deliverable]]="","",IF(CommitmentsTable[[#This Row],[Date record entered]]="",TODAY(),CommitmentsTable[[#This Row],[Date record entered]]))</f>
        <v/>
      </c>
      <c r="H1005" s="245"/>
      <c r="I1005" s="245" t="str">
        <f ca="1">IF(CommitmentsTable[[#This Row],[Date Assigned if different from entry date]]&lt;&gt;"",CommitmentsTable[[#This Row],[Date Assigned if different from entry date]]+90,IF(CommitmentsTable[[#This Row],[Date record entered]]&lt;&gt;"",CommitmentsTable[[#This Row],[Date record entered]]+90,""))</f>
        <v/>
      </c>
      <c r="J1005" s="245" t="str">
        <f ca="1">IF(CommitmentsTable[[#This Row],[Date Assigned if different from entry date]]&lt;&gt;"",CommitmentsTable[[#This Row],[Date Assigned if different from entry date]]+30,IF(CommitmentsTable[[#This Row],[Date record entered]]&lt;&gt;"",CommitmentsTable[[#This Row],[Date record entered]]+30,""))</f>
        <v/>
      </c>
      <c r="K1005" s="245"/>
      <c r="L1005" s="245" t="str">
        <f ca="1">IF(CommitmentsTable[[#This Row],[Date Assigned if different from entry date]]&lt;&gt;"",CommitmentsTable[[#This Row],[Date Assigned if different from entry date]]+60,IF(CommitmentsTable[[#This Row],[Date record entered]]&lt;&gt;"",CommitmentsTable[[#This Row],[Date record entered]]+60,""))</f>
        <v/>
      </c>
      <c r="M1005" s="214"/>
      <c r="N1005" s="214"/>
      <c r="O1005" s="236"/>
      <c r="P1005" s="214"/>
      <c r="Q1005" s="214"/>
      <c r="R1005" s="214"/>
      <c r="S1005" s="238" t="str">
        <f>IF(CommitmentsTable[[#This Row],[Commitment / deliverable]]="","",IF(CommitmentsTable[[#This Row],[Revised due]]&lt;&gt;"",CommitmentsTable[[#This Row],[Revised due]],CommitmentsTable[[#This Row],[Original due]]))</f>
        <v/>
      </c>
      <c r="T1005" s="237" t="str">
        <f>IF(OR(CommitmentsTable[[#This Row],[Commitment / deliverable]]="",CommitmentsTable[[#This Row],[Owner]]=""),"",IF(CommitmentsTable[[#This Row],[Status2]]="","Open",CommitmentsTable[[#This Row],[Status2]]))</f>
        <v/>
      </c>
      <c r="U1005" s="237" t="str">
        <f t="shared" ca="1" si="15"/>
        <v/>
      </c>
      <c r="V1005" s="233"/>
      <c r="W1005" s="63" t="s">
        <v>1907</v>
      </c>
    </row>
    <row r="1006" spans="1:23" ht="26">
      <c r="A1006" s="213" t="str">
        <f>IF(OR(CommitmentsTable[[#This Row],[Commitment / deliverable]]="",CommitmentsTable[[#This Row],[Immutable Key]]=""),"",SUBSTITUTE(CommitmentsTable[[#This Row],[Immutable Key]],"-K-","-"))</f>
        <v/>
      </c>
      <c r="B1006" s="233"/>
      <c r="C1006" s="233"/>
      <c r="D1006" s="213"/>
      <c r="E1006" s="230"/>
      <c r="F1006" s="213"/>
      <c r="G1006" s="245" t="str">
        <f ca="1">IF(CommitmentsTable[[#This Row],[Commitment / deliverable]]="","",IF(CommitmentsTable[[#This Row],[Date record entered]]="",TODAY(),CommitmentsTable[[#This Row],[Date record entered]]))</f>
        <v/>
      </c>
      <c r="H1006" s="245"/>
      <c r="I1006" s="245" t="str">
        <f ca="1">IF(CommitmentsTable[[#This Row],[Date Assigned if different from entry date]]&lt;&gt;"",CommitmentsTable[[#This Row],[Date Assigned if different from entry date]]+90,IF(CommitmentsTable[[#This Row],[Date record entered]]&lt;&gt;"",CommitmentsTable[[#This Row],[Date record entered]]+90,""))</f>
        <v/>
      </c>
      <c r="J1006" s="245" t="str">
        <f ca="1">IF(CommitmentsTable[[#This Row],[Date Assigned if different from entry date]]&lt;&gt;"",CommitmentsTable[[#This Row],[Date Assigned if different from entry date]]+30,IF(CommitmentsTable[[#This Row],[Date record entered]]&lt;&gt;"",CommitmentsTable[[#This Row],[Date record entered]]+30,""))</f>
        <v/>
      </c>
      <c r="K1006" s="245"/>
      <c r="L1006" s="245" t="str">
        <f ca="1">IF(CommitmentsTable[[#This Row],[Date Assigned if different from entry date]]&lt;&gt;"",CommitmentsTable[[#This Row],[Date Assigned if different from entry date]]+60,IF(CommitmentsTable[[#This Row],[Date record entered]]&lt;&gt;"",CommitmentsTable[[#This Row],[Date record entered]]+60,""))</f>
        <v/>
      </c>
      <c r="M1006" s="214"/>
      <c r="N1006" s="214"/>
      <c r="O1006" s="236"/>
      <c r="P1006" s="214"/>
      <c r="Q1006" s="214"/>
      <c r="R1006" s="214"/>
      <c r="S1006" s="238" t="str">
        <f>IF(CommitmentsTable[[#This Row],[Commitment / deliverable]]="","",IF(CommitmentsTable[[#This Row],[Revised due]]&lt;&gt;"",CommitmentsTable[[#This Row],[Revised due]],CommitmentsTable[[#This Row],[Original due]]))</f>
        <v/>
      </c>
      <c r="T1006" s="237" t="str">
        <f>IF(OR(CommitmentsTable[[#This Row],[Commitment / deliverable]]="",CommitmentsTable[[#This Row],[Owner]]=""),"",IF(CommitmentsTable[[#This Row],[Status2]]="","Open",CommitmentsTable[[#This Row],[Status2]]))</f>
        <v/>
      </c>
      <c r="U1006" s="237" t="str">
        <f t="shared" ca="1" si="15"/>
        <v/>
      </c>
      <c r="V1006" s="233"/>
      <c r="W1006" s="63" t="s">
        <v>1908</v>
      </c>
    </row>
    <row r="1007" spans="1:23" ht="26">
      <c r="A1007" s="213" t="str">
        <f>IF(OR(CommitmentsTable[[#This Row],[Commitment / deliverable]]="",CommitmentsTable[[#This Row],[Immutable Key]]=""),"",SUBSTITUTE(CommitmentsTable[[#This Row],[Immutable Key]],"-K-","-"))</f>
        <v/>
      </c>
      <c r="B1007" s="233"/>
      <c r="C1007" s="233"/>
      <c r="D1007" s="213"/>
      <c r="E1007" s="230"/>
      <c r="F1007" s="213"/>
      <c r="G1007" s="245" t="str">
        <f ca="1">IF(CommitmentsTable[[#This Row],[Commitment / deliverable]]="","",IF(CommitmentsTable[[#This Row],[Date record entered]]="",TODAY(),CommitmentsTable[[#This Row],[Date record entered]]))</f>
        <v/>
      </c>
      <c r="H1007" s="245"/>
      <c r="I1007" s="245" t="str">
        <f ca="1">IF(CommitmentsTable[[#This Row],[Date Assigned if different from entry date]]&lt;&gt;"",CommitmentsTable[[#This Row],[Date Assigned if different from entry date]]+90,IF(CommitmentsTable[[#This Row],[Date record entered]]&lt;&gt;"",CommitmentsTable[[#This Row],[Date record entered]]+90,""))</f>
        <v/>
      </c>
      <c r="J1007" s="245" t="str">
        <f ca="1">IF(CommitmentsTable[[#This Row],[Date Assigned if different from entry date]]&lt;&gt;"",CommitmentsTable[[#This Row],[Date Assigned if different from entry date]]+30,IF(CommitmentsTable[[#This Row],[Date record entered]]&lt;&gt;"",CommitmentsTable[[#This Row],[Date record entered]]+30,""))</f>
        <v/>
      </c>
      <c r="K1007" s="245"/>
      <c r="L1007" s="245" t="str">
        <f ca="1">IF(CommitmentsTable[[#This Row],[Date Assigned if different from entry date]]&lt;&gt;"",CommitmentsTable[[#This Row],[Date Assigned if different from entry date]]+60,IF(CommitmentsTable[[#This Row],[Date record entered]]&lt;&gt;"",CommitmentsTable[[#This Row],[Date record entered]]+60,""))</f>
        <v/>
      </c>
      <c r="M1007" s="214"/>
      <c r="N1007" s="214"/>
      <c r="O1007" s="236"/>
      <c r="P1007" s="214"/>
      <c r="Q1007" s="214"/>
      <c r="R1007" s="214"/>
      <c r="S1007" s="238" t="str">
        <f>IF(CommitmentsTable[[#This Row],[Commitment / deliverable]]="","",IF(CommitmentsTable[[#This Row],[Revised due]]&lt;&gt;"",CommitmentsTable[[#This Row],[Revised due]],CommitmentsTable[[#This Row],[Original due]]))</f>
        <v/>
      </c>
      <c r="T1007" s="237" t="str">
        <f>IF(OR(CommitmentsTable[[#This Row],[Commitment / deliverable]]="",CommitmentsTable[[#This Row],[Owner]]=""),"",IF(CommitmentsTable[[#This Row],[Status2]]="","Open",CommitmentsTable[[#This Row],[Status2]]))</f>
        <v/>
      </c>
      <c r="U1007" s="237" t="str">
        <f t="shared" ca="1" si="15"/>
        <v/>
      </c>
      <c r="V1007" s="233"/>
      <c r="W1007" s="63" t="s">
        <v>1909</v>
      </c>
    </row>
    <row r="1008" spans="1:23" ht="26">
      <c r="A1008" s="213" t="str">
        <f>IF(OR(CommitmentsTable[[#This Row],[Commitment / deliverable]]="",CommitmentsTable[[#This Row],[Immutable Key]]=""),"",SUBSTITUTE(CommitmentsTable[[#This Row],[Immutable Key]],"-K-","-"))</f>
        <v/>
      </c>
      <c r="B1008" s="233"/>
      <c r="C1008" s="233"/>
      <c r="D1008" s="213"/>
      <c r="E1008" s="230"/>
      <c r="F1008" s="213"/>
      <c r="G1008" s="245" t="str">
        <f ca="1">IF(CommitmentsTable[[#This Row],[Commitment / deliverable]]="","",IF(CommitmentsTable[[#This Row],[Date record entered]]="",TODAY(),CommitmentsTable[[#This Row],[Date record entered]]))</f>
        <v/>
      </c>
      <c r="H1008" s="245"/>
      <c r="I1008" s="245" t="str">
        <f ca="1">IF(CommitmentsTable[[#This Row],[Date Assigned if different from entry date]]&lt;&gt;"",CommitmentsTable[[#This Row],[Date Assigned if different from entry date]]+90,IF(CommitmentsTable[[#This Row],[Date record entered]]&lt;&gt;"",CommitmentsTable[[#This Row],[Date record entered]]+90,""))</f>
        <v/>
      </c>
      <c r="J1008" s="245" t="str">
        <f ca="1">IF(CommitmentsTable[[#This Row],[Date Assigned if different from entry date]]&lt;&gt;"",CommitmentsTable[[#This Row],[Date Assigned if different from entry date]]+30,IF(CommitmentsTable[[#This Row],[Date record entered]]&lt;&gt;"",CommitmentsTable[[#This Row],[Date record entered]]+30,""))</f>
        <v/>
      </c>
      <c r="K1008" s="245"/>
      <c r="L1008" s="245" t="str">
        <f ca="1">IF(CommitmentsTable[[#This Row],[Date Assigned if different from entry date]]&lt;&gt;"",CommitmentsTable[[#This Row],[Date Assigned if different from entry date]]+60,IF(CommitmentsTable[[#This Row],[Date record entered]]&lt;&gt;"",CommitmentsTable[[#This Row],[Date record entered]]+60,""))</f>
        <v/>
      </c>
      <c r="M1008" s="214"/>
      <c r="N1008" s="214"/>
      <c r="O1008" s="236"/>
      <c r="P1008" s="214"/>
      <c r="Q1008" s="214"/>
      <c r="R1008" s="214"/>
      <c r="S1008" s="238" t="str">
        <f>IF(CommitmentsTable[[#This Row],[Commitment / deliverable]]="","",IF(CommitmentsTable[[#This Row],[Revised due]]&lt;&gt;"",CommitmentsTable[[#This Row],[Revised due]],CommitmentsTable[[#This Row],[Original due]]))</f>
        <v/>
      </c>
      <c r="T1008" s="237" t="str">
        <f>IF(OR(CommitmentsTable[[#This Row],[Commitment / deliverable]]="",CommitmentsTable[[#This Row],[Owner]]=""),"",IF(CommitmentsTable[[#This Row],[Status2]]="","Open",CommitmentsTable[[#This Row],[Status2]]))</f>
        <v/>
      </c>
      <c r="U1008" s="237" t="str">
        <f t="shared" ca="1" si="15"/>
        <v/>
      </c>
      <c r="V1008" s="233"/>
      <c r="W1008" s="63" t="s">
        <v>1910</v>
      </c>
    </row>
    <row r="1009" spans="1:23" ht="26">
      <c r="A1009" s="213" t="str">
        <f>IF(OR(CommitmentsTable[[#This Row],[Commitment / deliverable]]="",CommitmentsTable[[#This Row],[Immutable Key]]=""),"",SUBSTITUTE(CommitmentsTable[[#This Row],[Immutable Key]],"-K-","-"))</f>
        <v/>
      </c>
      <c r="B1009" s="233"/>
      <c r="C1009" s="233"/>
      <c r="D1009" s="213"/>
      <c r="E1009" s="230"/>
      <c r="F1009" s="213"/>
      <c r="G1009" s="245" t="str">
        <f ca="1">IF(CommitmentsTable[[#This Row],[Commitment / deliverable]]="","",IF(CommitmentsTable[[#This Row],[Date record entered]]="",TODAY(),CommitmentsTable[[#This Row],[Date record entered]]))</f>
        <v/>
      </c>
      <c r="H1009" s="245"/>
      <c r="I1009" s="245" t="str">
        <f ca="1">IF(CommitmentsTable[[#This Row],[Date Assigned if different from entry date]]&lt;&gt;"",CommitmentsTable[[#This Row],[Date Assigned if different from entry date]]+90,IF(CommitmentsTable[[#This Row],[Date record entered]]&lt;&gt;"",CommitmentsTable[[#This Row],[Date record entered]]+90,""))</f>
        <v/>
      </c>
      <c r="J1009" s="245" t="str">
        <f ca="1">IF(CommitmentsTable[[#This Row],[Date Assigned if different from entry date]]&lt;&gt;"",CommitmentsTable[[#This Row],[Date Assigned if different from entry date]]+30,IF(CommitmentsTable[[#This Row],[Date record entered]]&lt;&gt;"",CommitmentsTable[[#This Row],[Date record entered]]+30,""))</f>
        <v/>
      </c>
      <c r="K1009" s="245"/>
      <c r="L1009" s="245" t="str">
        <f ca="1">IF(CommitmentsTable[[#This Row],[Date Assigned if different from entry date]]&lt;&gt;"",CommitmentsTable[[#This Row],[Date Assigned if different from entry date]]+60,IF(CommitmentsTable[[#This Row],[Date record entered]]&lt;&gt;"",CommitmentsTable[[#This Row],[Date record entered]]+60,""))</f>
        <v/>
      </c>
      <c r="M1009" s="214"/>
      <c r="N1009" s="214"/>
      <c r="O1009" s="236"/>
      <c r="P1009" s="214"/>
      <c r="Q1009" s="214"/>
      <c r="R1009" s="214"/>
      <c r="S1009" s="238" t="str">
        <f>IF(CommitmentsTable[[#This Row],[Commitment / deliverable]]="","",IF(CommitmentsTable[[#This Row],[Revised due]]&lt;&gt;"",CommitmentsTable[[#This Row],[Revised due]],CommitmentsTable[[#This Row],[Original due]]))</f>
        <v/>
      </c>
      <c r="T1009" s="237" t="str">
        <f>IF(OR(CommitmentsTable[[#This Row],[Commitment / deliverable]]="",CommitmentsTable[[#This Row],[Owner]]=""),"",IF(CommitmentsTable[[#This Row],[Status2]]="","Open",CommitmentsTable[[#This Row],[Status2]]))</f>
        <v/>
      </c>
      <c r="U1009" s="237" t="str">
        <f t="shared" ca="1" si="15"/>
        <v/>
      </c>
      <c r="V1009" s="233"/>
      <c r="W1009" s="63" t="s">
        <v>1911</v>
      </c>
    </row>
    <row r="1010" spans="1:23" ht="26">
      <c r="A1010" s="213" t="str">
        <f>IF(OR(CommitmentsTable[[#This Row],[Commitment / deliverable]]="",CommitmentsTable[[#This Row],[Immutable Key]]=""),"",SUBSTITUTE(CommitmentsTable[[#This Row],[Immutable Key]],"-K-","-"))</f>
        <v/>
      </c>
      <c r="B1010" s="233"/>
      <c r="C1010" s="233"/>
      <c r="D1010" s="213"/>
      <c r="E1010" s="230"/>
      <c r="F1010" s="213"/>
      <c r="G1010" s="245" t="str">
        <f ca="1">IF(CommitmentsTable[[#This Row],[Commitment / deliverable]]="","",IF(CommitmentsTable[[#This Row],[Date record entered]]="",TODAY(),CommitmentsTable[[#This Row],[Date record entered]]))</f>
        <v/>
      </c>
      <c r="H1010" s="245"/>
      <c r="I1010" s="245" t="str">
        <f ca="1">IF(CommitmentsTable[[#This Row],[Date Assigned if different from entry date]]&lt;&gt;"",CommitmentsTable[[#This Row],[Date Assigned if different from entry date]]+90,IF(CommitmentsTable[[#This Row],[Date record entered]]&lt;&gt;"",CommitmentsTable[[#This Row],[Date record entered]]+90,""))</f>
        <v/>
      </c>
      <c r="J1010" s="245" t="str">
        <f ca="1">IF(CommitmentsTable[[#This Row],[Date Assigned if different from entry date]]&lt;&gt;"",CommitmentsTable[[#This Row],[Date Assigned if different from entry date]]+30,IF(CommitmentsTable[[#This Row],[Date record entered]]&lt;&gt;"",CommitmentsTable[[#This Row],[Date record entered]]+30,""))</f>
        <v/>
      </c>
      <c r="K1010" s="245"/>
      <c r="L1010" s="245" t="str">
        <f ca="1">IF(CommitmentsTable[[#This Row],[Date Assigned if different from entry date]]&lt;&gt;"",CommitmentsTable[[#This Row],[Date Assigned if different from entry date]]+60,IF(CommitmentsTable[[#This Row],[Date record entered]]&lt;&gt;"",CommitmentsTable[[#This Row],[Date record entered]]+60,""))</f>
        <v/>
      </c>
      <c r="M1010" s="214"/>
      <c r="N1010" s="214"/>
      <c r="O1010" s="236"/>
      <c r="P1010" s="214"/>
      <c r="Q1010" s="214"/>
      <c r="R1010" s="214"/>
      <c r="S1010" s="238" t="str">
        <f>IF(CommitmentsTable[[#This Row],[Commitment / deliverable]]="","",IF(CommitmentsTable[[#This Row],[Revised due]]&lt;&gt;"",CommitmentsTable[[#This Row],[Revised due]],CommitmentsTable[[#This Row],[Original due]]))</f>
        <v/>
      </c>
      <c r="T1010" s="237" t="str">
        <f>IF(OR(CommitmentsTable[[#This Row],[Commitment / deliverable]]="",CommitmentsTable[[#This Row],[Owner]]=""),"",IF(CommitmentsTable[[#This Row],[Status2]]="","Open",CommitmentsTable[[#This Row],[Status2]]))</f>
        <v/>
      </c>
      <c r="U1010" s="237" t="str">
        <f t="shared" ca="1" si="15"/>
        <v/>
      </c>
      <c r="V1010" s="233"/>
      <c r="W1010" s="63" t="s">
        <v>1912</v>
      </c>
    </row>
    <row r="1011" spans="1:23" ht="26">
      <c r="A1011" s="213" t="str">
        <f>IF(OR(CommitmentsTable[[#This Row],[Commitment / deliverable]]="",CommitmentsTable[[#This Row],[Immutable Key]]=""),"",SUBSTITUTE(CommitmentsTable[[#This Row],[Immutable Key]],"-K-","-"))</f>
        <v/>
      </c>
      <c r="B1011" s="233"/>
      <c r="C1011" s="233"/>
      <c r="D1011" s="213"/>
      <c r="E1011" s="230"/>
      <c r="F1011" s="213"/>
      <c r="G1011" s="245" t="str">
        <f ca="1">IF(CommitmentsTable[[#This Row],[Commitment / deliverable]]="","",IF(CommitmentsTable[[#This Row],[Date record entered]]="",TODAY(),CommitmentsTable[[#This Row],[Date record entered]]))</f>
        <v/>
      </c>
      <c r="H1011" s="245"/>
      <c r="I1011" s="245" t="str">
        <f ca="1">IF(CommitmentsTable[[#This Row],[Date Assigned if different from entry date]]&lt;&gt;"",CommitmentsTable[[#This Row],[Date Assigned if different from entry date]]+90,IF(CommitmentsTable[[#This Row],[Date record entered]]&lt;&gt;"",CommitmentsTable[[#This Row],[Date record entered]]+90,""))</f>
        <v/>
      </c>
      <c r="J1011" s="245" t="str">
        <f ca="1">IF(CommitmentsTable[[#This Row],[Date Assigned if different from entry date]]&lt;&gt;"",CommitmentsTable[[#This Row],[Date Assigned if different from entry date]]+30,IF(CommitmentsTable[[#This Row],[Date record entered]]&lt;&gt;"",CommitmentsTable[[#This Row],[Date record entered]]+30,""))</f>
        <v/>
      </c>
      <c r="K1011" s="245"/>
      <c r="L1011" s="245" t="str">
        <f ca="1">IF(CommitmentsTable[[#This Row],[Date Assigned if different from entry date]]&lt;&gt;"",CommitmentsTable[[#This Row],[Date Assigned if different from entry date]]+60,IF(CommitmentsTable[[#This Row],[Date record entered]]&lt;&gt;"",CommitmentsTable[[#This Row],[Date record entered]]+60,""))</f>
        <v/>
      </c>
      <c r="M1011" s="214"/>
      <c r="N1011" s="214"/>
      <c r="O1011" s="236"/>
      <c r="P1011" s="214"/>
      <c r="Q1011" s="214"/>
      <c r="R1011" s="214"/>
      <c r="S1011" s="238" t="str">
        <f>IF(CommitmentsTable[[#This Row],[Commitment / deliverable]]="","",IF(CommitmentsTable[[#This Row],[Revised due]]&lt;&gt;"",CommitmentsTable[[#This Row],[Revised due]],CommitmentsTable[[#This Row],[Original due]]))</f>
        <v/>
      </c>
      <c r="T1011" s="237" t="str">
        <f>IF(OR(CommitmentsTable[[#This Row],[Commitment / deliverable]]="",CommitmentsTable[[#This Row],[Owner]]=""),"",IF(CommitmentsTable[[#This Row],[Status2]]="","Open",CommitmentsTable[[#This Row],[Status2]]))</f>
        <v/>
      </c>
      <c r="U1011" s="237" t="str">
        <f t="shared" ca="1" si="15"/>
        <v/>
      </c>
      <c r="V1011" s="233"/>
      <c r="W1011" s="63" t="s">
        <v>1913</v>
      </c>
    </row>
    <row r="1012" spans="1:23" ht="26">
      <c r="A1012" s="213" t="str">
        <f>IF(OR(CommitmentsTable[[#This Row],[Commitment / deliverable]]="",CommitmentsTable[[#This Row],[Immutable Key]]=""),"",SUBSTITUTE(CommitmentsTable[[#This Row],[Immutable Key]],"-K-","-"))</f>
        <v/>
      </c>
      <c r="B1012" s="233"/>
      <c r="C1012" s="233"/>
      <c r="D1012" s="213"/>
      <c r="E1012" s="230"/>
      <c r="F1012" s="213"/>
      <c r="G1012" s="245" t="str">
        <f ca="1">IF(CommitmentsTable[[#This Row],[Commitment / deliverable]]="","",IF(CommitmentsTable[[#This Row],[Date record entered]]="",TODAY(),CommitmentsTable[[#This Row],[Date record entered]]))</f>
        <v/>
      </c>
      <c r="H1012" s="245"/>
      <c r="I1012" s="245" t="str">
        <f ca="1">IF(CommitmentsTable[[#This Row],[Date Assigned if different from entry date]]&lt;&gt;"",CommitmentsTable[[#This Row],[Date Assigned if different from entry date]]+90,IF(CommitmentsTable[[#This Row],[Date record entered]]&lt;&gt;"",CommitmentsTable[[#This Row],[Date record entered]]+90,""))</f>
        <v/>
      </c>
      <c r="J1012" s="245" t="str">
        <f ca="1">IF(CommitmentsTable[[#This Row],[Date Assigned if different from entry date]]&lt;&gt;"",CommitmentsTable[[#This Row],[Date Assigned if different from entry date]]+30,IF(CommitmentsTable[[#This Row],[Date record entered]]&lt;&gt;"",CommitmentsTable[[#This Row],[Date record entered]]+30,""))</f>
        <v/>
      </c>
      <c r="K1012" s="245"/>
      <c r="L1012" s="245" t="str">
        <f ca="1">IF(CommitmentsTable[[#This Row],[Date Assigned if different from entry date]]&lt;&gt;"",CommitmentsTable[[#This Row],[Date Assigned if different from entry date]]+60,IF(CommitmentsTable[[#This Row],[Date record entered]]&lt;&gt;"",CommitmentsTable[[#This Row],[Date record entered]]+60,""))</f>
        <v/>
      </c>
      <c r="M1012" s="214"/>
      <c r="N1012" s="214"/>
      <c r="O1012" s="236"/>
      <c r="P1012" s="214"/>
      <c r="Q1012" s="214"/>
      <c r="R1012" s="214"/>
      <c r="S1012" s="238" t="str">
        <f>IF(CommitmentsTable[[#This Row],[Commitment / deliverable]]="","",IF(CommitmentsTable[[#This Row],[Revised due]]&lt;&gt;"",CommitmentsTable[[#This Row],[Revised due]],CommitmentsTable[[#This Row],[Original due]]))</f>
        <v/>
      </c>
      <c r="T1012" s="237" t="str">
        <f>IF(OR(CommitmentsTable[[#This Row],[Commitment / deliverable]]="",CommitmentsTable[[#This Row],[Owner]]=""),"",IF(CommitmentsTable[[#This Row],[Status2]]="","Open",CommitmentsTable[[#This Row],[Status2]]))</f>
        <v/>
      </c>
      <c r="U1012" s="237" t="str">
        <f t="shared" ca="1" si="15"/>
        <v/>
      </c>
      <c r="V1012" s="233"/>
      <c r="W1012" s="63" t="s">
        <v>1914</v>
      </c>
    </row>
    <row r="1013" spans="1:23" ht="26">
      <c r="A1013" s="213" t="str">
        <f>IF(OR(CommitmentsTable[[#This Row],[Commitment / deliverable]]="",CommitmentsTable[[#This Row],[Immutable Key]]=""),"",SUBSTITUTE(CommitmentsTable[[#This Row],[Immutable Key]],"-K-","-"))</f>
        <v/>
      </c>
      <c r="B1013" s="233"/>
      <c r="C1013" s="233"/>
      <c r="D1013" s="213"/>
      <c r="E1013" s="230"/>
      <c r="F1013" s="213"/>
      <c r="G1013" s="245" t="str">
        <f ca="1">IF(CommitmentsTable[[#This Row],[Commitment / deliverable]]="","",IF(CommitmentsTable[[#This Row],[Date record entered]]="",TODAY(),CommitmentsTable[[#This Row],[Date record entered]]))</f>
        <v/>
      </c>
      <c r="H1013" s="245"/>
      <c r="I1013" s="245" t="str">
        <f ca="1">IF(CommitmentsTable[[#This Row],[Date Assigned if different from entry date]]&lt;&gt;"",CommitmentsTable[[#This Row],[Date Assigned if different from entry date]]+90,IF(CommitmentsTable[[#This Row],[Date record entered]]&lt;&gt;"",CommitmentsTable[[#This Row],[Date record entered]]+90,""))</f>
        <v/>
      </c>
      <c r="J1013" s="245" t="str">
        <f ca="1">IF(CommitmentsTable[[#This Row],[Date Assigned if different from entry date]]&lt;&gt;"",CommitmentsTable[[#This Row],[Date Assigned if different from entry date]]+30,IF(CommitmentsTable[[#This Row],[Date record entered]]&lt;&gt;"",CommitmentsTable[[#This Row],[Date record entered]]+30,""))</f>
        <v/>
      </c>
      <c r="K1013" s="245"/>
      <c r="L1013" s="245" t="str">
        <f ca="1">IF(CommitmentsTable[[#This Row],[Date Assigned if different from entry date]]&lt;&gt;"",CommitmentsTable[[#This Row],[Date Assigned if different from entry date]]+60,IF(CommitmentsTable[[#This Row],[Date record entered]]&lt;&gt;"",CommitmentsTable[[#This Row],[Date record entered]]+60,""))</f>
        <v/>
      </c>
      <c r="M1013" s="214"/>
      <c r="N1013" s="214"/>
      <c r="O1013" s="236"/>
      <c r="P1013" s="214"/>
      <c r="Q1013" s="214"/>
      <c r="R1013" s="214"/>
      <c r="S1013" s="238" t="str">
        <f>IF(CommitmentsTable[[#This Row],[Commitment / deliverable]]="","",IF(CommitmentsTable[[#This Row],[Revised due]]&lt;&gt;"",CommitmentsTable[[#This Row],[Revised due]],CommitmentsTable[[#This Row],[Original due]]))</f>
        <v/>
      </c>
      <c r="T1013" s="237" t="str">
        <f>IF(OR(CommitmentsTable[[#This Row],[Commitment / deliverable]]="",CommitmentsTable[[#This Row],[Owner]]=""),"",IF(CommitmentsTable[[#This Row],[Status2]]="","Open",CommitmentsTable[[#This Row],[Status2]]))</f>
        <v/>
      </c>
      <c r="U1013" s="237" t="str">
        <f t="shared" ca="1" si="15"/>
        <v/>
      </c>
      <c r="V1013" s="233"/>
      <c r="W1013" s="63" t="s">
        <v>1915</v>
      </c>
    </row>
    <row r="1014" spans="1:23" ht="26">
      <c r="A1014" s="213" t="str">
        <f>IF(OR(CommitmentsTable[[#This Row],[Commitment / deliverable]]="",CommitmentsTable[[#This Row],[Immutable Key]]=""),"",SUBSTITUTE(CommitmentsTable[[#This Row],[Immutable Key]],"-K-","-"))</f>
        <v/>
      </c>
      <c r="B1014" s="233"/>
      <c r="C1014" s="233"/>
      <c r="D1014" s="213"/>
      <c r="E1014" s="230"/>
      <c r="F1014" s="213"/>
      <c r="G1014" s="245" t="str">
        <f ca="1">IF(CommitmentsTable[[#This Row],[Commitment / deliverable]]="","",IF(CommitmentsTable[[#This Row],[Date record entered]]="",TODAY(),CommitmentsTable[[#This Row],[Date record entered]]))</f>
        <v/>
      </c>
      <c r="H1014" s="245"/>
      <c r="I1014" s="245" t="str">
        <f ca="1">IF(CommitmentsTable[[#This Row],[Date Assigned if different from entry date]]&lt;&gt;"",CommitmentsTable[[#This Row],[Date Assigned if different from entry date]]+90,IF(CommitmentsTable[[#This Row],[Date record entered]]&lt;&gt;"",CommitmentsTable[[#This Row],[Date record entered]]+90,""))</f>
        <v/>
      </c>
      <c r="J1014" s="245" t="str">
        <f ca="1">IF(CommitmentsTable[[#This Row],[Date Assigned if different from entry date]]&lt;&gt;"",CommitmentsTable[[#This Row],[Date Assigned if different from entry date]]+30,IF(CommitmentsTable[[#This Row],[Date record entered]]&lt;&gt;"",CommitmentsTable[[#This Row],[Date record entered]]+30,""))</f>
        <v/>
      </c>
      <c r="K1014" s="245"/>
      <c r="L1014" s="245" t="str">
        <f ca="1">IF(CommitmentsTable[[#This Row],[Date Assigned if different from entry date]]&lt;&gt;"",CommitmentsTable[[#This Row],[Date Assigned if different from entry date]]+60,IF(CommitmentsTable[[#This Row],[Date record entered]]&lt;&gt;"",CommitmentsTable[[#This Row],[Date record entered]]+60,""))</f>
        <v/>
      </c>
      <c r="M1014" s="214"/>
      <c r="N1014" s="214"/>
      <c r="O1014" s="236"/>
      <c r="P1014" s="214"/>
      <c r="Q1014" s="214"/>
      <c r="R1014" s="214"/>
      <c r="S1014" s="238" t="str">
        <f>IF(CommitmentsTable[[#This Row],[Commitment / deliverable]]="","",IF(CommitmentsTable[[#This Row],[Revised due]]&lt;&gt;"",CommitmentsTable[[#This Row],[Revised due]],CommitmentsTable[[#This Row],[Original due]]))</f>
        <v/>
      </c>
      <c r="T1014" s="237" t="str">
        <f>IF(OR(CommitmentsTable[[#This Row],[Commitment / deliverable]]="",CommitmentsTable[[#This Row],[Owner]]=""),"",IF(CommitmentsTable[[#This Row],[Status2]]="","Open",CommitmentsTable[[#This Row],[Status2]]))</f>
        <v/>
      </c>
      <c r="U1014" s="237" t="str">
        <f t="shared" ca="1" si="15"/>
        <v/>
      </c>
      <c r="V1014" s="233"/>
      <c r="W1014" s="63" t="s">
        <v>1916</v>
      </c>
    </row>
    <row r="1015" spans="1:23" ht="26">
      <c r="A1015" s="213" t="str">
        <f>IF(OR(CommitmentsTable[[#This Row],[Commitment / deliverable]]="",CommitmentsTable[[#This Row],[Immutable Key]]=""),"",SUBSTITUTE(CommitmentsTable[[#This Row],[Immutable Key]],"-K-","-"))</f>
        <v/>
      </c>
      <c r="B1015" s="233"/>
      <c r="C1015" s="233"/>
      <c r="D1015" s="213"/>
      <c r="E1015" s="230"/>
      <c r="F1015" s="213"/>
      <c r="G1015" s="245" t="str">
        <f ca="1">IF(CommitmentsTable[[#This Row],[Commitment / deliverable]]="","",IF(CommitmentsTable[[#This Row],[Date record entered]]="",TODAY(),CommitmentsTable[[#This Row],[Date record entered]]))</f>
        <v/>
      </c>
      <c r="H1015" s="245"/>
      <c r="I1015" s="245" t="str">
        <f ca="1">IF(CommitmentsTable[[#This Row],[Date Assigned if different from entry date]]&lt;&gt;"",CommitmentsTable[[#This Row],[Date Assigned if different from entry date]]+90,IF(CommitmentsTable[[#This Row],[Date record entered]]&lt;&gt;"",CommitmentsTable[[#This Row],[Date record entered]]+90,""))</f>
        <v/>
      </c>
      <c r="J1015" s="245" t="str">
        <f ca="1">IF(CommitmentsTable[[#This Row],[Date Assigned if different from entry date]]&lt;&gt;"",CommitmentsTable[[#This Row],[Date Assigned if different from entry date]]+30,IF(CommitmentsTable[[#This Row],[Date record entered]]&lt;&gt;"",CommitmentsTable[[#This Row],[Date record entered]]+30,""))</f>
        <v/>
      </c>
      <c r="K1015" s="245"/>
      <c r="L1015" s="245" t="str">
        <f ca="1">IF(CommitmentsTable[[#This Row],[Date Assigned if different from entry date]]&lt;&gt;"",CommitmentsTable[[#This Row],[Date Assigned if different from entry date]]+60,IF(CommitmentsTable[[#This Row],[Date record entered]]&lt;&gt;"",CommitmentsTable[[#This Row],[Date record entered]]+60,""))</f>
        <v/>
      </c>
      <c r="M1015" s="214"/>
      <c r="N1015" s="214"/>
      <c r="O1015" s="236"/>
      <c r="P1015" s="214"/>
      <c r="Q1015" s="214"/>
      <c r="R1015" s="214"/>
      <c r="S1015" s="238" t="str">
        <f>IF(CommitmentsTable[[#This Row],[Commitment / deliverable]]="","",IF(CommitmentsTable[[#This Row],[Revised due]]&lt;&gt;"",CommitmentsTable[[#This Row],[Revised due]],CommitmentsTable[[#This Row],[Original due]]))</f>
        <v/>
      </c>
      <c r="T1015" s="237" t="str">
        <f>IF(OR(CommitmentsTable[[#This Row],[Commitment / deliverable]]="",CommitmentsTable[[#This Row],[Owner]]=""),"",IF(CommitmentsTable[[#This Row],[Status2]]="","Open",CommitmentsTable[[#This Row],[Status2]]))</f>
        <v/>
      </c>
      <c r="U1015" s="237" t="str">
        <f t="shared" ca="1" si="15"/>
        <v/>
      </c>
      <c r="V1015" s="233"/>
      <c r="W1015" s="63" t="s">
        <v>1917</v>
      </c>
    </row>
    <row r="1016" spans="1:23" ht="26">
      <c r="A1016" s="213" t="str">
        <f>IF(OR(CommitmentsTable[[#This Row],[Commitment / deliverable]]="",CommitmentsTable[[#This Row],[Immutable Key]]=""),"",SUBSTITUTE(CommitmentsTable[[#This Row],[Immutable Key]],"-K-","-"))</f>
        <v/>
      </c>
      <c r="B1016" s="233"/>
      <c r="C1016" s="233"/>
      <c r="D1016" s="213"/>
      <c r="E1016" s="230"/>
      <c r="F1016" s="213"/>
      <c r="G1016" s="245" t="str">
        <f ca="1">IF(CommitmentsTable[[#This Row],[Commitment / deliverable]]="","",IF(CommitmentsTable[[#This Row],[Date record entered]]="",TODAY(),CommitmentsTable[[#This Row],[Date record entered]]))</f>
        <v/>
      </c>
      <c r="H1016" s="245"/>
      <c r="I1016" s="245" t="str">
        <f ca="1">IF(CommitmentsTable[[#This Row],[Date Assigned if different from entry date]]&lt;&gt;"",CommitmentsTable[[#This Row],[Date Assigned if different from entry date]]+90,IF(CommitmentsTable[[#This Row],[Date record entered]]&lt;&gt;"",CommitmentsTable[[#This Row],[Date record entered]]+90,""))</f>
        <v/>
      </c>
      <c r="J1016" s="245" t="str">
        <f ca="1">IF(CommitmentsTable[[#This Row],[Date Assigned if different from entry date]]&lt;&gt;"",CommitmentsTable[[#This Row],[Date Assigned if different from entry date]]+30,IF(CommitmentsTable[[#This Row],[Date record entered]]&lt;&gt;"",CommitmentsTable[[#This Row],[Date record entered]]+30,""))</f>
        <v/>
      </c>
      <c r="K1016" s="245"/>
      <c r="L1016" s="245" t="str">
        <f ca="1">IF(CommitmentsTable[[#This Row],[Date Assigned if different from entry date]]&lt;&gt;"",CommitmentsTable[[#This Row],[Date Assigned if different from entry date]]+60,IF(CommitmentsTable[[#This Row],[Date record entered]]&lt;&gt;"",CommitmentsTable[[#This Row],[Date record entered]]+60,""))</f>
        <v/>
      </c>
      <c r="M1016" s="214"/>
      <c r="N1016" s="214"/>
      <c r="O1016" s="236"/>
      <c r="P1016" s="214"/>
      <c r="Q1016" s="214"/>
      <c r="R1016" s="214"/>
      <c r="S1016" s="238" t="str">
        <f>IF(CommitmentsTable[[#This Row],[Commitment / deliverable]]="","",IF(CommitmentsTable[[#This Row],[Revised due]]&lt;&gt;"",CommitmentsTable[[#This Row],[Revised due]],CommitmentsTable[[#This Row],[Original due]]))</f>
        <v/>
      </c>
      <c r="T1016" s="237" t="str">
        <f>IF(OR(CommitmentsTable[[#This Row],[Commitment / deliverable]]="",CommitmentsTable[[#This Row],[Owner]]=""),"",IF(CommitmentsTable[[#This Row],[Status2]]="","Open",CommitmentsTable[[#This Row],[Status2]]))</f>
        <v/>
      </c>
      <c r="U1016" s="237" t="str">
        <f t="shared" ca="1" si="15"/>
        <v/>
      </c>
      <c r="V1016" s="233"/>
      <c r="W1016" s="63" t="s">
        <v>1918</v>
      </c>
    </row>
    <row r="1017" spans="1:23" ht="26">
      <c r="A1017" s="213" t="str">
        <f>IF(OR(CommitmentsTable[[#This Row],[Commitment / deliverable]]="",CommitmentsTable[[#This Row],[Immutable Key]]=""),"",SUBSTITUTE(CommitmentsTable[[#This Row],[Immutable Key]],"-K-","-"))</f>
        <v/>
      </c>
      <c r="B1017" s="233"/>
      <c r="C1017" s="233"/>
      <c r="D1017" s="213"/>
      <c r="E1017" s="230"/>
      <c r="F1017" s="213"/>
      <c r="G1017" s="245" t="str">
        <f ca="1">IF(CommitmentsTable[[#This Row],[Commitment / deliverable]]="","",IF(CommitmentsTable[[#This Row],[Date record entered]]="",TODAY(),CommitmentsTable[[#This Row],[Date record entered]]))</f>
        <v/>
      </c>
      <c r="H1017" s="245"/>
      <c r="I1017" s="245" t="str">
        <f ca="1">IF(CommitmentsTable[[#This Row],[Date Assigned if different from entry date]]&lt;&gt;"",CommitmentsTable[[#This Row],[Date Assigned if different from entry date]]+90,IF(CommitmentsTable[[#This Row],[Date record entered]]&lt;&gt;"",CommitmentsTable[[#This Row],[Date record entered]]+90,""))</f>
        <v/>
      </c>
      <c r="J1017" s="245" t="str">
        <f ca="1">IF(CommitmentsTable[[#This Row],[Date Assigned if different from entry date]]&lt;&gt;"",CommitmentsTable[[#This Row],[Date Assigned if different from entry date]]+30,IF(CommitmentsTable[[#This Row],[Date record entered]]&lt;&gt;"",CommitmentsTable[[#This Row],[Date record entered]]+30,""))</f>
        <v/>
      </c>
      <c r="K1017" s="245"/>
      <c r="L1017" s="245" t="str">
        <f ca="1">IF(CommitmentsTable[[#This Row],[Date Assigned if different from entry date]]&lt;&gt;"",CommitmentsTable[[#This Row],[Date Assigned if different from entry date]]+60,IF(CommitmentsTable[[#This Row],[Date record entered]]&lt;&gt;"",CommitmentsTable[[#This Row],[Date record entered]]+60,""))</f>
        <v/>
      </c>
      <c r="M1017" s="214"/>
      <c r="N1017" s="214"/>
      <c r="O1017" s="236"/>
      <c r="P1017" s="214"/>
      <c r="Q1017" s="214"/>
      <c r="R1017" s="214"/>
      <c r="S1017" s="238" t="str">
        <f>IF(CommitmentsTable[[#This Row],[Commitment / deliverable]]="","",IF(CommitmentsTable[[#This Row],[Revised due]]&lt;&gt;"",CommitmentsTable[[#This Row],[Revised due]],CommitmentsTable[[#This Row],[Original due]]))</f>
        <v/>
      </c>
      <c r="T1017" s="237" t="str">
        <f>IF(OR(CommitmentsTable[[#This Row],[Commitment / deliverable]]="",CommitmentsTable[[#This Row],[Owner]]=""),"",IF(CommitmentsTable[[#This Row],[Status2]]="","Open",CommitmentsTable[[#This Row],[Status2]]))</f>
        <v/>
      </c>
      <c r="U1017" s="237" t="str">
        <f t="shared" ca="1" si="15"/>
        <v/>
      </c>
      <c r="V1017" s="233"/>
      <c r="W1017" s="63" t="s">
        <v>1919</v>
      </c>
    </row>
    <row r="1018" spans="1:23" ht="26">
      <c r="A1018" s="213" t="str">
        <f>IF(OR(CommitmentsTable[[#This Row],[Commitment / deliverable]]="",CommitmentsTable[[#This Row],[Immutable Key]]=""),"",SUBSTITUTE(CommitmentsTable[[#This Row],[Immutable Key]],"-K-","-"))</f>
        <v/>
      </c>
      <c r="B1018" s="233"/>
      <c r="C1018" s="233"/>
      <c r="D1018" s="213"/>
      <c r="E1018" s="230"/>
      <c r="F1018" s="213"/>
      <c r="G1018" s="245" t="str">
        <f ca="1">IF(CommitmentsTable[[#This Row],[Commitment / deliverable]]="","",IF(CommitmentsTable[[#This Row],[Date record entered]]="",TODAY(),CommitmentsTable[[#This Row],[Date record entered]]))</f>
        <v/>
      </c>
      <c r="H1018" s="245"/>
      <c r="I1018" s="245" t="str">
        <f ca="1">IF(CommitmentsTable[[#This Row],[Date Assigned if different from entry date]]&lt;&gt;"",CommitmentsTable[[#This Row],[Date Assigned if different from entry date]]+90,IF(CommitmentsTable[[#This Row],[Date record entered]]&lt;&gt;"",CommitmentsTable[[#This Row],[Date record entered]]+90,""))</f>
        <v/>
      </c>
      <c r="J1018" s="245" t="str">
        <f ca="1">IF(CommitmentsTable[[#This Row],[Date Assigned if different from entry date]]&lt;&gt;"",CommitmentsTable[[#This Row],[Date Assigned if different from entry date]]+30,IF(CommitmentsTable[[#This Row],[Date record entered]]&lt;&gt;"",CommitmentsTable[[#This Row],[Date record entered]]+30,""))</f>
        <v/>
      </c>
      <c r="K1018" s="245"/>
      <c r="L1018" s="245" t="str">
        <f ca="1">IF(CommitmentsTable[[#This Row],[Date Assigned if different from entry date]]&lt;&gt;"",CommitmentsTable[[#This Row],[Date Assigned if different from entry date]]+60,IF(CommitmentsTable[[#This Row],[Date record entered]]&lt;&gt;"",CommitmentsTable[[#This Row],[Date record entered]]+60,""))</f>
        <v/>
      </c>
      <c r="M1018" s="214"/>
      <c r="N1018" s="214"/>
      <c r="O1018" s="236"/>
      <c r="P1018" s="214"/>
      <c r="Q1018" s="214"/>
      <c r="R1018" s="214"/>
      <c r="S1018" s="238" t="str">
        <f>IF(CommitmentsTable[[#This Row],[Commitment / deliverable]]="","",IF(CommitmentsTable[[#This Row],[Revised due]]&lt;&gt;"",CommitmentsTable[[#This Row],[Revised due]],CommitmentsTable[[#This Row],[Original due]]))</f>
        <v/>
      </c>
      <c r="T1018" s="237" t="str">
        <f>IF(OR(CommitmentsTable[[#This Row],[Commitment / deliverable]]="",CommitmentsTable[[#This Row],[Owner]]=""),"",IF(CommitmentsTable[[#This Row],[Status2]]="","Open",CommitmentsTable[[#This Row],[Status2]]))</f>
        <v/>
      </c>
      <c r="U1018" s="237" t="str">
        <f t="shared" ca="1" si="15"/>
        <v/>
      </c>
      <c r="V1018" s="233"/>
      <c r="W1018" s="63" t="s">
        <v>1920</v>
      </c>
    </row>
    <row r="1019" spans="1:23" ht="26">
      <c r="A1019" s="213" t="str">
        <f>IF(OR(CommitmentsTable[[#This Row],[Commitment / deliverable]]="",CommitmentsTable[[#This Row],[Immutable Key]]=""),"",SUBSTITUTE(CommitmentsTable[[#This Row],[Immutable Key]],"-K-","-"))</f>
        <v/>
      </c>
      <c r="B1019" s="233"/>
      <c r="C1019" s="233"/>
      <c r="D1019" s="213"/>
      <c r="E1019" s="230"/>
      <c r="F1019" s="213"/>
      <c r="G1019" s="245" t="str">
        <f ca="1">IF(CommitmentsTable[[#This Row],[Commitment / deliverable]]="","",IF(CommitmentsTable[[#This Row],[Date record entered]]="",TODAY(),CommitmentsTable[[#This Row],[Date record entered]]))</f>
        <v/>
      </c>
      <c r="H1019" s="245"/>
      <c r="I1019" s="245" t="str">
        <f ca="1">IF(CommitmentsTable[[#This Row],[Date Assigned if different from entry date]]&lt;&gt;"",CommitmentsTable[[#This Row],[Date Assigned if different from entry date]]+90,IF(CommitmentsTable[[#This Row],[Date record entered]]&lt;&gt;"",CommitmentsTable[[#This Row],[Date record entered]]+90,""))</f>
        <v/>
      </c>
      <c r="J1019" s="245" t="str">
        <f ca="1">IF(CommitmentsTable[[#This Row],[Date Assigned if different from entry date]]&lt;&gt;"",CommitmentsTable[[#This Row],[Date Assigned if different from entry date]]+30,IF(CommitmentsTable[[#This Row],[Date record entered]]&lt;&gt;"",CommitmentsTable[[#This Row],[Date record entered]]+30,""))</f>
        <v/>
      </c>
      <c r="K1019" s="245"/>
      <c r="L1019" s="245" t="str">
        <f ca="1">IF(CommitmentsTable[[#This Row],[Date Assigned if different from entry date]]&lt;&gt;"",CommitmentsTable[[#This Row],[Date Assigned if different from entry date]]+60,IF(CommitmentsTable[[#This Row],[Date record entered]]&lt;&gt;"",CommitmentsTable[[#This Row],[Date record entered]]+60,""))</f>
        <v/>
      </c>
      <c r="M1019" s="214"/>
      <c r="N1019" s="214"/>
      <c r="O1019" s="236"/>
      <c r="P1019" s="214"/>
      <c r="Q1019" s="214"/>
      <c r="R1019" s="214"/>
      <c r="S1019" s="238" t="str">
        <f>IF(CommitmentsTable[[#This Row],[Commitment / deliverable]]="","",IF(CommitmentsTable[[#This Row],[Revised due]]&lt;&gt;"",CommitmentsTable[[#This Row],[Revised due]],CommitmentsTable[[#This Row],[Original due]]))</f>
        <v/>
      </c>
      <c r="T1019" s="237" t="str">
        <f>IF(OR(CommitmentsTable[[#This Row],[Commitment / deliverable]]="",CommitmentsTable[[#This Row],[Owner]]=""),"",IF(CommitmentsTable[[#This Row],[Status2]]="","Open",CommitmentsTable[[#This Row],[Status2]]))</f>
        <v/>
      </c>
      <c r="U1019" s="237" t="str">
        <f t="shared" ca="1" si="15"/>
        <v/>
      </c>
      <c r="V1019" s="233"/>
      <c r="W1019" s="63" t="s">
        <v>1921</v>
      </c>
    </row>
    <row r="1020" spans="1:23" ht="26">
      <c r="A1020" s="213" t="str">
        <f>IF(OR(CommitmentsTable[[#This Row],[Commitment / deliverable]]="",CommitmentsTable[[#This Row],[Immutable Key]]=""),"",SUBSTITUTE(CommitmentsTable[[#This Row],[Immutable Key]],"-K-","-"))</f>
        <v/>
      </c>
      <c r="B1020" s="233"/>
      <c r="C1020" s="233"/>
      <c r="D1020" s="213"/>
      <c r="E1020" s="230"/>
      <c r="F1020" s="213"/>
      <c r="G1020" s="245" t="str">
        <f ca="1">IF(CommitmentsTable[[#This Row],[Commitment / deliverable]]="","",IF(CommitmentsTable[[#This Row],[Date record entered]]="",TODAY(),CommitmentsTable[[#This Row],[Date record entered]]))</f>
        <v/>
      </c>
      <c r="H1020" s="245"/>
      <c r="I1020" s="245" t="str">
        <f ca="1">IF(CommitmentsTable[[#This Row],[Date Assigned if different from entry date]]&lt;&gt;"",CommitmentsTable[[#This Row],[Date Assigned if different from entry date]]+90,IF(CommitmentsTable[[#This Row],[Date record entered]]&lt;&gt;"",CommitmentsTable[[#This Row],[Date record entered]]+90,""))</f>
        <v/>
      </c>
      <c r="J1020" s="245" t="str">
        <f ca="1">IF(CommitmentsTable[[#This Row],[Date Assigned if different from entry date]]&lt;&gt;"",CommitmentsTable[[#This Row],[Date Assigned if different from entry date]]+30,IF(CommitmentsTable[[#This Row],[Date record entered]]&lt;&gt;"",CommitmentsTable[[#This Row],[Date record entered]]+30,""))</f>
        <v/>
      </c>
      <c r="K1020" s="245"/>
      <c r="L1020" s="245" t="str">
        <f ca="1">IF(CommitmentsTable[[#This Row],[Date Assigned if different from entry date]]&lt;&gt;"",CommitmentsTable[[#This Row],[Date Assigned if different from entry date]]+60,IF(CommitmentsTable[[#This Row],[Date record entered]]&lt;&gt;"",CommitmentsTable[[#This Row],[Date record entered]]+60,""))</f>
        <v/>
      </c>
      <c r="M1020" s="214"/>
      <c r="N1020" s="214"/>
      <c r="O1020" s="236"/>
      <c r="P1020" s="214"/>
      <c r="Q1020" s="214"/>
      <c r="R1020" s="214"/>
      <c r="S1020" s="238" t="str">
        <f>IF(CommitmentsTable[[#This Row],[Commitment / deliverable]]="","",IF(CommitmentsTable[[#This Row],[Revised due]]&lt;&gt;"",CommitmentsTable[[#This Row],[Revised due]],CommitmentsTable[[#This Row],[Original due]]))</f>
        <v/>
      </c>
      <c r="T1020" s="237" t="str">
        <f>IF(OR(CommitmentsTable[[#This Row],[Commitment / deliverable]]="",CommitmentsTable[[#This Row],[Owner]]=""),"",IF(CommitmentsTable[[#This Row],[Status2]]="","Open",CommitmentsTable[[#This Row],[Status2]]))</f>
        <v/>
      </c>
      <c r="U1020" s="237" t="str">
        <f t="shared" ca="1" si="15"/>
        <v/>
      </c>
      <c r="V1020" s="233"/>
      <c r="W1020" s="63" t="s">
        <v>1922</v>
      </c>
    </row>
    <row r="1021" spans="1:23" ht="26">
      <c r="A1021" s="213" t="str">
        <f>IF(OR(CommitmentsTable[[#This Row],[Commitment / deliverable]]="",CommitmentsTable[[#This Row],[Immutable Key]]=""),"",SUBSTITUTE(CommitmentsTable[[#This Row],[Immutable Key]],"-K-","-"))</f>
        <v/>
      </c>
      <c r="B1021" s="233"/>
      <c r="C1021" s="233"/>
      <c r="D1021" s="213"/>
      <c r="E1021" s="230"/>
      <c r="F1021" s="213"/>
      <c r="G1021" s="245" t="str">
        <f ca="1">IF(CommitmentsTable[[#This Row],[Commitment / deliverable]]="","",IF(CommitmentsTable[[#This Row],[Date record entered]]="",TODAY(),CommitmentsTable[[#This Row],[Date record entered]]))</f>
        <v/>
      </c>
      <c r="H1021" s="245"/>
      <c r="I1021" s="245" t="str">
        <f ca="1">IF(CommitmentsTable[[#This Row],[Date Assigned if different from entry date]]&lt;&gt;"",CommitmentsTable[[#This Row],[Date Assigned if different from entry date]]+90,IF(CommitmentsTable[[#This Row],[Date record entered]]&lt;&gt;"",CommitmentsTable[[#This Row],[Date record entered]]+90,""))</f>
        <v/>
      </c>
      <c r="J1021" s="245" t="str">
        <f ca="1">IF(CommitmentsTable[[#This Row],[Date Assigned if different from entry date]]&lt;&gt;"",CommitmentsTable[[#This Row],[Date Assigned if different from entry date]]+30,IF(CommitmentsTable[[#This Row],[Date record entered]]&lt;&gt;"",CommitmentsTable[[#This Row],[Date record entered]]+30,""))</f>
        <v/>
      </c>
      <c r="K1021" s="245"/>
      <c r="L1021" s="245" t="str">
        <f ca="1">IF(CommitmentsTable[[#This Row],[Date Assigned if different from entry date]]&lt;&gt;"",CommitmentsTable[[#This Row],[Date Assigned if different from entry date]]+60,IF(CommitmentsTable[[#This Row],[Date record entered]]&lt;&gt;"",CommitmentsTable[[#This Row],[Date record entered]]+60,""))</f>
        <v/>
      </c>
      <c r="M1021" s="214"/>
      <c r="N1021" s="214"/>
      <c r="O1021" s="236"/>
      <c r="P1021" s="214"/>
      <c r="Q1021" s="214"/>
      <c r="R1021" s="214"/>
      <c r="S1021" s="238" t="str">
        <f>IF(CommitmentsTable[[#This Row],[Commitment / deliverable]]="","",IF(CommitmentsTable[[#This Row],[Revised due]]&lt;&gt;"",CommitmentsTable[[#This Row],[Revised due]],CommitmentsTable[[#This Row],[Original due]]))</f>
        <v/>
      </c>
      <c r="T1021" s="237" t="str">
        <f>IF(OR(CommitmentsTable[[#This Row],[Commitment / deliverable]]="",CommitmentsTable[[#This Row],[Owner]]=""),"",IF(CommitmentsTable[[#This Row],[Status2]]="","Open",CommitmentsTable[[#This Row],[Status2]]))</f>
        <v/>
      </c>
      <c r="U1021" s="237" t="str">
        <f t="shared" ca="1" si="15"/>
        <v/>
      </c>
      <c r="V1021" s="233"/>
      <c r="W1021" s="63" t="s">
        <v>1923</v>
      </c>
    </row>
    <row r="1022" spans="1:23" ht="26">
      <c r="A1022" s="213" t="str">
        <f>IF(OR(CommitmentsTable[[#This Row],[Commitment / deliverable]]="",CommitmentsTable[[#This Row],[Immutable Key]]=""),"",SUBSTITUTE(CommitmentsTable[[#This Row],[Immutable Key]],"-K-","-"))</f>
        <v/>
      </c>
      <c r="B1022" s="233"/>
      <c r="C1022" s="233"/>
      <c r="D1022" s="213"/>
      <c r="E1022" s="230"/>
      <c r="F1022" s="213"/>
      <c r="G1022" s="245" t="str">
        <f ca="1">IF(CommitmentsTable[[#This Row],[Commitment / deliverable]]="","",IF(CommitmentsTable[[#This Row],[Date record entered]]="",TODAY(),CommitmentsTable[[#This Row],[Date record entered]]))</f>
        <v/>
      </c>
      <c r="H1022" s="245"/>
      <c r="I1022" s="245" t="str">
        <f ca="1">IF(CommitmentsTable[[#This Row],[Date Assigned if different from entry date]]&lt;&gt;"",CommitmentsTable[[#This Row],[Date Assigned if different from entry date]]+90,IF(CommitmentsTable[[#This Row],[Date record entered]]&lt;&gt;"",CommitmentsTable[[#This Row],[Date record entered]]+90,""))</f>
        <v/>
      </c>
      <c r="J1022" s="245" t="str">
        <f ca="1">IF(CommitmentsTable[[#This Row],[Date Assigned if different from entry date]]&lt;&gt;"",CommitmentsTable[[#This Row],[Date Assigned if different from entry date]]+30,IF(CommitmentsTable[[#This Row],[Date record entered]]&lt;&gt;"",CommitmentsTable[[#This Row],[Date record entered]]+30,""))</f>
        <v/>
      </c>
      <c r="K1022" s="245"/>
      <c r="L1022" s="245" t="str">
        <f ca="1">IF(CommitmentsTable[[#This Row],[Date Assigned if different from entry date]]&lt;&gt;"",CommitmentsTable[[#This Row],[Date Assigned if different from entry date]]+60,IF(CommitmentsTable[[#This Row],[Date record entered]]&lt;&gt;"",CommitmentsTable[[#This Row],[Date record entered]]+60,""))</f>
        <v/>
      </c>
      <c r="M1022" s="214"/>
      <c r="N1022" s="214"/>
      <c r="O1022" s="236"/>
      <c r="P1022" s="214"/>
      <c r="Q1022" s="214"/>
      <c r="R1022" s="214"/>
      <c r="S1022" s="238" t="str">
        <f>IF(CommitmentsTable[[#This Row],[Commitment / deliverable]]="","",IF(CommitmentsTable[[#This Row],[Revised due]]&lt;&gt;"",CommitmentsTable[[#This Row],[Revised due]],CommitmentsTable[[#This Row],[Original due]]))</f>
        <v/>
      </c>
      <c r="T1022" s="237" t="str">
        <f>IF(OR(CommitmentsTable[[#This Row],[Commitment / deliverable]]="",CommitmentsTable[[#This Row],[Owner]]=""),"",IF(CommitmentsTable[[#This Row],[Status2]]="","Open",CommitmentsTable[[#This Row],[Status2]]))</f>
        <v/>
      </c>
      <c r="U1022" s="237" t="str">
        <f t="shared" ca="1" si="15"/>
        <v/>
      </c>
      <c r="V1022" s="233"/>
      <c r="W1022" s="63" t="s">
        <v>1924</v>
      </c>
    </row>
    <row r="1023" spans="1:23" ht="26">
      <c r="A1023" s="213" t="str">
        <f>IF(OR(CommitmentsTable[[#This Row],[Commitment / deliverable]]="",CommitmentsTable[[#This Row],[Immutable Key]]=""),"",SUBSTITUTE(CommitmentsTable[[#This Row],[Immutable Key]],"-K-","-"))</f>
        <v/>
      </c>
      <c r="B1023" s="233"/>
      <c r="C1023" s="233"/>
      <c r="D1023" s="213"/>
      <c r="E1023" s="230"/>
      <c r="F1023" s="213"/>
      <c r="G1023" s="245" t="str">
        <f ca="1">IF(CommitmentsTable[[#This Row],[Commitment / deliverable]]="","",IF(CommitmentsTable[[#This Row],[Date record entered]]="",TODAY(),CommitmentsTable[[#This Row],[Date record entered]]))</f>
        <v/>
      </c>
      <c r="H1023" s="245"/>
      <c r="I1023" s="245" t="str">
        <f ca="1">IF(CommitmentsTable[[#This Row],[Date Assigned if different from entry date]]&lt;&gt;"",CommitmentsTable[[#This Row],[Date Assigned if different from entry date]]+90,IF(CommitmentsTable[[#This Row],[Date record entered]]&lt;&gt;"",CommitmentsTable[[#This Row],[Date record entered]]+90,""))</f>
        <v/>
      </c>
      <c r="J1023" s="245" t="str">
        <f ca="1">IF(CommitmentsTable[[#This Row],[Date Assigned if different from entry date]]&lt;&gt;"",CommitmentsTable[[#This Row],[Date Assigned if different from entry date]]+30,IF(CommitmentsTable[[#This Row],[Date record entered]]&lt;&gt;"",CommitmentsTable[[#This Row],[Date record entered]]+30,""))</f>
        <v/>
      </c>
      <c r="K1023" s="245"/>
      <c r="L1023" s="245" t="str">
        <f ca="1">IF(CommitmentsTable[[#This Row],[Date Assigned if different from entry date]]&lt;&gt;"",CommitmentsTable[[#This Row],[Date Assigned if different from entry date]]+60,IF(CommitmentsTable[[#This Row],[Date record entered]]&lt;&gt;"",CommitmentsTable[[#This Row],[Date record entered]]+60,""))</f>
        <v/>
      </c>
      <c r="M1023" s="214"/>
      <c r="N1023" s="214"/>
      <c r="O1023" s="236"/>
      <c r="P1023" s="214"/>
      <c r="Q1023" s="214"/>
      <c r="R1023" s="214"/>
      <c r="S1023" s="238" t="str">
        <f>IF(CommitmentsTable[[#This Row],[Commitment / deliverable]]="","",IF(CommitmentsTable[[#This Row],[Revised due]]&lt;&gt;"",CommitmentsTable[[#This Row],[Revised due]],CommitmentsTable[[#This Row],[Original due]]))</f>
        <v/>
      </c>
      <c r="T1023" s="237" t="str">
        <f>IF(OR(CommitmentsTable[[#This Row],[Commitment / deliverable]]="",CommitmentsTable[[#This Row],[Owner]]=""),"",IF(CommitmentsTable[[#This Row],[Status2]]="","Open",CommitmentsTable[[#This Row],[Status2]]))</f>
        <v/>
      </c>
      <c r="U1023" s="237" t="str">
        <f t="shared" ca="1" si="15"/>
        <v/>
      </c>
      <c r="V1023" s="233"/>
      <c r="W1023" s="63" t="s">
        <v>1925</v>
      </c>
    </row>
    <row r="1024" spans="1:23" ht="26">
      <c r="A1024" s="213" t="str">
        <f>IF(OR(CommitmentsTable[[#This Row],[Commitment / deliverable]]="",CommitmentsTable[[#This Row],[Immutable Key]]=""),"",SUBSTITUTE(CommitmentsTable[[#This Row],[Immutable Key]],"-K-","-"))</f>
        <v/>
      </c>
      <c r="B1024" s="233"/>
      <c r="C1024" s="233"/>
      <c r="D1024" s="213"/>
      <c r="E1024" s="230"/>
      <c r="F1024" s="213"/>
      <c r="G1024" s="245" t="str">
        <f ca="1">IF(CommitmentsTable[[#This Row],[Commitment / deliverable]]="","",IF(CommitmentsTable[[#This Row],[Date record entered]]="",TODAY(),CommitmentsTable[[#This Row],[Date record entered]]))</f>
        <v/>
      </c>
      <c r="H1024" s="245"/>
      <c r="I1024" s="245" t="str">
        <f ca="1">IF(CommitmentsTable[[#This Row],[Date Assigned if different from entry date]]&lt;&gt;"",CommitmentsTable[[#This Row],[Date Assigned if different from entry date]]+90,IF(CommitmentsTable[[#This Row],[Date record entered]]&lt;&gt;"",CommitmentsTable[[#This Row],[Date record entered]]+90,""))</f>
        <v/>
      </c>
      <c r="J1024" s="245" t="str">
        <f ca="1">IF(CommitmentsTable[[#This Row],[Date Assigned if different from entry date]]&lt;&gt;"",CommitmentsTable[[#This Row],[Date Assigned if different from entry date]]+30,IF(CommitmentsTable[[#This Row],[Date record entered]]&lt;&gt;"",CommitmentsTable[[#This Row],[Date record entered]]+30,""))</f>
        <v/>
      </c>
      <c r="K1024" s="245"/>
      <c r="L1024" s="245" t="str">
        <f ca="1">IF(CommitmentsTable[[#This Row],[Date Assigned if different from entry date]]&lt;&gt;"",CommitmentsTable[[#This Row],[Date Assigned if different from entry date]]+60,IF(CommitmentsTable[[#This Row],[Date record entered]]&lt;&gt;"",CommitmentsTable[[#This Row],[Date record entered]]+60,""))</f>
        <v/>
      </c>
      <c r="M1024" s="214"/>
      <c r="N1024" s="214"/>
      <c r="O1024" s="236"/>
      <c r="P1024" s="214"/>
      <c r="Q1024" s="214"/>
      <c r="R1024" s="214"/>
      <c r="S1024" s="238" t="str">
        <f>IF(CommitmentsTable[[#This Row],[Commitment / deliverable]]="","",IF(CommitmentsTable[[#This Row],[Revised due]]&lt;&gt;"",CommitmentsTable[[#This Row],[Revised due]],CommitmentsTable[[#This Row],[Original due]]))</f>
        <v/>
      </c>
      <c r="T1024" s="237" t="str">
        <f>IF(OR(CommitmentsTable[[#This Row],[Commitment / deliverable]]="",CommitmentsTable[[#This Row],[Owner]]=""),"",IF(CommitmentsTable[[#This Row],[Status2]]="","Open",CommitmentsTable[[#This Row],[Status2]]))</f>
        <v/>
      </c>
      <c r="U1024" s="237" t="str">
        <f t="shared" ca="1" si="15"/>
        <v/>
      </c>
      <c r="V1024" s="233"/>
      <c r="W1024" s="63" t="s">
        <v>1926</v>
      </c>
    </row>
    <row r="1025" spans="1:23" ht="26">
      <c r="A1025" s="213" t="str">
        <f>IF(OR(CommitmentsTable[[#This Row],[Commitment / deliverable]]="",CommitmentsTable[[#This Row],[Immutable Key]]=""),"",SUBSTITUTE(CommitmentsTable[[#This Row],[Immutable Key]],"-K-","-"))</f>
        <v/>
      </c>
      <c r="B1025" s="233"/>
      <c r="C1025" s="233"/>
      <c r="D1025" s="213"/>
      <c r="E1025" s="230"/>
      <c r="F1025" s="213"/>
      <c r="G1025" s="245" t="str">
        <f ca="1">IF(CommitmentsTable[[#This Row],[Commitment / deliverable]]="","",IF(CommitmentsTable[[#This Row],[Date record entered]]="",TODAY(),CommitmentsTable[[#This Row],[Date record entered]]))</f>
        <v/>
      </c>
      <c r="H1025" s="245"/>
      <c r="I1025" s="245" t="str">
        <f ca="1">IF(CommitmentsTable[[#This Row],[Date Assigned if different from entry date]]&lt;&gt;"",CommitmentsTable[[#This Row],[Date Assigned if different from entry date]]+90,IF(CommitmentsTable[[#This Row],[Date record entered]]&lt;&gt;"",CommitmentsTable[[#This Row],[Date record entered]]+90,""))</f>
        <v/>
      </c>
      <c r="J1025" s="245" t="str">
        <f ca="1">IF(CommitmentsTable[[#This Row],[Date Assigned if different from entry date]]&lt;&gt;"",CommitmentsTable[[#This Row],[Date Assigned if different from entry date]]+30,IF(CommitmentsTable[[#This Row],[Date record entered]]&lt;&gt;"",CommitmentsTable[[#This Row],[Date record entered]]+30,""))</f>
        <v/>
      </c>
      <c r="K1025" s="245"/>
      <c r="L1025" s="245" t="str">
        <f ca="1">IF(CommitmentsTable[[#This Row],[Date Assigned if different from entry date]]&lt;&gt;"",CommitmentsTable[[#This Row],[Date Assigned if different from entry date]]+60,IF(CommitmentsTable[[#This Row],[Date record entered]]&lt;&gt;"",CommitmentsTable[[#This Row],[Date record entered]]+60,""))</f>
        <v/>
      </c>
      <c r="M1025" s="214"/>
      <c r="N1025" s="214"/>
      <c r="O1025" s="236"/>
      <c r="P1025" s="214"/>
      <c r="Q1025" s="214"/>
      <c r="R1025" s="214"/>
      <c r="S1025" s="238" t="str">
        <f>IF(CommitmentsTable[[#This Row],[Commitment / deliverable]]="","",IF(CommitmentsTable[[#This Row],[Revised due]]&lt;&gt;"",CommitmentsTable[[#This Row],[Revised due]],CommitmentsTable[[#This Row],[Original due]]))</f>
        <v/>
      </c>
      <c r="T1025" s="237" t="str">
        <f>IF(OR(CommitmentsTable[[#This Row],[Commitment / deliverable]]="",CommitmentsTable[[#This Row],[Owner]]=""),"",IF(CommitmentsTable[[#This Row],[Status2]]="","Open",CommitmentsTable[[#This Row],[Status2]]))</f>
        <v/>
      </c>
      <c r="U1025" s="237" t="str">
        <f t="shared" ca="1" si="15"/>
        <v/>
      </c>
      <c r="V1025" s="233"/>
      <c r="W1025" s="63" t="s">
        <v>1927</v>
      </c>
    </row>
    <row r="1026" spans="1:23" ht="26">
      <c r="A1026" s="213" t="str">
        <f>IF(OR(CommitmentsTable[[#This Row],[Commitment / deliverable]]="",CommitmentsTable[[#This Row],[Immutable Key]]=""),"",SUBSTITUTE(CommitmentsTable[[#This Row],[Immutable Key]],"-K-","-"))</f>
        <v/>
      </c>
      <c r="B1026" s="233"/>
      <c r="C1026" s="233"/>
      <c r="D1026" s="213"/>
      <c r="E1026" s="230"/>
      <c r="F1026" s="213"/>
      <c r="G1026" s="245" t="str">
        <f ca="1">IF(CommitmentsTable[[#This Row],[Commitment / deliverable]]="","",IF(CommitmentsTable[[#This Row],[Date record entered]]="",TODAY(),CommitmentsTable[[#This Row],[Date record entered]]))</f>
        <v/>
      </c>
      <c r="H1026" s="245"/>
      <c r="I1026" s="245" t="str">
        <f ca="1">IF(CommitmentsTable[[#This Row],[Date Assigned if different from entry date]]&lt;&gt;"",CommitmentsTable[[#This Row],[Date Assigned if different from entry date]]+90,IF(CommitmentsTable[[#This Row],[Date record entered]]&lt;&gt;"",CommitmentsTable[[#This Row],[Date record entered]]+90,""))</f>
        <v/>
      </c>
      <c r="J1026" s="245" t="str">
        <f ca="1">IF(CommitmentsTable[[#This Row],[Date Assigned if different from entry date]]&lt;&gt;"",CommitmentsTable[[#This Row],[Date Assigned if different from entry date]]+30,IF(CommitmentsTable[[#This Row],[Date record entered]]&lt;&gt;"",CommitmentsTable[[#This Row],[Date record entered]]+30,""))</f>
        <v/>
      </c>
      <c r="K1026" s="245"/>
      <c r="L1026" s="245" t="str">
        <f ca="1">IF(CommitmentsTable[[#This Row],[Date Assigned if different from entry date]]&lt;&gt;"",CommitmentsTable[[#This Row],[Date Assigned if different from entry date]]+60,IF(CommitmentsTable[[#This Row],[Date record entered]]&lt;&gt;"",CommitmentsTable[[#This Row],[Date record entered]]+60,""))</f>
        <v/>
      </c>
      <c r="M1026" s="214"/>
      <c r="N1026" s="214"/>
      <c r="O1026" s="236"/>
      <c r="P1026" s="214"/>
      <c r="Q1026" s="214"/>
      <c r="R1026" s="214"/>
      <c r="S1026" s="238" t="str">
        <f>IF(CommitmentsTable[[#This Row],[Commitment / deliverable]]="","",IF(CommitmentsTable[[#This Row],[Revised due]]&lt;&gt;"",CommitmentsTable[[#This Row],[Revised due]],CommitmentsTable[[#This Row],[Original due]]))</f>
        <v/>
      </c>
      <c r="T1026" s="237" t="str">
        <f>IF(OR(CommitmentsTable[[#This Row],[Commitment / deliverable]]="",CommitmentsTable[[#This Row],[Owner]]=""),"",IF(CommitmentsTable[[#This Row],[Status2]]="","Open",CommitmentsTable[[#This Row],[Status2]]))</f>
        <v/>
      </c>
      <c r="U1026" s="237" t="str">
        <f t="shared" ca="1" si="15"/>
        <v/>
      </c>
      <c r="V1026" s="233"/>
      <c r="W1026" s="63" t="s">
        <v>1928</v>
      </c>
    </row>
    <row r="1027" spans="1:23" ht="26">
      <c r="A1027" s="213" t="str">
        <f>IF(OR(CommitmentsTable[[#This Row],[Commitment / deliverable]]="",CommitmentsTable[[#This Row],[Immutable Key]]=""),"",SUBSTITUTE(CommitmentsTable[[#This Row],[Immutable Key]],"-K-","-"))</f>
        <v/>
      </c>
      <c r="B1027" s="233"/>
      <c r="C1027" s="233"/>
      <c r="D1027" s="213"/>
      <c r="E1027" s="230"/>
      <c r="F1027" s="213"/>
      <c r="G1027" s="245" t="str">
        <f ca="1">IF(CommitmentsTable[[#This Row],[Commitment / deliverable]]="","",IF(CommitmentsTable[[#This Row],[Date record entered]]="",TODAY(),CommitmentsTable[[#This Row],[Date record entered]]))</f>
        <v/>
      </c>
      <c r="H1027" s="245"/>
      <c r="I1027" s="245" t="str">
        <f ca="1">IF(CommitmentsTable[[#This Row],[Date Assigned if different from entry date]]&lt;&gt;"",CommitmentsTable[[#This Row],[Date Assigned if different from entry date]]+90,IF(CommitmentsTable[[#This Row],[Date record entered]]&lt;&gt;"",CommitmentsTable[[#This Row],[Date record entered]]+90,""))</f>
        <v/>
      </c>
      <c r="J1027" s="245" t="str">
        <f ca="1">IF(CommitmentsTable[[#This Row],[Date Assigned if different from entry date]]&lt;&gt;"",CommitmentsTable[[#This Row],[Date Assigned if different from entry date]]+30,IF(CommitmentsTable[[#This Row],[Date record entered]]&lt;&gt;"",CommitmentsTable[[#This Row],[Date record entered]]+30,""))</f>
        <v/>
      </c>
      <c r="K1027" s="245"/>
      <c r="L1027" s="245" t="str">
        <f ca="1">IF(CommitmentsTable[[#This Row],[Date Assigned if different from entry date]]&lt;&gt;"",CommitmentsTable[[#This Row],[Date Assigned if different from entry date]]+60,IF(CommitmentsTable[[#This Row],[Date record entered]]&lt;&gt;"",CommitmentsTable[[#This Row],[Date record entered]]+60,""))</f>
        <v/>
      </c>
      <c r="M1027" s="214"/>
      <c r="N1027" s="214"/>
      <c r="O1027" s="236"/>
      <c r="P1027" s="214"/>
      <c r="Q1027" s="214"/>
      <c r="R1027" s="214"/>
      <c r="S1027" s="238" t="str">
        <f>IF(CommitmentsTable[[#This Row],[Commitment / deliverable]]="","",IF(CommitmentsTable[[#This Row],[Revised due]]&lt;&gt;"",CommitmentsTable[[#This Row],[Revised due]],CommitmentsTable[[#This Row],[Original due]]))</f>
        <v/>
      </c>
      <c r="T1027" s="237" t="str">
        <f>IF(OR(CommitmentsTable[[#This Row],[Commitment / deliverable]]="",CommitmentsTable[[#This Row],[Owner]]=""),"",IF(CommitmentsTable[[#This Row],[Status2]]="","Open",CommitmentsTable[[#This Row],[Status2]]))</f>
        <v/>
      </c>
      <c r="U1027" s="237" t="str">
        <f t="shared" ca="1" si="15"/>
        <v/>
      </c>
      <c r="V1027" s="233"/>
      <c r="W1027" s="63" t="s">
        <v>1929</v>
      </c>
    </row>
    <row r="1028" spans="1:23" ht="26">
      <c r="A1028" s="213" t="str">
        <f>IF(OR(CommitmentsTable[[#This Row],[Commitment / deliverable]]="",CommitmentsTable[[#This Row],[Immutable Key]]=""),"",SUBSTITUTE(CommitmentsTable[[#This Row],[Immutable Key]],"-K-","-"))</f>
        <v/>
      </c>
      <c r="B1028" s="233"/>
      <c r="C1028" s="233"/>
      <c r="D1028" s="213"/>
      <c r="E1028" s="230"/>
      <c r="F1028" s="213"/>
      <c r="G1028" s="245" t="str">
        <f ca="1">IF(CommitmentsTable[[#This Row],[Commitment / deliverable]]="","",IF(CommitmentsTable[[#This Row],[Date record entered]]="",TODAY(),CommitmentsTable[[#This Row],[Date record entered]]))</f>
        <v/>
      </c>
      <c r="H1028" s="245"/>
      <c r="I1028" s="245" t="str">
        <f ca="1">IF(CommitmentsTable[[#This Row],[Date Assigned if different from entry date]]&lt;&gt;"",CommitmentsTable[[#This Row],[Date Assigned if different from entry date]]+90,IF(CommitmentsTable[[#This Row],[Date record entered]]&lt;&gt;"",CommitmentsTable[[#This Row],[Date record entered]]+90,""))</f>
        <v/>
      </c>
      <c r="J1028" s="245" t="str">
        <f ca="1">IF(CommitmentsTable[[#This Row],[Date Assigned if different from entry date]]&lt;&gt;"",CommitmentsTable[[#This Row],[Date Assigned if different from entry date]]+30,IF(CommitmentsTable[[#This Row],[Date record entered]]&lt;&gt;"",CommitmentsTable[[#This Row],[Date record entered]]+30,""))</f>
        <v/>
      </c>
      <c r="K1028" s="245"/>
      <c r="L1028" s="245" t="str">
        <f ca="1">IF(CommitmentsTable[[#This Row],[Date Assigned if different from entry date]]&lt;&gt;"",CommitmentsTable[[#This Row],[Date Assigned if different from entry date]]+60,IF(CommitmentsTable[[#This Row],[Date record entered]]&lt;&gt;"",CommitmentsTable[[#This Row],[Date record entered]]+60,""))</f>
        <v/>
      </c>
      <c r="M1028" s="214"/>
      <c r="N1028" s="214"/>
      <c r="O1028" s="236"/>
      <c r="P1028" s="214"/>
      <c r="Q1028" s="214"/>
      <c r="R1028" s="214"/>
      <c r="S1028" s="238" t="str">
        <f>IF(CommitmentsTable[[#This Row],[Commitment / deliverable]]="","",IF(CommitmentsTable[[#This Row],[Revised due]]&lt;&gt;"",CommitmentsTable[[#This Row],[Revised due]],CommitmentsTable[[#This Row],[Original due]]))</f>
        <v/>
      </c>
      <c r="T1028" s="237" t="str">
        <f>IF(OR(CommitmentsTable[[#This Row],[Commitment / deliverable]]="",CommitmentsTable[[#This Row],[Owner]]=""),"",IF(CommitmentsTable[[#This Row],[Status2]]="","Open",CommitmentsTable[[#This Row],[Status2]]))</f>
        <v/>
      </c>
      <c r="U1028" s="237" t="str">
        <f t="shared" ca="1" si="15"/>
        <v/>
      </c>
      <c r="V1028" s="233"/>
      <c r="W1028" s="63" t="s">
        <v>1930</v>
      </c>
    </row>
    <row r="1029" spans="1:23" ht="26">
      <c r="A1029" s="213" t="str">
        <f>IF(OR(CommitmentsTable[[#This Row],[Commitment / deliverable]]="",CommitmentsTable[[#This Row],[Immutable Key]]=""),"",SUBSTITUTE(CommitmentsTable[[#This Row],[Immutable Key]],"-K-","-"))</f>
        <v/>
      </c>
      <c r="B1029" s="233"/>
      <c r="C1029" s="233"/>
      <c r="D1029" s="213"/>
      <c r="E1029" s="230"/>
      <c r="F1029" s="213"/>
      <c r="G1029" s="245" t="str">
        <f ca="1">IF(CommitmentsTable[[#This Row],[Commitment / deliverable]]="","",IF(CommitmentsTable[[#This Row],[Date record entered]]="",TODAY(),CommitmentsTable[[#This Row],[Date record entered]]))</f>
        <v/>
      </c>
      <c r="H1029" s="245"/>
      <c r="I1029" s="245" t="str">
        <f ca="1">IF(CommitmentsTable[[#This Row],[Date Assigned if different from entry date]]&lt;&gt;"",CommitmentsTable[[#This Row],[Date Assigned if different from entry date]]+90,IF(CommitmentsTable[[#This Row],[Date record entered]]&lt;&gt;"",CommitmentsTable[[#This Row],[Date record entered]]+90,""))</f>
        <v/>
      </c>
      <c r="J1029" s="245" t="str">
        <f ca="1">IF(CommitmentsTable[[#This Row],[Date Assigned if different from entry date]]&lt;&gt;"",CommitmentsTable[[#This Row],[Date Assigned if different from entry date]]+30,IF(CommitmentsTable[[#This Row],[Date record entered]]&lt;&gt;"",CommitmentsTable[[#This Row],[Date record entered]]+30,""))</f>
        <v/>
      </c>
      <c r="K1029" s="245"/>
      <c r="L1029" s="245" t="str">
        <f ca="1">IF(CommitmentsTable[[#This Row],[Date Assigned if different from entry date]]&lt;&gt;"",CommitmentsTable[[#This Row],[Date Assigned if different from entry date]]+60,IF(CommitmentsTable[[#This Row],[Date record entered]]&lt;&gt;"",CommitmentsTable[[#This Row],[Date record entered]]+60,""))</f>
        <v/>
      </c>
      <c r="M1029" s="214"/>
      <c r="N1029" s="214"/>
      <c r="O1029" s="236"/>
      <c r="P1029" s="214"/>
      <c r="Q1029" s="214"/>
      <c r="R1029" s="214"/>
      <c r="S1029" s="238" t="str">
        <f>IF(CommitmentsTable[[#This Row],[Commitment / deliverable]]="","",IF(CommitmentsTable[[#This Row],[Revised due]]&lt;&gt;"",CommitmentsTable[[#This Row],[Revised due]],CommitmentsTable[[#This Row],[Original due]]))</f>
        <v/>
      </c>
      <c r="T1029" s="237" t="str">
        <f>IF(OR(CommitmentsTable[[#This Row],[Commitment / deliverable]]="",CommitmentsTable[[#This Row],[Owner]]=""),"",IF(CommitmentsTable[[#This Row],[Status2]]="","Open",CommitmentsTable[[#This Row],[Status2]]))</f>
        <v/>
      </c>
      <c r="U1029" s="237" t="str">
        <f t="shared" ca="1" si="15"/>
        <v/>
      </c>
      <c r="V1029" s="233"/>
      <c r="W1029" s="63" t="s">
        <v>1931</v>
      </c>
    </row>
    <row r="1030" spans="1:23" ht="26">
      <c r="A1030" s="213" t="str">
        <f>IF(OR(CommitmentsTable[[#This Row],[Commitment / deliverable]]="",CommitmentsTable[[#This Row],[Immutable Key]]=""),"",SUBSTITUTE(CommitmentsTable[[#This Row],[Immutable Key]],"-K-","-"))</f>
        <v/>
      </c>
      <c r="B1030" s="233"/>
      <c r="C1030" s="233"/>
      <c r="D1030" s="213"/>
      <c r="E1030" s="230"/>
      <c r="F1030" s="213"/>
      <c r="G1030" s="245" t="str">
        <f ca="1">IF(CommitmentsTable[[#This Row],[Commitment / deliverable]]="","",IF(CommitmentsTable[[#This Row],[Date record entered]]="",TODAY(),CommitmentsTable[[#This Row],[Date record entered]]))</f>
        <v/>
      </c>
      <c r="H1030" s="245"/>
      <c r="I1030" s="245" t="str">
        <f ca="1">IF(CommitmentsTable[[#This Row],[Date Assigned if different from entry date]]&lt;&gt;"",CommitmentsTable[[#This Row],[Date Assigned if different from entry date]]+90,IF(CommitmentsTable[[#This Row],[Date record entered]]&lt;&gt;"",CommitmentsTable[[#This Row],[Date record entered]]+90,""))</f>
        <v/>
      </c>
      <c r="J1030" s="245" t="str">
        <f ca="1">IF(CommitmentsTable[[#This Row],[Date Assigned if different from entry date]]&lt;&gt;"",CommitmentsTable[[#This Row],[Date Assigned if different from entry date]]+30,IF(CommitmentsTable[[#This Row],[Date record entered]]&lt;&gt;"",CommitmentsTable[[#This Row],[Date record entered]]+30,""))</f>
        <v/>
      </c>
      <c r="K1030" s="245"/>
      <c r="L1030" s="245" t="str">
        <f ca="1">IF(CommitmentsTable[[#This Row],[Date Assigned if different from entry date]]&lt;&gt;"",CommitmentsTable[[#This Row],[Date Assigned if different from entry date]]+60,IF(CommitmentsTable[[#This Row],[Date record entered]]&lt;&gt;"",CommitmentsTable[[#This Row],[Date record entered]]+60,""))</f>
        <v/>
      </c>
      <c r="M1030" s="214"/>
      <c r="N1030" s="214"/>
      <c r="O1030" s="236"/>
      <c r="P1030" s="214"/>
      <c r="Q1030" s="214"/>
      <c r="R1030" s="214"/>
      <c r="S1030" s="238" t="str">
        <f>IF(CommitmentsTable[[#This Row],[Commitment / deliverable]]="","",IF(CommitmentsTable[[#This Row],[Revised due]]&lt;&gt;"",CommitmentsTable[[#This Row],[Revised due]],CommitmentsTable[[#This Row],[Original due]]))</f>
        <v/>
      </c>
      <c r="T1030" s="237" t="str">
        <f>IF(OR(CommitmentsTable[[#This Row],[Commitment / deliverable]]="",CommitmentsTable[[#This Row],[Owner]]=""),"",IF(CommitmentsTable[[#This Row],[Status2]]="","Open",CommitmentsTable[[#This Row],[Status2]]))</f>
        <v/>
      </c>
      <c r="U1030" s="237" t="str">
        <f t="shared" ca="1" si="15"/>
        <v/>
      </c>
      <c r="V1030" s="233"/>
      <c r="W1030" s="63" t="s">
        <v>1932</v>
      </c>
    </row>
    <row r="1031" spans="1:23" ht="26">
      <c r="A1031" s="213" t="str">
        <f>IF(OR(CommitmentsTable[[#This Row],[Commitment / deliverable]]="",CommitmentsTable[[#This Row],[Immutable Key]]=""),"",SUBSTITUTE(CommitmentsTable[[#This Row],[Immutable Key]],"-K-","-"))</f>
        <v/>
      </c>
      <c r="B1031" s="233"/>
      <c r="C1031" s="233"/>
      <c r="D1031" s="213"/>
      <c r="E1031" s="230"/>
      <c r="F1031" s="213"/>
      <c r="G1031" s="245" t="str">
        <f ca="1">IF(CommitmentsTable[[#This Row],[Commitment / deliverable]]="","",IF(CommitmentsTable[[#This Row],[Date record entered]]="",TODAY(),CommitmentsTable[[#This Row],[Date record entered]]))</f>
        <v/>
      </c>
      <c r="H1031" s="245"/>
      <c r="I1031" s="245" t="str">
        <f ca="1">IF(CommitmentsTable[[#This Row],[Date Assigned if different from entry date]]&lt;&gt;"",CommitmentsTable[[#This Row],[Date Assigned if different from entry date]]+90,IF(CommitmentsTable[[#This Row],[Date record entered]]&lt;&gt;"",CommitmentsTable[[#This Row],[Date record entered]]+90,""))</f>
        <v/>
      </c>
      <c r="J1031" s="245" t="str">
        <f ca="1">IF(CommitmentsTable[[#This Row],[Date Assigned if different from entry date]]&lt;&gt;"",CommitmentsTable[[#This Row],[Date Assigned if different from entry date]]+30,IF(CommitmentsTable[[#This Row],[Date record entered]]&lt;&gt;"",CommitmentsTable[[#This Row],[Date record entered]]+30,""))</f>
        <v/>
      </c>
      <c r="K1031" s="245"/>
      <c r="L1031" s="245" t="str">
        <f ca="1">IF(CommitmentsTable[[#This Row],[Date Assigned if different from entry date]]&lt;&gt;"",CommitmentsTable[[#This Row],[Date Assigned if different from entry date]]+60,IF(CommitmentsTable[[#This Row],[Date record entered]]&lt;&gt;"",CommitmentsTable[[#This Row],[Date record entered]]+60,""))</f>
        <v/>
      </c>
      <c r="M1031" s="214"/>
      <c r="N1031" s="214"/>
      <c r="O1031" s="236"/>
      <c r="P1031" s="214"/>
      <c r="Q1031" s="214"/>
      <c r="R1031" s="214"/>
      <c r="S1031" s="238" t="str">
        <f>IF(CommitmentsTable[[#This Row],[Commitment / deliverable]]="","",IF(CommitmentsTable[[#This Row],[Revised due]]&lt;&gt;"",CommitmentsTable[[#This Row],[Revised due]],CommitmentsTable[[#This Row],[Original due]]))</f>
        <v/>
      </c>
      <c r="T1031" s="237" t="str">
        <f>IF(OR(CommitmentsTable[[#This Row],[Commitment / deliverable]]="",CommitmentsTable[[#This Row],[Owner]]=""),"",IF(CommitmentsTable[[#This Row],[Status2]]="","Open",CommitmentsTable[[#This Row],[Status2]]))</f>
        <v/>
      </c>
      <c r="U1031" s="237" t="str">
        <f t="shared" ca="1" si="15"/>
        <v/>
      </c>
      <c r="V1031" s="233"/>
      <c r="W1031" s="63" t="s">
        <v>1933</v>
      </c>
    </row>
    <row r="1032" spans="1:23" ht="26">
      <c r="A1032" s="213" t="str">
        <f>IF(OR(CommitmentsTable[[#This Row],[Commitment / deliverable]]="",CommitmentsTable[[#This Row],[Immutable Key]]=""),"",SUBSTITUTE(CommitmentsTable[[#This Row],[Immutable Key]],"-K-","-"))</f>
        <v/>
      </c>
      <c r="B1032" s="233"/>
      <c r="C1032" s="233"/>
      <c r="D1032" s="213"/>
      <c r="E1032" s="230"/>
      <c r="F1032" s="213"/>
      <c r="G1032" s="245" t="str">
        <f ca="1">IF(CommitmentsTable[[#This Row],[Commitment / deliverable]]="","",IF(CommitmentsTable[[#This Row],[Date record entered]]="",TODAY(),CommitmentsTable[[#This Row],[Date record entered]]))</f>
        <v/>
      </c>
      <c r="H1032" s="245"/>
      <c r="I1032" s="245" t="str">
        <f ca="1">IF(CommitmentsTable[[#This Row],[Date Assigned if different from entry date]]&lt;&gt;"",CommitmentsTable[[#This Row],[Date Assigned if different from entry date]]+90,IF(CommitmentsTable[[#This Row],[Date record entered]]&lt;&gt;"",CommitmentsTable[[#This Row],[Date record entered]]+90,""))</f>
        <v/>
      </c>
      <c r="J1032" s="245" t="str">
        <f ca="1">IF(CommitmentsTable[[#This Row],[Date Assigned if different from entry date]]&lt;&gt;"",CommitmentsTable[[#This Row],[Date Assigned if different from entry date]]+30,IF(CommitmentsTable[[#This Row],[Date record entered]]&lt;&gt;"",CommitmentsTable[[#This Row],[Date record entered]]+30,""))</f>
        <v/>
      </c>
      <c r="K1032" s="245"/>
      <c r="L1032" s="245" t="str">
        <f ca="1">IF(CommitmentsTable[[#This Row],[Date Assigned if different from entry date]]&lt;&gt;"",CommitmentsTable[[#This Row],[Date Assigned if different from entry date]]+60,IF(CommitmentsTable[[#This Row],[Date record entered]]&lt;&gt;"",CommitmentsTable[[#This Row],[Date record entered]]+60,""))</f>
        <v/>
      </c>
      <c r="M1032" s="214"/>
      <c r="N1032" s="214"/>
      <c r="O1032" s="236"/>
      <c r="P1032" s="214"/>
      <c r="Q1032" s="214"/>
      <c r="R1032" s="214"/>
      <c r="S1032" s="238" t="str">
        <f>IF(CommitmentsTable[[#This Row],[Commitment / deliverable]]="","",IF(CommitmentsTable[[#This Row],[Revised due]]&lt;&gt;"",CommitmentsTable[[#This Row],[Revised due]],CommitmentsTable[[#This Row],[Original due]]))</f>
        <v/>
      </c>
      <c r="T1032" s="237" t="str">
        <f>IF(OR(CommitmentsTable[[#This Row],[Commitment / deliverable]]="",CommitmentsTable[[#This Row],[Owner]]=""),"",IF(CommitmentsTable[[#This Row],[Status2]]="","Open",CommitmentsTable[[#This Row],[Status2]]))</f>
        <v/>
      </c>
      <c r="U1032" s="237" t="str">
        <f t="shared" ca="1" si="15"/>
        <v/>
      </c>
      <c r="V1032" s="233"/>
      <c r="W1032" s="63" t="s">
        <v>1934</v>
      </c>
    </row>
    <row r="1033" spans="1:23" ht="26">
      <c r="A1033" s="213" t="str">
        <f>IF(OR(CommitmentsTable[[#This Row],[Commitment / deliverable]]="",CommitmentsTable[[#This Row],[Immutable Key]]=""),"",SUBSTITUTE(CommitmentsTable[[#This Row],[Immutable Key]],"-K-","-"))</f>
        <v/>
      </c>
      <c r="B1033" s="233"/>
      <c r="C1033" s="233"/>
      <c r="D1033" s="213"/>
      <c r="E1033" s="230"/>
      <c r="F1033" s="213"/>
      <c r="G1033" s="245" t="str">
        <f ca="1">IF(CommitmentsTable[[#This Row],[Commitment / deliverable]]="","",IF(CommitmentsTable[[#This Row],[Date record entered]]="",TODAY(),CommitmentsTable[[#This Row],[Date record entered]]))</f>
        <v/>
      </c>
      <c r="H1033" s="245"/>
      <c r="I1033" s="245" t="str">
        <f ca="1">IF(CommitmentsTable[[#This Row],[Date Assigned if different from entry date]]&lt;&gt;"",CommitmentsTable[[#This Row],[Date Assigned if different from entry date]]+90,IF(CommitmentsTable[[#This Row],[Date record entered]]&lt;&gt;"",CommitmentsTable[[#This Row],[Date record entered]]+90,""))</f>
        <v/>
      </c>
      <c r="J1033" s="245" t="str">
        <f ca="1">IF(CommitmentsTable[[#This Row],[Date Assigned if different from entry date]]&lt;&gt;"",CommitmentsTable[[#This Row],[Date Assigned if different from entry date]]+30,IF(CommitmentsTable[[#This Row],[Date record entered]]&lt;&gt;"",CommitmentsTable[[#This Row],[Date record entered]]+30,""))</f>
        <v/>
      </c>
      <c r="K1033" s="245"/>
      <c r="L1033" s="245" t="str">
        <f ca="1">IF(CommitmentsTable[[#This Row],[Date Assigned if different from entry date]]&lt;&gt;"",CommitmentsTable[[#This Row],[Date Assigned if different from entry date]]+60,IF(CommitmentsTable[[#This Row],[Date record entered]]&lt;&gt;"",CommitmentsTable[[#This Row],[Date record entered]]+60,""))</f>
        <v/>
      </c>
      <c r="M1033" s="214"/>
      <c r="N1033" s="214"/>
      <c r="O1033" s="236"/>
      <c r="P1033" s="214"/>
      <c r="Q1033" s="214"/>
      <c r="R1033" s="214"/>
      <c r="S1033" s="238" t="str">
        <f>IF(CommitmentsTable[[#This Row],[Commitment / deliverable]]="","",IF(CommitmentsTable[[#This Row],[Revised due]]&lt;&gt;"",CommitmentsTable[[#This Row],[Revised due]],CommitmentsTable[[#This Row],[Original due]]))</f>
        <v/>
      </c>
      <c r="T1033" s="237" t="str">
        <f>IF(OR(CommitmentsTable[[#This Row],[Commitment / deliverable]]="",CommitmentsTable[[#This Row],[Owner]]=""),"",IF(CommitmentsTable[[#This Row],[Status2]]="","Open",CommitmentsTable[[#This Row],[Status2]]))</f>
        <v/>
      </c>
      <c r="U1033" s="237" t="str">
        <f t="shared" ca="1" si="15"/>
        <v/>
      </c>
      <c r="V1033" s="233"/>
      <c r="W1033" s="63" t="s">
        <v>1935</v>
      </c>
    </row>
    <row r="1034" spans="1:23" ht="26">
      <c r="A1034" s="213" t="str">
        <f>IF(OR(CommitmentsTable[[#This Row],[Commitment / deliverable]]="",CommitmentsTable[[#This Row],[Immutable Key]]=""),"",SUBSTITUTE(CommitmentsTable[[#This Row],[Immutable Key]],"-K-","-"))</f>
        <v/>
      </c>
      <c r="B1034" s="233"/>
      <c r="C1034" s="233"/>
      <c r="D1034" s="213"/>
      <c r="E1034" s="230"/>
      <c r="F1034" s="213"/>
      <c r="G1034" s="245" t="str">
        <f ca="1">IF(CommitmentsTable[[#This Row],[Commitment / deliverable]]="","",IF(CommitmentsTable[[#This Row],[Date record entered]]="",TODAY(),CommitmentsTable[[#This Row],[Date record entered]]))</f>
        <v/>
      </c>
      <c r="H1034" s="245"/>
      <c r="I1034" s="245" t="str">
        <f ca="1">IF(CommitmentsTable[[#This Row],[Date Assigned if different from entry date]]&lt;&gt;"",CommitmentsTable[[#This Row],[Date Assigned if different from entry date]]+90,IF(CommitmentsTable[[#This Row],[Date record entered]]&lt;&gt;"",CommitmentsTable[[#This Row],[Date record entered]]+90,""))</f>
        <v/>
      </c>
      <c r="J1034" s="245" t="str">
        <f ca="1">IF(CommitmentsTable[[#This Row],[Date Assigned if different from entry date]]&lt;&gt;"",CommitmentsTable[[#This Row],[Date Assigned if different from entry date]]+30,IF(CommitmentsTable[[#This Row],[Date record entered]]&lt;&gt;"",CommitmentsTable[[#This Row],[Date record entered]]+30,""))</f>
        <v/>
      </c>
      <c r="K1034" s="245"/>
      <c r="L1034" s="245" t="str">
        <f ca="1">IF(CommitmentsTable[[#This Row],[Date Assigned if different from entry date]]&lt;&gt;"",CommitmentsTable[[#This Row],[Date Assigned if different from entry date]]+60,IF(CommitmentsTable[[#This Row],[Date record entered]]&lt;&gt;"",CommitmentsTable[[#This Row],[Date record entered]]+60,""))</f>
        <v/>
      </c>
      <c r="M1034" s="214"/>
      <c r="N1034" s="214"/>
      <c r="O1034" s="236"/>
      <c r="P1034" s="214"/>
      <c r="Q1034" s="214"/>
      <c r="R1034" s="214"/>
      <c r="S1034" s="238" t="str">
        <f>IF(CommitmentsTable[[#This Row],[Commitment / deliverable]]="","",IF(CommitmentsTable[[#This Row],[Revised due]]&lt;&gt;"",CommitmentsTable[[#This Row],[Revised due]],CommitmentsTable[[#This Row],[Original due]]))</f>
        <v/>
      </c>
      <c r="T1034" s="237" t="str">
        <f>IF(OR(CommitmentsTable[[#This Row],[Commitment / deliverable]]="",CommitmentsTable[[#This Row],[Owner]]=""),"",IF(CommitmentsTable[[#This Row],[Status2]]="","Open",CommitmentsTable[[#This Row],[Status2]]))</f>
        <v/>
      </c>
      <c r="U1034" s="237" t="str">
        <f t="shared" ca="1" si="15"/>
        <v/>
      </c>
      <c r="V1034" s="233"/>
      <c r="W1034" s="63" t="s">
        <v>1936</v>
      </c>
    </row>
    <row r="1035" spans="1:23" ht="26">
      <c r="A1035" s="213" t="str">
        <f>IF(OR(CommitmentsTable[[#This Row],[Commitment / deliverable]]="",CommitmentsTable[[#This Row],[Immutable Key]]=""),"",SUBSTITUTE(CommitmentsTable[[#This Row],[Immutable Key]],"-K-","-"))</f>
        <v/>
      </c>
      <c r="B1035" s="233"/>
      <c r="C1035" s="233"/>
      <c r="D1035" s="213"/>
      <c r="E1035" s="230"/>
      <c r="F1035" s="213"/>
      <c r="G1035" s="245" t="str">
        <f ca="1">IF(CommitmentsTable[[#This Row],[Commitment / deliverable]]="","",IF(CommitmentsTable[[#This Row],[Date record entered]]="",TODAY(),CommitmentsTable[[#This Row],[Date record entered]]))</f>
        <v/>
      </c>
      <c r="H1035" s="245"/>
      <c r="I1035" s="245" t="str">
        <f ca="1">IF(CommitmentsTable[[#This Row],[Date Assigned if different from entry date]]&lt;&gt;"",CommitmentsTable[[#This Row],[Date Assigned if different from entry date]]+90,IF(CommitmentsTable[[#This Row],[Date record entered]]&lt;&gt;"",CommitmentsTable[[#This Row],[Date record entered]]+90,""))</f>
        <v/>
      </c>
      <c r="J1035" s="245" t="str">
        <f ca="1">IF(CommitmentsTable[[#This Row],[Date Assigned if different from entry date]]&lt;&gt;"",CommitmentsTable[[#This Row],[Date Assigned if different from entry date]]+30,IF(CommitmentsTable[[#This Row],[Date record entered]]&lt;&gt;"",CommitmentsTable[[#This Row],[Date record entered]]+30,""))</f>
        <v/>
      </c>
      <c r="K1035" s="245"/>
      <c r="L1035" s="245" t="str">
        <f ca="1">IF(CommitmentsTable[[#This Row],[Date Assigned if different from entry date]]&lt;&gt;"",CommitmentsTable[[#This Row],[Date Assigned if different from entry date]]+60,IF(CommitmentsTable[[#This Row],[Date record entered]]&lt;&gt;"",CommitmentsTable[[#This Row],[Date record entered]]+60,""))</f>
        <v/>
      </c>
      <c r="M1035" s="214"/>
      <c r="N1035" s="214"/>
      <c r="O1035" s="236"/>
      <c r="P1035" s="214"/>
      <c r="Q1035" s="214"/>
      <c r="R1035" s="214"/>
      <c r="S1035" s="238" t="str">
        <f>IF(CommitmentsTable[[#This Row],[Commitment / deliverable]]="","",IF(CommitmentsTable[[#This Row],[Revised due]]&lt;&gt;"",CommitmentsTable[[#This Row],[Revised due]],CommitmentsTable[[#This Row],[Original due]]))</f>
        <v/>
      </c>
      <c r="T1035" s="237" t="str">
        <f>IF(OR(CommitmentsTable[[#This Row],[Commitment / deliverable]]="",CommitmentsTable[[#This Row],[Owner]]=""),"",IF(CommitmentsTable[[#This Row],[Status2]]="","Open",CommitmentsTable[[#This Row],[Status2]]))</f>
        <v/>
      </c>
      <c r="U1035" s="237" t="str">
        <f t="shared" ca="1" si="15"/>
        <v/>
      </c>
      <c r="V1035" s="233"/>
      <c r="W1035" s="63" t="s">
        <v>1937</v>
      </c>
    </row>
    <row r="1036" spans="1:23" ht="26">
      <c r="A1036" s="213" t="str">
        <f>IF(OR(CommitmentsTable[[#This Row],[Commitment / deliverable]]="",CommitmentsTable[[#This Row],[Immutable Key]]=""),"",SUBSTITUTE(CommitmentsTable[[#This Row],[Immutable Key]],"-K-","-"))</f>
        <v/>
      </c>
      <c r="B1036" s="233"/>
      <c r="C1036" s="233"/>
      <c r="D1036" s="213"/>
      <c r="E1036" s="230"/>
      <c r="F1036" s="213"/>
      <c r="G1036" s="245" t="str">
        <f ca="1">IF(CommitmentsTable[[#This Row],[Commitment / deliverable]]="","",IF(CommitmentsTable[[#This Row],[Date record entered]]="",TODAY(),CommitmentsTable[[#This Row],[Date record entered]]))</f>
        <v/>
      </c>
      <c r="H1036" s="245"/>
      <c r="I1036" s="245" t="str">
        <f ca="1">IF(CommitmentsTable[[#This Row],[Date Assigned if different from entry date]]&lt;&gt;"",CommitmentsTable[[#This Row],[Date Assigned if different from entry date]]+90,IF(CommitmentsTable[[#This Row],[Date record entered]]&lt;&gt;"",CommitmentsTable[[#This Row],[Date record entered]]+90,""))</f>
        <v/>
      </c>
      <c r="J1036" s="245" t="str">
        <f ca="1">IF(CommitmentsTable[[#This Row],[Date Assigned if different from entry date]]&lt;&gt;"",CommitmentsTable[[#This Row],[Date Assigned if different from entry date]]+30,IF(CommitmentsTable[[#This Row],[Date record entered]]&lt;&gt;"",CommitmentsTable[[#This Row],[Date record entered]]+30,""))</f>
        <v/>
      </c>
      <c r="K1036" s="245"/>
      <c r="L1036" s="245" t="str">
        <f ca="1">IF(CommitmentsTable[[#This Row],[Date Assigned if different from entry date]]&lt;&gt;"",CommitmentsTable[[#This Row],[Date Assigned if different from entry date]]+60,IF(CommitmentsTable[[#This Row],[Date record entered]]&lt;&gt;"",CommitmentsTable[[#This Row],[Date record entered]]+60,""))</f>
        <v/>
      </c>
      <c r="M1036" s="214"/>
      <c r="N1036" s="214"/>
      <c r="O1036" s="236"/>
      <c r="P1036" s="214"/>
      <c r="Q1036" s="214"/>
      <c r="R1036" s="214"/>
      <c r="S1036" s="238" t="str">
        <f>IF(CommitmentsTable[[#This Row],[Commitment / deliverable]]="","",IF(CommitmentsTable[[#This Row],[Revised due]]&lt;&gt;"",CommitmentsTable[[#This Row],[Revised due]],CommitmentsTable[[#This Row],[Original due]]))</f>
        <v/>
      </c>
      <c r="T1036" s="237" t="str">
        <f>IF(OR(CommitmentsTable[[#This Row],[Commitment / deliverable]]="",CommitmentsTable[[#This Row],[Owner]]=""),"",IF(CommitmentsTable[[#This Row],[Status2]]="","Open",CommitmentsTable[[#This Row],[Status2]]))</f>
        <v/>
      </c>
      <c r="U1036" s="237" t="str">
        <f t="shared" ca="1" si="15"/>
        <v/>
      </c>
      <c r="V1036" s="233"/>
      <c r="W1036" s="63" t="s">
        <v>1938</v>
      </c>
    </row>
    <row r="1037" spans="1:23" ht="26">
      <c r="A1037" s="213" t="str">
        <f>IF(OR(CommitmentsTable[[#This Row],[Commitment / deliverable]]="",CommitmentsTable[[#This Row],[Immutable Key]]=""),"",SUBSTITUTE(CommitmentsTable[[#This Row],[Immutable Key]],"-K-","-"))</f>
        <v/>
      </c>
      <c r="B1037" s="233"/>
      <c r="C1037" s="233"/>
      <c r="D1037" s="213"/>
      <c r="E1037" s="230"/>
      <c r="F1037" s="213"/>
      <c r="G1037" s="245" t="str">
        <f ca="1">IF(CommitmentsTable[[#This Row],[Commitment / deliverable]]="","",IF(CommitmentsTable[[#This Row],[Date record entered]]="",TODAY(),CommitmentsTable[[#This Row],[Date record entered]]))</f>
        <v/>
      </c>
      <c r="H1037" s="245"/>
      <c r="I1037" s="245" t="str">
        <f ca="1">IF(CommitmentsTable[[#This Row],[Date Assigned if different from entry date]]&lt;&gt;"",CommitmentsTable[[#This Row],[Date Assigned if different from entry date]]+90,IF(CommitmentsTable[[#This Row],[Date record entered]]&lt;&gt;"",CommitmentsTable[[#This Row],[Date record entered]]+90,""))</f>
        <v/>
      </c>
      <c r="J1037" s="245" t="str">
        <f ca="1">IF(CommitmentsTable[[#This Row],[Date Assigned if different from entry date]]&lt;&gt;"",CommitmentsTable[[#This Row],[Date Assigned if different from entry date]]+30,IF(CommitmentsTable[[#This Row],[Date record entered]]&lt;&gt;"",CommitmentsTable[[#This Row],[Date record entered]]+30,""))</f>
        <v/>
      </c>
      <c r="K1037" s="245"/>
      <c r="L1037" s="245" t="str">
        <f ca="1">IF(CommitmentsTable[[#This Row],[Date Assigned if different from entry date]]&lt;&gt;"",CommitmentsTable[[#This Row],[Date Assigned if different from entry date]]+60,IF(CommitmentsTable[[#This Row],[Date record entered]]&lt;&gt;"",CommitmentsTable[[#This Row],[Date record entered]]+60,""))</f>
        <v/>
      </c>
      <c r="M1037" s="214"/>
      <c r="N1037" s="214"/>
      <c r="O1037" s="236"/>
      <c r="P1037" s="214"/>
      <c r="Q1037" s="214"/>
      <c r="R1037" s="214"/>
      <c r="S1037" s="238" t="str">
        <f>IF(CommitmentsTable[[#This Row],[Commitment / deliverable]]="","",IF(CommitmentsTable[[#This Row],[Revised due]]&lt;&gt;"",CommitmentsTable[[#This Row],[Revised due]],CommitmentsTable[[#This Row],[Original due]]))</f>
        <v/>
      </c>
      <c r="T1037" s="237" t="str">
        <f>IF(OR(CommitmentsTable[[#This Row],[Commitment / deliverable]]="",CommitmentsTable[[#This Row],[Owner]]=""),"",IF(CommitmentsTable[[#This Row],[Status2]]="","Open",CommitmentsTable[[#This Row],[Status2]]))</f>
        <v/>
      </c>
      <c r="U1037" s="237" t="str">
        <f t="shared" ref="U1037:U1100" ca="1" si="16">IF(B1037="","",IF(T1037="Closed","",IF(OR(T1037="Slipped",T1037="At risk",AND(S1037&lt;&gt;"",S1037&lt;TODAY())),"Slipped / at risk",IF(G1037=TODAY(),"New today",IF(S1037=TODAY()+1,"Due tomorrow","")))))</f>
        <v/>
      </c>
      <c r="V1037" s="233"/>
      <c r="W1037" s="63" t="s">
        <v>1939</v>
      </c>
    </row>
    <row r="1038" spans="1:23" ht="26">
      <c r="A1038" s="213" t="str">
        <f>IF(OR(CommitmentsTable[[#This Row],[Commitment / deliverable]]="",CommitmentsTable[[#This Row],[Immutable Key]]=""),"",SUBSTITUTE(CommitmentsTable[[#This Row],[Immutable Key]],"-K-","-"))</f>
        <v/>
      </c>
      <c r="B1038" s="233"/>
      <c r="C1038" s="233"/>
      <c r="D1038" s="213"/>
      <c r="E1038" s="230"/>
      <c r="F1038" s="213"/>
      <c r="G1038" s="245" t="str">
        <f ca="1">IF(CommitmentsTable[[#This Row],[Commitment / deliverable]]="","",IF(CommitmentsTable[[#This Row],[Date record entered]]="",TODAY(),CommitmentsTable[[#This Row],[Date record entered]]))</f>
        <v/>
      </c>
      <c r="H1038" s="245"/>
      <c r="I1038" s="245" t="str">
        <f ca="1">IF(CommitmentsTable[[#This Row],[Date Assigned if different from entry date]]&lt;&gt;"",CommitmentsTable[[#This Row],[Date Assigned if different from entry date]]+90,IF(CommitmentsTable[[#This Row],[Date record entered]]&lt;&gt;"",CommitmentsTable[[#This Row],[Date record entered]]+90,""))</f>
        <v/>
      </c>
      <c r="J1038" s="245" t="str">
        <f ca="1">IF(CommitmentsTable[[#This Row],[Date Assigned if different from entry date]]&lt;&gt;"",CommitmentsTable[[#This Row],[Date Assigned if different from entry date]]+30,IF(CommitmentsTable[[#This Row],[Date record entered]]&lt;&gt;"",CommitmentsTable[[#This Row],[Date record entered]]+30,""))</f>
        <v/>
      </c>
      <c r="K1038" s="245"/>
      <c r="L1038" s="245" t="str">
        <f ca="1">IF(CommitmentsTable[[#This Row],[Date Assigned if different from entry date]]&lt;&gt;"",CommitmentsTable[[#This Row],[Date Assigned if different from entry date]]+60,IF(CommitmentsTable[[#This Row],[Date record entered]]&lt;&gt;"",CommitmentsTable[[#This Row],[Date record entered]]+60,""))</f>
        <v/>
      </c>
      <c r="M1038" s="214"/>
      <c r="N1038" s="214"/>
      <c r="O1038" s="236"/>
      <c r="P1038" s="214"/>
      <c r="Q1038" s="214"/>
      <c r="R1038" s="214"/>
      <c r="S1038" s="238" t="str">
        <f>IF(CommitmentsTable[[#This Row],[Commitment / deliverable]]="","",IF(CommitmentsTable[[#This Row],[Revised due]]&lt;&gt;"",CommitmentsTable[[#This Row],[Revised due]],CommitmentsTable[[#This Row],[Original due]]))</f>
        <v/>
      </c>
      <c r="T1038" s="237" t="str">
        <f>IF(OR(CommitmentsTable[[#This Row],[Commitment / deliverable]]="",CommitmentsTable[[#This Row],[Owner]]=""),"",IF(CommitmentsTable[[#This Row],[Status2]]="","Open",CommitmentsTable[[#This Row],[Status2]]))</f>
        <v/>
      </c>
      <c r="U1038" s="237" t="str">
        <f t="shared" ca="1" si="16"/>
        <v/>
      </c>
      <c r="V1038" s="233"/>
      <c r="W1038" s="63" t="s">
        <v>1940</v>
      </c>
    </row>
    <row r="1039" spans="1:23" ht="26">
      <c r="A1039" s="213" t="str">
        <f>IF(OR(CommitmentsTable[[#This Row],[Commitment / deliverable]]="",CommitmentsTable[[#This Row],[Immutable Key]]=""),"",SUBSTITUTE(CommitmentsTable[[#This Row],[Immutable Key]],"-K-","-"))</f>
        <v/>
      </c>
      <c r="B1039" s="233"/>
      <c r="C1039" s="233"/>
      <c r="D1039" s="213"/>
      <c r="E1039" s="230"/>
      <c r="F1039" s="213"/>
      <c r="G1039" s="245" t="str">
        <f ca="1">IF(CommitmentsTable[[#This Row],[Commitment / deliverable]]="","",IF(CommitmentsTable[[#This Row],[Date record entered]]="",TODAY(),CommitmentsTable[[#This Row],[Date record entered]]))</f>
        <v/>
      </c>
      <c r="H1039" s="245"/>
      <c r="I1039" s="245" t="str">
        <f ca="1">IF(CommitmentsTable[[#This Row],[Date Assigned if different from entry date]]&lt;&gt;"",CommitmentsTable[[#This Row],[Date Assigned if different from entry date]]+90,IF(CommitmentsTable[[#This Row],[Date record entered]]&lt;&gt;"",CommitmentsTable[[#This Row],[Date record entered]]+90,""))</f>
        <v/>
      </c>
      <c r="J1039" s="245" t="str">
        <f ca="1">IF(CommitmentsTable[[#This Row],[Date Assigned if different from entry date]]&lt;&gt;"",CommitmentsTable[[#This Row],[Date Assigned if different from entry date]]+30,IF(CommitmentsTable[[#This Row],[Date record entered]]&lt;&gt;"",CommitmentsTable[[#This Row],[Date record entered]]+30,""))</f>
        <v/>
      </c>
      <c r="K1039" s="245"/>
      <c r="L1039" s="245" t="str">
        <f ca="1">IF(CommitmentsTable[[#This Row],[Date Assigned if different from entry date]]&lt;&gt;"",CommitmentsTable[[#This Row],[Date Assigned if different from entry date]]+60,IF(CommitmentsTable[[#This Row],[Date record entered]]&lt;&gt;"",CommitmentsTable[[#This Row],[Date record entered]]+60,""))</f>
        <v/>
      </c>
      <c r="M1039" s="214"/>
      <c r="N1039" s="214"/>
      <c r="O1039" s="236"/>
      <c r="P1039" s="214"/>
      <c r="Q1039" s="214"/>
      <c r="R1039" s="214"/>
      <c r="S1039" s="238" t="str">
        <f>IF(CommitmentsTable[[#This Row],[Commitment / deliverable]]="","",IF(CommitmentsTable[[#This Row],[Revised due]]&lt;&gt;"",CommitmentsTable[[#This Row],[Revised due]],CommitmentsTable[[#This Row],[Original due]]))</f>
        <v/>
      </c>
      <c r="T1039" s="237" t="str">
        <f>IF(OR(CommitmentsTable[[#This Row],[Commitment / deliverable]]="",CommitmentsTable[[#This Row],[Owner]]=""),"",IF(CommitmentsTable[[#This Row],[Status2]]="","Open",CommitmentsTable[[#This Row],[Status2]]))</f>
        <v/>
      </c>
      <c r="U1039" s="237" t="str">
        <f t="shared" ca="1" si="16"/>
        <v/>
      </c>
      <c r="V1039" s="233"/>
      <c r="W1039" s="63" t="s">
        <v>1941</v>
      </c>
    </row>
    <row r="1040" spans="1:23" ht="26">
      <c r="A1040" s="213" t="str">
        <f>IF(OR(CommitmentsTable[[#This Row],[Commitment / deliverable]]="",CommitmentsTable[[#This Row],[Immutable Key]]=""),"",SUBSTITUTE(CommitmentsTable[[#This Row],[Immutable Key]],"-K-","-"))</f>
        <v/>
      </c>
      <c r="B1040" s="233"/>
      <c r="C1040" s="233"/>
      <c r="D1040" s="213"/>
      <c r="E1040" s="230"/>
      <c r="F1040" s="213"/>
      <c r="G1040" s="245" t="str">
        <f ca="1">IF(CommitmentsTable[[#This Row],[Commitment / deliverable]]="","",IF(CommitmentsTable[[#This Row],[Date record entered]]="",TODAY(),CommitmentsTable[[#This Row],[Date record entered]]))</f>
        <v/>
      </c>
      <c r="H1040" s="245"/>
      <c r="I1040" s="245" t="str">
        <f ca="1">IF(CommitmentsTable[[#This Row],[Date Assigned if different from entry date]]&lt;&gt;"",CommitmentsTable[[#This Row],[Date Assigned if different from entry date]]+90,IF(CommitmentsTable[[#This Row],[Date record entered]]&lt;&gt;"",CommitmentsTable[[#This Row],[Date record entered]]+90,""))</f>
        <v/>
      </c>
      <c r="J1040" s="245" t="str">
        <f ca="1">IF(CommitmentsTable[[#This Row],[Date Assigned if different from entry date]]&lt;&gt;"",CommitmentsTable[[#This Row],[Date Assigned if different from entry date]]+30,IF(CommitmentsTable[[#This Row],[Date record entered]]&lt;&gt;"",CommitmentsTable[[#This Row],[Date record entered]]+30,""))</f>
        <v/>
      </c>
      <c r="K1040" s="245"/>
      <c r="L1040" s="245" t="str">
        <f ca="1">IF(CommitmentsTable[[#This Row],[Date Assigned if different from entry date]]&lt;&gt;"",CommitmentsTable[[#This Row],[Date Assigned if different from entry date]]+60,IF(CommitmentsTable[[#This Row],[Date record entered]]&lt;&gt;"",CommitmentsTable[[#This Row],[Date record entered]]+60,""))</f>
        <v/>
      </c>
      <c r="M1040" s="214"/>
      <c r="N1040" s="214"/>
      <c r="O1040" s="236"/>
      <c r="P1040" s="214"/>
      <c r="Q1040" s="214"/>
      <c r="R1040" s="214"/>
      <c r="S1040" s="238" t="str">
        <f>IF(CommitmentsTable[[#This Row],[Commitment / deliverable]]="","",IF(CommitmentsTable[[#This Row],[Revised due]]&lt;&gt;"",CommitmentsTable[[#This Row],[Revised due]],CommitmentsTable[[#This Row],[Original due]]))</f>
        <v/>
      </c>
      <c r="T1040" s="237" t="str">
        <f>IF(OR(CommitmentsTable[[#This Row],[Commitment / deliverable]]="",CommitmentsTable[[#This Row],[Owner]]=""),"",IF(CommitmentsTable[[#This Row],[Status2]]="","Open",CommitmentsTable[[#This Row],[Status2]]))</f>
        <v/>
      </c>
      <c r="U1040" s="237" t="str">
        <f t="shared" ca="1" si="16"/>
        <v/>
      </c>
      <c r="V1040" s="233"/>
      <c r="W1040" s="63" t="s">
        <v>1942</v>
      </c>
    </row>
    <row r="1041" spans="1:23" ht="26">
      <c r="A1041" s="213" t="str">
        <f>IF(OR(CommitmentsTable[[#This Row],[Commitment / deliverable]]="",CommitmentsTable[[#This Row],[Immutable Key]]=""),"",SUBSTITUTE(CommitmentsTable[[#This Row],[Immutable Key]],"-K-","-"))</f>
        <v/>
      </c>
      <c r="B1041" s="233"/>
      <c r="C1041" s="233"/>
      <c r="D1041" s="213"/>
      <c r="E1041" s="230"/>
      <c r="F1041" s="213"/>
      <c r="G1041" s="245" t="str">
        <f ca="1">IF(CommitmentsTable[[#This Row],[Commitment / deliverable]]="","",IF(CommitmentsTable[[#This Row],[Date record entered]]="",TODAY(),CommitmentsTable[[#This Row],[Date record entered]]))</f>
        <v/>
      </c>
      <c r="H1041" s="245"/>
      <c r="I1041" s="245" t="str">
        <f ca="1">IF(CommitmentsTable[[#This Row],[Date Assigned if different from entry date]]&lt;&gt;"",CommitmentsTable[[#This Row],[Date Assigned if different from entry date]]+90,IF(CommitmentsTable[[#This Row],[Date record entered]]&lt;&gt;"",CommitmentsTable[[#This Row],[Date record entered]]+90,""))</f>
        <v/>
      </c>
      <c r="J1041" s="245" t="str">
        <f ca="1">IF(CommitmentsTable[[#This Row],[Date Assigned if different from entry date]]&lt;&gt;"",CommitmentsTable[[#This Row],[Date Assigned if different from entry date]]+30,IF(CommitmentsTable[[#This Row],[Date record entered]]&lt;&gt;"",CommitmentsTable[[#This Row],[Date record entered]]+30,""))</f>
        <v/>
      </c>
      <c r="K1041" s="245"/>
      <c r="L1041" s="245" t="str">
        <f ca="1">IF(CommitmentsTable[[#This Row],[Date Assigned if different from entry date]]&lt;&gt;"",CommitmentsTable[[#This Row],[Date Assigned if different from entry date]]+60,IF(CommitmentsTable[[#This Row],[Date record entered]]&lt;&gt;"",CommitmentsTable[[#This Row],[Date record entered]]+60,""))</f>
        <v/>
      </c>
      <c r="M1041" s="214"/>
      <c r="N1041" s="214"/>
      <c r="O1041" s="236"/>
      <c r="P1041" s="214"/>
      <c r="Q1041" s="214"/>
      <c r="R1041" s="214"/>
      <c r="S1041" s="238" t="str">
        <f>IF(CommitmentsTable[[#This Row],[Commitment / deliverable]]="","",IF(CommitmentsTable[[#This Row],[Revised due]]&lt;&gt;"",CommitmentsTable[[#This Row],[Revised due]],CommitmentsTable[[#This Row],[Original due]]))</f>
        <v/>
      </c>
      <c r="T1041" s="237" t="str">
        <f>IF(OR(CommitmentsTable[[#This Row],[Commitment / deliverable]]="",CommitmentsTable[[#This Row],[Owner]]=""),"",IF(CommitmentsTable[[#This Row],[Status2]]="","Open",CommitmentsTable[[#This Row],[Status2]]))</f>
        <v/>
      </c>
      <c r="U1041" s="237" t="str">
        <f t="shared" ca="1" si="16"/>
        <v/>
      </c>
      <c r="V1041" s="233"/>
      <c r="W1041" s="63" t="s">
        <v>1943</v>
      </c>
    </row>
    <row r="1042" spans="1:23" ht="26">
      <c r="A1042" s="213" t="str">
        <f>IF(OR(CommitmentsTable[[#This Row],[Commitment / deliverable]]="",CommitmentsTable[[#This Row],[Immutable Key]]=""),"",SUBSTITUTE(CommitmentsTable[[#This Row],[Immutable Key]],"-K-","-"))</f>
        <v/>
      </c>
      <c r="B1042" s="233"/>
      <c r="C1042" s="233"/>
      <c r="D1042" s="213"/>
      <c r="E1042" s="230"/>
      <c r="F1042" s="213"/>
      <c r="G1042" s="245" t="str">
        <f ca="1">IF(CommitmentsTable[[#This Row],[Commitment / deliverable]]="","",IF(CommitmentsTable[[#This Row],[Date record entered]]="",TODAY(),CommitmentsTable[[#This Row],[Date record entered]]))</f>
        <v/>
      </c>
      <c r="H1042" s="245"/>
      <c r="I1042" s="245" t="str">
        <f ca="1">IF(CommitmentsTable[[#This Row],[Date Assigned if different from entry date]]&lt;&gt;"",CommitmentsTable[[#This Row],[Date Assigned if different from entry date]]+90,IF(CommitmentsTable[[#This Row],[Date record entered]]&lt;&gt;"",CommitmentsTable[[#This Row],[Date record entered]]+90,""))</f>
        <v/>
      </c>
      <c r="J1042" s="245" t="str">
        <f ca="1">IF(CommitmentsTable[[#This Row],[Date Assigned if different from entry date]]&lt;&gt;"",CommitmentsTable[[#This Row],[Date Assigned if different from entry date]]+30,IF(CommitmentsTable[[#This Row],[Date record entered]]&lt;&gt;"",CommitmentsTable[[#This Row],[Date record entered]]+30,""))</f>
        <v/>
      </c>
      <c r="K1042" s="245"/>
      <c r="L1042" s="245" t="str">
        <f ca="1">IF(CommitmentsTable[[#This Row],[Date Assigned if different from entry date]]&lt;&gt;"",CommitmentsTable[[#This Row],[Date Assigned if different from entry date]]+60,IF(CommitmentsTable[[#This Row],[Date record entered]]&lt;&gt;"",CommitmentsTable[[#This Row],[Date record entered]]+60,""))</f>
        <v/>
      </c>
      <c r="M1042" s="214"/>
      <c r="N1042" s="214"/>
      <c r="O1042" s="236"/>
      <c r="P1042" s="214"/>
      <c r="Q1042" s="214"/>
      <c r="R1042" s="214"/>
      <c r="S1042" s="238" t="str">
        <f>IF(CommitmentsTable[[#This Row],[Commitment / deliverable]]="","",IF(CommitmentsTable[[#This Row],[Revised due]]&lt;&gt;"",CommitmentsTable[[#This Row],[Revised due]],CommitmentsTable[[#This Row],[Original due]]))</f>
        <v/>
      </c>
      <c r="T1042" s="237" t="str">
        <f>IF(OR(CommitmentsTable[[#This Row],[Commitment / deliverable]]="",CommitmentsTable[[#This Row],[Owner]]=""),"",IF(CommitmentsTable[[#This Row],[Status2]]="","Open",CommitmentsTable[[#This Row],[Status2]]))</f>
        <v/>
      </c>
      <c r="U1042" s="237" t="str">
        <f t="shared" ca="1" si="16"/>
        <v/>
      </c>
      <c r="V1042" s="233"/>
      <c r="W1042" s="63" t="s">
        <v>1944</v>
      </c>
    </row>
    <row r="1043" spans="1:23" ht="26">
      <c r="A1043" s="213" t="str">
        <f>IF(OR(CommitmentsTable[[#This Row],[Commitment / deliverable]]="",CommitmentsTable[[#This Row],[Immutable Key]]=""),"",SUBSTITUTE(CommitmentsTable[[#This Row],[Immutable Key]],"-K-","-"))</f>
        <v/>
      </c>
      <c r="B1043" s="233"/>
      <c r="C1043" s="233"/>
      <c r="D1043" s="213"/>
      <c r="E1043" s="230"/>
      <c r="F1043" s="213"/>
      <c r="G1043" s="245" t="str">
        <f ca="1">IF(CommitmentsTable[[#This Row],[Commitment / deliverable]]="","",IF(CommitmentsTable[[#This Row],[Date record entered]]="",TODAY(),CommitmentsTable[[#This Row],[Date record entered]]))</f>
        <v/>
      </c>
      <c r="H1043" s="245"/>
      <c r="I1043" s="245" t="str">
        <f ca="1">IF(CommitmentsTable[[#This Row],[Date Assigned if different from entry date]]&lt;&gt;"",CommitmentsTable[[#This Row],[Date Assigned if different from entry date]]+90,IF(CommitmentsTable[[#This Row],[Date record entered]]&lt;&gt;"",CommitmentsTable[[#This Row],[Date record entered]]+90,""))</f>
        <v/>
      </c>
      <c r="J1043" s="245" t="str">
        <f ca="1">IF(CommitmentsTable[[#This Row],[Date Assigned if different from entry date]]&lt;&gt;"",CommitmentsTable[[#This Row],[Date Assigned if different from entry date]]+30,IF(CommitmentsTable[[#This Row],[Date record entered]]&lt;&gt;"",CommitmentsTable[[#This Row],[Date record entered]]+30,""))</f>
        <v/>
      </c>
      <c r="K1043" s="245"/>
      <c r="L1043" s="245" t="str">
        <f ca="1">IF(CommitmentsTable[[#This Row],[Date Assigned if different from entry date]]&lt;&gt;"",CommitmentsTable[[#This Row],[Date Assigned if different from entry date]]+60,IF(CommitmentsTable[[#This Row],[Date record entered]]&lt;&gt;"",CommitmentsTable[[#This Row],[Date record entered]]+60,""))</f>
        <v/>
      </c>
      <c r="M1043" s="214"/>
      <c r="N1043" s="214"/>
      <c r="O1043" s="236"/>
      <c r="P1043" s="214"/>
      <c r="Q1043" s="214"/>
      <c r="R1043" s="214"/>
      <c r="S1043" s="238" t="str">
        <f>IF(CommitmentsTable[[#This Row],[Commitment / deliverable]]="","",IF(CommitmentsTable[[#This Row],[Revised due]]&lt;&gt;"",CommitmentsTable[[#This Row],[Revised due]],CommitmentsTable[[#This Row],[Original due]]))</f>
        <v/>
      </c>
      <c r="T1043" s="237" t="str">
        <f>IF(OR(CommitmentsTable[[#This Row],[Commitment / deliverable]]="",CommitmentsTable[[#This Row],[Owner]]=""),"",IF(CommitmentsTable[[#This Row],[Status2]]="","Open",CommitmentsTable[[#This Row],[Status2]]))</f>
        <v/>
      </c>
      <c r="U1043" s="237" t="str">
        <f t="shared" ca="1" si="16"/>
        <v/>
      </c>
      <c r="V1043" s="233"/>
      <c r="W1043" s="63" t="s">
        <v>1945</v>
      </c>
    </row>
    <row r="1044" spans="1:23" ht="26">
      <c r="A1044" s="213" t="str">
        <f>IF(OR(CommitmentsTable[[#This Row],[Commitment / deliverable]]="",CommitmentsTable[[#This Row],[Immutable Key]]=""),"",SUBSTITUTE(CommitmentsTable[[#This Row],[Immutable Key]],"-K-","-"))</f>
        <v/>
      </c>
      <c r="B1044" s="233"/>
      <c r="C1044" s="233"/>
      <c r="D1044" s="213"/>
      <c r="E1044" s="230"/>
      <c r="F1044" s="213"/>
      <c r="G1044" s="245" t="str">
        <f ca="1">IF(CommitmentsTable[[#This Row],[Commitment / deliverable]]="","",IF(CommitmentsTable[[#This Row],[Date record entered]]="",TODAY(),CommitmentsTable[[#This Row],[Date record entered]]))</f>
        <v/>
      </c>
      <c r="H1044" s="245"/>
      <c r="I1044" s="245" t="str">
        <f ca="1">IF(CommitmentsTable[[#This Row],[Date Assigned if different from entry date]]&lt;&gt;"",CommitmentsTable[[#This Row],[Date Assigned if different from entry date]]+90,IF(CommitmentsTable[[#This Row],[Date record entered]]&lt;&gt;"",CommitmentsTable[[#This Row],[Date record entered]]+90,""))</f>
        <v/>
      </c>
      <c r="J1044" s="245" t="str">
        <f ca="1">IF(CommitmentsTable[[#This Row],[Date Assigned if different from entry date]]&lt;&gt;"",CommitmentsTable[[#This Row],[Date Assigned if different from entry date]]+30,IF(CommitmentsTable[[#This Row],[Date record entered]]&lt;&gt;"",CommitmentsTable[[#This Row],[Date record entered]]+30,""))</f>
        <v/>
      </c>
      <c r="K1044" s="245"/>
      <c r="L1044" s="245" t="str">
        <f ca="1">IF(CommitmentsTable[[#This Row],[Date Assigned if different from entry date]]&lt;&gt;"",CommitmentsTable[[#This Row],[Date Assigned if different from entry date]]+60,IF(CommitmentsTable[[#This Row],[Date record entered]]&lt;&gt;"",CommitmentsTable[[#This Row],[Date record entered]]+60,""))</f>
        <v/>
      </c>
      <c r="M1044" s="214"/>
      <c r="N1044" s="214"/>
      <c r="O1044" s="236"/>
      <c r="P1044" s="214"/>
      <c r="Q1044" s="214"/>
      <c r="R1044" s="214"/>
      <c r="S1044" s="238" t="str">
        <f>IF(CommitmentsTable[[#This Row],[Commitment / deliverable]]="","",IF(CommitmentsTable[[#This Row],[Revised due]]&lt;&gt;"",CommitmentsTable[[#This Row],[Revised due]],CommitmentsTable[[#This Row],[Original due]]))</f>
        <v/>
      </c>
      <c r="T1044" s="237" t="str">
        <f>IF(OR(CommitmentsTable[[#This Row],[Commitment / deliverable]]="",CommitmentsTable[[#This Row],[Owner]]=""),"",IF(CommitmentsTable[[#This Row],[Status2]]="","Open",CommitmentsTable[[#This Row],[Status2]]))</f>
        <v/>
      </c>
      <c r="U1044" s="237" t="str">
        <f t="shared" ca="1" si="16"/>
        <v/>
      </c>
      <c r="V1044" s="233"/>
      <c r="W1044" s="63" t="s">
        <v>1946</v>
      </c>
    </row>
    <row r="1045" spans="1:23" ht="26">
      <c r="A1045" s="213" t="str">
        <f>IF(OR(CommitmentsTable[[#This Row],[Commitment / deliverable]]="",CommitmentsTable[[#This Row],[Immutable Key]]=""),"",SUBSTITUTE(CommitmentsTable[[#This Row],[Immutable Key]],"-K-","-"))</f>
        <v/>
      </c>
      <c r="B1045" s="233"/>
      <c r="C1045" s="233"/>
      <c r="D1045" s="213"/>
      <c r="E1045" s="230"/>
      <c r="F1045" s="213"/>
      <c r="G1045" s="245" t="str">
        <f ca="1">IF(CommitmentsTable[[#This Row],[Commitment / deliverable]]="","",IF(CommitmentsTable[[#This Row],[Date record entered]]="",TODAY(),CommitmentsTable[[#This Row],[Date record entered]]))</f>
        <v/>
      </c>
      <c r="H1045" s="245"/>
      <c r="I1045" s="245" t="str">
        <f ca="1">IF(CommitmentsTable[[#This Row],[Date Assigned if different from entry date]]&lt;&gt;"",CommitmentsTable[[#This Row],[Date Assigned if different from entry date]]+90,IF(CommitmentsTable[[#This Row],[Date record entered]]&lt;&gt;"",CommitmentsTable[[#This Row],[Date record entered]]+90,""))</f>
        <v/>
      </c>
      <c r="J1045" s="245" t="str">
        <f ca="1">IF(CommitmentsTable[[#This Row],[Date Assigned if different from entry date]]&lt;&gt;"",CommitmentsTable[[#This Row],[Date Assigned if different from entry date]]+30,IF(CommitmentsTable[[#This Row],[Date record entered]]&lt;&gt;"",CommitmentsTable[[#This Row],[Date record entered]]+30,""))</f>
        <v/>
      </c>
      <c r="K1045" s="245"/>
      <c r="L1045" s="245" t="str">
        <f ca="1">IF(CommitmentsTable[[#This Row],[Date Assigned if different from entry date]]&lt;&gt;"",CommitmentsTable[[#This Row],[Date Assigned if different from entry date]]+60,IF(CommitmentsTable[[#This Row],[Date record entered]]&lt;&gt;"",CommitmentsTable[[#This Row],[Date record entered]]+60,""))</f>
        <v/>
      </c>
      <c r="M1045" s="214"/>
      <c r="N1045" s="214"/>
      <c r="O1045" s="236"/>
      <c r="P1045" s="214"/>
      <c r="Q1045" s="214"/>
      <c r="R1045" s="214"/>
      <c r="S1045" s="238" t="str">
        <f>IF(CommitmentsTable[[#This Row],[Commitment / deliverable]]="","",IF(CommitmentsTable[[#This Row],[Revised due]]&lt;&gt;"",CommitmentsTable[[#This Row],[Revised due]],CommitmentsTable[[#This Row],[Original due]]))</f>
        <v/>
      </c>
      <c r="T1045" s="237" t="str">
        <f>IF(OR(CommitmentsTable[[#This Row],[Commitment / deliverable]]="",CommitmentsTable[[#This Row],[Owner]]=""),"",IF(CommitmentsTable[[#This Row],[Status2]]="","Open",CommitmentsTable[[#This Row],[Status2]]))</f>
        <v/>
      </c>
      <c r="U1045" s="237" t="str">
        <f t="shared" ca="1" si="16"/>
        <v/>
      </c>
      <c r="V1045" s="233"/>
      <c r="W1045" s="63" t="s">
        <v>1947</v>
      </c>
    </row>
    <row r="1046" spans="1:23" ht="26">
      <c r="A1046" s="213" t="str">
        <f>IF(OR(CommitmentsTable[[#This Row],[Commitment / deliverable]]="",CommitmentsTable[[#This Row],[Immutable Key]]=""),"",SUBSTITUTE(CommitmentsTable[[#This Row],[Immutable Key]],"-K-","-"))</f>
        <v/>
      </c>
      <c r="B1046" s="233"/>
      <c r="C1046" s="233"/>
      <c r="D1046" s="213"/>
      <c r="E1046" s="230"/>
      <c r="F1046" s="213"/>
      <c r="G1046" s="245" t="str">
        <f ca="1">IF(CommitmentsTable[[#This Row],[Commitment / deliverable]]="","",IF(CommitmentsTable[[#This Row],[Date record entered]]="",TODAY(),CommitmentsTable[[#This Row],[Date record entered]]))</f>
        <v/>
      </c>
      <c r="H1046" s="245"/>
      <c r="I1046" s="245" t="str">
        <f ca="1">IF(CommitmentsTable[[#This Row],[Date Assigned if different from entry date]]&lt;&gt;"",CommitmentsTable[[#This Row],[Date Assigned if different from entry date]]+90,IF(CommitmentsTable[[#This Row],[Date record entered]]&lt;&gt;"",CommitmentsTable[[#This Row],[Date record entered]]+90,""))</f>
        <v/>
      </c>
      <c r="J1046" s="245" t="str">
        <f ca="1">IF(CommitmentsTable[[#This Row],[Date Assigned if different from entry date]]&lt;&gt;"",CommitmentsTable[[#This Row],[Date Assigned if different from entry date]]+30,IF(CommitmentsTable[[#This Row],[Date record entered]]&lt;&gt;"",CommitmentsTable[[#This Row],[Date record entered]]+30,""))</f>
        <v/>
      </c>
      <c r="K1046" s="245"/>
      <c r="L1046" s="245" t="str">
        <f ca="1">IF(CommitmentsTable[[#This Row],[Date Assigned if different from entry date]]&lt;&gt;"",CommitmentsTable[[#This Row],[Date Assigned if different from entry date]]+60,IF(CommitmentsTable[[#This Row],[Date record entered]]&lt;&gt;"",CommitmentsTable[[#This Row],[Date record entered]]+60,""))</f>
        <v/>
      </c>
      <c r="M1046" s="214"/>
      <c r="N1046" s="214"/>
      <c r="O1046" s="236"/>
      <c r="P1046" s="214"/>
      <c r="Q1046" s="214"/>
      <c r="R1046" s="214"/>
      <c r="S1046" s="238" t="str">
        <f>IF(CommitmentsTable[[#This Row],[Commitment / deliverable]]="","",IF(CommitmentsTable[[#This Row],[Revised due]]&lt;&gt;"",CommitmentsTable[[#This Row],[Revised due]],CommitmentsTable[[#This Row],[Original due]]))</f>
        <v/>
      </c>
      <c r="T1046" s="237" t="str">
        <f>IF(OR(CommitmentsTable[[#This Row],[Commitment / deliverable]]="",CommitmentsTable[[#This Row],[Owner]]=""),"",IF(CommitmentsTable[[#This Row],[Status2]]="","Open",CommitmentsTable[[#This Row],[Status2]]))</f>
        <v/>
      </c>
      <c r="U1046" s="237" t="str">
        <f t="shared" ca="1" si="16"/>
        <v/>
      </c>
      <c r="V1046" s="233"/>
      <c r="W1046" s="63" t="s">
        <v>1948</v>
      </c>
    </row>
    <row r="1047" spans="1:23" ht="26">
      <c r="A1047" s="213" t="str">
        <f>IF(OR(CommitmentsTable[[#This Row],[Commitment / deliverable]]="",CommitmentsTable[[#This Row],[Immutable Key]]=""),"",SUBSTITUTE(CommitmentsTable[[#This Row],[Immutable Key]],"-K-","-"))</f>
        <v/>
      </c>
      <c r="B1047" s="233"/>
      <c r="C1047" s="233"/>
      <c r="D1047" s="213"/>
      <c r="E1047" s="230"/>
      <c r="F1047" s="213"/>
      <c r="G1047" s="245" t="str">
        <f ca="1">IF(CommitmentsTable[[#This Row],[Commitment / deliverable]]="","",IF(CommitmentsTable[[#This Row],[Date record entered]]="",TODAY(),CommitmentsTable[[#This Row],[Date record entered]]))</f>
        <v/>
      </c>
      <c r="H1047" s="245"/>
      <c r="I1047" s="245" t="str">
        <f ca="1">IF(CommitmentsTable[[#This Row],[Date Assigned if different from entry date]]&lt;&gt;"",CommitmentsTable[[#This Row],[Date Assigned if different from entry date]]+90,IF(CommitmentsTable[[#This Row],[Date record entered]]&lt;&gt;"",CommitmentsTable[[#This Row],[Date record entered]]+90,""))</f>
        <v/>
      </c>
      <c r="J1047" s="245" t="str">
        <f ca="1">IF(CommitmentsTable[[#This Row],[Date Assigned if different from entry date]]&lt;&gt;"",CommitmentsTable[[#This Row],[Date Assigned if different from entry date]]+30,IF(CommitmentsTable[[#This Row],[Date record entered]]&lt;&gt;"",CommitmentsTable[[#This Row],[Date record entered]]+30,""))</f>
        <v/>
      </c>
      <c r="K1047" s="245"/>
      <c r="L1047" s="245" t="str">
        <f ca="1">IF(CommitmentsTable[[#This Row],[Date Assigned if different from entry date]]&lt;&gt;"",CommitmentsTable[[#This Row],[Date Assigned if different from entry date]]+60,IF(CommitmentsTable[[#This Row],[Date record entered]]&lt;&gt;"",CommitmentsTable[[#This Row],[Date record entered]]+60,""))</f>
        <v/>
      </c>
      <c r="M1047" s="214"/>
      <c r="N1047" s="214"/>
      <c r="O1047" s="236"/>
      <c r="P1047" s="214"/>
      <c r="Q1047" s="214"/>
      <c r="R1047" s="214"/>
      <c r="S1047" s="238" t="str">
        <f>IF(CommitmentsTable[[#This Row],[Commitment / deliverable]]="","",IF(CommitmentsTable[[#This Row],[Revised due]]&lt;&gt;"",CommitmentsTable[[#This Row],[Revised due]],CommitmentsTable[[#This Row],[Original due]]))</f>
        <v/>
      </c>
      <c r="T1047" s="237" t="str">
        <f>IF(OR(CommitmentsTable[[#This Row],[Commitment / deliverable]]="",CommitmentsTable[[#This Row],[Owner]]=""),"",IF(CommitmentsTable[[#This Row],[Status2]]="","Open",CommitmentsTable[[#This Row],[Status2]]))</f>
        <v/>
      </c>
      <c r="U1047" s="237" t="str">
        <f t="shared" ca="1" si="16"/>
        <v/>
      </c>
      <c r="V1047" s="233"/>
      <c r="W1047" s="63" t="s">
        <v>1949</v>
      </c>
    </row>
    <row r="1048" spans="1:23" ht="26">
      <c r="A1048" s="213" t="str">
        <f>IF(OR(CommitmentsTable[[#This Row],[Commitment / deliverable]]="",CommitmentsTable[[#This Row],[Immutable Key]]=""),"",SUBSTITUTE(CommitmentsTable[[#This Row],[Immutable Key]],"-K-","-"))</f>
        <v/>
      </c>
      <c r="B1048" s="233"/>
      <c r="C1048" s="233"/>
      <c r="D1048" s="213"/>
      <c r="E1048" s="230"/>
      <c r="F1048" s="213"/>
      <c r="G1048" s="245" t="str">
        <f ca="1">IF(CommitmentsTable[[#This Row],[Commitment / deliverable]]="","",IF(CommitmentsTable[[#This Row],[Date record entered]]="",TODAY(),CommitmentsTable[[#This Row],[Date record entered]]))</f>
        <v/>
      </c>
      <c r="H1048" s="245"/>
      <c r="I1048" s="245" t="str">
        <f ca="1">IF(CommitmentsTable[[#This Row],[Date Assigned if different from entry date]]&lt;&gt;"",CommitmentsTable[[#This Row],[Date Assigned if different from entry date]]+90,IF(CommitmentsTable[[#This Row],[Date record entered]]&lt;&gt;"",CommitmentsTable[[#This Row],[Date record entered]]+90,""))</f>
        <v/>
      </c>
      <c r="J1048" s="245" t="str">
        <f ca="1">IF(CommitmentsTable[[#This Row],[Date Assigned if different from entry date]]&lt;&gt;"",CommitmentsTable[[#This Row],[Date Assigned if different from entry date]]+30,IF(CommitmentsTable[[#This Row],[Date record entered]]&lt;&gt;"",CommitmentsTable[[#This Row],[Date record entered]]+30,""))</f>
        <v/>
      </c>
      <c r="K1048" s="245"/>
      <c r="L1048" s="245" t="str">
        <f ca="1">IF(CommitmentsTable[[#This Row],[Date Assigned if different from entry date]]&lt;&gt;"",CommitmentsTable[[#This Row],[Date Assigned if different from entry date]]+60,IF(CommitmentsTable[[#This Row],[Date record entered]]&lt;&gt;"",CommitmentsTable[[#This Row],[Date record entered]]+60,""))</f>
        <v/>
      </c>
      <c r="M1048" s="214"/>
      <c r="N1048" s="214"/>
      <c r="O1048" s="236"/>
      <c r="P1048" s="214"/>
      <c r="Q1048" s="214"/>
      <c r="R1048" s="214"/>
      <c r="S1048" s="238" t="str">
        <f>IF(CommitmentsTable[[#This Row],[Commitment / deliverable]]="","",IF(CommitmentsTable[[#This Row],[Revised due]]&lt;&gt;"",CommitmentsTable[[#This Row],[Revised due]],CommitmentsTable[[#This Row],[Original due]]))</f>
        <v/>
      </c>
      <c r="T1048" s="237" t="str">
        <f>IF(OR(CommitmentsTable[[#This Row],[Commitment / deliverable]]="",CommitmentsTable[[#This Row],[Owner]]=""),"",IF(CommitmentsTable[[#This Row],[Status2]]="","Open",CommitmentsTable[[#This Row],[Status2]]))</f>
        <v/>
      </c>
      <c r="U1048" s="237" t="str">
        <f t="shared" ca="1" si="16"/>
        <v/>
      </c>
      <c r="V1048" s="233"/>
      <c r="W1048" s="63" t="s">
        <v>1950</v>
      </c>
    </row>
    <row r="1049" spans="1:23" ht="26">
      <c r="A1049" s="213" t="str">
        <f>IF(OR(CommitmentsTable[[#This Row],[Commitment / deliverable]]="",CommitmentsTable[[#This Row],[Immutable Key]]=""),"",SUBSTITUTE(CommitmentsTable[[#This Row],[Immutable Key]],"-K-","-"))</f>
        <v/>
      </c>
      <c r="B1049" s="233"/>
      <c r="C1049" s="233"/>
      <c r="D1049" s="213"/>
      <c r="E1049" s="230"/>
      <c r="F1049" s="213"/>
      <c r="G1049" s="245" t="str">
        <f ca="1">IF(CommitmentsTable[[#This Row],[Commitment / deliverable]]="","",IF(CommitmentsTable[[#This Row],[Date record entered]]="",TODAY(),CommitmentsTable[[#This Row],[Date record entered]]))</f>
        <v/>
      </c>
      <c r="H1049" s="245"/>
      <c r="I1049" s="245" t="str">
        <f ca="1">IF(CommitmentsTable[[#This Row],[Date Assigned if different from entry date]]&lt;&gt;"",CommitmentsTable[[#This Row],[Date Assigned if different from entry date]]+90,IF(CommitmentsTable[[#This Row],[Date record entered]]&lt;&gt;"",CommitmentsTable[[#This Row],[Date record entered]]+90,""))</f>
        <v/>
      </c>
      <c r="J1049" s="245" t="str">
        <f ca="1">IF(CommitmentsTable[[#This Row],[Date Assigned if different from entry date]]&lt;&gt;"",CommitmentsTable[[#This Row],[Date Assigned if different from entry date]]+30,IF(CommitmentsTable[[#This Row],[Date record entered]]&lt;&gt;"",CommitmentsTable[[#This Row],[Date record entered]]+30,""))</f>
        <v/>
      </c>
      <c r="K1049" s="245"/>
      <c r="L1049" s="245" t="str">
        <f ca="1">IF(CommitmentsTable[[#This Row],[Date Assigned if different from entry date]]&lt;&gt;"",CommitmentsTable[[#This Row],[Date Assigned if different from entry date]]+60,IF(CommitmentsTable[[#This Row],[Date record entered]]&lt;&gt;"",CommitmentsTable[[#This Row],[Date record entered]]+60,""))</f>
        <v/>
      </c>
      <c r="M1049" s="214"/>
      <c r="N1049" s="214"/>
      <c r="O1049" s="236"/>
      <c r="P1049" s="214"/>
      <c r="Q1049" s="214"/>
      <c r="R1049" s="214"/>
      <c r="S1049" s="238" t="str">
        <f>IF(CommitmentsTable[[#This Row],[Commitment / deliverable]]="","",IF(CommitmentsTable[[#This Row],[Revised due]]&lt;&gt;"",CommitmentsTable[[#This Row],[Revised due]],CommitmentsTable[[#This Row],[Original due]]))</f>
        <v/>
      </c>
      <c r="T1049" s="237" t="str">
        <f>IF(OR(CommitmentsTable[[#This Row],[Commitment / deliverable]]="",CommitmentsTable[[#This Row],[Owner]]=""),"",IF(CommitmentsTable[[#This Row],[Status2]]="","Open",CommitmentsTable[[#This Row],[Status2]]))</f>
        <v/>
      </c>
      <c r="U1049" s="237" t="str">
        <f t="shared" ca="1" si="16"/>
        <v/>
      </c>
      <c r="V1049" s="233"/>
      <c r="W1049" s="63" t="s">
        <v>1951</v>
      </c>
    </row>
    <row r="1050" spans="1:23" ht="26">
      <c r="A1050" s="213" t="str">
        <f>IF(OR(CommitmentsTable[[#This Row],[Commitment / deliverable]]="",CommitmentsTable[[#This Row],[Immutable Key]]=""),"",SUBSTITUTE(CommitmentsTable[[#This Row],[Immutable Key]],"-K-","-"))</f>
        <v/>
      </c>
      <c r="B1050" s="233"/>
      <c r="C1050" s="233"/>
      <c r="D1050" s="213"/>
      <c r="E1050" s="230"/>
      <c r="F1050" s="213"/>
      <c r="G1050" s="245" t="str">
        <f ca="1">IF(CommitmentsTable[[#This Row],[Commitment / deliverable]]="","",IF(CommitmentsTable[[#This Row],[Date record entered]]="",TODAY(),CommitmentsTable[[#This Row],[Date record entered]]))</f>
        <v/>
      </c>
      <c r="H1050" s="245"/>
      <c r="I1050" s="245" t="str">
        <f ca="1">IF(CommitmentsTable[[#This Row],[Date Assigned if different from entry date]]&lt;&gt;"",CommitmentsTable[[#This Row],[Date Assigned if different from entry date]]+90,IF(CommitmentsTable[[#This Row],[Date record entered]]&lt;&gt;"",CommitmentsTable[[#This Row],[Date record entered]]+90,""))</f>
        <v/>
      </c>
      <c r="J1050" s="245" t="str">
        <f ca="1">IF(CommitmentsTable[[#This Row],[Date Assigned if different from entry date]]&lt;&gt;"",CommitmentsTable[[#This Row],[Date Assigned if different from entry date]]+30,IF(CommitmentsTable[[#This Row],[Date record entered]]&lt;&gt;"",CommitmentsTable[[#This Row],[Date record entered]]+30,""))</f>
        <v/>
      </c>
      <c r="K1050" s="245"/>
      <c r="L1050" s="245" t="str">
        <f ca="1">IF(CommitmentsTable[[#This Row],[Date Assigned if different from entry date]]&lt;&gt;"",CommitmentsTable[[#This Row],[Date Assigned if different from entry date]]+60,IF(CommitmentsTable[[#This Row],[Date record entered]]&lt;&gt;"",CommitmentsTable[[#This Row],[Date record entered]]+60,""))</f>
        <v/>
      </c>
      <c r="M1050" s="214"/>
      <c r="N1050" s="214"/>
      <c r="O1050" s="236"/>
      <c r="P1050" s="214"/>
      <c r="Q1050" s="214"/>
      <c r="R1050" s="214"/>
      <c r="S1050" s="238" t="str">
        <f>IF(CommitmentsTable[[#This Row],[Commitment / deliverable]]="","",IF(CommitmentsTable[[#This Row],[Revised due]]&lt;&gt;"",CommitmentsTable[[#This Row],[Revised due]],CommitmentsTable[[#This Row],[Original due]]))</f>
        <v/>
      </c>
      <c r="T1050" s="237" t="str">
        <f>IF(OR(CommitmentsTable[[#This Row],[Commitment / deliverable]]="",CommitmentsTable[[#This Row],[Owner]]=""),"",IF(CommitmentsTable[[#This Row],[Status2]]="","Open",CommitmentsTable[[#This Row],[Status2]]))</f>
        <v/>
      </c>
      <c r="U1050" s="237" t="str">
        <f t="shared" ca="1" si="16"/>
        <v/>
      </c>
      <c r="V1050" s="233"/>
      <c r="W1050" s="63" t="s">
        <v>1952</v>
      </c>
    </row>
    <row r="1051" spans="1:23" ht="26">
      <c r="A1051" s="213" t="str">
        <f>IF(OR(CommitmentsTable[[#This Row],[Commitment / deliverable]]="",CommitmentsTable[[#This Row],[Immutable Key]]=""),"",SUBSTITUTE(CommitmentsTable[[#This Row],[Immutable Key]],"-K-","-"))</f>
        <v/>
      </c>
      <c r="B1051" s="233"/>
      <c r="C1051" s="233"/>
      <c r="D1051" s="213"/>
      <c r="E1051" s="230"/>
      <c r="F1051" s="213"/>
      <c r="G1051" s="245" t="str">
        <f ca="1">IF(CommitmentsTable[[#This Row],[Commitment / deliverable]]="","",IF(CommitmentsTable[[#This Row],[Date record entered]]="",TODAY(),CommitmentsTable[[#This Row],[Date record entered]]))</f>
        <v/>
      </c>
      <c r="H1051" s="245"/>
      <c r="I1051" s="245" t="str">
        <f ca="1">IF(CommitmentsTable[[#This Row],[Date Assigned if different from entry date]]&lt;&gt;"",CommitmentsTable[[#This Row],[Date Assigned if different from entry date]]+90,IF(CommitmentsTable[[#This Row],[Date record entered]]&lt;&gt;"",CommitmentsTable[[#This Row],[Date record entered]]+90,""))</f>
        <v/>
      </c>
      <c r="J1051" s="245" t="str">
        <f ca="1">IF(CommitmentsTable[[#This Row],[Date Assigned if different from entry date]]&lt;&gt;"",CommitmentsTable[[#This Row],[Date Assigned if different from entry date]]+30,IF(CommitmentsTable[[#This Row],[Date record entered]]&lt;&gt;"",CommitmentsTable[[#This Row],[Date record entered]]+30,""))</f>
        <v/>
      </c>
      <c r="K1051" s="245"/>
      <c r="L1051" s="245" t="str">
        <f ca="1">IF(CommitmentsTable[[#This Row],[Date Assigned if different from entry date]]&lt;&gt;"",CommitmentsTable[[#This Row],[Date Assigned if different from entry date]]+60,IF(CommitmentsTable[[#This Row],[Date record entered]]&lt;&gt;"",CommitmentsTable[[#This Row],[Date record entered]]+60,""))</f>
        <v/>
      </c>
      <c r="M1051" s="214"/>
      <c r="N1051" s="214"/>
      <c r="O1051" s="236"/>
      <c r="P1051" s="214"/>
      <c r="Q1051" s="214"/>
      <c r="R1051" s="214"/>
      <c r="S1051" s="238" t="str">
        <f>IF(CommitmentsTable[[#This Row],[Commitment / deliverable]]="","",IF(CommitmentsTable[[#This Row],[Revised due]]&lt;&gt;"",CommitmentsTable[[#This Row],[Revised due]],CommitmentsTable[[#This Row],[Original due]]))</f>
        <v/>
      </c>
      <c r="T1051" s="237" t="str">
        <f>IF(OR(CommitmentsTable[[#This Row],[Commitment / deliverable]]="",CommitmentsTable[[#This Row],[Owner]]=""),"",IF(CommitmentsTable[[#This Row],[Status2]]="","Open",CommitmentsTable[[#This Row],[Status2]]))</f>
        <v/>
      </c>
      <c r="U1051" s="237" t="str">
        <f t="shared" ca="1" si="16"/>
        <v/>
      </c>
      <c r="V1051" s="233"/>
      <c r="W1051" s="63" t="s">
        <v>1953</v>
      </c>
    </row>
    <row r="1052" spans="1:23" ht="26">
      <c r="A1052" s="213" t="str">
        <f>IF(OR(CommitmentsTable[[#This Row],[Commitment / deliverable]]="",CommitmentsTable[[#This Row],[Immutable Key]]=""),"",SUBSTITUTE(CommitmentsTable[[#This Row],[Immutable Key]],"-K-","-"))</f>
        <v/>
      </c>
      <c r="B1052" s="233"/>
      <c r="C1052" s="233"/>
      <c r="D1052" s="213"/>
      <c r="E1052" s="230"/>
      <c r="F1052" s="213"/>
      <c r="G1052" s="245" t="str">
        <f ca="1">IF(CommitmentsTable[[#This Row],[Commitment / deliverable]]="","",IF(CommitmentsTable[[#This Row],[Date record entered]]="",TODAY(),CommitmentsTable[[#This Row],[Date record entered]]))</f>
        <v/>
      </c>
      <c r="H1052" s="245"/>
      <c r="I1052" s="245" t="str">
        <f ca="1">IF(CommitmentsTable[[#This Row],[Date Assigned if different from entry date]]&lt;&gt;"",CommitmentsTable[[#This Row],[Date Assigned if different from entry date]]+90,IF(CommitmentsTable[[#This Row],[Date record entered]]&lt;&gt;"",CommitmentsTable[[#This Row],[Date record entered]]+90,""))</f>
        <v/>
      </c>
      <c r="J1052" s="245" t="str">
        <f ca="1">IF(CommitmentsTable[[#This Row],[Date Assigned if different from entry date]]&lt;&gt;"",CommitmentsTable[[#This Row],[Date Assigned if different from entry date]]+30,IF(CommitmentsTable[[#This Row],[Date record entered]]&lt;&gt;"",CommitmentsTable[[#This Row],[Date record entered]]+30,""))</f>
        <v/>
      </c>
      <c r="K1052" s="245"/>
      <c r="L1052" s="245" t="str">
        <f ca="1">IF(CommitmentsTable[[#This Row],[Date Assigned if different from entry date]]&lt;&gt;"",CommitmentsTable[[#This Row],[Date Assigned if different from entry date]]+60,IF(CommitmentsTable[[#This Row],[Date record entered]]&lt;&gt;"",CommitmentsTable[[#This Row],[Date record entered]]+60,""))</f>
        <v/>
      </c>
      <c r="M1052" s="214"/>
      <c r="N1052" s="214"/>
      <c r="O1052" s="236"/>
      <c r="P1052" s="214"/>
      <c r="Q1052" s="214"/>
      <c r="R1052" s="214"/>
      <c r="S1052" s="238" t="str">
        <f>IF(CommitmentsTable[[#This Row],[Commitment / deliverable]]="","",IF(CommitmentsTable[[#This Row],[Revised due]]&lt;&gt;"",CommitmentsTable[[#This Row],[Revised due]],CommitmentsTable[[#This Row],[Original due]]))</f>
        <v/>
      </c>
      <c r="T1052" s="237" t="str">
        <f>IF(OR(CommitmentsTable[[#This Row],[Commitment / deliverable]]="",CommitmentsTable[[#This Row],[Owner]]=""),"",IF(CommitmentsTable[[#This Row],[Status2]]="","Open",CommitmentsTable[[#This Row],[Status2]]))</f>
        <v/>
      </c>
      <c r="U1052" s="237" t="str">
        <f t="shared" ca="1" si="16"/>
        <v/>
      </c>
      <c r="V1052" s="233"/>
      <c r="W1052" s="63" t="s">
        <v>1954</v>
      </c>
    </row>
    <row r="1053" spans="1:23" ht="26">
      <c r="A1053" s="213" t="str">
        <f>IF(OR(CommitmentsTable[[#This Row],[Commitment / deliverable]]="",CommitmentsTable[[#This Row],[Immutable Key]]=""),"",SUBSTITUTE(CommitmentsTable[[#This Row],[Immutable Key]],"-K-","-"))</f>
        <v/>
      </c>
      <c r="B1053" s="233"/>
      <c r="C1053" s="233"/>
      <c r="D1053" s="213"/>
      <c r="E1053" s="230"/>
      <c r="F1053" s="213"/>
      <c r="G1053" s="245" t="str">
        <f ca="1">IF(CommitmentsTable[[#This Row],[Commitment / deliverable]]="","",IF(CommitmentsTable[[#This Row],[Date record entered]]="",TODAY(),CommitmentsTable[[#This Row],[Date record entered]]))</f>
        <v/>
      </c>
      <c r="H1053" s="245"/>
      <c r="I1053" s="245" t="str">
        <f ca="1">IF(CommitmentsTable[[#This Row],[Date Assigned if different from entry date]]&lt;&gt;"",CommitmentsTable[[#This Row],[Date Assigned if different from entry date]]+90,IF(CommitmentsTable[[#This Row],[Date record entered]]&lt;&gt;"",CommitmentsTable[[#This Row],[Date record entered]]+90,""))</f>
        <v/>
      </c>
      <c r="J1053" s="245" t="str">
        <f ca="1">IF(CommitmentsTable[[#This Row],[Date Assigned if different from entry date]]&lt;&gt;"",CommitmentsTable[[#This Row],[Date Assigned if different from entry date]]+30,IF(CommitmentsTable[[#This Row],[Date record entered]]&lt;&gt;"",CommitmentsTable[[#This Row],[Date record entered]]+30,""))</f>
        <v/>
      </c>
      <c r="K1053" s="245"/>
      <c r="L1053" s="245" t="str">
        <f ca="1">IF(CommitmentsTable[[#This Row],[Date Assigned if different from entry date]]&lt;&gt;"",CommitmentsTable[[#This Row],[Date Assigned if different from entry date]]+60,IF(CommitmentsTable[[#This Row],[Date record entered]]&lt;&gt;"",CommitmentsTable[[#This Row],[Date record entered]]+60,""))</f>
        <v/>
      </c>
      <c r="M1053" s="214"/>
      <c r="N1053" s="214"/>
      <c r="O1053" s="236"/>
      <c r="P1053" s="214"/>
      <c r="Q1053" s="214"/>
      <c r="R1053" s="214"/>
      <c r="S1053" s="238" t="str">
        <f>IF(CommitmentsTable[[#This Row],[Commitment / deliverable]]="","",IF(CommitmentsTable[[#This Row],[Revised due]]&lt;&gt;"",CommitmentsTable[[#This Row],[Revised due]],CommitmentsTable[[#This Row],[Original due]]))</f>
        <v/>
      </c>
      <c r="T1053" s="237" t="str">
        <f>IF(OR(CommitmentsTable[[#This Row],[Commitment / deliverable]]="",CommitmentsTable[[#This Row],[Owner]]=""),"",IF(CommitmentsTable[[#This Row],[Status2]]="","Open",CommitmentsTable[[#This Row],[Status2]]))</f>
        <v/>
      </c>
      <c r="U1053" s="237" t="str">
        <f t="shared" ca="1" si="16"/>
        <v/>
      </c>
      <c r="V1053" s="233"/>
      <c r="W1053" s="63" t="s">
        <v>1955</v>
      </c>
    </row>
    <row r="1054" spans="1:23" ht="26">
      <c r="A1054" s="213" t="str">
        <f>IF(OR(CommitmentsTable[[#This Row],[Commitment / deliverable]]="",CommitmentsTable[[#This Row],[Immutable Key]]=""),"",SUBSTITUTE(CommitmentsTable[[#This Row],[Immutable Key]],"-K-","-"))</f>
        <v/>
      </c>
      <c r="B1054" s="233"/>
      <c r="C1054" s="233"/>
      <c r="D1054" s="213"/>
      <c r="E1054" s="230"/>
      <c r="F1054" s="213"/>
      <c r="G1054" s="245" t="str">
        <f ca="1">IF(CommitmentsTable[[#This Row],[Commitment / deliverable]]="","",IF(CommitmentsTable[[#This Row],[Date record entered]]="",TODAY(),CommitmentsTable[[#This Row],[Date record entered]]))</f>
        <v/>
      </c>
      <c r="H1054" s="245"/>
      <c r="I1054" s="245" t="str">
        <f ca="1">IF(CommitmentsTable[[#This Row],[Date Assigned if different from entry date]]&lt;&gt;"",CommitmentsTable[[#This Row],[Date Assigned if different from entry date]]+90,IF(CommitmentsTable[[#This Row],[Date record entered]]&lt;&gt;"",CommitmentsTable[[#This Row],[Date record entered]]+90,""))</f>
        <v/>
      </c>
      <c r="J1054" s="245" t="str">
        <f ca="1">IF(CommitmentsTable[[#This Row],[Date Assigned if different from entry date]]&lt;&gt;"",CommitmentsTable[[#This Row],[Date Assigned if different from entry date]]+30,IF(CommitmentsTable[[#This Row],[Date record entered]]&lt;&gt;"",CommitmentsTable[[#This Row],[Date record entered]]+30,""))</f>
        <v/>
      </c>
      <c r="K1054" s="245"/>
      <c r="L1054" s="245" t="str">
        <f ca="1">IF(CommitmentsTable[[#This Row],[Date Assigned if different from entry date]]&lt;&gt;"",CommitmentsTable[[#This Row],[Date Assigned if different from entry date]]+60,IF(CommitmentsTable[[#This Row],[Date record entered]]&lt;&gt;"",CommitmentsTable[[#This Row],[Date record entered]]+60,""))</f>
        <v/>
      </c>
      <c r="M1054" s="214"/>
      <c r="N1054" s="214"/>
      <c r="O1054" s="236"/>
      <c r="P1054" s="214"/>
      <c r="Q1054" s="214"/>
      <c r="R1054" s="214"/>
      <c r="S1054" s="238" t="str">
        <f>IF(CommitmentsTable[[#This Row],[Commitment / deliverable]]="","",IF(CommitmentsTable[[#This Row],[Revised due]]&lt;&gt;"",CommitmentsTable[[#This Row],[Revised due]],CommitmentsTable[[#This Row],[Original due]]))</f>
        <v/>
      </c>
      <c r="T1054" s="237" t="str">
        <f>IF(OR(CommitmentsTable[[#This Row],[Commitment / deliverable]]="",CommitmentsTable[[#This Row],[Owner]]=""),"",IF(CommitmentsTable[[#This Row],[Status2]]="","Open",CommitmentsTable[[#This Row],[Status2]]))</f>
        <v/>
      </c>
      <c r="U1054" s="237" t="str">
        <f t="shared" ca="1" si="16"/>
        <v/>
      </c>
      <c r="V1054" s="233"/>
      <c r="W1054" s="63" t="s">
        <v>1956</v>
      </c>
    </row>
    <row r="1055" spans="1:23" ht="26">
      <c r="A1055" s="213" t="str">
        <f>IF(OR(CommitmentsTable[[#This Row],[Commitment / deliverable]]="",CommitmentsTable[[#This Row],[Immutable Key]]=""),"",SUBSTITUTE(CommitmentsTable[[#This Row],[Immutable Key]],"-K-","-"))</f>
        <v/>
      </c>
      <c r="B1055" s="233"/>
      <c r="C1055" s="233"/>
      <c r="D1055" s="213"/>
      <c r="E1055" s="230"/>
      <c r="F1055" s="213"/>
      <c r="G1055" s="245" t="str">
        <f ca="1">IF(CommitmentsTable[[#This Row],[Commitment / deliverable]]="","",IF(CommitmentsTable[[#This Row],[Date record entered]]="",TODAY(),CommitmentsTable[[#This Row],[Date record entered]]))</f>
        <v/>
      </c>
      <c r="H1055" s="245"/>
      <c r="I1055" s="245" t="str">
        <f ca="1">IF(CommitmentsTable[[#This Row],[Date Assigned if different from entry date]]&lt;&gt;"",CommitmentsTable[[#This Row],[Date Assigned if different from entry date]]+90,IF(CommitmentsTable[[#This Row],[Date record entered]]&lt;&gt;"",CommitmentsTable[[#This Row],[Date record entered]]+90,""))</f>
        <v/>
      </c>
      <c r="J1055" s="245" t="str">
        <f ca="1">IF(CommitmentsTable[[#This Row],[Date Assigned if different from entry date]]&lt;&gt;"",CommitmentsTable[[#This Row],[Date Assigned if different from entry date]]+30,IF(CommitmentsTable[[#This Row],[Date record entered]]&lt;&gt;"",CommitmentsTable[[#This Row],[Date record entered]]+30,""))</f>
        <v/>
      </c>
      <c r="K1055" s="245"/>
      <c r="L1055" s="245" t="str">
        <f ca="1">IF(CommitmentsTable[[#This Row],[Date Assigned if different from entry date]]&lt;&gt;"",CommitmentsTable[[#This Row],[Date Assigned if different from entry date]]+60,IF(CommitmentsTable[[#This Row],[Date record entered]]&lt;&gt;"",CommitmentsTable[[#This Row],[Date record entered]]+60,""))</f>
        <v/>
      </c>
      <c r="M1055" s="214"/>
      <c r="N1055" s="214"/>
      <c r="O1055" s="236"/>
      <c r="P1055" s="214"/>
      <c r="Q1055" s="214"/>
      <c r="R1055" s="214"/>
      <c r="S1055" s="238" t="str">
        <f>IF(CommitmentsTable[[#This Row],[Commitment / deliverable]]="","",IF(CommitmentsTable[[#This Row],[Revised due]]&lt;&gt;"",CommitmentsTable[[#This Row],[Revised due]],CommitmentsTable[[#This Row],[Original due]]))</f>
        <v/>
      </c>
      <c r="T1055" s="237" t="str">
        <f>IF(OR(CommitmentsTable[[#This Row],[Commitment / deliverable]]="",CommitmentsTable[[#This Row],[Owner]]=""),"",IF(CommitmentsTable[[#This Row],[Status2]]="","Open",CommitmentsTable[[#This Row],[Status2]]))</f>
        <v/>
      </c>
      <c r="U1055" s="237" t="str">
        <f t="shared" ca="1" si="16"/>
        <v/>
      </c>
      <c r="V1055" s="233"/>
      <c r="W1055" s="63" t="s">
        <v>1957</v>
      </c>
    </row>
    <row r="1056" spans="1:23" ht="26">
      <c r="A1056" s="213" t="str">
        <f>IF(OR(CommitmentsTable[[#This Row],[Commitment / deliverable]]="",CommitmentsTable[[#This Row],[Immutable Key]]=""),"",SUBSTITUTE(CommitmentsTable[[#This Row],[Immutable Key]],"-K-","-"))</f>
        <v/>
      </c>
      <c r="B1056" s="233"/>
      <c r="C1056" s="233"/>
      <c r="D1056" s="213"/>
      <c r="E1056" s="230"/>
      <c r="F1056" s="213"/>
      <c r="G1056" s="245" t="str">
        <f ca="1">IF(CommitmentsTable[[#This Row],[Commitment / deliverable]]="","",IF(CommitmentsTable[[#This Row],[Date record entered]]="",TODAY(),CommitmentsTable[[#This Row],[Date record entered]]))</f>
        <v/>
      </c>
      <c r="H1056" s="245"/>
      <c r="I1056" s="245" t="str">
        <f ca="1">IF(CommitmentsTable[[#This Row],[Date Assigned if different from entry date]]&lt;&gt;"",CommitmentsTable[[#This Row],[Date Assigned if different from entry date]]+90,IF(CommitmentsTable[[#This Row],[Date record entered]]&lt;&gt;"",CommitmentsTable[[#This Row],[Date record entered]]+90,""))</f>
        <v/>
      </c>
      <c r="J1056" s="245" t="str">
        <f ca="1">IF(CommitmentsTable[[#This Row],[Date Assigned if different from entry date]]&lt;&gt;"",CommitmentsTable[[#This Row],[Date Assigned if different from entry date]]+30,IF(CommitmentsTable[[#This Row],[Date record entered]]&lt;&gt;"",CommitmentsTable[[#This Row],[Date record entered]]+30,""))</f>
        <v/>
      </c>
      <c r="K1056" s="245"/>
      <c r="L1056" s="245" t="str">
        <f ca="1">IF(CommitmentsTable[[#This Row],[Date Assigned if different from entry date]]&lt;&gt;"",CommitmentsTable[[#This Row],[Date Assigned if different from entry date]]+60,IF(CommitmentsTable[[#This Row],[Date record entered]]&lt;&gt;"",CommitmentsTable[[#This Row],[Date record entered]]+60,""))</f>
        <v/>
      </c>
      <c r="M1056" s="214"/>
      <c r="N1056" s="214"/>
      <c r="O1056" s="236"/>
      <c r="P1056" s="214"/>
      <c r="Q1056" s="214"/>
      <c r="R1056" s="214"/>
      <c r="S1056" s="238" t="str">
        <f>IF(CommitmentsTable[[#This Row],[Commitment / deliverable]]="","",IF(CommitmentsTable[[#This Row],[Revised due]]&lt;&gt;"",CommitmentsTable[[#This Row],[Revised due]],CommitmentsTable[[#This Row],[Original due]]))</f>
        <v/>
      </c>
      <c r="T1056" s="237" t="str">
        <f>IF(OR(CommitmentsTable[[#This Row],[Commitment / deliverable]]="",CommitmentsTable[[#This Row],[Owner]]=""),"",IF(CommitmentsTable[[#This Row],[Status2]]="","Open",CommitmentsTable[[#This Row],[Status2]]))</f>
        <v/>
      </c>
      <c r="U1056" s="237" t="str">
        <f t="shared" ca="1" si="16"/>
        <v/>
      </c>
      <c r="V1056" s="233"/>
      <c r="W1056" s="63" t="s">
        <v>1958</v>
      </c>
    </row>
    <row r="1057" spans="1:23" ht="26">
      <c r="A1057" s="213" t="str">
        <f>IF(OR(CommitmentsTable[[#This Row],[Commitment / deliverable]]="",CommitmentsTable[[#This Row],[Immutable Key]]=""),"",SUBSTITUTE(CommitmentsTable[[#This Row],[Immutable Key]],"-K-","-"))</f>
        <v/>
      </c>
      <c r="B1057" s="233"/>
      <c r="C1057" s="233"/>
      <c r="D1057" s="213"/>
      <c r="E1057" s="230"/>
      <c r="F1057" s="213"/>
      <c r="G1057" s="245" t="str">
        <f ca="1">IF(CommitmentsTable[[#This Row],[Commitment / deliverable]]="","",IF(CommitmentsTable[[#This Row],[Date record entered]]="",TODAY(),CommitmentsTable[[#This Row],[Date record entered]]))</f>
        <v/>
      </c>
      <c r="H1057" s="245"/>
      <c r="I1057" s="245" t="str">
        <f ca="1">IF(CommitmentsTable[[#This Row],[Date Assigned if different from entry date]]&lt;&gt;"",CommitmentsTable[[#This Row],[Date Assigned if different from entry date]]+90,IF(CommitmentsTable[[#This Row],[Date record entered]]&lt;&gt;"",CommitmentsTable[[#This Row],[Date record entered]]+90,""))</f>
        <v/>
      </c>
      <c r="J1057" s="245" t="str">
        <f ca="1">IF(CommitmentsTable[[#This Row],[Date Assigned if different from entry date]]&lt;&gt;"",CommitmentsTable[[#This Row],[Date Assigned if different from entry date]]+30,IF(CommitmentsTable[[#This Row],[Date record entered]]&lt;&gt;"",CommitmentsTable[[#This Row],[Date record entered]]+30,""))</f>
        <v/>
      </c>
      <c r="K1057" s="245"/>
      <c r="L1057" s="245" t="str">
        <f ca="1">IF(CommitmentsTable[[#This Row],[Date Assigned if different from entry date]]&lt;&gt;"",CommitmentsTable[[#This Row],[Date Assigned if different from entry date]]+60,IF(CommitmentsTable[[#This Row],[Date record entered]]&lt;&gt;"",CommitmentsTable[[#This Row],[Date record entered]]+60,""))</f>
        <v/>
      </c>
      <c r="M1057" s="214"/>
      <c r="N1057" s="214"/>
      <c r="O1057" s="236"/>
      <c r="P1057" s="214"/>
      <c r="Q1057" s="214"/>
      <c r="R1057" s="214"/>
      <c r="S1057" s="238" t="str">
        <f>IF(CommitmentsTable[[#This Row],[Commitment / deliverable]]="","",IF(CommitmentsTable[[#This Row],[Revised due]]&lt;&gt;"",CommitmentsTable[[#This Row],[Revised due]],CommitmentsTable[[#This Row],[Original due]]))</f>
        <v/>
      </c>
      <c r="T1057" s="237" t="str">
        <f>IF(OR(CommitmentsTable[[#This Row],[Commitment / deliverable]]="",CommitmentsTable[[#This Row],[Owner]]=""),"",IF(CommitmentsTable[[#This Row],[Status2]]="","Open",CommitmentsTable[[#This Row],[Status2]]))</f>
        <v/>
      </c>
      <c r="U1057" s="237" t="str">
        <f t="shared" ca="1" si="16"/>
        <v/>
      </c>
      <c r="V1057" s="233"/>
      <c r="W1057" s="63" t="s">
        <v>1959</v>
      </c>
    </row>
    <row r="1058" spans="1:23" ht="26">
      <c r="A1058" s="213" t="str">
        <f>IF(OR(CommitmentsTable[[#This Row],[Commitment / deliverable]]="",CommitmentsTable[[#This Row],[Immutable Key]]=""),"",SUBSTITUTE(CommitmentsTable[[#This Row],[Immutable Key]],"-K-","-"))</f>
        <v/>
      </c>
      <c r="B1058" s="233"/>
      <c r="C1058" s="233"/>
      <c r="D1058" s="213"/>
      <c r="E1058" s="230"/>
      <c r="F1058" s="213"/>
      <c r="G1058" s="245" t="str">
        <f ca="1">IF(CommitmentsTable[[#This Row],[Commitment / deliverable]]="","",IF(CommitmentsTable[[#This Row],[Date record entered]]="",TODAY(),CommitmentsTable[[#This Row],[Date record entered]]))</f>
        <v/>
      </c>
      <c r="H1058" s="245"/>
      <c r="I1058" s="245" t="str">
        <f ca="1">IF(CommitmentsTable[[#This Row],[Date Assigned if different from entry date]]&lt;&gt;"",CommitmentsTable[[#This Row],[Date Assigned if different from entry date]]+90,IF(CommitmentsTable[[#This Row],[Date record entered]]&lt;&gt;"",CommitmentsTable[[#This Row],[Date record entered]]+90,""))</f>
        <v/>
      </c>
      <c r="J1058" s="245" t="str">
        <f ca="1">IF(CommitmentsTable[[#This Row],[Date Assigned if different from entry date]]&lt;&gt;"",CommitmentsTable[[#This Row],[Date Assigned if different from entry date]]+30,IF(CommitmentsTable[[#This Row],[Date record entered]]&lt;&gt;"",CommitmentsTable[[#This Row],[Date record entered]]+30,""))</f>
        <v/>
      </c>
      <c r="K1058" s="245"/>
      <c r="L1058" s="245" t="str">
        <f ca="1">IF(CommitmentsTable[[#This Row],[Date Assigned if different from entry date]]&lt;&gt;"",CommitmentsTable[[#This Row],[Date Assigned if different from entry date]]+60,IF(CommitmentsTable[[#This Row],[Date record entered]]&lt;&gt;"",CommitmentsTable[[#This Row],[Date record entered]]+60,""))</f>
        <v/>
      </c>
      <c r="M1058" s="214"/>
      <c r="N1058" s="214"/>
      <c r="O1058" s="236"/>
      <c r="P1058" s="214"/>
      <c r="Q1058" s="214"/>
      <c r="R1058" s="214"/>
      <c r="S1058" s="238" t="str">
        <f>IF(CommitmentsTable[[#This Row],[Commitment / deliverable]]="","",IF(CommitmentsTable[[#This Row],[Revised due]]&lt;&gt;"",CommitmentsTable[[#This Row],[Revised due]],CommitmentsTable[[#This Row],[Original due]]))</f>
        <v/>
      </c>
      <c r="T1058" s="237" t="str">
        <f>IF(OR(CommitmentsTable[[#This Row],[Commitment / deliverable]]="",CommitmentsTable[[#This Row],[Owner]]=""),"",IF(CommitmentsTable[[#This Row],[Status2]]="","Open",CommitmentsTable[[#This Row],[Status2]]))</f>
        <v/>
      </c>
      <c r="U1058" s="237" t="str">
        <f t="shared" ca="1" si="16"/>
        <v/>
      </c>
      <c r="V1058" s="233"/>
      <c r="W1058" s="63" t="s">
        <v>1960</v>
      </c>
    </row>
    <row r="1059" spans="1:23" ht="26">
      <c r="A1059" s="213" t="str">
        <f>IF(OR(CommitmentsTable[[#This Row],[Commitment / deliverable]]="",CommitmentsTable[[#This Row],[Immutable Key]]=""),"",SUBSTITUTE(CommitmentsTable[[#This Row],[Immutable Key]],"-K-","-"))</f>
        <v/>
      </c>
      <c r="B1059" s="233"/>
      <c r="C1059" s="233"/>
      <c r="D1059" s="213"/>
      <c r="E1059" s="230"/>
      <c r="F1059" s="213"/>
      <c r="G1059" s="245" t="str">
        <f ca="1">IF(CommitmentsTable[[#This Row],[Commitment / deliverable]]="","",IF(CommitmentsTable[[#This Row],[Date record entered]]="",TODAY(),CommitmentsTable[[#This Row],[Date record entered]]))</f>
        <v/>
      </c>
      <c r="H1059" s="245"/>
      <c r="I1059" s="245" t="str">
        <f ca="1">IF(CommitmentsTable[[#This Row],[Date Assigned if different from entry date]]&lt;&gt;"",CommitmentsTable[[#This Row],[Date Assigned if different from entry date]]+90,IF(CommitmentsTable[[#This Row],[Date record entered]]&lt;&gt;"",CommitmentsTable[[#This Row],[Date record entered]]+90,""))</f>
        <v/>
      </c>
      <c r="J1059" s="245" t="str">
        <f ca="1">IF(CommitmentsTable[[#This Row],[Date Assigned if different from entry date]]&lt;&gt;"",CommitmentsTable[[#This Row],[Date Assigned if different from entry date]]+30,IF(CommitmentsTable[[#This Row],[Date record entered]]&lt;&gt;"",CommitmentsTable[[#This Row],[Date record entered]]+30,""))</f>
        <v/>
      </c>
      <c r="K1059" s="245"/>
      <c r="L1059" s="245" t="str">
        <f ca="1">IF(CommitmentsTable[[#This Row],[Date Assigned if different from entry date]]&lt;&gt;"",CommitmentsTable[[#This Row],[Date Assigned if different from entry date]]+60,IF(CommitmentsTable[[#This Row],[Date record entered]]&lt;&gt;"",CommitmentsTable[[#This Row],[Date record entered]]+60,""))</f>
        <v/>
      </c>
      <c r="M1059" s="214"/>
      <c r="N1059" s="214"/>
      <c r="O1059" s="236"/>
      <c r="P1059" s="214"/>
      <c r="Q1059" s="214"/>
      <c r="R1059" s="214"/>
      <c r="S1059" s="238" t="str">
        <f>IF(CommitmentsTable[[#This Row],[Commitment / deliverable]]="","",IF(CommitmentsTable[[#This Row],[Revised due]]&lt;&gt;"",CommitmentsTable[[#This Row],[Revised due]],CommitmentsTable[[#This Row],[Original due]]))</f>
        <v/>
      </c>
      <c r="T1059" s="237" t="str">
        <f>IF(OR(CommitmentsTable[[#This Row],[Commitment / deliverable]]="",CommitmentsTable[[#This Row],[Owner]]=""),"",IF(CommitmentsTable[[#This Row],[Status2]]="","Open",CommitmentsTable[[#This Row],[Status2]]))</f>
        <v/>
      </c>
      <c r="U1059" s="237" t="str">
        <f t="shared" ca="1" si="16"/>
        <v/>
      </c>
      <c r="V1059" s="233"/>
      <c r="W1059" s="63" t="s">
        <v>1961</v>
      </c>
    </row>
    <row r="1060" spans="1:23" ht="26">
      <c r="A1060" s="213" t="str">
        <f>IF(OR(CommitmentsTable[[#This Row],[Commitment / deliverable]]="",CommitmentsTable[[#This Row],[Immutable Key]]=""),"",SUBSTITUTE(CommitmentsTable[[#This Row],[Immutable Key]],"-K-","-"))</f>
        <v/>
      </c>
      <c r="B1060" s="233"/>
      <c r="C1060" s="233"/>
      <c r="D1060" s="213"/>
      <c r="E1060" s="230"/>
      <c r="F1060" s="213"/>
      <c r="G1060" s="245" t="str">
        <f ca="1">IF(CommitmentsTable[[#This Row],[Commitment / deliverable]]="","",IF(CommitmentsTable[[#This Row],[Date record entered]]="",TODAY(),CommitmentsTable[[#This Row],[Date record entered]]))</f>
        <v/>
      </c>
      <c r="H1060" s="245"/>
      <c r="I1060" s="245" t="str">
        <f ca="1">IF(CommitmentsTable[[#This Row],[Date Assigned if different from entry date]]&lt;&gt;"",CommitmentsTable[[#This Row],[Date Assigned if different from entry date]]+90,IF(CommitmentsTable[[#This Row],[Date record entered]]&lt;&gt;"",CommitmentsTable[[#This Row],[Date record entered]]+90,""))</f>
        <v/>
      </c>
      <c r="J1060" s="245" t="str">
        <f ca="1">IF(CommitmentsTable[[#This Row],[Date Assigned if different from entry date]]&lt;&gt;"",CommitmentsTable[[#This Row],[Date Assigned if different from entry date]]+30,IF(CommitmentsTable[[#This Row],[Date record entered]]&lt;&gt;"",CommitmentsTable[[#This Row],[Date record entered]]+30,""))</f>
        <v/>
      </c>
      <c r="K1060" s="245"/>
      <c r="L1060" s="245" t="str">
        <f ca="1">IF(CommitmentsTable[[#This Row],[Date Assigned if different from entry date]]&lt;&gt;"",CommitmentsTable[[#This Row],[Date Assigned if different from entry date]]+60,IF(CommitmentsTable[[#This Row],[Date record entered]]&lt;&gt;"",CommitmentsTable[[#This Row],[Date record entered]]+60,""))</f>
        <v/>
      </c>
      <c r="M1060" s="214"/>
      <c r="N1060" s="214"/>
      <c r="O1060" s="236"/>
      <c r="P1060" s="214"/>
      <c r="Q1060" s="214"/>
      <c r="R1060" s="214"/>
      <c r="S1060" s="238" t="str">
        <f>IF(CommitmentsTable[[#This Row],[Commitment / deliverable]]="","",IF(CommitmentsTable[[#This Row],[Revised due]]&lt;&gt;"",CommitmentsTable[[#This Row],[Revised due]],CommitmentsTable[[#This Row],[Original due]]))</f>
        <v/>
      </c>
      <c r="T1060" s="237" t="str">
        <f>IF(OR(CommitmentsTable[[#This Row],[Commitment / deliverable]]="",CommitmentsTable[[#This Row],[Owner]]=""),"",IF(CommitmentsTable[[#This Row],[Status2]]="","Open",CommitmentsTable[[#This Row],[Status2]]))</f>
        <v/>
      </c>
      <c r="U1060" s="237" t="str">
        <f t="shared" ca="1" si="16"/>
        <v/>
      </c>
      <c r="V1060" s="233"/>
      <c r="W1060" s="63" t="s">
        <v>1962</v>
      </c>
    </row>
    <row r="1061" spans="1:23" ht="26">
      <c r="A1061" s="213" t="str">
        <f>IF(OR(CommitmentsTable[[#This Row],[Commitment / deliverable]]="",CommitmentsTable[[#This Row],[Immutable Key]]=""),"",SUBSTITUTE(CommitmentsTable[[#This Row],[Immutable Key]],"-K-","-"))</f>
        <v/>
      </c>
      <c r="B1061" s="233"/>
      <c r="C1061" s="233"/>
      <c r="D1061" s="213"/>
      <c r="E1061" s="230"/>
      <c r="F1061" s="213"/>
      <c r="G1061" s="245" t="str">
        <f ca="1">IF(CommitmentsTable[[#This Row],[Commitment / deliverable]]="","",IF(CommitmentsTable[[#This Row],[Date record entered]]="",TODAY(),CommitmentsTable[[#This Row],[Date record entered]]))</f>
        <v/>
      </c>
      <c r="H1061" s="245"/>
      <c r="I1061" s="245" t="str">
        <f ca="1">IF(CommitmentsTable[[#This Row],[Date Assigned if different from entry date]]&lt;&gt;"",CommitmentsTable[[#This Row],[Date Assigned if different from entry date]]+90,IF(CommitmentsTable[[#This Row],[Date record entered]]&lt;&gt;"",CommitmentsTable[[#This Row],[Date record entered]]+90,""))</f>
        <v/>
      </c>
      <c r="J1061" s="245" t="str">
        <f ca="1">IF(CommitmentsTable[[#This Row],[Date Assigned if different from entry date]]&lt;&gt;"",CommitmentsTable[[#This Row],[Date Assigned if different from entry date]]+30,IF(CommitmentsTable[[#This Row],[Date record entered]]&lt;&gt;"",CommitmentsTable[[#This Row],[Date record entered]]+30,""))</f>
        <v/>
      </c>
      <c r="K1061" s="245"/>
      <c r="L1061" s="245" t="str">
        <f ca="1">IF(CommitmentsTable[[#This Row],[Date Assigned if different from entry date]]&lt;&gt;"",CommitmentsTable[[#This Row],[Date Assigned if different from entry date]]+60,IF(CommitmentsTable[[#This Row],[Date record entered]]&lt;&gt;"",CommitmentsTable[[#This Row],[Date record entered]]+60,""))</f>
        <v/>
      </c>
      <c r="M1061" s="214"/>
      <c r="N1061" s="214"/>
      <c r="O1061" s="236"/>
      <c r="P1061" s="214"/>
      <c r="Q1061" s="214"/>
      <c r="R1061" s="214"/>
      <c r="S1061" s="238" t="str">
        <f>IF(CommitmentsTable[[#This Row],[Commitment / deliverable]]="","",IF(CommitmentsTable[[#This Row],[Revised due]]&lt;&gt;"",CommitmentsTable[[#This Row],[Revised due]],CommitmentsTable[[#This Row],[Original due]]))</f>
        <v/>
      </c>
      <c r="T1061" s="237" t="str">
        <f>IF(OR(CommitmentsTable[[#This Row],[Commitment / deliverable]]="",CommitmentsTable[[#This Row],[Owner]]=""),"",IF(CommitmentsTable[[#This Row],[Status2]]="","Open",CommitmentsTable[[#This Row],[Status2]]))</f>
        <v/>
      </c>
      <c r="U1061" s="237" t="str">
        <f t="shared" ca="1" si="16"/>
        <v/>
      </c>
      <c r="V1061" s="233"/>
      <c r="W1061" s="63" t="s">
        <v>1963</v>
      </c>
    </row>
    <row r="1062" spans="1:23" ht="26">
      <c r="A1062" s="213" t="str">
        <f>IF(OR(CommitmentsTable[[#This Row],[Commitment / deliverable]]="",CommitmentsTable[[#This Row],[Immutable Key]]=""),"",SUBSTITUTE(CommitmentsTable[[#This Row],[Immutable Key]],"-K-","-"))</f>
        <v/>
      </c>
      <c r="B1062" s="233"/>
      <c r="C1062" s="233"/>
      <c r="D1062" s="213"/>
      <c r="E1062" s="230"/>
      <c r="F1062" s="213"/>
      <c r="G1062" s="245" t="str">
        <f ca="1">IF(CommitmentsTable[[#This Row],[Commitment / deliverable]]="","",IF(CommitmentsTable[[#This Row],[Date record entered]]="",TODAY(),CommitmentsTable[[#This Row],[Date record entered]]))</f>
        <v/>
      </c>
      <c r="H1062" s="245"/>
      <c r="I1062" s="245" t="str">
        <f ca="1">IF(CommitmentsTable[[#This Row],[Date Assigned if different from entry date]]&lt;&gt;"",CommitmentsTable[[#This Row],[Date Assigned if different from entry date]]+90,IF(CommitmentsTable[[#This Row],[Date record entered]]&lt;&gt;"",CommitmentsTable[[#This Row],[Date record entered]]+90,""))</f>
        <v/>
      </c>
      <c r="J1062" s="245" t="str">
        <f ca="1">IF(CommitmentsTable[[#This Row],[Date Assigned if different from entry date]]&lt;&gt;"",CommitmentsTable[[#This Row],[Date Assigned if different from entry date]]+30,IF(CommitmentsTable[[#This Row],[Date record entered]]&lt;&gt;"",CommitmentsTable[[#This Row],[Date record entered]]+30,""))</f>
        <v/>
      </c>
      <c r="K1062" s="245"/>
      <c r="L1062" s="245" t="str">
        <f ca="1">IF(CommitmentsTable[[#This Row],[Date Assigned if different from entry date]]&lt;&gt;"",CommitmentsTable[[#This Row],[Date Assigned if different from entry date]]+60,IF(CommitmentsTable[[#This Row],[Date record entered]]&lt;&gt;"",CommitmentsTable[[#This Row],[Date record entered]]+60,""))</f>
        <v/>
      </c>
      <c r="M1062" s="214"/>
      <c r="N1062" s="214"/>
      <c r="O1062" s="236"/>
      <c r="P1062" s="214"/>
      <c r="Q1062" s="214"/>
      <c r="R1062" s="214"/>
      <c r="S1062" s="238" t="str">
        <f>IF(CommitmentsTable[[#This Row],[Commitment / deliverable]]="","",IF(CommitmentsTable[[#This Row],[Revised due]]&lt;&gt;"",CommitmentsTable[[#This Row],[Revised due]],CommitmentsTable[[#This Row],[Original due]]))</f>
        <v/>
      </c>
      <c r="T1062" s="237" t="str">
        <f>IF(OR(CommitmentsTable[[#This Row],[Commitment / deliverable]]="",CommitmentsTable[[#This Row],[Owner]]=""),"",IF(CommitmentsTable[[#This Row],[Status2]]="","Open",CommitmentsTable[[#This Row],[Status2]]))</f>
        <v/>
      </c>
      <c r="U1062" s="237" t="str">
        <f t="shared" ca="1" si="16"/>
        <v/>
      </c>
      <c r="V1062" s="233"/>
      <c r="W1062" s="63" t="s">
        <v>1964</v>
      </c>
    </row>
    <row r="1063" spans="1:23" ht="26">
      <c r="A1063" s="213" t="str">
        <f>IF(OR(CommitmentsTable[[#This Row],[Commitment / deliverable]]="",CommitmentsTable[[#This Row],[Immutable Key]]=""),"",SUBSTITUTE(CommitmentsTable[[#This Row],[Immutable Key]],"-K-","-"))</f>
        <v/>
      </c>
      <c r="B1063" s="233"/>
      <c r="C1063" s="233"/>
      <c r="D1063" s="213"/>
      <c r="E1063" s="230"/>
      <c r="F1063" s="213"/>
      <c r="G1063" s="245" t="str">
        <f ca="1">IF(CommitmentsTable[[#This Row],[Commitment / deliverable]]="","",IF(CommitmentsTable[[#This Row],[Date record entered]]="",TODAY(),CommitmentsTable[[#This Row],[Date record entered]]))</f>
        <v/>
      </c>
      <c r="H1063" s="245"/>
      <c r="I1063" s="245" t="str">
        <f ca="1">IF(CommitmentsTable[[#This Row],[Date Assigned if different from entry date]]&lt;&gt;"",CommitmentsTable[[#This Row],[Date Assigned if different from entry date]]+90,IF(CommitmentsTable[[#This Row],[Date record entered]]&lt;&gt;"",CommitmentsTable[[#This Row],[Date record entered]]+90,""))</f>
        <v/>
      </c>
      <c r="J1063" s="245" t="str">
        <f ca="1">IF(CommitmentsTable[[#This Row],[Date Assigned if different from entry date]]&lt;&gt;"",CommitmentsTable[[#This Row],[Date Assigned if different from entry date]]+30,IF(CommitmentsTable[[#This Row],[Date record entered]]&lt;&gt;"",CommitmentsTable[[#This Row],[Date record entered]]+30,""))</f>
        <v/>
      </c>
      <c r="K1063" s="245"/>
      <c r="L1063" s="245" t="str">
        <f ca="1">IF(CommitmentsTable[[#This Row],[Date Assigned if different from entry date]]&lt;&gt;"",CommitmentsTable[[#This Row],[Date Assigned if different from entry date]]+60,IF(CommitmentsTable[[#This Row],[Date record entered]]&lt;&gt;"",CommitmentsTable[[#This Row],[Date record entered]]+60,""))</f>
        <v/>
      </c>
      <c r="M1063" s="214"/>
      <c r="N1063" s="214"/>
      <c r="O1063" s="236"/>
      <c r="P1063" s="214"/>
      <c r="Q1063" s="214"/>
      <c r="R1063" s="214"/>
      <c r="S1063" s="238" t="str">
        <f>IF(CommitmentsTable[[#This Row],[Commitment / deliverable]]="","",IF(CommitmentsTable[[#This Row],[Revised due]]&lt;&gt;"",CommitmentsTable[[#This Row],[Revised due]],CommitmentsTable[[#This Row],[Original due]]))</f>
        <v/>
      </c>
      <c r="T1063" s="237" t="str">
        <f>IF(OR(CommitmentsTable[[#This Row],[Commitment / deliverable]]="",CommitmentsTable[[#This Row],[Owner]]=""),"",IF(CommitmentsTable[[#This Row],[Status2]]="","Open",CommitmentsTable[[#This Row],[Status2]]))</f>
        <v/>
      </c>
      <c r="U1063" s="237" t="str">
        <f t="shared" ca="1" si="16"/>
        <v/>
      </c>
      <c r="V1063" s="233"/>
      <c r="W1063" s="63" t="s">
        <v>1965</v>
      </c>
    </row>
    <row r="1064" spans="1:23" ht="26">
      <c r="A1064" s="213" t="str">
        <f>IF(OR(CommitmentsTable[[#This Row],[Commitment / deliverable]]="",CommitmentsTable[[#This Row],[Immutable Key]]=""),"",SUBSTITUTE(CommitmentsTable[[#This Row],[Immutable Key]],"-K-","-"))</f>
        <v/>
      </c>
      <c r="B1064" s="233"/>
      <c r="C1064" s="233"/>
      <c r="D1064" s="213"/>
      <c r="E1064" s="230"/>
      <c r="F1064" s="213"/>
      <c r="G1064" s="245" t="str">
        <f ca="1">IF(CommitmentsTable[[#This Row],[Commitment / deliverable]]="","",IF(CommitmentsTable[[#This Row],[Date record entered]]="",TODAY(),CommitmentsTable[[#This Row],[Date record entered]]))</f>
        <v/>
      </c>
      <c r="H1064" s="245"/>
      <c r="I1064" s="245" t="str">
        <f ca="1">IF(CommitmentsTable[[#This Row],[Date Assigned if different from entry date]]&lt;&gt;"",CommitmentsTable[[#This Row],[Date Assigned if different from entry date]]+90,IF(CommitmentsTable[[#This Row],[Date record entered]]&lt;&gt;"",CommitmentsTable[[#This Row],[Date record entered]]+90,""))</f>
        <v/>
      </c>
      <c r="J1064" s="245" t="str">
        <f ca="1">IF(CommitmentsTable[[#This Row],[Date Assigned if different from entry date]]&lt;&gt;"",CommitmentsTable[[#This Row],[Date Assigned if different from entry date]]+30,IF(CommitmentsTable[[#This Row],[Date record entered]]&lt;&gt;"",CommitmentsTable[[#This Row],[Date record entered]]+30,""))</f>
        <v/>
      </c>
      <c r="K1064" s="245"/>
      <c r="L1064" s="245" t="str">
        <f ca="1">IF(CommitmentsTable[[#This Row],[Date Assigned if different from entry date]]&lt;&gt;"",CommitmentsTable[[#This Row],[Date Assigned if different from entry date]]+60,IF(CommitmentsTable[[#This Row],[Date record entered]]&lt;&gt;"",CommitmentsTable[[#This Row],[Date record entered]]+60,""))</f>
        <v/>
      </c>
      <c r="M1064" s="214"/>
      <c r="N1064" s="214"/>
      <c r="O1064" s="236"/>
      <c r="P1064" s="214"/>
      <c r="Q1064" s="214"/>
      <c r="R1064" s="214"/>
      <c r="S1064" s="238" t="str">
        <f>IF(CommitmentsTable[[#This Row],[Commitment / deliverable]]="","",IF(CommitmentsTable[[#This Row],[Revised due]]&lt;&gt;"",CommitmentsTable[[#This Row],[Revised due]],CommitmentsTable[[#This Row],[Original due]]))</f>
        <v/>
      </c>
      <c r="T1064" s="237" t="str">
        <f>IF(OR(CommitmentsTable[[#This Row],[Commitment / deliverable]]="",CommitmentsTable[[#This Row],[Owner]]=""),"",IF(CommitmentsTable[[#This Row],[Status2]]="","Open",CommitmentsTable[[#This Row],[Status2]]))</f>
        <v/>
      </c>
      <c r="U1064" s="237" t="str">
        <f t="shared" ca="1" si="16"/>
        <v/>
      </c>
      <c r="V1064" s="233"/>
      <c r="W1064" s="63" t="s">
        <v>1966</v>
      </c>
    </row>
    <row r="1065" spans="1:23" ht="26">
      <c r="A1065" s="213" t="str">
        <f>IF(OR(CommitmentsTable[[#This Row],[Commitment / deliverable]]="",CommitmentsTable[[#This Row],[Immutable Key]]=""),"",SUBSTITUTE(CommitmentsTable[[#This Row],[Immutable Key]],"-K-","-"))</f>
        <v/>
      </c>
      <c r="B1065" s="233"/>
      <c r="C1065" s="233"/>
      <c r="D1065" s="213"/>
      <c r="E1065" s="230"/>
      <c r="F1065" s="213"/>
      <c r="G1065" s="245" t="str">
        <f ca="1">IF(CommitmentsTable[[#This Row],[Commitment / deliverable]]="","",IF(CommitmentsTable[[#This Row],[Date record entered]]="",TODAY(),CommitmentsTable[[#This Row],[Date record entered]]))</f>
        <v/>
      </c>
      <c r="H1065" s="245"/>
      <c r="I1065" s="245" t="str">
        <f ca="1">IF(CommitmentsTable[[#This Row],[Date Assigned if different from entry date]]&lt;&gt;"",CommitmentsTable[[#This Row],[Date Assigned if different from entry date]]+90,IF(CommitmentsTable[[#This Row],[Date record entered]]&lt;&gt;"",CommitmentsTable[[#This Row],[Date record entered]]+90,""))</f>
        <v/>
      </c>
      <c r="J1065" s="245" t="str">
        <f ca="1">IF(CommitmentsTable[[#This Row],[Date Assigned if different from entry date]]&lt;&gt;"",CommitmentsTable[[#This Row],[Date Assigned if different from entry date]]+30,IF(CommitmentsTable[[#This Row],[Date record entered]]&lt;&gt;"",CommitmentsTable[[#This Row],[Date record entered]]+30,""))</f>
        <v/>
      </c>
      <c r="K1065" s="245"/>
      <c r="L1065" s="245" t="str">
        <f ca="1">IF(CommitmentsTable[[#This Row],[Date Assigned if different from entry date]]&lt;&gt;"",CommitmentsTable[[#This Row],[Date Assigned if different from entry date]]+60,IF(CommitmentsTable[[#This Row],[Date record entered]]&lt;&gt;"",CommitmentsTable[[#This Row],[Date record entered]]+60,""))</f>
        <v/>
      </c>
      <c r="M1065" s="214"/>
      <c r="N1065" s="214"/>
      <c r="O1065" s="236"/>
      <c r="P1065" s="214"/>
      <c r="Q1065" s="214"/>
      <c r="R1065" s="214"/>
      <c r="S1065" s="238" t="str">
        <f>IF(CommitmentsTable[[#This Row],[Commitment / deliverable]]="","",IF(CommitmentsTable[[#This Row],[Revised due]]&lt;&gt;"",CommitmentsTable[[#This Row],[Revised due]],CommitmentsTable[[#This Row],[Original due]]))</f>
        <v/>
      </c>
      <c r="T1065" s="237" t="str">
        <f>IF(OR(CommitmentsTable[[#This Row],[Commitment / deliverable]]="",CommitmentsTable[[#This Row],[Owner]]=""),"",IF(CommitmentsTable[[#This Row],[Status2]]="","Open",CommitmentsTable[[#This Row],[Status2]]))</f>
        <v/>
      </c>
      <c r="U1065" s="237" t="str">
        <f t="shared" ca="1" si="16"/>
        <v/>
      </c>
      <c r="V1065" s="233"/>
      <c r="W1065" s="63" t="s">
        <v>1967</v>
      </c>
    </row>
    <row r="1066" spans="1:23" ht="26">
      <c r="A1066" s="213" t="str">
        <f>IF(OR(CommitmentsTable[[#This Row],[Commitment / deliverable]]="",CommitmentsTable[[#This Row],[Immutable Key]]=""),"",SUBSTITUTE(CommitmentsTable[[#This Row],[Immutable Key]],"-K-","-"))</f>
        <v/>
      </c>
      <c r="B1066" s="233"/>
      <c r="C1066" s="233"/>
      <c r="D1066" s="213"/>
      <c r="E1066" s="230"/>
      <c r="F1066" s="213"/>
      <c r="G1066" s="245" t="str">
        <f ca="1">IF(CommitmentsTable[[#This Row],[Commitment / deliverable]]="","",IF(CommitmentsTable[[#This Row],[Date record entered]]="",TODAY(),CommitmentsTable[[#This Row],[Date record entered]]))</f>
        <v/>
      </c>
      <c r="H1066" s="245"/>
      <c r="I1066" s="245" t="str">
        <f ca="1">IF(CommitmentsTable[[#This Row],[Date Assigned if different from entry date]]&lt;&gt;"",CommitmentsTable[[#This Row],[Date Assigned if different from entry date]]+90,IF(CommitmentsTable[[#This Row],[Date record entered]]&lt;&gt;"",CommitmentsTable[[#This Row],[Date record entered]]+90,""))</f>
        <v/>
      </c>
      <c r="J1066" s="245" t="str">
        <f ca="1">IF(CommitmentsTable[[#This Row],[Date Assigned if different from entry date]]&lt;&gt;"",CommitmentsTable[[#This Row],[Date Assigned if different from entry date]]+30,IF(CommitmentsTable[[#This Row],[Date record entered]]&lt;&gt;"",CommitmentsTable[[#This Row],[Date record entered]]+30,""))</f>
        <v/>
      </c>
      <c r="K1066" s="245"/>
      <c r="L1066" s="245" t="str">
        <f ca="1">IF(CommitmentsTable[[#This Row],[Date Assigned if different from entry date]]&lt;&gt;"",CommitmentsTable[[#This Row],[Date Assigned if different from entry date]]+60,IF(CommitmentsTable[[#This Row],[Date record entered]]&lt;&gt;"",CommitmentsTable[[#This Row],[Date record entered]]+60,""))</f>
        <v/>
      </c>
      <c r="M1066" s="214"/>
      <c r="N1066" s="214"/>
      <c r="O1066" s="236"/>
      <c r="P1066" s="214"/>
      <c r="Q1066" s="214"/>
      <c r="R1066" s="214"/>
      <c r="S1066" s="238" t="str">
        <f>IF(CommitmentsTable[[#This Row],[Commitment / deliverable]]="","",IF(CommitmentsTable[[#This Row],[Revised due]]&lt;&gt;"",CommitmentsTable[[#This Row],[Revised due]],CommitmentsTable[[#This Row],[Original due]]))</f>
        <v/>
      </c>
      <c r="T1066" s="237" t="str">
        <f>IF(OR(CommitmentsTable[[#This Row],[Commitment / deliverable]]="",CommitmentsTable[[#This Row],[Owner]]=""),"",IF(CommitmentsTable[[#This Row],[Status2]]="","Open",CommitmentsTable[[#This Row],[Status2]]))</f>
        <v/>
      </c>
      <c r="U1066" s="237" t="str">
        <f t="shared" ca="1" si="16"/>
        <v/>
      </c>
      <c r="V1066" s="233"/>
      <c r="W1066" s="63" t="s">
        <v>1968</v>
      </c>
    </row>
    <row r="1067" spans="1:23" ht="26">
      <c r="A1067" s="213" t="str">
        <f>IF(OR(CommitmentsTable[[#This Row],[Commitment / deliverable]]="",CommitmentsTable[[#This Row],[Immutable Key]]=""),"",SUBSTITUTE(CommitmentsTable[[#This Row],[Immutable Key]],"-K-","-"))</f>
        <v/>
      </c>
      <c r="B1067" s="233"/>
      <c r="C1067" s="233"/>
      <c r="D1067" s="213"/>
      <c r="E1067" s="230"/>
      <c r="F1067" s="213"/>
      <c r="G1067" s="245" t="str">
        <f ca="1">IF(CommitmentsTable[[#This Row],[Commitment / deliverable]]="","",IF(CommitmentsTable[[#This Row],[Date record entered]]="",TODAY(),CommitmentsTable[[#This Row],[Date record entered]]))</f>
        <v/>
      </c>
      <c r="H1067" s="245"/>
      <c r="I1067" s="245" t="str">
        <f ca="1">IF(CommitmentsTable[[#This Row],[Date Assigned if different from entry date]]&lt;&gt;"",CommitmentsTable[[#This Row],[Date Assigned if different from entry date]]+90,IF(CommitmentsTable[[#This Row],[Date record entered]]&lt;&gt;"",CommitmentsTable[[#This Row],[Date record entered]]+90,""))</f>
        <v/>
      </c>
      <c r="J1067" s="245" t="str">
        <f ca="1">IF(CommitmentsTable[[#This Row],[Date Assigned if different from entry date]]&lt;&gt;"",CommitmentsTable[[#This Row],[Date Assigned if different from entry date]]+30,IF(CommitmentsTable[[#This Row],[Date record entered]]&lt;&gt;"",CommitmentsTable[[#This Row],[Date record entered]]+30,""))</f>
        <v/>
      </c>
      <c r="K1067" s="245"/>
      <c r="L1067" s="245" t="str">
        <f ca="1">IF(CommitmentsTable[[#This Row],[Date Assigned if different from entry date]]&lt;&gt;"",CommitmentsTable[[#This Row],[Date Assigned if different from entry date]]+60,IF(CommitmentsTable[[#This Row],[Date record entered]]&lt;&gt;"",CommitmentsTable[[#This Row],[Date record entered]]+60,""))</f>
        <v/>
      </c>
      <c r="M1067" s="214"/>
      <c r="N1067" s="214"/>
      <c r="O1067" s="236"/>
      <c r="P1067" s="214"/>
      <c r="Q1067" s="214"/>
      <c r="R1067" s="214"/>
      <c r="S1067" s="238" t="str">
        <f>IF(CommitmentsTable[[#This Row],[Commitment / deliverable]]="","",IF(CommitmentsTable[[#This Row],[Revised due]]&lt;&gt;"",CommitmentsTable[[#This Row],[Revised due]],CommitmentsTable[[#This Row],[Original due]]))</f>
        <v/>
      </c>
      <c r="T1067" s="237" t="str">
        <f>IF(OR(CommitmentsTable[[#This Row],[Commitment / deliverable]]="",CommitmentsTable[[#This Row],[Owner]]=""),"",IF(CommitmentsTable[[#This Row],[Status2]]="","Open",CommitmentsTable[[#This Row],[Status2]]))</f>
        <v/>
      </c>
      <c r="U1067" s="237" t="str">
        <f t="shared" ca="1" si="16"/>
        <v/>
      </c>
      <c r="V1067" s="233"/>
      <c r="W1067" s="63" t="s">
        <v>1969</v>
      </c>
    </row>
    <row r="1068" spans="1:23" ht="26">
      <c r="A1068" s="213" t="str">
        <f>IF(OR(CommitmentsTable[[#This Row],[Commitment / deliverable]]="",CommitmentsTable[[#This Row],[Immutable Key]]=""),"",SUBSTITUTE(CommitmentsTable[[#This Row],[Immutable Key]],"-K-","-"))</f>
        <v/>
      </c>
      <c r="B1068" s="233"/>
      <c r="C1068" s="233"/>
      <c r="D1068" s="213"/>
      <c r="E1068" s="230"/>
      <c r="F1068" s="213"/>
      <c r="G1068" s="245" t="str">
        <f ca="1">IF(CommitmentsTable[[#This Row],[Commitment / deliverable]]="","",IF(CommitmentsTable[[#This Row],[Date record entered]]="",TODAY(),CommitmentsTable[[#This Row],[Date record entered]]))</f>
        <v/>
      </c>
      <c r="H1068" s="245"/>
      <c r="I1068" s="245" t="str">
        <f ca="1">IF(CommitmentsTable[[#This Row],[Date Assigned if different from entry date]]&lt;&gt;"",CommitmentsTable[[#This Row],[Date Assigned if different from entry date]]+90,IF(CommitmentsTable[[#This Row],[Date record entered]]&lt;&gt;"",CommitmentsTable[[#This Row],[Date record entered]]+90,""))</f>
        <v/>
      </c>
      <c r="J1068" s="245" t="str">
        <f ca="1">IF(CommitmentsTable[[#This Row],[Date Assigned if different from entry date]]&lt;&gt;"",CommitmentsTable[[#This Row],[Date Assigned if different from entry date]]+30,IF(CommitmentsTable[[#This Row],[Date record entered]]&lt;&gt;"",CommitmentsTable[[#This Row],[Date record entered]]+30,""))</f>
        <v/>
      </c>
      <c r="K1068" s="245"/>
      <c r="L1068" s="245" t="str">
        <f ca="1">IF(CommitmentsTable[[#This Row],[Date Assigned if different from entry date]]&lt;&gt;"",CommitmentsTable[[#This Row],[Date Assigned if different from entry date]]+60,IF(CommitmentsTable[[#This Row],[Date record entered]]&lt;&gt;"",CommitmentsTable[[#This Row],[Date record entered]]+60,""))</f>
        <v/>
      </c>
      <c r="M1068" s="214"/>
      <c r="N1068" s="214"/>
      <c r="O1068" s="236"/>
      <c r="P1068" s="214"/>
      <c r="Q1068" s="214"/>
      <c r="R1068" s="214"/>
      <c r="S1068" s="238" t="str">
        <f>IF(CommitmentsTable[[#This Row],[Commitment / deliverable]]="","",IF(CommitmentsTable[[#This Row],[Revised due]]&lt;&gt;"",CommitmentsTable[[#This Row],[Revised due]],CommitmentsTable[[#This Row],[Original due]]))</f>
        <v/>
      </c>
      <c r="T1068" s="237" t="str">
        <f>IF(OR(CommitmentsTable[[#This Row],[Commitment / deliverable]]="",CommitmentsTable[[#This Row],[Owner]]=""),"",IF(CommitmentsTable[[#This Row],[Status2]]="","Open",CommitmentsTable[[#This Row],[Status2]]))</f>
        <v/>
      </c>
      <c r="U1068" s="237" t="str">
        <f t="shared" ca="1" si="16"/>
        <v/>
      </c>
      <c r="V1068" s="233"/>
      <c r="W1068" s="63" t="s">
        <v>1970</v>
      </c>
    </row>
    <row r="1069" spans="1:23" ht="26">
      <c r="A1069" s="213" t="str">
        <f>IF(OR(CommitmentsTable[[#This Row],[Commitment / deliverable]]="",CommitmentsTable[[#This Row],[Immutable Key]]=""),"",SUBSTITUTE(CommitmentsTable[[#This Row],[Immutable Key]],"-K-","-"))</f>
        <v/>
      </c>
      <c r="B1069" s="233"/>
      <c r="C1069" s="233"/>
      <c r="D1069" s="213"/>
      <c r="E1069" s="230"/>
      <c r="F1069" s="213"/>
      <c r="G1069" s="245" t="str">
        <f ca="1">IF(CommitmentsTable[[#This Row],[Commitment / deliverable]]="","",IF(CommitmentsTable[[#This Row],[Date record entered]]="",TODAY(),CommitmentsTable[[#This Row],[Date record entered]]))</f>
        <v/>
      </c>
      <c r="H1069" s="245"/>
      <c r="I1069" s="245" t="str">
        <f ca="1">IF(CommitmentsTable[[#This Row],[Date Assigned if different from entry date]]&lt;&gt;"",CommitmentsTable[[#This Row],[Date Assigned if different from entry date]]+90,IF(CommitmentsTable[[#This Row],[Date record entered]]&lt;&gt;"",CommitmentsTable[[#This Row],[Date record entered]]+90,""))</f>
        <v/>
      </c>
      <c r="J1069" s="245" t="str">
        <f ca="1">IF(CommitmentsTable[[#This Row],[Date Assigned if different from entry date]]&lt;&gt;"",CommitmentsTable[[#This Row],[Date Assigned if different from entry date]]+30,IF(CommitmentsTable[[#This Row],[Date record entered]]&lt;&gt;"",CommitmentsTable[[#This Row],[Date record entered]]+30,""))</f>
        <v/>
      </c>
      <c r="K1069" s="245"/>
      <c r="L1069" s="245" t="str">
        <f ca="1">IF(CommitmentsTable[[#This Row],[Date Assigned if different from entry date]]&lt;&gt;"",CommitmentsTable[[#This Row],[Date Assigned if different from entry date]]+60,IF(CommitmentsTable[[#This Row],[Date record entered]]&lt;&gt;"",CommitmentsTable[[#This Row],[Date record entered]]+60,""))</f>
        <v/>
      </c>
      <c r="M1069" s="214"/>
      <c r="N1069" s="214"/>
      <c r="O1069" s="236"/>
      <c r="P1069" s="214"/>
      <c r="Q1069" s="214"/>
      <c r="R1069" s="214"/>
      <c r="S1069" s="238" t="str">
        <f>IF(CommitmentsTable[[#This Row],[Commitment / deliverable]]="","",IF(CommitmentsTable[[#This Row],[Revised due]]&lt;&gt;"",CommitmentsTable[[#This Row],[Revised due]],CommitmentsTable[[#This Row],[Original due]]))</f>
        <v/>
      </c>
      <c r="T1069" s="237" t="str">
        <f>IF(OR(CommitmentsTable[[#This Row],[Commitment / deliverable]]="",CommitmentsTable[[#This Row],[Owner]]=""),"",IF(CommitmentsTable[[#This Row],[Status2]]="","Open",CommitmentsTable[[#This Row],[Status2]]))</f>
        <v/>
      </c>
      <c r="U1069" s="237" t="str">
        <f t="shared" ca="1" si="16"/>
        <v/>
      </c>
      <c r="V1069" s="233"/>
      <c r="W1069" s="63" t="s">
        <v>1971</v>
      </c>
    </row>
    <row r="1070" spans="1:23" ht="26">
      <c r="A1070" s="213" t="str">
        <f>IF(OR(CommitmentsTable[[#This Row],[Commitment / deliverable]]="",CommitmentsTable[[#This Row],[Immutable Key]]=""),"",SUBSTITUTE(CommitmentsTable[[#This Row],[Immutable Key]],"-K-","-"))</f>
        <v/>
      </c>
      <c r="B1070" s="233"/>
      <c r="C1070" s="233"/>
      <c r="D1070" s="213"/>
      <c r="E1070" s="230"/>
      <c r="F1070" s="213"/>
      <c r="G1070" s="245" t="str">
        <f ca="1">IF(CommitmentsTable[[#This Row],[Commitment / deliverable]]="","",IF(CommitmentsTable[[#This Row],[Date record entered]]="",TODAY(),CommitmentsTable[[#This Row],[Date record entered]]))</f>
        <v/>
      </c>
      <c r="H1070" s="245"/>
      <c r="I1070" s="245" t="str">
        <f ca="1">IF(CommitmentsTable[[#This Row],[Date Assigned if different from entry date]]&lt;&gt;"",CommitmentsTable[[#This Row],[Date Assigned if different from entry date]]+90,IF(CommitmentsTable[[#This Row],[Date record entered]]&lt;&gt;"",CommitmentsTable[[#This Row],[Date record entered]]+90,""))</f>
        <v/>
      </c>
      <c r="J1070" s="245" t="str">
        <f ca="1">IF(CommitmentsTable[[#This Row],[Date Assigned if different from entry date]]&lt;&gt;"",CommitmentsTable[[#This Row],[Date Assigned if different from entry date]]+30,IF(CommitmentsTable[[#This Row],[Date record entered]]&lt;&gt;"",CommitmentsTable[[#This Row],[Date record entered]]+30,""))</f>
        <v/>
      </c>
      <c r="K1070" s="245"/>
      <c r="L1070" s="245" t="str">
        <f ca="1">IF(CommitmentsTable[[#This Row],[Date Assigned if different from entry date]]&lt;&gt;"",CommitmentsTable[[#This Row],[Date Assigned if different from entry date]]+60,IF(CommitmentsTable[[#This Row],[Date record entered]]&lt;&gt;"",CommitmentsTable[[#This Row],[Date record entered]]+60,""))</f>
        <v/>
      </c>
      <c r="M1070" s="214"/>
      <c r="N1070" s="214"/>
      <c r="O1070" s="236"/>
      <c r="P1070" s="214"/>
      <c r="Q1070" s="214"/>
      <c r="R1070" s="214"/>
      <c r="S1070" s="238" t="str">
        <f>IF(CommitmentsTable[[#This Row],[Commitment / deliverable]]="","",IF(CommitmentsTable[[#This Row],[Revised due]]&lt;&gt;"",CommitmentsTable[[#This Row],[Revised due]],CommitmentsTable[[#This Row],[Original due]]))</f>
        <v/>
      </c>
      <c r="T1070" s="237" t="str">
        <f>IF(OR(CommitmentsTable[[#This Row],[Commitment / deliverable]]="",CommitmentsTable[[#This Row],[Owner]]=""),"",IF(CommitmentsTable[[#This Row],[Status2]]="","Open",CommitmentsTable[[#This Row],[Status2]]))</f>
        <v/>
      </c>
      <c r="U1070" s="237" t="str">
        <f t="shared" ca="1" si="16"/>
        <v/>
      </c>
      <c r="V1070" s="233"/>
      <c r="W1070" s="63" t="s">
        <v>1972</v>
      </c>
    </row>
    <row r="1071" spans="1:23" ht="26">
      <c r="A1071" s="213" t="str">
        <f>IF(OR(CommitmentsTable[[#This Row],[Commitment / deliverable]]="",CommitmentsTable[[#This Row],[Immutable Key]]=""),"",SUBSTITUTE(CommitmentsTable[[#This Row],[Immutable Key]],"-K-","-"))</f>
        <v/>
      </c>
      <c r="B1071" s="233"/>
      <c r="C1071" s="233"/>
      <c r="D1071" s="213"/>
      <c r="E1071" s="230"/>
      <c r="F1071" s="213"/>
      <c r="G1071" s="245" t="str">
        <f ca="1">IF(CommitmentsTable[[#This Row],[Commitment / deliverable]]="","",IF(CommitmentsTable[[#This Row],[Date record entered]]="",TODAY(),CommitmentsTable[[#This Row],[Date record entered]]))</f>
        <v/>
      </c>
      <c r="H1071" s="245"/>
      <c r="I1071" s="245" t="str">
        <f ca="1">IF(CommitmentsTable[[#This Row],[Date Assigned if different from entry date]]&lt;&gt;"",CommitmentsTable[[#This Row],[Date Assigned if different from entry date]]+90,IF(CommitmentsTable[[#This Row],[Date record entered]]&lt;&gt;"",CommitmentsTable[[#This Row],[Date record entered]]+90,""))</f>
        <v/>
      </c>
      <c r="J1071" s="245" t="str">
        <f ca="1">IF(CommitmentsTable[[#This Row],[Date Assigned if different from entry date]]&lt;&gt;"",CommitmentsTable[[#This Row],[Date Assigned if different from entry date]]+30,IF(CommitmentsTable[[#This Row],[Date record entered]]&lt;&gt;"",CommitmentsTable[[#This Row],[Date record entered]]+30,""))</f>
        <v/>
      </c>
      <c r="K1071" s="245"/>
      <c r="L1071" s="245" t="str">
        <f ca="1">IF(CommitmentsTable[[#This Row],[Date Assigned if different from entry date]]&lt;&gt;"",CommitmentsTable[[#This Row],[Date Assigned if different from entry date]]+60,IF(CommitmentsTable[[#This Row],[Date record entered]]&lt;&gt;"",CommitmentsTable[[#This Row],[Date record entered]]+60,""))</f>
        <v/>
      </c>
      <c r="M1071" s="214"/>
      <c r="N1071" s="214"/>
      <c r="O1071" s="236"/>
      <c r="P1071" s="214"/>
      <c r="Q1071" s="214"/>
      <c r="R1071" s="214"/>
      <c r="S1071" s="238" t="str">
        <f>IF(CommitmentsTable[[#This Row],[Commitment / deliverable]]="","",IF(CommitmentsTable[[#This Row],[Revised due]]&lt;&gt;"",CommitmentsTable[[#This Row],[Revised due]],CommitmentsTable[[#This Row],[Original due]]))</f>
        <v/>
      </c>
      <c r="T1071" s="237" t="str">
        <f>IF(OR(CommitmentsTable[[#This Row],[Commitment / deliverable]]="",CommitmentsTable[[#This Row],[Owner]]=""),"",IF(CommitmentsTable[[#This Row],[Status2]]="","Open",CommitmentsTable[[#This Row],[Status2]]))</f>
        <v/>
      </c>
      <c r="U1071" s="237" t="str">
        <f t="shared" ca="1" si="16"/>
        <v/>
      </c>
      <c r="V1071" s="233"/>
      <c r="W1071" s="63" t="s">
        <v>1973</v>
      </c>
    </row>
    <row r="1072" spans="1:23" ht="26">
      <c r="A1072" s="213" t="str">
        <f>IF(OR(CommitmentsTable[[#This Row],[Commitment / deliverable]]="",CommitmentsTable[[#This Row],[Immutable Key]]=""),"",SUBSTITUTE(CommitmentsTable[[#This Row],[Immutable Key]],"-K-","-"))</f>
        <v/>
      </c>
      <c r="B1072" s="233"/>
      <c r="C1072" s="233"/>
      <c r="D1072" s="213"/>
      <c r="E1072" s="230"/>
      <c r="F1072" s="213"/>
      <c r="G1072" s="245" t="str">
        <f ca="1">IF(CommitmentsTable[[#This Row],[Commitment / deliverable]]="","",IF(CommitmentsTable[[#This Row],[Date record entered]]="",TODAY(),CommitmentsTable[[#This Row],[Date record entered]]))</f>
        <v/>
      </c>
      <c r="H1072" s="245"/>
      <c r="I1072" s="245" t="str">
        <f ca="1">IF(CommitmentsTable[[#This Row],[Date Assigned if different from entry date]]&lt;&gt;"",CommitmentsTable[[#This Row],[Date Assigned if different from entry date]]+90,IF(CommitmentsTable[[#This Row],[Date record entered]]&lt;&gt;"",CommitmentsTable[[#This Row],[Date record entered]]+90,""))</f>
        <v/>
      </c>
      <c r="J1072" s="245" t="str">
        <f ca="1">IF(CommitmentsTable[[#This Row],[Date Assigned if different from entry date]]&lt;&gt;"",CommitmentsTable[[#This Row],[Date Assigned if different from entry date]]+30,IF(CommitmentsTable[[#This Row],[Date record entered]]&lt;&gt;"",CommitmentsTable[[#This Row],[Date record entered]]+30,""))</f>
        <v/>
      </c>
      <c r="K1072" s="245"/>
      <c r="L1072" s="245" t="str">
        <f ca="1">IF(CommitmentsTable[[#This Row],[Date Assigned if different from entry date]]&lt;&gt;"",CommitmentsTable[[#This Row],[Date Assigned if different from entry date]]+60,IF(CommitmentsTable[[#This Row],[Date record entered]]&lt;&gt;"",CommitmentsTable[[#This Row],[Date record entered]]+60,""))</f>
        <v/>
      </c>
      <c r="M1072" s="214"/>
      <c r="N1072" s="214"/>
      <c r="O1072" s="236"/>
      <c r="P1072" s="214"/>
      <c r="Q1072" s="214"/>
      <c r="R1072" s="214"/>
      <c r="S1072" s="238" t="str">
        <f>IF(CommitmentsTable[[#This Row],[Commitment / deliverable]]="","",IF(CommitmentsTable[[#This Row],[Revised due]]&lt;&gt;"",CommitmentsTable[[#This Row],[Revised due]],CommitmentsTable[[#This Row],[Original due]]))</f>
        <v/>
      </c>
      <c r="T1072" s="237" t="str">
        <f>IF(OR(CommitmentsTable[[#This Row],[Commitment / deliverable]]="",CommitmentsTable[[#This Row],[Owner]]=""),"",IF(CommitmentsTable[[#This Row],[Status2]]="","Open",CommitmentsTable[[#This Row],[Status2]]))</f>
        <v/>
      </c>
      <c r="U1072" s="237" t="str">
        <f t="shared" ca="1" si="16"/>
        <v/>
      </c>
      <c r="V1072" s="233"/>
      <c r="W1072" s="63" t="s">
        <v>1974</v>
      </c>
    </row>
    <row r="1073" spans="1:23" ht="26">
      <c r="A1073" s="213" t="str">
        <f>IF(OR(CommitmentsTable[[#This Row],[Commitment / deliverable]]="",CommitmentsTable[[#This Row],[Immutable Key]]=""),"",SUBSTITUTE(CommitmentsTable[[#This Row],[Immutable Key]],"-K-","-"))</f>
        <v/>
      </c>
      <c r="B1073" s="233"/>
      <c r="C1073" s="233"/>
      <c r="D1073" s="213"/>
      <c r="E1073" s="230"/>
      <c r="F1073" s="213"/>
      <c r="G1073" s="245" t="str">
        <f ca="1">IF(CommitmentsTable[[#This Row],[Commitment / deliverable]]="","",IF(CommitmentsTable[[#This Row],[Date record entered]]="",TODAY(),CommitmentsTable[[#This Row],[Date record entered]]))</f>
        <v/>
      </c>
      <c r="H1073" s="245"/>
      <c r="I1073" s="245" t="str">
        <f ca="1">IF(CommitmentsTable[[#This Row],[Date Assigned if different from entry date]]&lt;&gt;"",CommitmentsTable[[#This Row],[Date Assigned if different from entry date]]+90,IF(CommitmentsTable[[#This Row],[Date record entered]]&lt;&gt;"",CommitmentsTable[[#This Row],[Date record entered]]+90,""))</f>
        <v/>
      </c>
      <c r="J1073" s="245" t="str">
        <f ca="1">IF(CommitmentsTable[[#This Row],[Date Assigned if different from entry date]]&lt;&gt;"",CommitmentsTable[[#This Row],[Date Assigned if different from entry date]]+30,IF(CommitmentsTable[[#This Row],[Date record entered]]&lt;&gt;"",CommitmentsTable[[#This Row],[Date record entered]]+30,""))</f>
        <v/>
      </c>
      <c r="K1073" s="245"/>
      <c r="L1073" s="245" t="str">
        <f ca="1">IF(CommitmentsTable[[#This Row],[Date Assigned if different from entry date]]&lt;&gt;"",CommitmentsTable[[#This Row],[Date Assigned if different from entry date]]+60,IF(CommitmentsTable[[#This Row],[Date record entered]]&lt;&gt;"",CommitmentsTable[[#This Row],[Date record entered]]+60,""))</f>
        <v/>
      </c>
      <c r="M1073" s="214"/>
      <c r="N1073" s="214"/>
      <c r="O1073" s="236"/>
      <c r="P1073" s="214"/>
      <c r="Q1073" s="214"/>
      <c r="R1073" s="214"/>
      <c r="S1073" s="238" t="str">
        <f>IF(CommitmentsTable[[#This Row],[Commitment / deliverable]]="","",IF(CommitmentsTable[[#This Row],[Revised due]]&lt;&gt;"",CommitmentsTable[[#This Row],[Revised due]],CommitmentsTable[[#This Row],[Original due]]))</f>
        <v/>
      </c>
      <c r="T1073" s="237" t="str">
        <f>IF(OR(CommitmentsTable[[#This Row],[Commitment / deliverable]]="",CommitmentsTable[[#This Row],[Owner]]=""),"",IF(CommitmentsTable[[#This Row],[Status2]]="","Open",CommitmentsTable[[#This Row],[Status2]]))</f>
        <v/>
      </c>
      <c r="U1073" s="237" t="str">
        <f t="shared" ca="1" si="16"/>
        <v/>
      </c>
      <c r="V1073" s="233"/>
      <c r="W1073" s="63" t="s">
        <v>1975</v>
      </c>
    </row>
    <row r="1074" spans="1:23" ht="26">
      <c r="A1074" s="213" t="str">
        <f>IF(OR(CommitmentsTable[[#This Row],[Commitment / deliverable]]="",CommitmentsTable[[#This Row],[Immutable Key]]=""),"",SUBSTITUTE(CommitmentsTable[[#This Row],[Immutable Key]],"-K-","-"))</f>
        <v/>
      </c>
      <c r="B1074" s="233"/>
      <c r="C1074" s="233"/>
      <c r="D1074" s="213"/>
      <c r="E1074" s="230"/>
      <c r="F1074" s="213"/>
      <c r="G1074" s="245" t="str">
        <f ca="1">IF(CommitmentsTable[[#This Row],[Commitment / deliverable]]="","",IF(CommitmentsTable[[#This Row],[Date record entered]]="",TODAY(),CommitmentsTable[[#This Row],[Date record entered]]))</f>
        <v/>
      </c>
      <c r="H1074" s="245"/>
      <c r="I1074" s="245" t="str">
        <f ca="1">IF(CommitmentsTable[[#This Row],[Date Assigned if different from entry date]]&lt;&gt;"",CommitmentsTable[[#This Row],[Date Assigned if different from entry date]]+90,IF(CommitmentsTable[[#This Row],[Date record entered]]&lt;&gt;"",CommitmentsTable[[#This Row],[Date record entered]]+90,""))</f>
        <v/>
      </c>
      <c r="J1074" s="245" t="str">
        <f ca="1">IF(CommitmentsTable[[#This Row],[Date Assigned if different from entry date]]&lt;&gt;"",CommitmentsTable[[#This Row],[Date Assigned if different from entry date]]+30,IF(CommitmentsTable[[#This Row],[Date record entered]]&lt;&gt;"",CommitmentsTable[[#This Row],[Date record entered]]+30,""))</f>
        <v/>
      </c>
      <c r="K1074" s="245"/>
      <c r="L1074" s="245" t="str">
        <f ca="1">IF(CommitmentsTable[[#This Row],[Date Assigned if different from entry date]]&lt;&gt;"",CommitmentsTable[[#This Row],[Date Assigned if different from entry date]]+60,IF(CommitmentsTable[[#This Row],[Date record entered]]&lt;&gt;"",CommitmentsTable[[#This Row],[Date record entered]]+60,""))</f>
        <v/>
      </c>
      <c r="M1074" s="214"/>
      <c r="N1074" s="214"/>
      <c r="O1074" s="236"/>
      <c r="P1074" s="214"/>
      <c r="Q1074" s="214"/>
      <c r="R1074" s="214"/>
      <c r="S1074" s="238" t="str">
        <f>IF(CommitmentsTable[[#This Row],[Commitment / deliverable]]="","",IF(CommitmentsTable[[#This Row],[Revised due]]&lt;&gt;"",CommitmentsTable[[#This Row],[Revised due]],CommitmentsTable[[#This Row],[Original due]]))</f>
        <v/>
      </c>
      <c r="T1074" s="237" t="str">
        <f>IF(OR(CommitmentsTable[[#This Row],[Commitment / deliverable]]="",CommitmentsTable[[#This Row],[Owner]]=""),"",IF(CommitmentsTable[[#This Row],[Status2]]="","Open",CommitmentsTable[[#This Row],[Status2]]))</f>
        <v/>
      </c>
      <c r="U1074" s="237" t="str">
        <f t="shared" ca="1" si="16"/>
        <v/>
      </c>
      <c r="V1074" s="233"/>
      <c r="W1074" s="63" t="s">
        <v>1976</v>
      </c>
    </row>
    <row r="1075" spans="1:23" ht="26">
      <c r="A1075" s="213" t="str">
        <f>IF(OR(CommitmentsTable[[#This Row],[Commitment / deliverable]]="",CommitmentsTable[[#This Row],[Immutable Key]]=""),"",SUBSTITUTE(CommitmentsTable[[#This Row],[Immutable Key]],"-K-","-"))</f>
        <v/>
      </c>
      <c r="B1075" s="233"/>
      <c r="C1075" s="233"/>
      <c r="D1075" s="213"/>
      <c r="E1075" s="230"/>
      <c r="F1075" s="213"/>
      <c r="G1075" s="245" t="str">
        <f ca="1">IF(CommitmentsTable[[#This Row],[Commitment / deliverable]]="","",IF(CommitmentsTable[[#This Row],[Date record entered]]="",TODAY(),CommitmentsTable[[#This Row],[Date record entered]]))</f>
        <v/>
      </c>
      <c r="H1075" s="245"/>
      <c r="I1075" s="245" t="str">
        <f ca="1">IF(CommitmentsTable[[#This Row],[Date Assigned if different from entry date]]&lt;&gt;"",CommitmentsTable[[#This Row],[Date Assigned if different from entry date]]+90,IF(CommitmentsTable[[#This Row],[Date record entered]]&lt;&gt;"",CommitmentsTable[[#This Row],[Date record entered]]+90,""))</f>
        <v/>
      </c>
      <c r="J1075" s="245" t="str">
        <f ca="1">IF(CommitmentsTable[[#This Row],[Date Assigned if different from entry date]]&lt;&gt;"",CommitmentsTable[[#This Row],[Date Assigned if different from entry date]]+30,IF(CommitmentsTable[[#This Row],[Date record entered]]&lt;&gt;"",CommitmentsTable[[#This Row],[Date record entered]]+30,""))</f>
        <v/>
      </c>
      <c r="K1075" s="245"/>
      <c r="L1075" s="245" t="str">
        <f ca="1">IF(CommitmentsTable[[#This Row],[Date Assigned if different from entry date]]&lt;&gt;"",CommitmentsTable[[#This Row],[Date Assigned if different from entry date]]+60,IF(CommitmentsTable[[#This Row],[Date record entered]]&lt;&gt;"",CommitmentsTable[[#This Row],[Date record entered]]+60,""))</f>
        <v/>
      </c>
      <c r="M1075" s="214"/>
      <c r="N1075" s="214"/>
      <c r="O1075" s="236"/>
      <c r="P1075" s="214"/>
      <c r="Q1075" s="214"/>
      <c r="R1075" s="214"/>
      <c r="S1075" s="238" t="str">
        <f>IF(CommitmentsTable[[#This Row],[Commitment / deliverable]]="","",IF(CommitmentsTable[[#This Row],[Revised due]]&lt;&gt;"",CommitmentsTable[[#This Row],[Revised due]],CommitmentsTable[[#This Row],[Original due]]))</f>
        <v/>
      </c>
      <c r="T1075" s="237" t="str">
        <f>IF(OR(CommitmentsTable[[#This Row],[Commitment / deliverable]]="",CommitmentsTable[[#This Row],[Owner]]=""),"",IF(CommitmentsTable[[#This Row],[Status2]]="","Open",CommitmentsTable[[#This Row],[Status2]]))</f>
        <v/>
      </c>
      <c r="U1075" s="237" t="str">
        <f t="shared" ca="1" si="16"/>
        <v/>
      </c>
      <c r="V1075" s="233"/>
      <c r="W1075" s="63" t="s">
        <v>1977</v>
      </c>
    </row>
    <row r="1076" spans="1:23" ht="26">
      <c r="A1076" s="213" t="str">
        <f>IF(OR(CommitmentsTable[[#This Row],[Commitment / deliverable]]="",CommitmentsTable[[#This Row],[Immutable Key]]=""),"",SUBSTITUTE(CommitmentsTable[[#This Row],[Immutable Key]],"-K-","-"))</f>
        <v/>
      </c>
      <c r="B1076" s="233"/>
      <c r="C1076" s="233"/>
      <c r="D1076" s="213"/>
      <c r="E1076" s="230"/>
      <c r="F1076" s="213"/>
      <c r="G1076" s="245" t="str">
        <f ca="1">IF(CommitmentsTable[[#This Row],[Commitment / deliverable]]="","",IF(CommitmentsTable[[#This Row],[Date record entered]]="",TODAY(),CommitmentsTable[[#This Row],[Date record entered]]))</f>
        <v/>
      </c>
      <c r="H1076" s="245"/>
      <c r="I1076" s="245" t="str">
        <f ca="1">IF(CommitmentsTable[[#This Row],[Date Assigned if different from entry date]]&lt;&gt;"",CommitmentsTable[[#This Row],[Date Assigned if different from entry date]]+90,IF(CommitmentsTable[[#This Row],[Date record entered]]&lt;&gt;"",CommitmentsTable[[#This Row],[Date record entered]]+90,""))</f>
        <v/>
      </c>
      <c r="J1076" s="245" t="str">
        <f ca="1">IF(CommitmentsTable[[#This Row],[Date Assigned if different from entry date]]&lt;&gt;"",CommitmentsTable[[#This Row],[Date Assigned if different from entry date]]+30,IF(CommitmentsTable[[#This Row],[Date record entered]]&lt;&gt;"",CommitmentsTable[[#This Row],[Date record entered]]+30,""))</f>
        <v/>
      </c>
      <c r="K1076" s="245"/>
      <c r="L1076" s="245" t="str">
        <f ca="1">IF(CommitmentsTable[[#This Row],[Date Assigned if different from entry date]]&lt;&gt;"",CommitmentsTable[[#This Row],[Date Assigned if different from entry date]]+60,IF(CommitmentsTable[[#This Row],[Date record entered]]&lt;&gt;"",CommitmentsTable[[#This Row],[Date record entered]]+60,""))</f>
        <v/>
      </c>
      <c r="M1076" s="214"/>
      <c r="N1076" s="214"/>
      <c r="O1076" s="236"/>
      <c r="P1076" s="214"/>
      <c r="Q1076" s="214"/>
      <c r="R1076" s="214"/>
      <c r="S1076" s="238" t="str">
        <f>IF(CommitmentsTable[[#This Row],[Commitment / deliverable]]="","",IF(CommitmentsTable[[#This Row],[Revised due]]&lt;&gt;"",CommitmentsTable[[#This Row],[Revised due]],CommitmentsTable[[#This Row],[Original due]]))</f>
        <v/>
      </c>
      <c r="T1076" s="237" t="str">
        <f>IF(OR(CommitmentsTable[[#This Row],[Commitment / deliverable]]="",CommitmentsTable[[#This Row],[Owner]]=""),"",IF(CommitmentsTable[[#This Row],[Status2]]="","Open",CommitmentsTable[[#This Row],[Status2]]))</f>
        <v/>
      </c>
      <c r="U1076" s="237" t="str">
        <f t="shared" ca="1" si="16"/>
        <v/>
      </c>
      <c r="V1076" s="233"/>
      <c r="W1076" s="63" t="s">
        <v>1978</v>
      </c>
    </row>
    <row r="1077" spans="1:23" ht="26">
      <c r="A1077" s="213" t="str">
        <f>IF(OR(CommitmentsTable[[#This Row],[Commitment / deliverable]]="",CommitmentsTable[[#This Row],[Immutable Key]]=""),"",SUBSTITUTE(CommitmentsTable[[#This Row],[Immutable Key]],"-K-","-"))</f>
        <v/>
      </c>
      <c r="B1077" s="233"/>
      <c r="C1077" s="233"/>
      <c r="D1077" s="213"/>
      <c r="E1077" s="230"/>
      <c r="F1077" s="213"/>
      <c r="G1077" s="245" t="str">
        <f ca="1">IF(CommitmentsTable[[#This Row],[Commitment / deliverable]]="","",IF(CommitmentsTable[[#This Row],[Date record entered]]="",TODAY(),CommitmentsTable[[#This Row],[Date record entered]]))</f>
        <v/>
      </c>
      <c r="H1077" s="245"/>
      <c r="I1077" s="245" t="str">
        <f ca="1">IF(CommitmentsTable[[#This Row],[Date Assigned if different from entry date]]&lt;&gt;"",CommitmentsTable[[#This Row],[Date Assigned if different from entry date]]+90,IF(CommitmentsTable[[#This Row],[Date record entered]]&lt;&gt;"",CommitmentsTable[[#This Row],[Date record entered]]+90,""))</f>
        <v/>
      </c>
      <c r="J1077" s="245" t="str">
        <f ca="1">IF(CommitmentsTable[[#This Row],[Date Assigned if different from entry date]]&lt;&gt;"",CommitmentsTable[[#This Row],[Date Assigned if different from entry date]]+30,IF(CommitmentsTable[[#This Row],[Date record entered]]&lt;&gt;"",CommitmentsTable[[#This Row],[Date record entered]]+30,""))</f>
        <v/>
      </c>
      <c r="K1077" s="245"/>
      <c r="L1077" s="245" t="str">
        <f ca="1">IF(CommitmentsTable[[#This Row],[Date Assigned if different from entry date]]&lt;&gt;"",CommitmentsTable[[#This Row],[Date Assigned if different from entry date]]+60,IF(CommitmentsTable[[#This Row],[Date record entered]]&lt;&gt;"",CommitmentsTable[[#This Row],[Date record entered]]+60,""))</f>
        <v/>
      </c>
      <c r="M1077" s="214"/>
      <c r="N1077" s="214"/>
      <c r="O1077" s="236"/>
      <c r="P1077" s="214"/>
      <c r="Q1077" s="214"/>
      <c r="R1077" s="214"/>
      <c r="S1077" s="238" t="str">
        <f>IF(CommitmentsTable[[#This Row],[Commitment / deliverable]]="","",IF(CommitmentsTable[[#This Row],[Revised due]]&lt;&gt;"",CommitmentsTable[[#This Row],[Revised due]],CommitmentsTable[[#This Row],[Original due]]))</f>
        <v/>
      </c>
      <c r="T1077" s="237" t="str">
        <f>IF(OR(CommitmentsTable[[#This Row],[Commitment / deliverable]]="",CommitmentsTable[[#This Row],[Owner]]=""),"",IF(CommitmentsTable[[#This Row],[Status2]]="","Open",CommitmentsTable[[#This Row],[Status2]]))</f>
        <v/>
      </c>
      <c r="U1077" s="237" t="str">
        <f t="shared" ca="1" si="16"/>
        <v/>
      </c>
      <c r="V1077" s="233"/>
      <c r="W1077" s="63" t="s">
        <v>1979</v>
      </c>
    </row>
    <row r="1078" spans="1:23" ht="26">
      <c r="A1078" s="213" t="str">
        <f>IF(OR(CommitmentsTable[[#This Row],[Commitment / deliverable]]="",CommitmentsTable[[#This Row],[Immutable Key]]=""),"",SUBSTITUTE(CommitmentsTable[[#This Row],[Immutable Key]],"-K-","-"))</f>
        <v/>
      </c>
      <c r="B1078" s="233"/>
      <c r="C1078" s="233"/>
      <c r="D1078" s="213"/>
      <c r="E1078" s="230"/>
      <c r="F1078" s="213"/>
      <c r="G1078" s="245" t="str">
        <f ca="1">IF(CommitmentsTable[[#This Row],[Commitment / deliverable]]="","",IF(CommitmentsTable[[#This Row],[Date record entered]]="",TODAY(),CommitmentsTable[[#This Row],[Date record entered]]))</f>
        <v/>
      </c>
      <c r="H1078" s="245"/>
      <c r="I1078" s="245" t="str">
        <f ca="1">IF(CommitmentsTable[[#This Row],[Date Assigned if different from entry date]]&lt;&gt;"",CommitmentsTable[[#This Row],[Date Assigned if different from entry date]]+90,IF(CommitmentsTable[[#This Row],[Date record entered]]&lt;&gt;"",CommitmentsTable[[#This Row],[Date record entered]]+90,""))</f>
        <v/>
      </c>
      <c r="J1078" s="245" t="str">
        <f ca="1">IF(CommitmentsTable[[#This Row],[Date Assigned if different from entry date]]&lt;&gt;"",CommitmentsTable[[#This Row],[Date Assigned if different from entry date]]+30,IF(CommitmentsTable[[#This Row],[Date record entered]]&lt;&gt;"",CommitmentsTable[[#This Row],[Date record entered]]+30,""))</f>
        <v/>
      </c>
      <c r="K1078" s="245"/>
      <c r="L1078" s="245" t="str">
        <f ca="1">IF(CommitmentsTable[[#This Row],[Date Assigned if different from entry date]]&lt;&gt;"",CommitmentsTable[[#This Row],[Date Assigned if different from entry date]]+60,IF(CommitmentsTable[[#This Row],[Date record entered]]&lt;&gt;"",CommitmentsTable[[#This Row],[Date record entered]]+60,""))</f>
        <v/>
      </c>
      <c r="M1078" s="214"/>
      <c r="N1078" s="214"/>
      <c r="O1078" s="236"/>
      <c r="P1078" s="214"/>
      <c r="Q1078" s="214"/>
      <c r="R1078" s="214"/>
      <c r="S1078" s="238" t="str">
        <f>IF(CommitmentsTable[[#This Row],[Commitment / deliverable]]="","",IF(CommitmentsTable[[#This Row],[Revised due]]&lt;&gt;"",CommitmentsTable[[#This Row],[Revised due]],CommitmentsTable[[#This Row],[Original due]]))</f>
        <v/>
      </c>
      <c r="T1078" s="237" t="str">
        <f>IF(OR(CommitmentsTable[[#This Row],[Commitment / deliverable]]="",CommitmentsTable[[#This Row],[Owner]]=""),"",IF(CommitmentsTable[[#This Row],[Status2]]="","Open",CommitmentsTable[[#This Row],[Status2]]))</f>
        <v/>
      </c>
      <c r="U1078" s="237" t="str">
        <f t="shared" ca="1" si="16"/>
        <v/>
      </c>
      <c r="V1078" s="233"/>
      <c r="W1078" s="63" t="s">
        <v>1980</v>
      </c>
    </row>
    <row r="1079" spans="1:23" ht="26">
      <c r="A1079" s="213" t="str">
        <f>IF(OR(CommitmentsTable[[#This Row],[Commitment / deliverable]]="",CommitmentsTable[[#This Row],[Immutable Key]]=""),"",SUBSTITUTE(CommitmentsTable[[#This Row],[Immutable Key]],"-K-","-"))</f>
        <v/>
      </c>
      <c r="B1079" s="233"/>
      <c r="C1079" s="233"/>
      <c r="D1079" s="213"/>
      <c r="E1079" s="230"/>
      <c r="F1079" s="213"/>
      <c r="G1079" s="245" t="str">
        <f ca="1">IF(CommitmentsTable[[#This Row],[Commitment / deliverable]]="","",IF(CommitmentsTable[[#This Row],[Date record entered]]="",TODAY(),CommitmentsTable[[#This Row],[Date record entered]]))</f>
        <v/>
      </c>
      <c r="H1079" s="245"/>
      <c r="I1079" s="245" t="str">
        <f ca="1">IF(CommitmentsTable[[#This Row],[Date Assigned if different from entry date]]&lt;&gt;"",CommitmentsTable[[#This Row],[Date Assigned if different from entry date]]+90,IF(CommitmentsTable[[#This Row],[Date record entered]]&lt;&gt;"",CommitmentsTable[[#This Row],[Date record entered]]+90,""))</f>
        <v/>
      </c>
      <c r="J1079" s="245" t="str">
        <f ca="1">IF(CommitmentsTable[[#This Row],[Date Assigned if different from entry date]]&lt;&gt;"",CommitmentsTable[[#This Row],[Date Assigned if different from entry date]]+30,IF(CommitmentsTable[[#This Row],[Date record entered]]&lt;&gt;"",CommitmentsTable[[#This Row],[Date record entered]]+30,""))</f>
        <v/>
      </c>
      <c r="K1079" s="245"/>
      <c r="L1079" s="245" t="str">
        <f ca="1">IF(CommitmentsTable[[#This Row],[Date Assigned if different from entry date]]&lt;&gt;"",CommitmentsTable[[#This Row],[Date Assigned if different from entry date]]+60,IF(CommitmentsTable[[#This Row],[Date record entered]]&lt;&gt;"",CommitmentsTable[[#This Row],[Date record entered]]+60,""))</f>
        <v/>
      </c>
      <c r="M1079" s="214"/>
      <c r="N1079" s="214"/>
      <c r="O1079" s="236"/>
      <c r="P1079" s="214"/>
      <c r="Q1079" s="214"/>
      <c r="R1079" s="214"/>
      <c r="S1079" s="238" t="str">
        <f>IF(CommitmentsTable[[#This Row],[Commitment / deliverable]]="","",IF(CommitmentsTable[[#This Row],[Revised due]]&lt;&gt;"",CommitmentsTable[[#This Row],[Revised due]],CommitmentsTable[[#This Row],[Original due]]))</f>
        <v/>
      </c>
      <c r="T1079" s="237" t="str">
        <f>IF(OR(CommitmentsTable[[#This Row],[Commitment / deliverable]]="",CommitmentsTable[[#This Row],[Owner]]=""),"",IF(CommitmentsTable[[#This Row],[Status2]]="","Open",CommitmentsTable[[#This Row],[Status2]]))</f>
        <v/>
      </c>
      <c r="U1079" s="237" t="str">
        <f t="shared" ca="1" si="16"/>
        <v/>
      </c>
      <c r="V1079" s="233"/>
      <c r="W1079" s="63" t="s">
        <v>1981</v>
      </c>
    </row>
    <row r="1080" spans="1:23" ht="26">
      <c r="A1080" s="213" t="str">
        <f>IF(OR(CommitmentsTable[[#This Row],[Commitment / deliverable]]="",CommitmentsTable[[#This Row],[Immutable Key]]=""),"",SUBSTITUTE(CommitmentsTable[[#This Row],[Immutable Key]],"-K-","-"))</f>
        <v/>
      </c>
      <c r="B1080" s="233"/>
      <c r="C1080" s="233"/>
      <c r="D1080" s="213"/>
      <c r="E1080" s="230"/>
      <c r="F1080" s="213"/>
      <c r="G1080" s="245" t="str">
        <f ca="1">IF(CommitmentsTable[[#This Row],[Commitment / deliverable]]="","",IF(CommitmentsTable[[#This Row],[Date record entered]]="",TODAY(),CommitmentsTable[[#This Row],[Date record entered]]))</f>
        <v/>
      </c>
      <c r="H1080" s="245"/>
      <c r="I1080" s="245" t="str">
        <f ca="1">IF(CommitmentsTable[[#This Row],[Date Assigned if different from entry date]]&lt;&gt;"",CommitmentsTable[[#This Row],[Date Assigned if different from entry date]]+90,IF(CommitmentsTable[[#This Row],[Date record entered]]&lt;&gt;"",CommitmentsTable[[#This Row],[Date record entered]]+90,""))</f>
        <v/>
      </c>
      <c r="J1080" s="245" t="str">
        <f ca="1">IF(CommitmentsTable[[#This Row],[Date Assigned if different from entry date]]&lt;&gt;"",CommitmentsTable[[#This Row],[Date Assigned if different from entry date]]+30,IF(CommitmentsTable[[#This Row],[Date record entered]]&lt;&gt;"",CommitmentsTable[[#This Row],[Date record entered]]+30,""))</f>
        <v/>
      </c>
      <c r="K1080" s="245"/>
      <c r="L1080" s="245" t="str">
        <f ca="1">IF(CommitmentsTable[[#This Row],[Date Assigned if different from entry date]]&lt;&gt;"",CommitmentsTable[[#This Row],[Date Assigned if different from entry date]]+60,IF(CommitmentsTable[[#This Row],[Date record entered]]&lt;&gt;"",CommitmentsTable[[#This Row],[Date record entered]]+60,""))</f>
        <v/>
      </c>
      <c r="M1080" s="214"/>
      <c r="N1080" s="214"/>
      <c r="O1080" s="236"/>
      <c r="P1080" s="214"/>
      <c r="Q1080" s="214"/>
      <c r="R1080" s="214"/>
      <c r="S1080" s="238" t="str">
        <f>IF(CommitmentsTable[[#This Row],[Commitment / deliverable]]="","",IF(CommitmentsTable[[#This Row],[Revised due]]&lt;&gt;"",CommitmentsTable[[#This Row],[Revised due]],CommitmentsTable[[#This Row],[Original due]]))</f>
        <v/>
      </c>
      <c r="T1080" s="237" t="str">
        <f>IF(OR(CommitmentsTable[[#This Row],[Commitment / deliverable]]="",CommitmentsTable[[#This Row],[Owner]]=""),"",IF(CommitmentsTable[[#This Row],[Status2]]="","Open",CommitmentsTable[[#This Row],[Status2]]))</f>
        <v/>
      </c>
      <c r="U1080" s="237" t="str">
        <f t="shared" ca="1" si="16"/>
        <v/>
      </c>
      <c r="V1080" s="233"/>
      <c r="W1080" s="63" t="s">
        <v>1982</v>
      </c>
    </row>
    <row r="1081" spans="1:23" ht="26">
      <c r="A1081" s="213" t="str">
        <f>IF(OR(CommitmentsTable[[#This Row],[Commitment / deliverable]]="",CommitmentsTable[[#This Row],[Immutable Key]]=""),"",SUBSTITUTE(CommitmentsTable[[#This Row],[Immutable Key]],"-K-","-"))</f>
        <v/>
      </c>
      <c r="B1081" s="233"/>
      <c r="C1081" s="233"/>
      <c r="D1081" s="213"/>
      <c r="E1081" s="230"/>
      <c r="F1081" s="213"/>
      <c r="G1081" s="245" t="str">
        <f ca="1">IF(CommitmentsTable[[#This Row],[Commitment / deliverable]]="","",IF(CommitmentsTable[[#This Row],[Date record entered]]="",TODAY(),CommitmentsTable[[#This Row],[Date record entered]]))</f>
        <v/>
      </c>
      <c r="H1081" s="245"/>
      <c r="I1081" s="245" t="str">
        <f ca="1">IF(CommitmentsTable[[#This Row],[Date Assigned if different from entry date]]&lt;&gt;"",CommitmentsTable[[#This Row],[Date Assigned if different from entry date]]+90,IF(CommitmentsTable[[#This Row],[Date record entered]]&lt;&gt;"",CommitmentsTable[[#This Row],[Date record entered]]+90,""))</f>
        <v/>
      </c>
      <c r="J1081" s="245" t="str">
        <f ca="1">IF(CommitmentsTable[[#This Row],[Date Assigned if different from entry date]]&lt;&gt;"",CommitmentsTable[[#This Row],[Date Assigned if different from entry date]]+30,IF(CommitmentsTable[[#This Row],[Date record entered]]&lt;&gt;"",CommitmentsTable[[#This Row],[Date record entered]]+30,""))</f>
        <v/>
      </c>
      <c r="K1081" s="245"/>
      <c r="L1081" s="245" t="str">
        <f ca="1">IF(CommitmentsTable[[#This Row],[Date Assigned if different from entry date]]&lt;&gt;"",CommitmentsTable[[#This Row],[Date Assigned if different from entry date]]+60,IF(CommitmentsTable[[#This Row],[Date record entered]]&lt;&gt;"",CommitmentsTable[[#This Row],[Date record entered]]+60,""))</f>
        <v/>
      </c>
      <c r="M1081" s="214"/>
      <c r="N1081" s="214"/>
      <c r="O1081" s="236"/>
      <c r="P1081" s="214"/>
      <c r="Q1081" s="214"/>
      <c r="R1081" s="214"/>
      <c r="S1081" s="238" t="str">
        <f>IF(CommitmentsTable[[#This Row],[Commitment / deliverable]]="","",IF(CommitmentsTable[[#This Row],[Revised due]]&lt;&gt;"",CommitmentsTable[[#This Row],[Revised due]],CommitmentsTable[[#This Row],[Original due]]))</f>
        <v/>
      </c>
      <c r="T1081" s="237" t="str">
        <f>IF(OR(CommitmentsTable[[#This Row],[Commitment / deliverable]]="",CommitmentsTable[[#This Row],[Owner]]=""),"",IF(CommitmentsTable[[#This Row],[Status2]]="","Open",CommitmentsTable[[#This Row],[Status2]]))</f>
        <v/>
      </c>
      <c r="U1081" s="237" t="str">
        <f t="shared" ca="1" si="16"/>
        <v/>
      </c>
      <c r="V1081" s="233"/>
      <c r="W1081" s="63" t="s">
        <v>1983</v>
      </c>
    </row>
    <row r="1082" spans="1:23" ht="26">
      <c r="A1082" s="213" t="str">
        <f>IF(OR(CommitmentsTable[[#This Row],[Commitment / deliverable]]="",CommitmentsTable[[#This Row],[Immutable Key]]=""),"",SUBSTITUTE(CommitmentsTable[[#This Row],[Immutable Key]],"-K-","-"))</f>
        <v/>
      </c>
      <c r="B1082" s="233"/>
      <c r="C1082" s="233"/>
      <c r="D1082" s="213"/>
      <c r="E1082" s="230"/>
      <c r="F1082" s="213"/>
      <c r="G1082" s="245" t="str">
        <f ca="1">IF(CommitmentsTable[[#This Row],[Commitment / deliverable]]="","",IF(CommitmentsTable[[#This Row],[Date record entered]]="",TODAY(),CommitmentsTable[[#This Row],[Date record entered]]))</f>
        <v/>
      </c>
      <c r="H1082" s="245"/>
      <c r="I1082" s="245" t="str">
        <f ca="1">IF(CommitmentsTable[[#This Row],[Date Assigned if different from entry date]]&lt;&gt;"",CommitmentsTable[[#This Row],[Date Assigned if different from entry date]]+90,IF(CommitmentsTable[[#This Row],[Date record entered]]&lt;&gt;"",CommitmentsTable[[#This Row],[Date record entered]]+90,""))</f>
        <v/>
      </c>
      <c r="J1082" s="245" t="str">
        <f ca="1">IF(CommitmentsTable[[#This Row],[Date Assigned if different from entry date]]&lt;&gt;"",CommitmentsTable[[#This Row],[Date Assigned if different from entry date]]+30,IF(CommitmentsTable[[#This Row],[Date record entered]]&lt;&gt;"",CommitmentsTable[[#This Row],[Date record entered]]+30,""))</f>
        <v/>
      </c>
      <c r="K1082" s="245"/>
      <c r="L1082" s="245" t="str">
        <f ca="1">IF(CommitmentsTable[[#This Row],[Date Assigned if different from entry date]]&lt;&gt;"",CommitmentsTable[[#This Row],[Date Assigned if different from entry date]]+60,IF(CommitmentsTable[[#This Row],[Date record entered]]&lt;&gt;"",CommitmentsTable[[#This Row],[Date record entered]]+60,""))</f>
        <v/>
      </c>
      <c r="M1082" s="214"/>
      <c r="N1082" s="214"/>
      <c r="O1082" s="236"/>
      <c r="P1082" s="214"/>
      <c r="Q1082" s="214"/>
      <c r="R1082" s="214"/>
      <c r="S1082" s="238" t="str">
        <f>IF(CommitmentsTable[[#This Row],[Commitment / deliverable]]="","",IF(CommitmentsTable[[#This Row],[Revised due]]&lt;&gt;"",CommitmentsTable[[#This Row],[Revised due]],CommitmentsTable[[#This Row],[Original due]]))</f>
        <v/>
      </c>
      <c r="T1082" s="237" t="str">
        <f>IF(OR(CommitmentsTable[[#This Row],[Commitment / deliverable]]="",CommitmentsTable[[#This Row],[Owner]]=""),"",IF(CommitmentsTable[[#This Row],[Status2]]="","Open",CommitmentsTable[[#This Row],[Status2]]))</f>
        <v/>
      </c>
      <c r="U1082" s="237" t="str">
        <f t="shared" ca="1" si="16"/>
        <v/>
      </c>
      <c r="V1082" s="233"/>
      <c r="W1082" s="63" t="s">
        <v>1984</v>
      </c>
    </row>
    <row r="1083" spans="1:23" ht="26">
      <c r="A1083" s="213" t="str">
        <f>IF(OR(CommitmentsTable[[#This Row],[Commitment / deliverable]]="",CommitmentsTable[[#This Row],[Immutable Key]]=""),"",SUBSTITUTE(CommitmentsTable[[#This Row],[Immutable Key]],"-K-","-"))</f>
        <v/>
      </c>
      <c r="B1083" s="233"/>
      <c r="C1083" s="233"/>
      <c r="D1083" s="213"/>
      <c r="E1083" s="230"/>
      <c r="F1083" s="213"/>
      <c r="G1083" s="245" t="str">
        <f ca="1">IF(CommitmentsTable[[#This Row],[Commitment / deliverable]]="","",IF(CommitmentsTable[[#This Row],[Date record entered]]="",TODAY(),CommitmentsTable[[#This Row],[Date record entered]]))</f>
        <v/>
      </c>
      <c r="H1083" s="245"/>
      <c r="I1083" s="245" t="str">
        <f ca="1">IF(CommitmentsTable[[#This Row],[Date Assigned if different from entry date]]&lt;&gt;"",CommitmentsTable[[#This Row],[Date Assigned if different from entry date]]+90,IF(CommitmentsTable[[#This Row],[Date record entered]]&lt;&gt;"",CommitmentsTable[[#This Row],[Date record entered]]+90,""))</f>
        <v/>
      </c>
      <c r="J1083" s="245" t="str">
        <f ca="1">IF(CommitmentsTable[[#This Row],[Date Assigned if different from entry date]]&lt;&gt;"",CommitmentsTable[[#This Row],[Date Assigned if different from entry date]]+30,IF(CommitmentsTable[[#This Row],[Date record entered]]&lt;&gt;"",CommitmentsTable[[#This Row],[Date record entered]]+30,""))</f>
        <v/>
      </c>
      <c r="K1083" s="245"/>
      <c r="L1083" s="245" t="str">
        <f ca="1">IF(CommitmentsTable[[#This Row],[Date Assigned if different from entry date]]&lt;&gt;"",CommitmentsTable[[#This Row],[Date Assigned if different from entry date]]+60,IF(CommitmentsTable[[#This Row],[Date record entered]]&lt;&gt;"",CommitmentsTable[[#This Row],[Date record entered]]+60,""))</f>
        <v/>
      </c>
      <c r="M1083" s="214"/>
      <c r="N1083" s="214"/>
      <c r="O1083" s="236"/>
      <c r="P1083" s="214"/>
      <c r="Q1083" s="214"/>
      <c r="R1083" s="214"/>
      <c r="S1083" s="238" t="str">
        <f>IF(CommitmentsTable[[#This Row],[Commitment / deliverable]]="","",IF(CommitmentsTable[[#This Row],[Revised due]]&lt;&gt;"",CommitmentsTable[[#This Row],[Revised due]],CommitmentsTable[[#This Row],[Original due]]))</f>
        <v/>
      </c>
      <c r="T1083" s="237" t="str">
        <f>IF(OR(CommitmentsTable[[#This Row],[Commitment / deliverable]]="",CommitmentsTable[[#This Row],[Owner]]=""),"",IF(CommitmentsTable[[#This Row],[Status2]]="","Open",CommitmentsTable[[#This Row],[Status2]]))</f>
        <v/>
      </c>
      <c r="U1083" s="237" t="str">
        <f t="shared" ca="1" si="16"/>
        <v/>
      </c>
      <c r="V1083" s="233"/>
      <c r="W1083" s="63" t="s">
        <v>1985</v>
      </c>
    </row>
    <row r="1084" spans="1:23" ht="26">
      <c r="A1084" s="213" t="str">
        <f>IF(OR(CommitmentsTable[[#This Row],[Commitment / deliverable]]="",CommitmentsTable[[#This Row],[Immutable Key]]=""),"",SUBSTITUTE(CommitmentsTable[[#This Row],[Immutable Key]],"-K-","-"))</f>
        <v/>
      </c>
      <c r="B1084" s="233"/>
      <c r="C1084" s="233"/>
      <c r="D1084" s="213"/>
      <c r="E1084" s="230"/>
      <c r="F1084" s="213"/>
      <c r="G1084" s="245" t="str">
        <f ca="1">IF(CommitmentsTable[[#This Row],[Commitment / deliverable]]="","",IF(CommitmentsTable[[#This Row],[Date record entered]]="",TODAY(),CommitmentsTable[[#This Row],[Date record entered]]))</f>
        <v/>
      </c>
      <c r="H1084" s="245"/>
      <c r="I1084" s="245" t="str">
        <f ca="1">IF(CommitmentsTable[[#This Row],[Date Assigned if different from entry date]]&lt;&gt;"",CommitmentsTable[[#This Row],[Date Assigned if different from entry date]]+90,IF(CommitmentsTable[[#This Row],[Date record entered]]&lt;&gt;"",CommitmentsTable[[#This Row],[Date record entered]]+90,""))</f>
        <v/>
      </c>
      <c r="J1084" s="245" t="str">
        <f ca="1">IF(CommitmentsTable[[#This Row],[Date Assigned if different from entry date]]&lt;&gt;"",CommitmentsTable[[#This Row],[Date Assigned if different from entry date]]+30,IF(CommitmentsTable[[#This Row],[Date record entered]]&lt;&gt;"",CommitmentsTable[[#This Row],[Date record entered]]+30,""))</f>
        <v/>
      </c>
      <c r="K1084" s="245"/>
      <c r="L1084" s="245" t="str">
        <f ca="1">IF(CommitmentsTable[[#This Row],[Date Assigned if different from entry date]]&lt;&gt;"",CommitmentsTable[[#This Row],[Date Assigned if different from entry date]]+60,IF(CommitmentsTable[[#This Row],[Date record entered]]&lt;&gt;"",CommitmentsTable[[#This Row],[Date record entered]]+60,""))</f>
        <v/>
      </c>
      <c r="M1084" s="214"/>
      <c r="N1084" s="214"/>
      <c r="O1084" s="236"/>
      <c r="P1084" s="214"/>
      <c r="Q1084" s="214"/>
      <c r="R1084" s="214"/>
      <c r="S1084" s="238" t="str">
        <f>IF(CommitmentsTable[[#This Row],[Commitment / deliverable]]="","",IF(CommitmentsTable[[#This Row],[Revised due]]&lt;&gt;"",CommitmentsTable[[#This Row],[Revised due]],CommitmentsTable[[#This Row],[Original due]]))</f>
        <v/>
      </c>
      <c r="T1084" s="237" t="str">
        <f>IF(OR(CommitmentsTable[[#This Row],[Commitment / deliverable]]="",CommitmentsTable[[#This Row],[Owner]]=""),"",IF(CommitmentsTable[[#This Row],[Status2]]="","Open",CommitmentsTable[[#This Row],[Status2]]))</f>
        <v/>
      </c>
      <c r="U1084" s="237" t="str">
        <f t="shared" ca="1" si="16"/>
        <v/>
      </c>
      <c r="V1084" s="233"/>
      <c r="W1084" s="63" t="s">
        <v>1986</v>
      </c>
    </row>
    <row r="1085" spans="1:23" ht="26">
      <c r="A1085" s="213" t="str">
        <f>IF(OR(CommitmentsTable[[#This Row],[Commitment / deliverable]]="",CommitmentsTable[[#This Row],[Immutable Key]]=""),"",SUBSTITUTE(CommitmentsTable[[#This Row],[Immutable Key]],"-K-","-"))</f>
        <v/>
      </c>
      <c r="B1085" s="233"/>
      <c r="C1085" s="233"/>
      <c r="D1085" s="213"/>
      <c r="E1085" s="230"/>
      <c r="F1085" s="213"/>
      <c r="G1085" s="245" t="str">
        <f ca="1">IF(CommitmentsTable[[#This Row],[Commitment / deliverable]]="","",IF(CommitmentsTable[[#This Row],[Date record entered]]="",TODAY(),CommitmentsTable[[#This Row],[Date record entered]]))</f>
        <v/>
      </c>
      <c r="H1085" s="245"/>
      <c r="I1085" s="245" t="str">
        <f ca="1">IF(CommitmentsTable[[#This Row],[Date Assigned if different from entry date]]&lt;&gt;"",CommitmentsTable[[#This Row],[Date Assigned if different from entry date]]+90,IF(CommitmentsTable[[#This Row],[Date record entered]]&lt;&gt;"",CommitmentsTable[[#This Row],[Date record entered]]+90,""))</f>
        <v/>
      </c>
      <c r="J1085" s="245" t="str">
        <f ca="1">IF(CommitmentsTable[[#This Row],[Date Assigned if different from entry date]]&lt;&gt;"",CommitmentsTable[[#This Row],[Date Assigned if different from entry date]]+30,IF(CommitmentsTable[[#This Row],[Date record entered]]&lt;&gt;"",CommitmentsTable[[#This Row],[Date record entered]]+30,""))</f>
        <v/>
      </c>
      <c r="K1085" s="245"/>
      <c r="L1085" s="245" t="str">
        <f ca="1">IF(CommitmentsTable[[#This Row],[Date Assigned if different from entry date]]&lt;&gt;"",CommitmentsTable[[#This Row],[Date Assigned if different from entry date]]+60,IF(CommitmentsTable[[#This Row],[Date record entered]]&lt;&gt;"",CommitmentsTable[[#This Row],[Date record entered]]+60,""))</f>
        <v/>
      </c>
      <c r="M1085" s="214"/>
      <c r="N1085" s="214"/>
      <c r="O1085" s="236"/>
      <c r="P1085" s="214"/>
      <c r="Q1085" s="214"/>
      <c r="R1085" s="214"/>
      <c r="S1085" s="238" t="str">
        <f>IF(CommitmentsTable[[#This Row],[Commitment / deliverable]]="","",IF(CommitmentsTable[[#This Row],[Revised due]]&lt;&gt;"",CommitmentsTable[[#This Row],[Revised due]],CommitmentsTable[[#This Row],[Original due]]))</f>
        <v/>
      </c>
      <c r="T1085" s="237" t="str">
        <f>IF(OR(CommitmentsTable[[#This Row],[Commitment / deliverable]]="",CommitmentsTable[[#This Row],[Owner]]=""),"",IF(CommitmentsTable[[#This Row],[Status2]]="","Open",CommitmentsTable[[#This Row],[Status2]]))</f>
        <v/>
      </c>
      <c r="U1085" s="237" t="str">
        <f t="shared" ca="1" si="16"/>
        <v/>
      </c>
      <c r="V1085" s="233"/>
      <c r="W1085" s="63" t="s">
        <v>1987</v>
      </c>
    </row>
    <row r="1086" spans="1:23" ht="26">
      <c r="A1086" s="213" t="str">
        <f>IF(OR(CommitmentsTable[[#This Row],[Commitment / deliverable]]="",CommitmentsTable[[#This Row],[Immutable Key]]=""),"",SUBSTITUTE(CommitmentsTable[[#This Row],[Immutable Key]],"-K-","-"))</f>
        <v/>
      </c>
      <c r="B1086" s="233"/>
      <c r="C1086" s="233"/>
      <c r="D1086" s="213"/>
      <c r="E1086" s="230"/>
      <c r="F1086" s="213"/>
      <c r="G1086" s="245" t="str">
        <f ca="1">IF(CommitmentsTable[[#This Row],[Commitment / deliverable]]="","",IF(CommitmentsTable[[#This Row],[Date record entered]]="",TODAY(),CommitmentsTable[[#This Row],[Date record entered]]))</f>
        <v/>
      </c>
      <c r="H1086" s="245"/>
      <c r="I1086" s="245" t="str">
        <f ca="1">IF(CommitmentsTable[[#This Row],[Date Assigned if different from entry date]]&lt;&gt;"",CommitmentsTable[[#This Row],[Date Assigned if different from entry date]]+90,IF(CommitmentsTable[[#This Row],[Date record entered]]&lt;&gt;"",CommitmentsTable[[#This Row],[Date record entered]]+90,""))</f>
        <v/>
      </c>
      <c r="J1086" s="245" t="str">
        <f ca="1">IF(CommitmentsTable[[#This Row],[Date Assigned if different from entry date]]&lt;&gt;"",CommitmentsTable[[#This Row],[Date Assigned if different from entry date]]+30,IF(CommitmentsTable[[#This Row],[Date record entered]]&lt;&gt;"",CommitmentsTable[[#This Row],[Date record entered]]+30,""))</f>
        <v/>
      </c>
      <c r="K1086" s="245"/>
      <c r="L1086" s="245" t="str">
        <f ca="1">IF(CommitmentsTable[[#This Row],[Date Assigned if different from entry date]]&lt;&gt;"",CommitmentsTable[[#This Row],[Date Assigned if different from entry date]]+60,IF(CommitmentsTable[[#This Row],[Date record entered]]&lt;&gt;"",CommitmentsTable[[#This Row],[Date record entered]]+60,""))</f>
        <v/>
      </c>
      <c r="M1086" s="214"/>
      <c r="N1086" s="214"/>
      <c r="O1086" s="236"/>
      <c r="P1086" s="214"/>
      <c r="Q1086" s="214"/>
      <c r="R1086" s="214"/>
      <c r="S1086" s="238" t="str">
        <f>IF(CommitmentsTable[[#This Row],[Commitment / deliverable]]="","",IF(CommitmentsTable[[#This Row],[Revised due]]&lt;&gt;"",CommitmentsTable[[#This Row],[Revised due]],CommitmentsTable[[#This Row],[Original due]]))</f>
        <v/>
      </c>
      <c r="T1086" s="237" t="str">
        <f>IF(OR(CommitmentsTable[[#This Row],[Commitment / deliverable]]="",CommitmentsTable[[#This Row],[Owner]]=""),"",IF(CommitmentsTable[[#This Row],[Status2]]="","Open",CommitmentsTable[[#This Row],[Status2]]))</f>
        <v/>
      </c>
      <c r="U1086" s="237" t="str">
        <f t="shared" ca="1" si="16"/>
        <v/>
      </c>
      <c r="V1086" s="233"/>
      <c r="W1086" s="63" t="s">
        <v>1988</v>
      </c>
    </row>
    <row r="1087" spans="1:23" ht="26">
      <c r="A1087" s="213" t="str">
        <f>IF(OR(CommitmentsTable[[#This Row],[Commitment / deliverable]]="",CommitmentsTable[[#This Row],[Immutable Key]]=""),"",SUBSTITUTE(CommitmentsTable[[#This Row],[Immutable Key]],"-K-","-"))</f>
        <v/>
      </c>
      <c r="B1087" s="233"/>
      <c r="C1087" s="233"/>
      <c r="D1087" s="213"/>
      <c r="E1087" s="230"/>
      <c r="F1087" s="213"/>
      <c r="G1087" s="245" t="str">
        <f ca="1">IF(CommitmentsTable[[#This Row],[Commitment / deliverable]]="","",IF(CommitmentsTable[[#This Row],[Date record entered]]="",TODAY(),CommitmentsTable[[#This Row],[Date record entered]]))</f>
        <v/>
      </c>
      <c r="H1087" s="245"/>
      <c r="I1087" s="245" t="str">
        <f ca="1">IF(CommitmentsTable[[#This Row],[Date Assigned if different from entry date]]&lt;&gt;"",CommitmentsTable[[#This Row],[Date Assigned if different from entry date]]+90,IF(CommitmentsTable[[#This Row],[Date record entered]]&lt;&gt;"",CommitmentsTable[[#This Row],[Date record entered]]+90,""))</f>
        <v/>
      </c>
      <c r="J1087" s="245" t="str">
        <f ca="1">IF(CommitmentsTable[[#This Row],[Date Assigned if different from entry date]]&lt;&gt;"",CommitmentsTable[[#This Row],[Date Assigned if different from entry date]]+30,IF(CommitmentsTable[[#This Row],[Date record entered]]&lt;&gt;"",CommitmentsTable[[#This Row],[Date record entered]]+30,""))</f>
        <v/>
      </c>
      <c r="K1087" s="245"/>
      <c r="L1087" s="245" t="str">
        <f ca="1">IF(CommitmentsTable[[#This Row],[Date Assigned if different from entry date]]&lt;&gt;"",CommitmentsTable[[#This Row],[Date Assigned if different from entry date]]+60,IF(CommitmentsTable[[#This Row],[Date record entered]]&lt;&gt;"",CommitmentsTable[[#This Row],[Date record entered]]+60,""))</f>
        <v/>
      </c>
      <c r="M1087" s="214"/>
      <c r="N1087" s="214"/>
      <c r="O1087" s="236"/>
      <c r="P1087" s="214"/>
      <c r="Q1087" s="214"/>
      <c r="R1087" s="214"/>
      <c r="S1087" s="238" t="str">
        <f>IF(CommitmentsTable[[#This Row],[Commitment / deliverable]]="","",IF(CommitmentsTable[[#This Row],[Revised due]]&lt;&gt;"",CommitmentsTable[[#This Row],[Revised due]],CommitmentsTable[[#This Row],[Original due]]))</f>
        <v/>
      </c>
      <c r="T1087" s="237" t="str">
        <f>IF(OR(CommitmentsTable[[#This Row],[Commitment / deliverable]]="",CommitmentsTable[[#This Row],[Owner]]=""),"",IF(CommitmentsTable[[#This Row],[Status2]]="","Open",CommitmentsTable[[#This Row],[Status2]]))</f>
        <v/>
      </c>
      <c r="U1087" s="237" t="str">
        <f t="shared" ca="1" si="16"/>
        <v/>
      </c>
      <c r="V1087" s="233"/>
      <c r="W1087" s="63" t="s">
        <v>1989</v>
      </c>
    </row>
    <row r="1088" spans="1:23" ht="26">
      <c r="A1088" s="213" t="str">
        <f>IF(OR(CommitmentsTable[[#This Row],[Commitment / deliverable]]="",CommitmentsTable[[#This Row],[Immutable Key]]=""),"",SUBSTITUTE(CommitmentsTable[[#This Row],[Immutable Key]],"-K-","-"))</f>
        <v/>
      </c>
      <c r="B1088" s="233"/>
      <c r="C1088" s="233"/>
      <c r="D1088" s="213"/>
      <c r="E1088" s="230"/>
      <c r="F1088" s="213"/>
      <c r="G1088" s="245" t="str">
        <f ca="1">IF(CommitmentsTable[[#This Row],[Commitment / deliverable]]="","",IF(CommitmentsTable[[#This Row],[Date record entered]]="",TODAY(),CommitmentsTable[[#This Row],[Date record entered]]))</f>
        <v/>
      </c>
      <c r="H1088" s="245"/>
      <c r="I1088" s="245" t="str">
        <f ca="1">IF(CommitmentsTable[[#This Row],[Date Assigned if different from entry date]]&lt;&gt;"",CommitmentsTable[[#This Row],[Date Assigned if different from entry date]]+90,IF(CommitmentsTable[[#This Row],[Date record entered]]&lt;&gt;"",CommitmentsTable[[#This Row],[Date record entered]]+90,""))</f>
        <v/>
      </c>
      <c r="J1088" s="245" t="str">
        <f ca="1">IF(CommitmentsTable[[#This Row],[Date Assigned if different from entry date]]&lt;&gt;"",CommitmentsTable[[#This Row],[Date Assigned if different from entry date]]+30,IF(CommitmentsTable[[#This Row],[Date record entered]]&lt;&gt;"",CommitmentsTable[[#This Row],[Date record entered]]+30,""))</f>
        <v/>
      </c>
      <c r="K1088" s="245"/>
      <c r="L1088" s="245" t="str">
        <f ca="1">IF(CommitmentsTable[[#This Row],[Date Assigned if different from entry date]]&lt;&gt;"",CommitmentsTable[[#This Row],[Date Assigned if different from entry date]]+60,IF(CommitmentsTable[[#This Row],[Date record entered]]&lt;&gt;"",CommitmentsTable[[#This Row],[Date record entered]]+60,""))</f>
        <v/>
      </c>
      <c r="M1088" s="214"/>
      <c r="N1088" s="214"/>
      <c r="O1088" s="236"/>
      <c r="P1088" s="214"/>
      <c r="Q1088" s="214"/>
      <c r="R1088" s="214"/>
      <c r="S1088" s="238" t="str">
        <f>IF(CommitmentsTable[[#This Row],[Commitment / deliverable]]="","",IF(CommitmentsTable[[#This Row],[Revised due]]&lt;&gt;"",CommitmentsTable[[#This Row],[Revised due]],CommitmentsTable[[#This Row],[Original due]]))</f>
        <v/>
      </c>
      <c r="T1088" s="237" t="str">
        <f>IF(OR(CommitmentsTable[[#This Row],[Commitment / deliverable]]="",CommitmentsTable[[#This Row],[Owner]]=""),"",IF(CommitmentsTable[[#This Row],[Status2]]="","Open",CommitmentsTable[[#This Row],[Status2]]))</f>
        <v/>
      </c>
      <c r="U1088" s="237" t="str">
        <f t="shared" ca="1" si="16"/>
        <v/>
      </c>
      <c r="V1088" s="233"/>
      <c r="W1088" s="63" t="s">
        <v>1990</v>
      </c>
    </row>
    <row r="1089" spans="1:23" ht="26">
      <c r="A1089" s="213" t="str">
        <f>IF(OR(CommitmentsTable[[#This Row],[Commitment / deliverable]]="",CommitmentsTable[[#This Row],[Immutable Key]]=""),"",SUBSTITUTE(CommitmentsTable[[#This Row],[Immutable Key]],"-K-","-"))</f>
        <v/>
      </c>
      <c r="B1089" s="233"/>
      <c r="C1089" s="233"/>
      <c r="D1089" s="213"/>
      <c r="E1089" s="230"/>
      <c r="F1089" s="213"/>
      <c r="G1089" s="245" t="str">
        <f ca="1">IF(CommitmentsTable[[#This Row],[Commitment / deliverable]]="","",IF(CommitmentsTable[[#This Row],[Date record entered]]="",TODAY(),CommitmentsTable[[#This Row],[Date record entered]]))</f>
        <v/>
      </c>
      <c r="H1089" s="245"/>
      <c r="I1089" s="245" t="str">
        <f ca="1">IF(CommitmentsTable[[#This Row],[Date Assigned if different from entry date]]&lt;&gt;"",CommitmentsTable[[#This Row],[Date Assigned if different from entry date]]+90,IF(CommitmentsTable[[#This Row],[Date record entered]]&lt;&gt;"",CommitmentsTable[[#This Row],[Date record entered]]+90,""))</f>
        <v/>
      </c>
      <c r="J1089" s="245" t="str">
        <f ca="1">IF(CommitmentsTable[[#This Row],[Date Assigned if different from entry date]]&lt;&gt;"",CommitmentsTable[[#This Row],[Date Assigned if different from entry date]]+30,IF(CommitmentsTable[[#This Row],[Date record entered]]&lt;&gt;"",CommitmentsTable[[#This Row],[Date record entered]]+30,""))</f>
        <v/>
      </c>
      <c r="K1089" s="245"/>
      <c r="L1089" s="245" t="str">
        <f ca="1">IF(CommitmentsTable[[#This Row],[Date Assigned if different from entry date]]&lt;&gt;"",CommitmentsTable[[#This Row],[Date Assigned if different from entry date]]+60,IF(CommitmentsTable[[#This Row],[Date record entered]]&lt;&gt;"",CommitmentsTable[[#This Row],[Date record entered]]+60,""))</f>
        <v/>
      </c>
      <c r="M1089" s="214"/>
      <c r="N1089" s="214"/>
      <c r="O1089" s="236"/>
      <c r="P1089" s="214"/>
      <c r="Q1089" s="214"/>
      <c r="R1089" s="214"/>
      <c r="S1089" s="238" t="str">
        <f>IF(CommitmentsTable[[#This Row],[Commitment / deliverable]]="","",IF(CommitmentsTable[[#This Row],[Revised due]]&lt;&gt;"",CommitmentsTable[[#This Row],[Revised due]],CommitmentsTable[[#This Row],[Original due]]))</f>
        <v/>
      </c>
      <c r="T1089" s="237" t="str">
        <f>IF(OR(CommitmentsTable[[#This Row],[Commitment / deliverable]]="",CommitmentsTable[[#This Row],[Owner]]=""),"",IF(CommitmentsTable[[#This Row],[Status2]]="","Open",CommitmentsTable[[#This Row],[Status2]]))</f>
        <v/>
      </c>
      <c r="U1089" s="237" t="str">
        <f t="shared" ca="1" si="16"/>
        <v/>
      </c>
      <c r="V1089" s="233"/>
      <c r="W1089" s="63" t="s">
        <v>1991</v>
      </c>
    </row>
    <row r="1090" spans="1:23" ht="26">
      <c r="A1090" s="213" t="str">
        <f>IF(OR(CommitmentsTable[[#This Row],[Commitment / deliverable]]="",CommitmentsTable[[#This Row],[Immutable Key]]=""),"",SUBSTITUTE(CommitmentsTable[[#This Row],[Immutable Key]],"-K-","-"))</f>
        <v/>
      </c>
      <c r="B1090" s="233"/>
      <c r="C1090" s="233"/>
      <c r="D1090" s="213"/>
      <c r="E1090" s="230"/>
      <c r="F1090" s="213"/>
      <c r="G1090" s="245" t="str">
        <f ca="1">IF(CommitmentsTable[[#This Row],[Commitment / deliverable]]="","",IF(CommitmentsTable[[#This Row],[Date record entered]]="",TODAY(),CommitmentsTable[[#This Row],[Date record entered]]))</f>
        <v/>
      </c>
      <c r="H1090" s="245"/>
      <c r="I1090" s="245" t="str">
        <f ca="1">IF(CommitmentsTable[[#This Row],[Date Assigned if different from entry date]]&lt;&gt;"",CommitmentsTable[[#This Row],[Date Assigned if different from entry date]]+90,IF(CommitmentsTable[[#This Row],[Date record entered]]&lt;&gt;"",CommitmentsTable[[#This Row],[Date record entered]]+90,""))</f>
        <v/>
      </c>
      <c r="J1090" s="245" t="str">
        <f ca="1">IF(CommitmentsTable[[#This Row],[Date Assigned if different from entry date]]&lt;&gt;"",CommitmentsTable[[#This Row],[Date Assigned if different from entry date]]+30,IF(CommitmentsTable[[#This Row],[Date record entered]]&lt;&gt;"",CommitmentsTable[[#This Row],[Date record entered]]+30,""))</f>
        <v/>
      </c>
      <c r="K1090" s="245"/>
      <c r="L1090" s="245" t="str">
        <f ca="1">IF(CommitmentsTable[[#This Row],[Date Assigned if different from entry date]]&lt;&gt;"",CommitmentsTable[[#This Row],[Date Assigned if different from entry date]]+60,IF(CommitmentsTable[[#This Row],[Date record entered]]&lt;&gt;"",CommitmentsTable[[#This Row],[Date record entered]]+60,""))</f>
        <v/>
      </c>
      <c r="M1090" s="214"/>
      <c r="N1090" s="214"/>
      <c r="O1090" s="236"/>
      <c r="P1090" s="214"/>
      <c r="Q1090" s="214"/>
      <c r="R1090" s="214"/>
      <c r="S1090" s="238" t="str">
        <f>IF(CommitmentsTable[[#This Row],[Commitment / deliverable]]="","",IF(CommitmentsTable[[#This Row],[Revised due]]&lt;&gt;"",CommitmentsTable[[#This Row],[Revised due]],CommitmentsTable[[#This Row],[Original due]]))</f>
        <v/>
      </c>
      <c r="T1090" s="237" t="str">
        <f>IF(OR(CommitmentsTable[[#This Row],[Commitment / deliverable]]="",CommitmentsTable[[#This Row],[Owner]]=""),"",IF(CommitmentsTable[[#This Row],[Status2]]="","Open",CommitmentsTable[[#This Row],[Status2]]))</f>
        <v/>
      </c>
      <c r="U1090" s="237" t="str">
        <f t="shared" ca="1" si="16"/>
        <v/>
      </c>
      <c r="V1090" s="233"/>
      <c r="W1090" s="63" t="s">
        <v>1992</v>
      </c>
    </row>
    <row r="1091" spans="1:23" ht="26">
      <c r="A1091" s="213" t="str">
        <f>IF(OR(CommitmentsTable[[#This Row],[Commitment / deliverable]]="",CommitmentsTable[[#This Row],[Immutable Key]]=""),"",SUBSTITUTE(CommitmentsTable[[#This Row],[Immutable Key]],"-K-","-"))</f>
        <v/>
      </c>
      <c r="B1091" s="233"/>
      <c r="C1091" s="233"/>
      <c r="D1091" s="213"/>
      <c r="E1091" s="230"/>
      <c r="F1091" s="213"/>
      <c r="G1091" s="245" t="str">
        <f ca="1">IF(CommitmentsTable[[#This Row],[Commitment / deliverable]]="","",IF(CommitmentsTable[[#This Row],[Date record entered]]="",TODAY(),CommitmentsTable[[#This Row],[Date record entered]]))</f>
        <v/>
      </c>
      <c r="H1091" s="245"/>
      <c r="I1091" s="245" t="str">
        <f ca="1">IF(CommitmentsTable[[#This Row],[Date Assigned if different from entry date]]&lt;&gt;"",CommitmentsTable[[#This Row],[Date Assigned if different from entry date]]+90,IF(CommitmentsTable[[#This Row],[Date record entered]]&lt;&gt;"",CommitmentsTable[[#This Row],[Date record entered]]+90,""))</f>
        <v/>
      </c>
      <c r="J1091" s="245" t="str">
        <f ca="1">IF(CommitmentsTable[[#This Row],[Date Assigned if different from entry date]]&lt;&gt;"",CommitmentsTable[[#This Row],[Date Assigned if different from entry date]]+30,IF(CommitmentsTable[[#This Row],[Date record entered]]&lt;&gt;"",CommitmentsTable[[#This Row],[Date record entered]]+30,""))</f>
        <v/>
      </c>
      <c r="K1091" s="245"/>
      <c r="L1091" s="245" t="str">
        <f ca="1">IF(CommitmentsTable[[#This Row],[Date Assigned if different from entry date]]&lt;&gt;"",CommitmentsTable[[#This Row],[Date Assigned if different from entry date]]+60,IF(CommitmentsTable[[#This Row],[Date record entered]]&lt;&gt;"",CommitmentsTable[[#This Row],[Date record entered]]+60,""))</f>
        <v/>
      </c>
      <c r="M1091" s="214"/>
      <c r="N1091" s="214"/>
      <c r="O1091" s="236"/>
      <c r="P1091" s="214"/>
      <c r="Q1091" s="214"/>
      <c r="R1091" s="214"/>
      <c r="S1091" s="238" t="str">
        <f>IF(CommitmentsTable[[#This Row],[Commitment / deliverable]]="","",IF(CommitmentsTable[[#This Row],[Revised due]]&lt;&gt;"",CommitmentsTable[[#This Row],[Revised due]],CommitmentsTable[[#This Row],[Original due]]))</f>
        <v/>
      </c>
      <c r="T1091" s="237" t="str">
        <f>IF(OR(CommitmentsTable[[#This Row],[Commitment / deliverable]]="",CommitmentsTable[[#This Row],[Owner]]=""),"",IF(CommitmentsTable[[#This Row],[Status2]]="","Open",CommitmentsTable[[#This Row],[Status2]]))</f>
        <v/>
      </c>
      <c r="U1091" s="237" t="str">
        <f t="shared" ca="1" si="16"/>
        <v/>
      </c>
      <c r="V1091" s="233"/>
      <c r="W1091" s="63" t="s">
        <v>1993</v>
      </c>
    </row>
    <row r="1092" spans="1:23" ht="26">
      <c r="A1092" s="213" t="str">
        <f>IF(OR(CommitmentsTable[[#This Row],[Commitment / deliverable]]="",CommitmentsTable[[#This Row],[Immutable Key]]=""),"",SUBSTITUTE(CommitmentsTable[[#This Row],[Immutable Key]],"-K-","-"))</f>
        <v/>
      </c>
      <c r="B1092" s="233"/>
      <c r="C1092" s="233"/>
      <c r="D1092" s="213"/>
      <c r="E1092" s="230"/>
      <c r="F1092" s="213"/>
      <c r="G1092" s="245" t="str">
        <f ca="1">IF(CommitmentsTable[[#This Row],[Commitment / deliverable]]="","",IF(CommitmentsTable[[#This Row],[Date record entered]]="",TODAY(),CommitmentsTable[[#This Row],[Date record entered]]))</f>
        <v/>
      </c>
      <c r="H1092" s="245"/>
      <c r="I1092" s="245" t="str">
        <f ca="1">IF(CommitmentsTable[[#This Row],[Date Assigned if different from entry date]]&lt;&gt;"",CommitmentsTable[[#This Row],[Date Assigned if different from entry date]]+90,IF(CommitmentsTable[[#This Row],[Date record entered]]&lt;&gt;"",CommitmentsTable[[#This Row],[Date record entered]]+90,""))</f>
        <v/>
      </c>
      <c r="J1092" s="245" t="str">
        <f ca="1">IF(CommitmentsTable[[#This Row],[Date Assigned if different from entry date]]&lt;&gt;"",CommitmentsTable[[#This Row],[Date Assigned if different from entry date]]+30,IF(CommitmentsTable[[#This Row],[Date record entered]]&lt;&gt;"",CommitmentsTable[[#This Row],[Date record entered]]+30,""))</f>
        <v/>
      </c>
      <c r="K1092" s="245"/>
      <c r="L1092" s="245" t="str">
        <f ca="1">IF(CommitmentsTable[[#This Row],[Date Assigned if different from entry date]]&lt;&gt;"",CommitmentsTable[[#This Row],[Date Assigned if different from entry date]]+60,IF(CommitmentsTable[[#This Row],[Date record entered]]&lt;&gt;"",CommitmentsTable[[#This Row],[Date record entered]]+60,""))</f>
        <v/>
      </c>
      <c r="M1092" s="214"/>
      <c r="N1092" s="214"/>
      <c r="O1092" s="236"/>
      <c r="P1092" s="214"/>
      <c r="Q1092" s="214"/>
      <c r="R1092" s="214"/>
      <c r="S1092" s="238" t="str">
        <f>IF(CommitmentsTable[[#This Row],[Commitment / deliverable]]="","",IF(CommitmentsTable[[#This Row],[Revised due]]&lt;&gt;"",CommitmentsTable[[#This Row],[Revised due]],CommitmentsTable[[#This Row],[Original due]]))</f>
        <v/>
      </c>
      <c r="T1092" s="237" t="str">
        <f>IF(OR(CommitmentsTable[[#This Row],[Commitment / deliverable]]="",CommitmentsTable[[#This Row],[Owner]]=""),"",IF(CommitmentsTable[[#This Row],[Status2]]="","Open",CommitmentsTable[[#This Row],[Status2]]))</f>
        <v/>
      </c>
      <c r="U1092" s="237" t="str">
        <f t="shared" ca="1" si="16"/>
        <v/>
      </c>
      <c r="V1092" s="233"/>
      <c r="W1092" s="63" t="s">
        <v>1994</v>
      </c>
    </row>
    <row r="1093" spans="1:23" ht="26">
      <c r="A1093" s="213" t="str">
        <f>IF(OR(CommitmentsTable[[#This Row],[Commitment / deliverable]]="",CommitmentsTable[[#This Row],[Immutable Key]]=""),"",SUBSTITUTE(CommitmentsTable[[#This Row],[Immutable Key]],"-K-","-"))</f>
        <v/>
      </c>
      <c r="B1093" s="233"/>
      <c r="C1093" s="233"/>
      <c r="D1093" s="213"/>
      <c r="E1093" s="230"/>
      <c r="F1093" s="213"/>
      <c r="G1093" s="245" t="str">
        <f ca="1">IF(CommitmentsTable[[#This Row],[Commitment / deliverable]]="","",IF(CommitmentsTable[[#This Row],[Date record entered]]="",TODAY(),CommitmentsTable[[#This Row],[Date record entered]]))</f>
        <v/>
      </c>
      <c r="H1093" s="245"/>
      <c r="I1093" s="245" t="str">
        <f ca="1">IF(CommitmentsTable[[#This Row],[Date Assigned if different from entry date]]&lt;&gt;"",CommitmentsTable[[#This Row],[Date Assigned if different from entry date]]+90,IF(CommitmentsTable[[#This Row],[Date record entered]]&lt;&gt;"",CommitmentsTable[[#This Row],[Date record entered]]+90,""))</f>
        <v/>
      </c>
      <c r="J1093" s="245" t="str">
        <f ca="1">IF(CommitmentsTable[[#This Row],[Date Assigned if different from entry date]]&lt;&gt;"",CommitmentsTable[[#This Row],[Date Assigned if different from entry date]]+30,IF(CommitmentsTable[[#This Row],[Date record entered]]&lt;&gt;"",CommitmentsTable[[#This Row],[Date record entered]]+30,""))</f>
        <v/>
      </c>
      <c r="K1093" s="245"/>
      <c r="L1093" s="245" t="str">
        <f ca="1">IF(CommitmentsTable[[#This Row],[Date Assigned if different from entry date]]&lt;&gt;"",CommitmentsTable[[#This Row],[Date Assigned if different from entry date]]+60,IF(CommitmentsTable[[#This Row],[Date record entered]]&lt;&gt;"",CommitmentsTable[[#This Row],[Date record entered]]+60,""))</f>
        <v/>
      </c>
      <c r="M1093" s="214"/>
      <c r="N1093" s="214"/>
      <c r="O1093" s="236"/>
      <c r="P1093" s="214"/>
      <c r="Q1093" s="214"/>
      <c r="R1093" s="214"/>
      <c r="S1093" s="238" t="str">
        <f>IF(CommitmentsTable[[#This Row],[Commitment / deliverable]]="","",IF(CommitmentsTable[[#This Row],[Revised due]]&lt;&gt;"",CommitmentsTable[[#This Row],[Revised due]],CommitmentsTable[[#This Row],[Original due]]))</f>
        <v/>
      </c>
      <c r="T1093" s="237" t="str">
        <f>IF(OR(CommitmentsTable[[#This Row],[Commitment / deliverable]]="",CommitmentsTable[[#This Row],[Owner]]=""),"",IF(CommitmentsTable[[#This Row],[Status2]]="","Open",CommitmentsTable[[#This Row],[Status2]]))</f>
        <v/>
      </c>
      <c r="U1093" s="237" t="str">
        <f t="shared" ca="1" si="16"/>
        <v/>
      </c>
      <c r="V1093" s="233"/>
      <c r="W1093" s="63" t="s">
        <v>1995</v>
      </c>
    </row>
    <row r="1094" spans="1:23" ht="26">
      <c r="A1094" s="213" t="str">
        <f>IF(OR(CommitmentsTable[[#This Row],[Commitment / deliverable]]="",CommitmentsTable[[#This Row],[Immutable Key]]=""),"",SUBSTITUTE(CommitmentsTable[[#This Row],[Immutable Key]],"-K-","-"))</f>
        <v/>
      </c>
      <c r="B1094" s="233"/>
      <c r="C1094" s="233"/>
      <c r="D1094" s="213"/>
      <c r="E1094" s="230"/>
      <c r="F1094" s="213"/>
      <c r="G1094" s="245" t="str">
        <f ca="1">IF(CommitmentsTable[[#This Row],[Commitment / deliverable]]="","",IF(CommitmentsTable[[#This Row],[Date record entered]]="",TODAY(),CommitmentsTable[[#This Row],[Date record entered]]))</f>
        <v/>
      </c>
      <c r="H1094" s="245"/>
      <c r="I1094" s="245" t="str">
        <f ca="1">IF(CommitmentsTable[[#This Row],[Date Assigned if different from entry date]]&lt;&gt;"",CommitmentsTable[[#This Row],[Date Assigned if different from entry date]]+90,IF(CommitmentsTable[[#This Row],[Date record entered]]&lt;&gt;"",CommitmentsTable[[#This Row],[Date record entered]]+90,""))</f>
        <v/>
      </c>
      <c r="J1094" s="245" t="str">
        <f ca="1">IF(CommitmentsTable[[#This Row],[Date Assigned if different from entry date]]&lt;&gt;"",CommitmentsTable[[#This Row],[Date Assigned if different from entry date]]+30,IF(CommitmentsTable[[#This Row],[Date record entered]]&lt;&gt;"",CommitmentsTable[[#This Row],[Date record entered]]+30,""))</f>
        <v/>
      </c>
      <c r="K1094" s="245"/>
      <c r="L1094" s="245" t="str">
        <f ca="1">IF(CommitmentsTable[[#This Row],[Date Assigned if different from entry date]]&lt;&gt;"",CommitmentsTable[[#This Row],[Date Assigned if different from entry date]]+60,IF(CommitmentsTable[[#This Row],[Date record entered]]&lt;&gt;"",CommitmentsTable[[#This Row],[Date record entered]]+60,""))</f>
        <v/>
      </c>
      <c r="M1094" s="214"/>
      <c r="N1094" s="214"/>
      <c r="O1094" s="236"/>
      <c r="P1094" s="214"/>
      <c r="Q1094" s="214"/>
      <c r="R1094" s="214"/>
      <c r="S1094" s="238" t="str">
        <f>IF(CommitmentsTable[[#This Row],[Commitment / deliverable]]="","",IF(CommitmentsTable[[#This Row],[Revised due]]&lt;&gt;"",CommitmentsTable[[#This Row],[Revised due]],CommitmentsTable[[#This Row],[Original due]]))</f>
        <v/>
      </c>
      <c r="T1094" s="237" t="str">
        <f>IF(OR(CommitmentsTable[[#This Row],[Commitment / deliverable]]="",CommitmentsTable[[#This Row],[Owner]]=""),"",IF(CommitmentsTable[[#This Row],[Status2]]="","Open",CommitmentsTable[[#This Row],[Status2]]))</f>
        <v/>
      </c>
      <c r="U1094" s="237" t="str">
        <f t="shared" ca="1" si="16"/>
        <v/>
      </c>
      <c r="V1094" s="233"/>
      <c r="W1094" s="63" t="s">
        <v>1996</v>
      </c>
    </row>
    <row r="1095" spans="1:23" ht="26">
      <c r="A1095" s="213" t="str">
        <f>IF(OR(CommitmentsTable[[#This Row],[Commitment / deliverable]]="",CommitmentsTable[[#This Row],[Immutable Key]]=""),"",SUBSTITUTE(CommitmentsTable[[#This Row],[Immutable Key]],"-K-","-"))</f>
        <v/>
      </c>
      <c r="B1095" s="233"/>
      <c r="C1095" s="233"/>
      <c r="D1095" s="213"/>
      <c r="E1095" s="230"/>
      <c r="F1095" s="213"/>
      <c r="G1095" s="245" t="str">
        <f ca="1">IF(CommitmentsTable[[#This Row],[Commitment / deliverable]]="","",IF(CommitmentsTable[[#This Row],[Date record entered]]="",TODAY(),CommitmentsTable[[#This Row],[Date record entered]]))</f>
        <v/>
      </c>
      <c r="H1095" s="245"/>
      <c r="I1095" s="245" t="str">
        <f ca="1">IF(CommitmentsTable[[#This Row],[Date Assigned if different from entry date]]&lt;&gt;"",CommitmentsTable[[#This Row],[Date Assigned if different from entry date]]+90,IF(CommitmentsTable[[#This Row],[Date record entered]]&lt;&gt;"",CommitmentsTable[[#This Row],[Date record entered]]+90,""))</f>
        <v/>
      </c>
      <c r="J1095" s="245" t="str">
        <f ca="1">IF(CommitmentsTable[[#This Row],[Date Assigned if different from entry date]]&lt;&gt;"",CommitmentsTable[[#This Row],[Date Assigned if different from entry date]]+30,IF(CommitmentsTable[[#This Row],[Date record entered]]&lt;&gt;"",CommitmentsTable[[#This Row],[Date record entered]]+30,""))</f>
        <v/>
      </c>
      <c r="K1095" s="245"/>
      <c r="L1095" s="245" t="str">
        <f ca="1">IF(CommitmentsTable[[#This Row],[Date Assigned if different from entry date]]&lt;&gt;"",CommitmentsTable[[#This Row],[Date Assigned if different from entry date]]+60,IF(CommitmentsTable[[#This Row],[Date record entered]]&lt;&gt;"",CommitmentsTable[[#This Row],[Date record entered]]+60,""))</f>
        <v/>
      </c>
      <c r="M1095" s="214"/>
      <c r="N1095" s="214"/>
      <c r="O1095" s="236"/>
      <c r="P1095" s="214"/>
      <c r="Q1095" s="214"/>
      <c r="R1095" s="214"/>
      <c r="S1095" s="238" t="str">
        <f>IF(CommitmentsTable[[#This Row],[Commitment / deliverable]]="","",IF(CommitmentsTable[[#This Row],[Revised due]]&lt;&gt;"",CommitmentsTable[[#This Row],[Revised due]],CommitmentsTable[[#This Row],[Original due]]))</f>
        <v/>
      </c>
      <c r="T1095" s="237" t="str">
        <f>IF(OR(CommitmentsTable[[#This Row],[Commitment / deliverable]]="",CommitmentsTable[[#This Row],[Owner]]=""),"",IF(CommitmentsTable[[#This Row],[Status2]]="","Open",CommitmentsTable[[#This Row],[Status2]]))</f>
        <v/>
      </c>
      <c r="U1095" s="237" t="str">
        <f t="shared" ca="1" si="16"/>
        <v/>
      </c>
      <c r="V1095" s="233"/>
      <c r="W1095" s="63" t="s">
        <v>1997</v>
      </c>
    </row>
    <row r="1096" spans="1:23" ht="26">
      <c r="A1096" s="213" t="str">
        <f>IF(OR(CommitmentsTable[[#This Row],[Commitment / deliverable]]="",CommitmentsTable[[#This Row],[Immutable Key]]=""),"",SUBSTITUTE(CommitmentsTable[[#This Row],[Immutable Key]],"-K-","-"))</f>
        <v/>
      </c>
      <c r="B1096" s="233"/>
      <c r="C1096" s="233"/>
      <c r="D1096" s="213"/>
      <c r="E1096" s="230"/>
      <c r="F1096" s="213"/>
      <c r="G1096" s="245" t="str">
        <f ca="1">IF(CommitmentsTable[[#This Row],[Commitment / deliverable]]="","",IF(CommitmentsTable[[#This Row],[Date record entered]]="",TODAY(),CommitmentsTable[[#This Row],[Date record entered]]))</f>
        <v/>
      </c>
      <c r="H1096" s="245"/>
      <c r="I1096" s="245" t="str">
        <f ca="1">IF(CommitmentsTable[[#This Row],[Date Assigned if different from entry date]]&lt;&gt;"",CommitmentsTable[[#This Row],[Date Assigned if different from entry date]]+90,IF(CommitmentsTable[[#This Row],[Date record entered]]&lt;&gt;"",CommitmentsTable[[#This Row],[Date record entered]]+90,""))</f>
        <v/>
      </c>
      <c r="J1096" s="245" t="str">
        <f ca="1">IF(CommitmentsTable[[#This Row],[Date Assigned if different from entry date]]&lt;&gt;"",CommitmentsTable[[#This Row],[Date Assigned if different from entry date]]+30,IF(CommitmentsTable[[#This Row],[Date record entered]]&lt;&gt;"",CommitmentsTable[[#This Row],[Date record entered]]+30,""))</f>
        <v/>
      </c>
      <c r="K1096" s="245"/>
      <c r="L1096" s="245" t="str">
        <f ca="1">IF(CommitmentsTable[[#This Row],[Date Assigned if different from entry date]]&lt;&gt;"",CommitmentsTable[[#This Row],[Date Assigned if different from entry date]]+60,IF(CommitmentsTable[[#This Row],[Date record entered]]&lt;&gt;"",CommitmentsTable[[#This Row],[Date record entered]]+60,""))</f>
        <v/>
      </c>
      <c r="M1096" s="214"/>
      <c r="N1096" s="214"/>
      <c r="O1096" s="236"/>
      <c r="P1096" s="214"/>
      <c r="Q1096" s="214"/>
      <c r="R1096" s="214"/>
      <c r="S1096" s="238" t="str">
        <f>IF(CommitmentsTable[[#This Row],[Commitment / deliverable]]="","",IF(CommitmentsTable[[#This Row],[Revised due]]&lt;&gt;"",CommitmentsTable[[#This Row],[Revised due]],CommitmentsTable[[#This Row],[Original due]]))</f>
        <v/>
      </c>
      <c r="T1096" s="237" t="str">
        <f>IF(OR(CommitmentsTable[[#This Row],[Commitment / deliverable]]="",CommitmentsTable[[#This Row],[Owner]]=""),"",IF(CommitmentsTable[[#This Row],[Status2]]="","Open",CommitmentsTable[[#This Row],[Status2]]))</f>
        <v/>
      </c>
      <c r="U1096" s="237" t="str">
        <f t="shared" ca="1" si="16"/>
        <v/>
      </c>
      <c r="V1096" s="233"/>
      <c r="W1096" s="63" t="s">
        <v>1998</v>
      </c>
    </row>
    <row r="1097" spans="1:23" ht="26">
      <c r="A1097" s="213" t="str">
        <f>IF(OR(CommitmentsTable[[#This Row],[Commitment / deliverable]]="",CommitmentsTable[[#This Row],[Immutable Key]]=""),"",SUBSTITUTE(CommitmentsTable[[#This Row],[Immutable Key]],"-K-","-"))</f>
        <v/>
      </c>
      <c r="B1097" s="233"/>
      <c r="C1097" s="233"/>
      <c r="D1097" s="213"/>
      <c r="E1097" s="230"/>
      <c r="F1097" s="213"/>
      <c r="G1097" s="245" t="str">
        <f ca="1">IF(CommitmentsTable[[#This Row],[Commitment / deliverable]]="","",IF(CommitmentsTable[[#This Row],[Date record entered]]="",TODAY(),CommitmentsTable[[#This Row],[Date record entered]]))</f>
        <v/>
      </c>
      <c r="H1097" s="245"/>
      <c r="I1097" s="245" t="str">
        <f ca="1">IF(CommitmentsTable[[#This Row],[Date Assigned if different from entry date]]&lt;&gt;"",CommitmentsTable[[#This Row],[Date Assigned if different from entry date]]+90,IF(CommitmentsTable[[#This Row],[Date record entered]]&lt;&gt;"",CommitmentsTable[[#This Row],[Date record entered]]+90,""))</f>
        <v/>
      </c>
      <c r="J1097" s="245" t="str">
        <f ca="1">IF(CommitmentsTable[[#This Row],[Date Assigned if different from entry date]]&lt;&gt;"",CommitmentsTable[[#This Row],[Date Assigned if different from entry date]]+30,IF(CommitmentsTable[[#This Row],[Date record entered]]&lt;&gt;"",CommitmentsTable[[#This Row],[Date record entered]]+30,""))</f>
        <v/>
      </c>
      <c r="K1097" s="245"/>
      <c r="L1097" s="245" t="str">
        <f ca="1">IF(CommitmentsTable[[#This Row],[Date Assigned if different from entry date]]&lt;&gt;"",CommitmentsTable[[#This Row],[Date Assigned if different from entry date]]+60,IF(CommitmentsTable[[#This Row],[Date record entered]]&lt;&gt;"",CommitmentsTable[[#This Row],[Date record entered]]+60,""))</f>
        <v/>
      </c>
      <c r="M1097" s="214"/>
      <c r="N1097" s="214"/>
      <c r="O1097" s="236"/>
      <c r="P1097" s="214"/>
      <c r="Q1097" s="214"/>
      <c r="R1097" s="214"/>
      <c r="S1097" s="238" t="str">
        <f>IF(CommitmentsTable[[#This Row],[Commitment / deliverable]]="","",IF(CommitmentsTable[[#This Row],[Revised due]]&lt;&gt;"",CommitmentsTable[[#This Row],[Revised due]],CommitmentsTable[[#This Row],[Original due]]))</f>
        <v/>
      </c>
      <c r="T1097" s="237" t="str">
        <f>IF(OR(CommitmentsTable[[#This Row],[Commitment / deliverable]]="",CommitmentsTable[[#This Row],[Owner]]=""),"",IF(CommitmentsTable[[#This Row],[Status2]]="","Open",CommitmentsTable[[#This Row],[Status2]]))</f>
        <v/>
      </c>
      <c r="U1097" s="237" t="str">
        <f t="shared" ca="1" si="16"/>
        <v/>
      </c>
      <c r="V1097" s="233"/>
      <c r="W1097" s="63" t="s">
        <v>1999</v>
      </c>
    </row>
    <row r="1098" spans="1:23" ht="26">
      <c r="A1098" s="213" t="str">
        <f>IF(OR(CommitmentsTable[[#This Row],[Commitment / deliverable]]="",CommitmentsTable[[#This Row],[Immutable Key]]=""),"",SUBSTITUTE(CommitmentsTable[[#This Row],[Immutable Key]],"-K-","-"))</f>
        <v/>
      </c>
      <c r="B1098" s="233"/>
      <c r="C1098" s="233"/>
      <c r="D1098" s="213"/>
      <c r="E1098" s="230"/>
      <c r="F1098" s="213"/>
      <c r="G1098" s="245" t="str">
        <f ca="1">IF(CommitmentsTable[[#This Row],[Commitment / deliverable]]="","",IF(CommitmentsTable[[#This Row],[Date record entered]]="",TODAY(),CommitmentsTable[[#This Row],[Date record entered]]))</f>
        <v/>
      </c>
      <c r="H1098" s="245"/>
      <c r="I1098" s="245" t="str">
        <f ca="1">IF(CommitmentsTable[[#This Row],[Date Assigned if different from entry date]]&lt;&gt;"",CommitmentsTable[[#This Row],[Date Assigned if different from entry date]]+90,IF(CommitmentsTable[[#This Row],[Date record entered]]&lt;&gt;"",CommitmentsTable[[#This Row],[Date record entered]]+90,""))</f>
        <v/>
      </c>
      <c r="J1098" s="245" t="str">
        <f ca="1">IF(CommitmentsTable[[#This Row],[Date Assigned if different from entry date]]&lt;&gt;"",CommitmentsTable[[#This Row],[Date Assigned if different from entry date]]+30,IF(CommitmentsTable[[#This Row],[Date record entered]]&lt;&gt;"",CommitmentsTable[[#This Row],[Date record entered]]+30,""))</f>
        <v/>
      </c>
      <c r="K1098" s="245"/>
      <c r="L1098" s="245" t="str">
        <f ca="1">IF(CommitmentsTable[[#This Row],[Date Assigned if different from entry date]]&lt;&gt;"",CommitmentsTable[[#This Row],[Date Assigned if different from entry date]]+60,IF(CommitmentsTable[[#This Row],[Date record entered]]&lt;&gt;"",CommitmentsTable[[#This Row],[Date record entered]]+60,""))</f>
        <v/>
      </c>
      <c r="M1098" s="214"/>
      <c r="N1098" s="214"/>
      <c r="O1098" s="236"/>
      <c r="P1098" s="214"/>
      <c r="Q1098" s="214"/>
      <c r="R1098" s="214"/>
      <c r="S1098" s="238" t="str">
        <f>IF(CommitmentsTable[[#This Row],[Commitment / deliverable]]="","",IF(CommitmentsTable[[#This Row],[Revised due]]&lt;&gt;"",CommitmentsTable[[#This Row],[Revised due]],CommitmentsTable[[#This Row],[Original due]]))</f>
        <v/>
      </c>
      <c r="T1098" s="237" t="str">
        <f>IF(OR(CommitmentsTable[[#This Row],[Commitment / deliverable]]="",CommitmentsTable[[#This Row],[Owner]]=""),"",IF(CommitmentsTable[[#This Row],[Status2]]="","Open",CommitmentsTable[[#This Row],[Status2]]))</f>
        <v/>
      </c>
      <c r="U1098" s="237" t="str">
        <f t="shared" ca="1" si="16"/>
        <v/>
      </c>
      <c r="V1098" s="233"/>
      <c r="W1098" s="63" t="s">
        <v>2000</v>
      </c>
    </row>
    <row r="1099" spans="1:23" ht="26">
      <c r="A1099" s="213" t="str">
        <f>IF(OR(CommitmentsTable[[#This Row],[Commitment / deliverable]]="",CommitmentsTable[[#This Row],[Immutable Key]]=""),"",SUBSTITUTE(CommitmentsTable[[#This Row],[Immutable Key]],"-K-","-"))</f>
        <v/>
      </c>
      <c r="B1099" s="233"/>
      <c r="C1099" s="233"/>
      <c r="D1099" s="213"/>
      <c r="E1099" s="230"/>
      <c r="F1099" s="213"/>
      <c r="G1099" s="245" t="str">
        <f ca="1">IF(CommitmentsTable[[#This Row],[Commitment / deliverable]]="","",IF(CommitmentsTable[[#This Row],[Date record entered]]="",TODAY(),CommitmentsTable[[#This Row],[Date record entered]]))</f>
        <v/>
      </c>
      <c r="H1099" s="245"/>
      <c r="I1099" s="245" t="str">
        <f ca="1">IF(CommitmentsTable[[#This Row],[Date Assigned if different from entry date]]&lt;&gt;"",CommitmentsTable[[#This Row],[Date Assigned if different from entry date]]+90,IF(CommitmentsTable[[#This Row],[Date record entered]]&lt;&gt;"",CommitmentsTable[[#This Row],[Date record entered]]+90,""))</f>
        <v/>
      </c>
      <c r="J1099" s="245" t="str">
        <f ca="1">IF(CommitmentsTable[[#This Row],[Date Assigned if different from entry date]]&lt;&gt;"",CommitmentsTable[[#This Row],[Date Assigned if different from entry date]]+30,IF(CommitmentsTable[[#This Row],[Date record entered]]&lt;&gt;"",CommitmentsTable[[#This Row],[Date record entered]]+30,""))</f>
        <v/>
      </c>
      <c r="K1099" s="245"/>
      <c r="L1099" s="245" t="str">
        <f ca="1">IF(CommitmentsTable[[#This Row],[Date Assigned if different from entry date]]&lt;&gt;"",CommitmentsTable[[#This Row],[Date Assigned if different from entry date]]+60,IF(CommitmentsTable[[#This Row],[Date record entered]]&lt;&gt;"",CommitmentsTable[[#This Row],[Date record entered]]+60,""))</f>
        <v/>
      </c>
      <c r="M1099" s="214"/>
      <c r="N1099" s="214"/>
      <c r="O1099" s="236"/>
      <c r="P1099" s="214"/>
      <c r="Q1099" s="214"/>
      <c r="R1099" s="214"/>
      <c r="S1099" s="238" t="str">
        <f>IF(CommitmentsTable[[#This Row],[Commitment / deliverable]]="","",IF(CommitmentsTable[[#This Row],[Revised due]]&lt;&gt;"",CommitmentsTable[[#This Row],[Revised due]],CommitmentsTable[[#This Row],[Original due]]))</f>
        <v/>
      </c>
      <c r="T1099" s="237" t="str">
        <f>IF(OR(CommitmentsTable[[#This Row],[Commitment / deliverable]]="",CommitmentsTable[[#This Row],[Owner]]=""),"",IF(CommitmentsTable[[#This Row],[Status2]]="","Open",CommitmentsTable[[#This Row],[Status2]]))</f>
        <v/>
      </c>
      <c r="U1099" s="237" t="str">
        <f t="shared" ca="1" si="16"/>
        <v/>
      </c>
      <c r="V1099" s="233"/>
      <c r="W1099" s="63" t="s">
        <v>2001</v>
      </c>
    </row>
    <row r="1100" spans="1:23" ht="26">
      <c r="A1100" s="213" t="str">
        <f>IF(OR(CommitmentsTable[[#This Row],[Commitment / deliverable]]="",CommitmentsTable[[#This Row],[Immutable Key]]=""),"",SUBSTITUTE(CommitmentsTable[[#This Row],[Immutable Key]],"-K-","-"))</f>
        <v/>
      </c>
      <c r="B1100" s="233"/>
      <c r="C1100" s="233"/>
      <c r="D1100" s="213"/>
      <c r="E1100" s="230"/>
      <c r="F1100" s="213"/>
      <c r="G1100" s="245" t="str">
        <f ca="1">IF(CommitmentsTable[[#This Row],[Commitment / deliverable]]="","",IF(CommitmentsTable[[#This Row],[Date record entered]]="",TODAY(),CommitmentsTable[[#This Row],[Date record entered]]))</f>
        <v/>
      </c>
      <c r="H1100" s="245"/>
      <c r="I1100" s="245" t="str">
        <f ca="1">IF(CommitmentsTable[[#This Row],[Date Assigned if different from entry date]]&lt;&gt;"",CommitmentsTable[[#This Row],[Date Assigned if different from entry date]]+90,IF(CommitmentsTable[[#This Row],[Date record entered]]&lt;&gt;"",CommitmentsTable[[#This Row],[Date record entered]]+90,""))</f>
        <v/>
      </c>
      <c r="J1100" s="245" t="str">
        <f ca="1">IF(CommitmentsTable[[#This Row],[Date Assigned if different from entry date]]&lt;&gt;"",CommitmentsTable[[#This Row],[Date Assigned if different from entry date]]+30,IF(CommitmentsTable[[#This Row],[Date record entered]]&lt;&gt;"",CommitmentsTable[[#This Row],[Date record entered]]+30,""))</f>
        <v/>
      </c>
      <c r="K1100" s="245"/>
      <c r="L1100" s="245" t="str">
        <f ca="1">IF(CommitmentsTable[[#This Row],[Date Assigned if different from entry date]]&lt;&gt;"",CommitmentsTable[[#This Row],[Date Assigned if different from entry date]]+60,IF(CommitmentsTable[[#This Row],[Date record entered]]&lt;&gt;"",CommitmentsTable[[#This Row],[Date record entered]]+60,""))</f>
        <v/>
      </c>
      <c r="M1100" s="214"/>
      <c r="N1100" s="214"/>
      <c r="O1100" s="236"/>
      <c r="P1100" s="214"/>
      <c r="Q1100" s="214"/>
      <c r="R1100" s="214"/>
      <c r="S1100" s="238" t="str">
        <f>IF(CommitmentsTable[[#This Row],[Commitment / deliverable]]="","",IF(CommitmentsTable[[#This Row],[Revised due]]&lt;&gt;"",CommitmentsTable[[#This Row],[Revised due]],CommitmentsTable[[#This Row],[Original due]]))</f>
        <v/>
      </c>
      <c r="T1100" s="237" t="str">
        <f>IF(OR(CommitmentsTable[[#This Row],[Commitment / deliverable]]="",CommitmentsTable[[#This Row],[Owner]]=""),"",IF(CommitmentsTable[[#This Row],[Status2]]="","Open",CommitmentsTable[[#This Row],[Status2]]))</f>
        <v/>
      </c>
      <c r="U1100" s="237" t="str">
        <f t="shared" ca="1" si="16"/>
        <v/>
      </c>
      <c r="V1100" s="233"/>
      <c r="W1100" s="63" t="s">
        <v>2002</v>
      </c>
    </row>
    <row r="1101" spans="1:23" ht="26">
      <c r="A1101" s="213" t="str">
        <f>IF(OR(CommitmentsTable[[#This Row],[Commitment / deliverable]]="",CommitmentsTable[[#This Row],[Immutable Key]]=""),"",SUBSTITUTE(CommitmentsTable[[#This Row],[Immutable Key]],"-K-","-"))</f>
        <v/>
      </c>
      <c r="B1101" s="233"/>
      <c r="C1101" s="233"/>
      <c r="D1101" s="213"/>
      <c r="E1101" s="230"/>
      <c r="F1101" s="213"/>
      <c r="G1101" s="245" t="str">
        <f ca="1">IF(CommitmentsTable[[#This Row],[Commitment / deliverable]]="","",IF(CommitmentsTable[[#This Row],[Date record entered]]="",TODAY(),CommitmentsTable[[#This Row],[Date record entered]]))</f>
        <v/>
      </c>
      <c r="H1101" s="245"/>
      <c r="I1101" s="245" t="str">
        <f ca="1">IF(CommitmentsTable[[#This Row],[Date Assigned if different from entry date]]&lt;&gt;"",CommitmentsTable[[#This Row],[Date Assigned if different from entry date]]+90,IF(CommitmentsTable[[#This Row],[Date record entered]]&lt;&gt;"",CommitmentsTable[[#This Row],[Date record entered]]+90,""))</f>
        <v/>
      </c>
      <c r="J1101" s="245" t="str">
        <f ca="1">IF(CommitmentsTable[[#This Row],[Date Assigned if different from entry date]]&lt;&gt;"",CommitmentsTable[[#This Row],[Date Assigned if different from entry date]]+30,IF(CommitmentsTable[[#This Row],[Date record entered]]&lt;&gt;"",CommitmentsTable[[#This Row],[Date record entered]]+30,""))</f>
        <v/>
      </c>
      <c r="K1101" s="245"/>
      <c r="L1101" s="245" t="str">
        <f ca="1">IF(CommitmentsTable[[#This Row],[Date Assigned if different from entry date]]&lt;&gt;"",CommitmentsTable[[#This Row],[Date Assigned if different from entry date]]+60,IF(CommitmentsTable[[#This Row],[Date record entered]]&lt;&gt;"",CommitmentsTable[[#This Row],[Date record entered]]+60,""))</f>
        <v/>
      </c>
      <c r="M1101" s="214"/>
      <c r="N1101" s="214"/>
      <c r="O1101" s="236"/>
      <c r="P1101" s="214"/>
      <c r="Q1101" s="214"/>
      <c r="R1101" s="214"/>
      <c r="S1101" s="238" t="str">
        <f>IF(CommitmentsTable[[#This Row],[Commitment / deliverable]]="","",IF(CommitmentsTable[[#This Row],[Revised due]]&lt;&gt;"",CommitmentsTable[[#This Row],[Revised due]],CommitmentsTable[[#This Row],[Original due]]))</f>
        <v/>
      </c>
      <c r="T1101" s="237" t="str">
        <f>IF(OR(CommitmentsTable[[#This Row],[Commitment / deliverable]]="",CommitmentsTable[[#This Row],[Owner]]=""),"",IF(CommitmentsTable[[#This Row],[Status2]]="","Open",CommitmentsTable[[#This Row],[Status2]]))</f>
        <v/>
      </c>
      <c r="U1101" s="237" t="str">
        <f t="shared" ref="U1101:U1164" ca="1" si="17">IF(B1101="","",IF(T1101="Closed","",IF(OR(T1101="Slipped",T1101="At risk",AND(S1101&lt;&gt;"",S1101&lt;TODAY())),"Slipped / at risk",IF(G1101=TODAY(),"New today",IF(S1101=TODAY()+1,"Due tomorrow","")))))</f>
        <v/>
      </c>
      <c r="V1101" s="233"/>
      <c r="W1101" s="63" t="s">
        <v>2003</v>
      </c>
    </row>
    <row r="1102" spans="1:23" ht="26">
      <c r="A1102" s="213" t="str">
        <f>IF(OR(CommitmentsTable[[#This Row],[Commitment / deliverable]]="",CommitmentsTable[[#This Row],[Immutable Key]]=""),"",SUBSTITUTE(CommitmentsTable[[#This Row],[Immutable Key]],"-K-","-"))</f>
        <v/>
      </c>
      <c r="B1102" s="233"/>
      <c r="C1102" s="233"/>
      <c r="D1102" s="213"/>
      <c r="E1102" s="230"/>
      <c r="F1102" s="213"/>
      <c r="G1102" s="245" t="str">
        <f ca="1">IF(CommitmentsTable[[#This Row],[Commitment / deliverable]]="","",IF(CommitmentsTable[[#This Row],[Date record entered]]="",TODAY(),CommitmentsTable[[#This Row],[Date record entered]]))</f>
        <v/>
      </c>
      <c r="H1102" s="245"/>
      <c r="I1102" s="245" t="str">
        <f ca="1">IF(CommitmentsTable[[#This Row],[Date Assigned if different from entry date]]&lt;&gt;"",CommitmentsTable[[#This Row],[Date Assigned if different from entry date]]+90,IF(CommitmentsTable[[#This Row],[Date record entered]]&lt;&gt;"",CommitmentsTable[[#This Row],[Date record entered]]+90,""))</f>
        <v/>
      </c>
      <c r="J1102" s="245" t="str">
        <f ca="1">IF(CommitmentsTable[[#This Row],[Date Assigned if different from entry date]]&lt;&gt;"",CommitmentsTable[[#This Row],[Date Assigned if different from entry date]]+30,IF(CommitmentsTable[[#This Row],[Date record entered]]&lt;&gt;"",CommitmentsTable[[#This Row],[Date record entered]]+30,""))</f>
        <v/>
      </c>
      <c r="K1102" s="245"/>
      <c r="L1102" s="245" t="str">
        <f ca="1">IF(CommitmentsTable[[#This Row],[Date Assigned if different from entry date]]&lt;&gt;"",CommitmentsTable[[#This Row],[Date Assigned if different from entry date]]+60,IF(CommitmentsTable[[#This Row],[Date record entered]]&lt;&gt;"",CommitmentsTable[[#This Row],[Date record entered]]+60,""))</f>
        <v/>
      </c>
      <c r="M1102" s="214"/>
      <c r="N1102" s="214"/>
      <c r="O1102" s="236"/>
      <c r="P1102" s="214"/>
      <c r="Q1102" s="214"/>
      <c r="R1102" s="214"/>
      <c r="S1102" s="238" t="str">
        <f>IF(CommitmentsTable[[#This Row],[Commitment / deliverable]]="","",IF(CommitmentsTable[[#This Row],[Revised due]]&lt;&gt;"",CommitmentsTable[[#This Row],[Revised due]],CommitmentsTable[[#This Row],[Original due]]))</f>
        <v/>
      </c>
      <c r="T1102" s="237" t="str">
        <f>IF(OR(CommitmentsTable[[#This Row],[Commitment / deliverable]]="",CommitmentsTable[[#This Row],[Owner]]=""),"",IF(CommitmentsTable[[#This Row],[Status2]]="","Open",CommitmentsTable[[#This Row],[Status2]]))</f>
        <v/>
      </c>
      <c r="U1102" s="237" t="str">
        <f t="shared" ca="1" si="17"/>
        <v/>
      </c>
      <c r="V1102" s="233"/>
      <c r="W1102" s="63" t="s">
        <v>2004</v>
      </c>
    </row>
    <row r="1103" spans="1:23" ht="26">
      <c r="A1103" s="213" t="str">
        <f>IF(OR(CommitmentsTable[[#This Row],[Commitment / deliverable]]="",CommitmentsTable[[#This Row],[Immutable Key]]=""),"",SUBSTITUTE(CommitmentsTable[[#This Row],[Immutable Key]],"-K-","-"))</f>
        <v/>
      </c>
      <c r="B1103" s="233"/>
      <c r="C1103" s="233"/>
      <c r="D1103" s="213"/>
      <c r="E1103" s="230"/>
      <c r="F1103" s="213"/>
      <c r="G1103" s="245" t="str">
        <f ca="1">IF(CommitmentsTable[[#This Row],[Commitment / deliverable]]="","",IF(CommitmentsTable[[#This Row],[Date record entered]]="",TODAY(),CommitmentsTable[[#This Row],[Date record entered]]))</f>
        <v/>
      </c>
      <c r="H1103" s="245"/>
      <c r="I1103" s="245" t="str">
        <f ca="1">IF(CommitmentsTable[[#This Row],[Date Assigned if different from entry date]]&lt;&gt;"",CommitmentsTable[[#This Row],[Date Assigned if different from entry date]]+90,IF(CommitmentsTable[[#This Row],[Date record entered]]&lt;&gt;"",CommitmentsTable[[#This Row],[Date record entered]]+90,""))</f>
        <v/>
      </c>
      <c r="J1103" s="245" t="str">
        <f ca="1">IF(CommitmentsTable[[#This Row],[Date Assigned if different from entry date]]&lt;&gt;"",CommitmentsTable[[#This Row],[Date Assigned if different from entry date]]+30,IF(CommitmentsTable[[#This Row],[Date record entered]]&lt;&gt;"",CommitmentsTable[[#This Row],[Date record entered]]+30,""))</f>
        <v/>
      </c>
      <c r="K1103" s="245"/>
      <c r="L1103" s="245" t="str">
        <f ca="1">IF(CommitmentsTable[[#This Row],[Date Assigned if different from entry date]]&lt;&gt;"",CommitmentsTable[[#This Row],[Date Assigned if different from entry date]]+60,IF(CommitmentsTable[[#This Row],[Date record entered]]&lt;&gt;"",CommitmentsTable[[#This Row],[Date record entered]]+60,""))</f>
        <v/>
      </c>
      <c r="M1103" s="214"/>
      <c r="N1103" s="214"/>
      <c r="O1103" s="236"/>
      <c r="P1103" s="214"/>
      <c r="Q1103" s="214"/>
      <c r="R1103" s="214"/>
      <c r="S1103" s="238" t="str">
        <f>IF(CommitmentsTable[[#This Row],[Commitment / deliverable]]="","",IF(CommitmentsTable[[#This Row],[Revised due]]&lt;&gt;"",CommitmentsTable[[#This Row],[Revised due]],CommitmentsTable[[#This Row],[Original due]]))</f>
        <v/>
      </c>
      <c r="T1103" s="237" t="str">
        <f>IF(OR(CommitmentsTable[[#This Row],[Commitment / deliverable]]="",CommitmentsTable[[#This Row],[Owner]]=""),"",IF(CommitmentsTable[[#This Row],[Status2]]="","Open",CommitmentsTable[[#This Row],[Status2]]))</f>
        <v/>
      </c>
      <c r="U1103" s="237" t="str">
        <f t="shared" ca="1" si="17"/>
        <v/>
      </c>
      <c r="V1103" s="233"/>
      <c r="W1103" s="63" t="s">
        <v>2005</v>
      </c>
    </row>
    <row r="1104" spans="1:23" ht="26">
      <c r="A1104" s="213" t="str">
        <f>IF(OR(CommitmentsTable[[#This Row],[Commitment / deliverable]]="",CommitmentsTable[[#This Row],[Immutable Key]]=""),"",SUBSTITUTE(CommitmentsTable[[#This Row],[Immutable Key]],"-K-","-"))</f>
        <v/>
      </c>
      <c r="B1104" s="233"/>
      <c r="C1104" s="233"/>
      <c r="D1104" s="213"/>
      <c r="E1104" s="230"/>
      <c r="F1104" s="213"/>
      <c r="G1104" s="245" t="str">
        <f ca="1">IF(CommitmentsTable[[#This Row],[Commitment / deliverable]]="","",IF(CommitmentsTable[[#This Row],[Date record entered]]="",TODAY(),CommitmentsTable[[#This Row],[Date record entered]]))</f>
        <v/>
      </c>
      <c r="H1104" s="245"/>
      <c r="I1104" s="245" t="str">
        <f ca="1">IF(CommitmentsTable[[#This Row],[Date Assigned if different from entry date]]&lt;&gt;"",CommitmentsTable[[#This Row],[Date Assigned if different from entry date]]+90,IF(CommitmentsTable[[#This Row],[Date record entered]]&lt;&gt;"",CommitmentsTable[[#This Row],[Date record entered]]+90,""))</f>
        <v/>
      </c>
      <c r="J1104" s="245" t="str">
        <f ca="1">IF(CommitmentsTable[[#This Row],[Date Assigned if different from entry date]]&lt;&gt;"",CommitmentsTable[[#This Row],[Date Assigned if different from entry date]]+30,IF(CommitmentsTable[[#This Row],[Date record entered]]&lt;&gt;"",CommitmentsTable[[#This Row],[Date record entered]]+30,""))</f>
        <v/>
      </c>
      <c r="K1104" s="245"/>
      <c r="L1104" s="245" t="str">
        <f ca="1">IF(CommitmentsTable[[#This Row],[Date Assigned if different from entry date]]&lt;&gt;"",CommitmentsTable[[#This Row],[Date Assigned if different from entry date]]+60,IF(CommitmentsTable[[#This Row],[Date record entered]]&lt;&gt;"",CommitmentsTable[[#This Row],[Date record entered]]+60,""))</f>
        <v/>
      </c>
      <c r="M1104" s="214"/>
      <c r="N1104" s="214"/>
      <c r="O1104" s="236"/>
      <c r="P1104" s="214"/>
      <c r="Q1104" s="214"/>
      <c r="R1104" s="214"/>
      <c r="S1104" s="238" t="str">
        <f>IF(CommitmentsTable[[#This Row],[Commitment / deliverable]]="","",IF(CommitmentsTable[[#This Row],[Revised due]]&lt;&gt;"",CommitmentsTable[[#This Row],[Revised due]],CommitmentsTable[[#This Row],[Original due]]))</f>
        <v/>
      </c>
      <c r="T1104" s="237" t="str">
        <f>IF(OR(CommitmentsTable[[#This Row],[Commitment / deliverable]]="",CommitmentsTable[[#This Row],[Owner]]=""),"",IF(CommitmentsTable[[#This Row],[Status2]]="","Open",CommitmentsTable[[#This Row],[Status2]]))</f>
        <v/>
      </c>
      <c r="U1104" s="237" t="str">
        <f t="shared" ca="1" si="17"/>
        <v/>
      </c>
      <c r="V1104" s="233"/>
      <c r="W1104" s="63" t="s">
        <v>2006</v>
      </c>
    </row>
    <row r="1105" spans="1:23" ht="26">
      <c r="A1105" s="213" t="str">
        <f>IF(OR(CommitmentsTable[[#This Row],[Commitment / deliverable]]="",CommitmentsTable[[#This Row],[Immutable Key]]=""),"",SUBSTITUTE(CommitmentsTable[[#This Row],[Immutable Key]],"-K-","-"))</f>
        <v/>
      </c>
      <c r="B1105" s="233"/>
      <c r="C1105" s="233"/>
      <c r="D1105" s="213"/>
      <c r="E1105" s="230"/>
      <c r="F1105" s="213"/>
      <c r="G1105" s="245" t="str">
        <f ca="1">IF(CommitmentsTable[[#This Row],[Commitment / deliverable]]="","",IF(CommitmentsTable[[#This Row],[Date record entered]]="",TODAY(),CommitmentsTable[[#This Row],[Date record entered]]))</f>
        <v/>
      </c>
      <c r="H1105" s="245"/>
      <c r="I1105" s="245" t="str">
        <f ca="1">IF(CommitmentsTable[[#This Row],[Date Assigned if different from entry date]]&lt;&gt;"",CommitmentsTable[[#This Row],[Date Assigned if different from entry date]]+90,IF(CommitmentsTable[[#This Row],[Date record entered]]&lt;&gt;"",CommitmentsTable[[#This Row],[Date record entered]]+90,""))</f>
        <v/>
      </c>
      <c r="J1105" s="245" t="str">
        <f ca="1">IF(CommitmentsTable[[#This Row],[Date Assigned if different from entry date]]&lt;&gt;"",CommitmentsTable[[#This Row],[Date Assigned if different from entry date]]+30,IF(CommitmentsTable[[#This Row],[Date record entered]]&lt;&gt;"",CommitmentsTable[[#This Row],[Date record entered]]+30,""))</f>
        <v/>
      </c>
      <c r="K1105" s="245"/>
      <c r="L1105" s="245" t="str">
        <f ca="1">IF(CommitmentsTable[[#This Row],[Date Assigned if different from entry date]]&lt;&gt;"",CommitmentsTable[[#This Row],[Date Assigned if different from entry date]]+60,IF(CommitmentsTable[[#This Row],[Date record entered]]&lt;&gt;"",CommitmentsTable[[#This Row],[Date record entered]]+60,""))</f>
        <v/>
      </c>
      <c r="M1105" s="214"/>
      <c r="N1105" s="214"/>
      <c r="O1105" s="236"/>
      <c r="P1105" s="214"/>
      <c r="Q1105" s="214"/>
      <c r="R1105" s="214"/>
      <c r="S1105" s="238" t="str">
        <f>IF(CommitmentsTable[[#This Row],[Commitment / deliverable]]="","",IF(CommitmentsTable[[#This Row],[Revised due]]&lt;&gt;"",CommitmentsTable[[#This Row],[Revised due]],CommitmentsTable[[#This Row],[Original due]]))</f>
        <v/>
      </c>
      <c r="T1105" s="237" t="str">
        <f>IF(OR(CommitmentsTable[[#This Row],[Commitment / deliverable]]="",CommitmentsTable[[#This Row],[Owner]]=""),"",IF(CommitmentsTable[[#This Row],[Status2]]="","Open",CommitmentsTable[[#This Row],[Status2]]))</f>
        <v/>
      </c>
      <c r="U1105" s="237" t="str">
        <f t="shared" ca="1" si="17"/>
        <v/>
      </c>
      <c r="V1105" s="233"/>
      <c r="W1105" s="63" t="s">
        <v>2007</v>
      </c>
    </row>
    <row r="1106" spans="1:23" ht="26">
      <c r="A1106" s="213" t="str">
        <f>IF(OR(CommitmentsTable[[#This Row],[Commitment / deliverable]]="",CommitmentsTable[[#This Row],[Immutable Key]]=""),"",SUBSTITUTE(CommitmentsTable[[#This Row],[Immutable Key]],"-K-","-"))</f>
        <v/>
      </c>
      <c r="B1106" s="233"/>
      <c r="C1106" s="233"/>
      <c r="D1106" s="213"/>
      <c r="E1106" s="230"/>
      <c r="F1106" s="213"/>
      <c r="G1106" s="245" t="str">
        <f ca="1">IF(CommitmentsTable[[#This Row],[Commitment / deliverable]]="","",IF(CommitmentsTable[[#This Row],[Date record entered]]="",TODAY(),CommitmentsTable[[#This Row],[Date record entered]]))</f>
        <v/>
      </c>
      <c r="H1106" s="245"/>
      <c r="I1106" s="245" t="str">
        <f ca="1">IF(CommitmentsTable[[#This Row],[Date Assigned if different from entry date]]&lt;&gt;"",CommitmentsTable[[#This Row],[Date Assigned if different from entry date]]+90,IF(CommitmentsTable[[#This Row],[Date record entered]]&lt;&gt;"",CommitmentsTable[[#This Row],[Date record entered]]+90,""))</f>
        <v/>
      </c>
      <c r="J1106" s="245" t="str">
        <f ca="1">IF(CommitmentsTable[[#This Row],[Date Assigned if different from entry date]]&lt;&gt;"",CommitmentsTable[[#This Row],[Date Assigned if different from entry date]]+30,IF(CommitmentsTable[[#This Row],[Date record entered]]&lt;&gt;"",CommitmentsTable[[#This Row],[Date record entered]]+30,""))</f>
        <v/>
      </c>
      <c r="K1106" s="245"/>
      <c r="L1106" s="245" t="str">
        <f ca="1">IF(CommitmentsTable[[#This Row],[Date Assigned if different from entry date]]&lt;&gt;"",CommitmentsTable[[#This Row],[Date Assigned if different from entry date]]+60,IF(CommitmentsTable[[#This Row],[Date record entered]]&lt;&gt;"",CommitmentsTable[[#This Row],[Date record entered]]+60,""))</f>
        <v/>
      </c>
      <c r="M1106" s="214"/>
      <c r="N1106" s="214"/>
      <c r="O1106" s="236"/>
      <c r="P1106" s="214"/>
      <c r="Q1106" s="214"/>
      <c r="R1106" s="214"/>
      <c r="S1106" s="238" t="str">
        <f>IF(CommitmentsTable[[#This Row],[Commitment / deliverable]]="","",IF(CommitmentsTable[[#This Row],[Revised due]]&lt;&gt;"",CommitmentsTable[[#This Row],[Revised due]],CommitmentsTable[[#This Row],[Original due]]))</f>
        <v/>
      </c>
      <c r="T1106" s="237" t="str">
        <f>IF(OR(CommitmentsTable[[#This Row],[Commitment / deliverable]]="",CommitmentsTable[[#This Row],[Owner]]=""),"",IF(CommitmentsTable[[#This Row],[Status2]]="","Open",CommitmentsTable[[#This Row],[Status2]]))</f>
        <v/>
      </c>
      <c r="U1106" s="237" t="str">
        <f t="shared" ca="1" si="17"/>
        <v/>
      </c>
      <c r="V1106" s="233"/>
      <c r="W1106" s="63" t="s">
        <v>2008</v>
      </c>
    </row>
    <row r="1107" spans="1:23" ht="26">
      <c r="A1107" s="213" t="str">
        <f>IF(OR(CommitmentsTable[[#This Row],[Commitment / deliverable]]="",CommitmentsTable[[#This Row],[Immutable Key]]=""),"",SUBSTITUTE(CommitmentsTable[[#This Row],[Immutable Key]],"-K-","-"))</f>
        <v/>
      </c>
      <c r="B1107" s="233"/>
      <c r="C1107" s="233"/>
      <c r="D1107" s="213"/>
      <c r="E1107" s="230"/>
      <c r="F1107" s="213"/>
      <c r="G1107" s="245" t="str">
        <f ca="1">IF(CommitmentsTable[[#This Row],[Commitment / deliverable]]="","",IF(CommitmentsTable[[#This Row],[Date record entered]]="",TODAY(),CommitmentsTable[[#This Row],[Date record entered]]))</f>
        <v/>
      </c>
      <c r="H1107" s="245"/>
      <c r="I1107" s="245" t="str">
        <f ca="1">IF(CommitmentsTable[[#This Row],[Date Assigned if different from entry date]]&lt;&gt;"",CommitmentsTable[[#This Row],[Date Assigned if different from entry date]]+90,IF(CommitmentsTable[[#This Row],[Date record entered]]&lt;&gt;"",CommitmentsTable[[#This Row],[Date record entered]]+90,""))</f>
        <v/>
      </c>
      <c r="J1107" s="245" t="str">
        <f ca="1">IF(CommitmentsTable[[#This Row],[Date Assigned if different from entry date]]&lt;&gt;"",CommitmentsTable[[#This Row],[Date Assigned if different from entry date]]+30,IF(CommitmentsTable[[#This Row],[Date record entered]]&lt;&gt;"",CommitmentsTable[[#This Row],[Date record entered]]+30,""))</f>
        <v/>
      </c>
      <c r="K1107" s="245"/>
      <c r="L1107" s="245" t="str">
        <f ca="1">IF(CommitmentsTable[[#This Row],[Date Assigned if different from entry date]]&lt;&gt;"",CommitmentsTable[[#This Row],[Date Assigned if different from entry date]]+60,IF(CommitmentsTable[[#This Row],[Date record entered]]&lt;&gt;"",CommitmentsTable[[#This Row],[Date record entered]]+60,""))</f>
        <v/>
      </c>
      <c r="M1107" s="214"/>
      <c r="N1107" s="214"/>
      <c r="O1107" s="236"/>
      <c r="P1107" s="214"/>
      <c r="Q1107" s="214"/>
      <c r="R1107" s="214"/>
      <c r="S1107" s="238" t="str">
        <f>IF(CommitmentsTable[[#This Row],[Commitment / deliverable]]="","",IF(CommitmentsTable[[#This Row],[Revised due]]&lt;&gt;"",CommitmentsTable[[#This Row],[Revised due]],CommitmentsTable[[#This Row],[Original due]]))</f>
        <v/>
      </c>
      <c r="T1107" s="237" t="str">
        <f>IF(OR(CommitmentsTable[[#This Row],[Commitment / deliverable]]="",CommitmentsTable[[#This Row],[Owner]]=""),"",IF(CommitmentsTable[[#This Row],[Status2]]="","Open",CommitmentsTable[[#This Row],[Status2]]))</f>
        <v/>
      </c>
      <c r="U1107" s="237" t="str">
        <f t="shared" ca="1" si="17"/>
        <v/>
      </c>
      <c r="V1107" s="233"/>
      <c r="W1107" s="63" t="s">
        <v>2009</v>
      </c>
    </row>
    <row r="1108" spans="1:23" ht="26">
      <c r="A1108" s="213" t="str">
        <f>IF(OR(CommitmentsTable[[#This Row],[Commitment / deliverable]]="",CommitmentsTable[[#This Row],[Immutable Key]]=""),"",SUBSTITUTE(CommitmentsTable[[#This Row],[Immutable Key]],"-K-","-"))</f>
        <v/>
      </c>
      <c r="B1108" s="233"/>
      <c r="C1108" s="233"/>
      <c r="D1108" s="213"/>
      <c r="E1108" s="230"/>
      <c r="F1108" s="213"/>
      <c r="G1108" s="245" t="str">
        <f ca="1">IF(CommitmentsTable[[#This Row],[Commitment / deliverable]]="","",IF(CommitmentsTable[[#This Row],[Date record entered]]="",TODAY(),CommitmentsTable[[#This Row],[Date record entered]]))</f>
        <v/>
      </c>
      <c r="H1108" s="245"/>
      <c r="I1108" s="245" t="str">
        <f ca="1">IF(CommitmentsTable[[#This Row],[Date Assigned if different from entry date]]&lt;&gt;"",CommitmentsTable[[#This Row],[Date Assigned if different from entry date]]+90,IF(CommitmentsTable[[#This Row],[Date record entered]]&lt;&gt;"",CommitmentsTable[[#This Row],[Date record entered]]+90,""))</f>
        <v/>
      </c>
      <c r="J1108" s="245" t="str">
        <f ca="1">IF(CommitmentsTable[[#This Row],[Date Assigned if different from entry date]]&lt;&gt;"",CommitmentsTable[[#This Row],[Date Assigned if different from entry date]]+30,IF(CommitmentsTable[[#This Row],[Date record entered]]&lt;&gt;"",CommitmentsTable[[#This Row],[Date record entered]]+30,""))</f>
        <v/>
      </c>
      <c r="K1108" s="245"/>
      <c r="L1108" s="245" t="str">
        <f ca="1">IF(CommitmentsTable[[#This Row],[Date Assigned if different from entry date]]&lt;&gt;"",CommitmentsTable[[#This Row],[Date Assigned if different from entry date]]+60,IF(CommitmentsTable[[#This Row],[Date record entered]]&lt;&gt;"",CommitmentsTable[[#This Row],[Date record entered]]+60,""))</f>
        <v/>
      </c>
      <c r="M1108" s="214"/>
      <c r="N1108" s="214"/>
      <c r="O1108" s="236"/>
      <c r="P1108" s="214"/>
      <c r="Q1108" s="214"/>
      <c r="R1108" s="214"/>
      <c r="S1108" s="238" t="str">
        <f>IF(CommitmentsTable[[#This Row],[Commitment / deliverable]]="","",IF(CommitmentsTable[[#This Row],[Revised due]]&lt;&gt;"",CommitmentsTable[[#This Row],[Revised due]],CommitmentsTable[[#This Row],[Original due]]))</f>
        <v/>
      </c>
      <c r="T1108" s="237" t="str">
        <f>IF(OR(CommitmentsTable[[#This Row],[Commitment / deliverable]]="",CommitmentsTable[[#This Row],[Owner]]=""),"",IF(CommitmentsTable[[#This Row],[Status2]]="","Open",CommitmentsTable[[#This Row],[Status2]]))</f>
        <v/>
      </c>
      <c r="U1108" s="237" t="str">
        <f t="shared" ca="1" si="17"/>
        <v/>
      </c>
      <c r="V1108" s="233"/>
      <c r="W1108" s="63" t="s">
        <v>2010</v>
      </c>
    </row>
    <row r="1109" spans="1:23" ht="26">
      <c r="A1109" s="213" t="str">
        <f>IF(OR(CommitmentsTable[[#This Row],[Commitment / deliverable]]="",CommitmentsTable[[#This Row],[Immutable Key]]=""),"",SUBSTITUTE(CommitmentsTable[[#This Row],[Immutable Key]],"-K-","-"))</f>
        <v/>
      </c>
      <c r="B1109" s="233"/>
      <c r="C1109" s="233"/>
      <c r="D1109" s="213"/>
      <c r="E1109" s="230"/>
      <c r="F1109" s="213"/>
      <c r="G1109" s="245" t="str">
        <f ca="1">IF(CommitmentsTable[[#This Row],[Commitment / deliverable]]="","",IF(CommitmentsTable[[#This Row],[Date record entered]]="",TODAY(),CommitmentsTable[[#This Row],[Date record entered]]))</f>
        <v/>
      </c>
      <c r="H1109" s="245"/>
      <c r="I1109" s="245" t="str">
        <f ca="1">IF(CommitmentsTable[[#This Row],[Date Assigned if different from entry date]]&lt;&gt;"",CommitmentsTable[[#This Row],[Date Assigned if different from entry date]]+90,IF(CommitmentsTable[[#This Row],[Date record entered]]&lt;&gt;"",CommitmentsTable[[#This Row],[Date record entered]]+90,""))</f>
        <v/>
      </c>
      <c r="J1109" s="245" t="str">
        <f ca="1">IF(CommitmentsTable[[#This Row],[Date Assigned if different from entry date]]&lt;&gt;"",CommitmentsTable[[#This Row],[Date Assigned if different from entry date]]+30,IF(CommitmentsTable[[#This Row],[Date record entered]]&lt;&gt;"",CommitmentsTable[[#This Row],[Date record entered]]+30,""))</f>
        <v/>
      </c>
      <c r="K1109" s="245"/>
      <c r="L1109" s="245" t="str">
        <f ca="1">IF(CommitmentsTable[[#This Row],[Date Assigned if different from entry date]]&lt;&gt;"",CommitmentsTable[[#This Row],[Date Assigned if different from entry date]]+60,IF(CommitmentsTable[[#This Row],[Date record entered]]&lt;&gt;"",CommitmentsTable[[#This Row],[Date record entered]]+60,""))</f>
        <v/>
      </c>
      <c r="M1109" s="214"/>
      <c r="N1109" s="214"/>
      <c r="O1109" s="236"/>
      <c r="P1109" s="214"/>
      <c r="Q1109" s="214"/>
      <c r="R1109" s="214"/>
      <c r="S1109" s="238" t="str">
        <f>IF(CommitmentsTable[[#This Row],[Commitment / deliverable]]="","",IF(CommitmentsTable[[#This Row],[Revised due]]&lt;&gt;"",CommitmentsTable[[#This Row],[Revised due]],CommitmentsTable[[#This Row],[Original due]]))</f>
        <v/>
      </c>
      <c r="T1109" s="237" t="str">
        <f>IF(OR(CommitmentsTable[[#This Row],[Commitment / deliverable]]="",CommitmentsTable[[#This Row],[Owner]]=""),"",IF(CommitmentsTable[[#This Row],[Status2]]="","Open",CommitmentsTable[[#This Row],[Status2]]))</f>
        <v/>
      </c>
      <c r="U1109" s="237" t="str">
        <f t="shared" ca="1" si="17"/>
        <v/>
      </c>
      <c r="V1109" s="233"/>
      <c r="W1109" s="63" t="s">
        <v>2011</v>
      </c>
    </row>
    <row r="1110" spans="1:23" ht="26">
      <c r="A1110" s="213" t="str">
        <f>IF(OR(CommitmentsTable[[#This Row],[Commitment / deliverable]]="",CommitmentsTable[[#This Row],[Immutable Key]]=""),"",SUBSTITUTE(CommitmentsTable[[#This Row],[Immutable Key]],"-K-","-"))</f>
        <v/>
      </c>
      <c r="B1110" s="233"/>
      <c r="C1110" s="233"/>
      <c r="D1110" s="213"/>
      <c r="E1110" s="230"/>
      <c r="F1110" s="213"/>
      <c r="G1110" s="245" t="str">
        <f ca="1">IF(CommitmentsTable[[#This Row],[Commitment / deliverable]]="","",IF(CommitmentsTable[[#This Row],[Date record entered]]="",TODAY(),CommitmentsTable[[#This Row],[Date record entered]]))</f>
        <v/>
      </c>
      <c r="H1110" s="245"/>
      <c r="I1110" s="245" t="str">
        <f ca="1">IF(CommitmentsTable[[#This Row],[Date Assigned if different from entry date]]&lt;&gt;"",CommitmentsTable[[#This Row],[Date Assigned if different from entry date]]+90,IF(CommitmentsTable[[#This Row],[Date record entered]]&lt;&gt;"",CommitmentsTable[[#This Row],[Date record entered]]+90,""))</f>
        <v/>
      </c>
      <c r="J1110" s="245" t="str">
        <f ca="1">IF(CommitmentsTable[[#This Row],[Date Assigned if different from entry date]]&lt;&gt;"",CommitmentsTable[[#This Row],[Date Assigned if different from entry date]]+30,IF(CommitmentsTable[[#This Row],[Date record entered]]&lt;&gt;"",CommitmentsTable[[#This Row],[Date record entered]]+30,""))</f>
        <v/>
      </c>
      <c r="K1110" s="245"/>
      <c r="L1110" s="245" t="str">
        <f ca="1">IF(CommitmentsTable[[#This Row],[Date Assigned if different from entry date]]&lt;&gt;"",CommitmentsTable[[#This Row],[Date Assigned if different from entry date]]+60,IF(CommitmentsTable[[#This Row],[Date record entered]]&lt;&gt;"",CommitmentsTable[[#This Row],[Date record entered]]+60,""))</f>
        <v/>
      </c>
      <c r="M1110" s="214"/>
      <c r="N1110" s="214"/>
      <c r="O1110" s="236"/>
      <c r="P1110" s="214"/>
      <c r="Q1110" s="214"/>
      <c r="R1110" s="214"/>
      <c r="S1110" s="238" t="str">
        <f>IF(CommitmentsTable[[#This Row],[Commitment / deliverable]]="","",IF(CommitmentsTable[[#This Row],[Revised due]]&lt;&gt;"",CommitmentsTable[[#This Row],[Revised due]],CommitmentsTable[[#This Row],[Original due]]))</f>
        <v/>
      </c>
      <c r="T1110" s="237" t="str">
        <f>IF(OR(CommitmentsTable[[#This Row],[Commitment / deliverable]]="",CommitmentsTable[[#This Row],[Owner]]=""),"",IF(CommitmentsTable[[#This Row],[Status2]]="","Open",CommitmentsTable[[#This Row],[Status2]]))</f>
        <v/>
      </c>
      <c r="U1110" s="237" t="str">
        <f t="shared" ca="1" si="17"/>
        <v/>
      </c>
      <c r="V1110" s="233"/>
      <c r="W1110" s="63" t="s">
        <v>2012</v>
      </c>
    </row>
    <row r="1111" spans="1:23" ht="26">
      <c r="A1111" s="213" t="str">
        <f>IF(OR(CommitmentsTable[[#This Row],[Commitment / deliverable]]="",CommitmentsTable[[#This Row],[Immutable Key]]=""),"",SUBSTITUTE(CommitmentsTable[[#This Row],[Immutable Key]],"-K-","-"))</f>
        <v/>
      </c>
      <c r="B1111" s="233"/>
      <c r="C1111" s="233"/>
      <c r="D1111" s="213"/>
      <c r="E1111" s="230"/>
      <c r="F1111" s="213"/>
      <c r="G1111" s="245" t="str">
        <f ca="1">IF(CommitmentsTable[[#This Row],[Commitment / deliverable]]="","",IF(CommitmentsTable[[#This Row],[Date record entered]]="",TODAY(),CommitmentsTable[[#This Row],[Date record entered]]))</f>
        <v/>
      </c>
      <c r="H1111" s="245"/>
      <c r="I1111" s="245" t="str">
        <f ca="1">IF(CommitmentsTable[[#This Row],[Date Assigned if different from entry date]]&lt;&gt;"",CommitmentsTable[[#This Row],[Date Assigned if different from entry date]]+90,IF(CommitmentsTable[[#This Row],[Date record entered]]&lt;&gt;"",CommitmentsTable[[#This Row],[Date record entered]]+90,""))</f>
        <v/>
      </c>
      <c r="J1111" s="245" t="str">
        <f ca="1">IF(CommitmentsTable[[#This Row],[Date Assigned if different from entry date]]&lt;&gt;"",CommitmentsTable[[#This Row],[Date Assigned if different from entry date]]+30,IF(CommitmentsTable[[#This Row],[Date record entered]]&lt;&gt;"",CommitmentsTable[[#This Row],[Date record entered]]+30,""))</f>
        <v/>
      </c>
      <c r="K1111" s="245"/>
      <c r="L1111" s="245" t="str">
        <f ca="1">IF(CommitmentsTable[[#This Row],[Date Assigned if different from entry date]]&lt;&gt;"",CommitmentsTable[[#This Row],[Date Assigned if different from entry date]]+60,IF(CommitmentsTable[[#This Row],[Date record entered]]&lt;&gt;"",CommitmentsTable[[#This Row],[Date record entered]]+60,""))</f>
        <v/>
      </c>
      <c r="M1111" s="214"/>
      <c r="N1111" s="214"/>
      <c r="O1111" s="236"/>
      <c r="P1111" s="214"/>
      <c r="Q1111" s="214"/>
      <c r="R1111" s="214"/>
      <c r="S1111" s="238" t="str">
        <f>IF(CommitmentsTable[[#This Row],[Commitment / deliverable]]="","",IF(CommitmentsTable[[#This Row],[Revised due]]&lt;&gt;"",CommitmentsTable[[#This Row],[Revised due]],CommitmentsTable[[#This Row],[Original due]]))</f>
        <v/>
      </c>
      <c r="T1111" s="237" t="str">
        <f>IF(OR(CommitmentsTable[[#This Row],[Commitment / deliverable]]="",CommitmentsTable[[#This Row],[Owner]]=""),"",IF(CommitmentsTable[[#This Row],[Status2]]="","Open",CommitmentsTable[[#This Row],[Status2]]))</f>
        <v/>
      </c>
      <c r="U1111" s="237" t="str">
        <f t="shared" ca="1" si="17"/>
        <v/>
      </c>
      <c r="V1111" s="233"/>
      <c r="W1111" s="63" t="s">
        <v>2013</v>
      </c>
    </row>
    <row r="1112" spans="1:23" ht="26">
      <c r="A1112" s="213" t="str">
        <f>IF(OR(CommitmentsTable[[#This Row],[Commitment / deliverable]]="",CommitmentsTable[[#This Row],[Immutable Key]]=""),"",SUBSTITUTE(CommitmentsTable[[#This Row],[Immutable Key]],"-K-","-"))</f>
        <v/>
      </c>
      <c r="B1112" s="233"/>
      <c r="C1112" s="233"/>
      <c r="D1112" s="213"/>
      <c r="E1112" s="230"/>
      <c r="F1112" s="213"/>
      <c r="G1112" s="245" t="str">
        <f ca="1">IF(CommitmentsTable[[#This Row],[Commitment / deliverable]]="","",IF(CommitmentsTable[[#This Row],[Date record entered]]="",TODAY(),CommitmentsTable[[#This Row],[Date record entered]]))</f>
        <v/>
      </c>
      <c r="H1112" s="245"/>
      <c r="I1112" s="245" t="str">
        <f ca="1">IF(CommitmentsTable[[#This Row],[Date Assigned if different from entry date]]&lt;&gt;"",CommitmentsTable[[#This Row],[Date Assigned if different from entry date]]+90,IF(CommitmentsTable[[#This Row],[Date record entered]]&lt;&gt;"",CommitmentsTable[[#This Row],[Date record entered]]+90,""))</f>
        <v/>
      </c>
      <c r="J1112" s="245" t="str">
        <f ca="1">IF(CommitmentsTable[[#This Row],[Date Assigned if different from entry date]]&lt;&gt;"",CommitmentsTable[[#This Row],[Date Assigned if different from entry date]]+30,IF(CommitmentsTable[[#This Row],[Date record entered]]&lt;&gt;"",CommitmentsTable[[#This Row],[Date record entered]]+30,""))</f>
        <v/>
      </c>
      <c r="K1112" s="245"/>
      <c r="L1112" s="245" t="str">
        <f ca="1">IF(CommitmentsTable[[#This Row],[Date Assigned if different from entry date]]&lt;&gt;"",CommitmentsTable[[#This Row],[Date Assigned if different from entry date]]+60,IF(CommitmentsTable[[#This Row],[Date record entered]]&lt;&gt;"",CommitmentsTable[[#This Row],[Date record entered]]+60,""))</f>
        <v/>
      </c>
      <c r="M1112" s="214"/>
      <c r="N1112" s="214"/>
      <c r="O1112" s="236"/>
      <c r="P1112" s="214"/>
      <c r="Q1112" s="214"/>
      <c r="R1112" s="214"/>
      <c r="S1112" s="238" t="str">
        <f>IF(CommitmentsTable[[#This Row],[Commitment / deliverable]]="","",IF(CommitmentsTable[[#This Row],[Revised due]]&lt;&gt;"",CommitmentsTable[[#This Row],[Revised due]],CommitmentsTable[[#This Row],[Original due]]))</f>
        <v/>
      </c>
      <c r="T1112" s="237" t="str">
        <f>IF(OR(CommitmentsTable[[#This Row],[Commitment / deliverable]]="",CommitmentsTable[[#This Row],[Owner]]=""),"",IF(CommitmentsTable[[#This Row],[Status2]]="","Open",CommitmentsTable[[#This Row],[Status2]]))</f>
        <v/>
      </c>
      <c r="U1112" s="237" t="str">
        <f t="shared" ca="1" si="17"/>
        <v/>
      </c>
      <c r="V1112" s="233"/>
      <c r="W1112" s="63" t="s">
        <v>2014</v>
      </c>
    </row>
    <row r="1113" spans="1:23" ht="26">
      <c r="A1113" s="213" t="str">
        <f>IF(OR(CommitmentsTable[[#This Row],[Commitment / deliverable]]="",CommitmentsTable[[#This Row],[Immutable Key]]=""),"",SUBSTITUTE(CommitmentsTable[[#This Row],[Immutable Key]],"-K-","-"))</f>
        <v/>
      </c>
      <c r="B1113" s="233"/>
      <c r="C1113" s="233"/>
      <c r="D1113" s="213"/>
      <c r="E1113" s="230"/>
      <c r="F1113" s="213"/>
      <c r="G1113" s="245" t="str">
        <f ca="1">IF(CommitmentsTable[[#This Row],[Commitment / deliverable]]="","",IF(CommitmentsTable[[#This Row],[Date record entered]]="",TODAY(),CommitmentsTable[[#This Row],[Date record entered]]))</f>
        <v/>
      </c>
      <c r="H1113" s="245"/>
      <c r="I1113" s="245" t="str">
        <f ca="1">IF(CommitmentsTable[[#This Row],[Date Assigned if different from entry date]]&lt;&gt;"",CommitmentsTable[[#This Row],[Date Assigned if different from entry date]]+90,IF(CommitmentsTable[[#This Row],[Date record entered]]&lt;&gt;"",CommitmentsTable[[#This Row],[Date record entered]]+90,""))</f>
        <v/>
      </c>
      <c r="J1113" s="245" t="str">
        <f ca="1">IF(CommitmentsTable[[#This Row],[Date Assigned if different from entry date]]&lt;&gt;"",CommitmentsTable[[#This Row],[Date Assigned if different from entry date]]+30,IF(CommitmentsTable[[#This Row],[Date record entered]]&lt;&gt;"",CommitmentsTable[[#This Row],[Date record entered]]+30,""))</f>
        <v/>
      </c>
      <c r="K1113" s="245"/>
      <c r="L1113" s="245" t="str">
        <f ca="1">IF(CommitmentsTable[[#This Row],[Date Assigned if different from entry date]]&lt;&gt;"",CommitmentsTable[[#This Row],[Date Assigned if different from entry date]]+60,IF(CommitmentsTable[[#This Row],[Date record entered]]&lt;&gt;"",CommitmentsTable[[#This Row],[Date record entered]]+60,""))</f>
        <v/>
      </c>
      <c r="M1113" s="214"/>
      <c r="N1113" s="214"/>
      <c r="O1113" s="236"/>
      <c r="P1113" s="214"/>
      <c r="Q1113" s="214"/>
      <c r="R1113" s="214"/>
      <c r="S1113" s="238" t="str">
        <f>IF(CommitmentsTable[[#This Row],[Commitment / deliverable]]="","",IF(CommitmentsTable[[#This Row],[Revised due]]&lt;&gt;"",CommitmentsTable[[#This Row],[Revised due]],CommitmentsTable[[#This Row],[Original due]]))</f>
        <v/>
      </c>
      <c r="T1113" s="237" t="str">
        <f>IF(OR(CommitmentsTable[[#This Row],[Commitment / deliverable]]="",CommitmentsTable[[#This Row],[Owner]]=""),"",IF(CommitmentsTable[[#This Row],[Status2]]="","Open",CommitmentsTable[[#This Row],[Status2]]))</f>
        <v/>
      </c>
      <c r="U1113" s="237" t="str">
        <f t="shared" ca="1" si="17"/>
        <v/>
      </c>
      <c r="V1113" s="233"/>
      <c r="W1113" s="63" t="s">
        <v>2015</v>
      </c>
    </row>
    <row r="1114" spans="1:23" ht="26">
      <c r="A1114" s="213" t="str">
        <f>IF(OR(CommitmentsTable[[#This Row],[Commitment / deliverable]]="",CommitmentsTable[[#This Row],[Immutable Key]]=""),"",SUBSTITUTE(CommitmentsTable[[#This Row],[Immutable Key]],"-K-","-"))</f>
        <v/>
      </c>
      <c r="B1114" s="233"/>
      <c r="C1114" s="233"/>
      <c r="D1114" s="213"/>
      <c r="E1114" s="230"/>
      <c r="F1114" s="213"/>
      <c r="G1114" s="245" t="str">
        <f ca="1">IF(CommitmentsTable[[#This Row],[Commitment / deliverable]]="","",IF(CommitmentsTable[[#This Row],[Date record entered]]="",TODAY(),CommitmentsTable[[#This Row],[Date record entered]]))</f>
        <v/>
      </c>
      <c r="H1114" s="245"/>
      <c r="I1114" s="245" t="str">
        <f ca="1">IF(CommitmentsTable[[#This Row],[Date Assigned if different from entry date]]&lt;&gt;"",CommitmentsTable[[#This Row],[Date Assigned if different from entry date]]+90,IF(CommitmentsTable[[#This Row],[Date record entered]]&lt;&gt;"",CommitmentsTable[[#This Row],[Date record entered]]+90,""))</f>
        <v/>
      </c>
      <c r="J1114" s="245" t="str">
        <f ca="1">IF(CommitmentsTable[[#This Row],[Date Assigned if different from entry date]]&lt;&gt;"",CommitmentsTable[[#This Row],[Date Assigned if different from entry date]]+30,IF(CommitmentsTable[[#This Row],[Date record entered]]&lt;&gt;"",CommitmentsTable[[#This Row],[Date record entered]]+30,""))</f>
        <v/>
      </c>
      <c r="K1114" s="245"/>
      <c r="L1114" s="245" t="str">
        <f ca="1">IF(CommitmentsTable[[#This Row],[Date Assigned if different from entry date]]&lt;&gt;"",CommitmentsTable[[#This Row],[Date Assigned if different from entry date]]+60,IF(CommitmentsTable[[#This Row],[Date record entered]]&lt;&gt;"",CommitmentsTable[[#This Row],[Date record entered]]+60,""))</f>
        <v/>
      </c>
      <c r="M1114" s="214"/>
      <c r="N1114" s="214"/>
      <c r="O1114" s="236"/>
      <c r="P1114" s="214"/>
      <c r="Q1114" s="214"/>
      <c r="R1114" s="214"/>
      <c r="S1114" s="238" t="str">
        <f>IF(CommitmentsTable[[#This Row],[Commitment / deliverable]]="","",IF(CommitmentsTable[[#This Row],[Revised due]]&lt;&gt;"",CommitmentsTable[[#This Row],[Revised due]],CommitmentsTable[[#This Row],[Original due]]))</f>
        <v/>
      </c>
      <c r="T1114" s="237" t="str">
        <f>IF(OR(CommitmentsTable[[#This Row],[Commitment / deliverable]]="",CommitmentsTable[[#This Row],[Owner]]=""),"",IF(CommitmentsTable[[#This Row],[Status2]]="","Open",CommitmentsTable[[#This Row],[Status2]]))</f>
        <v/>
      </c>
      <c r="U1114" s="237" t="str">
        <f t="shared" ca="1" si="17"/>
        <v/>
      </c>
      <c r="V1114" s="233"/>
      <c r="W1114" s="63" t="s">
        <v>2016</v>
      </c>
    </row>
    <row r="1115" spans="1:23" ht="26">
      <c r="A1115" s="213" t="str">
        <f>IF(OR(CommitmentsTable[[#This Row],[Commitment / deliverable]]="",CommitmentsTable[[#This Row],[Immutable Key]]=""),"",SUBSTITUTE(CommitmentsTable[[#This Row],[Immutable Key]],"-K-","-"))</f>
        <v/>
      </c>
      <c r="B1115" s="233"/>
      <c r="C1115" s="233"/>
      <c r="D1115" s="213"/>
      <c r="E1115" s="230"/>
      <c r="F1115" s="213"/>
      <c r="G1115" s="245" t="str">
        <f ca="1">IF(CommitmentsTable[[#This Row],[Commitment / deliverable]]="","",IF(CommitmentsTable[[#This Row],[Date record entered]]="",TODAY(),CommitmentsTable[[#This Row],[Date record entered]]))</f>
        <v/>
      </c>
      <c r="H1115" s="245"/>
      <c r="I1115" s="245" t="str">
        <f ca="1">IF(CommitmentsTable[[#This Row],[Date Assigned if different from entry date]]&lt;&gt;"",CommitmentsTable[[#This Row],[Date Assigned if different from entry date]]+90,IF(CommitmentsTable[[#This Row],[Date record entered]]&lt;&gt;"",CommitmentsTable[[#This Row],[Date record entered]]+90,""))</f>
        <v/>
      </c>
      <c r="J1115" s="245" t="str">
        <f ca="1">IF(CommitmentsTable[[#This Row],[Date Assigned if different from entry date]]&lt;&gt;"",CommitmentsTable[[#This Row],[Date Assigned if different from entry date]]+30,IF(CommitmentsTable[[#This Row],[Date record entered]]&lt;&gt;"",CommitmentsTable[[#This Row],[Date record entered]]+30,""))</f>
        <v/>
      </c>
      <c r="K1115" s="245"/>
      <c r="L1115" s="245" t="str">
        <f ca="1">IF(CommitmentsTable[[#This Row],[Date Assigned if different from entry date]]&lt;&gt;"",CommitmentsTable[[#This Row],[Date Assigned if different from entry date]]+60,IF(CommitmentsTable[[#This Row],[Date record entered]]&lt;&gt;"",CommitmentsTable[[#This Row],[Date record entered]]+60,""))</f>
        <v/>
      </c>
      <c r="M1115" s="214"/>
      <c r="N1115" s="214"/>
      <c r="O1115" s="236"/>
      <c r="P1115" s="214"/>
      <c r="Q1115" s="214"/>
      <c r="R1115" s="214"/>
      <c r="S1115" s="238" t="str">
        <f>IF(CommitmentsTable[[#This Row],[Commitment / deliverable]]="","",IF(CommitmentsTable[[#This Row],[Revised due]]&lt;&gt;"",CommitmentsTable[[#This Row],[Revised due]],CommitmentsTable[[#This Row],[Original due]]))</f>
        <v/>
      </c>
      <c r="T1115" s="237" t="str">
        <f>IF(OR(CommitmentsTable[[#This Row],[Commitment / deliverable]]="",CommitmentsTable[[#This Row],[Owner]]=""),"",IF(CommitmentsTable[[#This Row],[Status2]]="","Open",CommitmentsTable[[#This Row],[Status2]]))</f>
        <v/>
      </c>
      <c r="U1115" s="237" t="str">
        <f t="shared" ca="1" si="17"/>
        <v/>
      </c>
      <c r="V1115" s="233"/>
      <c r="W1115" s="63" t="s">
        <v>2017</v>
      </c>
    </row>
    <row r="1116" spans="1:23" ht="26">
      <c r="A1116" s="213" t="str">
        <f>IF(OR(CommitmentsTable[[#This Row],[Commitment / deliverable]]="",CommitmentsTable[[#This Row],[Immutable Key]]=""),"",SUBSTITUTE(CommitmentsTable[[#This Row],[Immutable Key]],"-K-","-"))</f>
        <v/>
      </c>
      <c r="B1116" s="233"/>
      <c r="C1116" s="233"/>
      <c r="D1116" s="213"/>
      <c r="E1116" s="230"/>
      <c r="F1116" s="213"/>
      <c r="G1116" s="245" t="str">
        <f ca="1">IF(CommitmentsTable[[#This Row],[Commitment / deliverable]]="","",IF(CommitmentsTable[[#This Row],[Date record entered]]="",TODAY(),CommitmentsTable[[#This Row],[Date record entered]]))</f>
        <v/>
      </c>
      <c r="H1116" s="245"/>
      <c r="I1116" s="245" t="str">
        <f ca="1">IF(CommitmentsTable[[#This Row],[Date Assigned if different from entry date]]&lt;&gt;"",CommitmentsTable[[#This Row],[Date Assigned if different from entry date]]+90,IF(CommitmentsTable[[#This Row],[Date record entered]]&lt;&gt;"",CommitmentsTable[[#This Row],[Date record entered]]+90,""))</f>
        <v/>
      </c>
      <c r="J1116" s="245" t="str">
        <f ca="1">IF(CommitmentsTable[[#This Row],[Date Assigned if different from entry date]]&lt;&gt;"",CommitmentsTable[[#This Row],[Date Assigned if different from entry date]]+30,IF(CommitmentsTable[[#This Row],[Date record entered]]&lt;&gt;"",CommitmentsTable[[#This Row],[Date record entered]]+30,""))</f>
        <v/>
      </c>
      <c r="K1116" s="245"/>
      <c r="L1116" s="245" t="str">
        <f ca="1">IF(CommitmentsTable[[#This Row],[Date Assigned if different from entry date]]&lt;&gt;"",CommitmentsTable[[#This Row],[Date Assigned if different from entry date]]+60,IF(CommitmentsTable[[#This Row],[Date record entered]]&lt;&gt;"",CommitmentsTable[[#This Row],[Date record entered]]+60,""))</f>
        <v/>
      </c>
      <c r="M1116" s="214"/>
      <c r="N1116" s="214"/>
      <c r="O1116" s="236"/>
      <c r="P1116" s="214"/>
      <c r="Q1116" s="214"/>
      <c r="R1116" s="214"/>
      <c r="S1116" s="238" t="str">
        <f>IF(CommitmentsTable[[#This Row],[Commitment / deliverable]]="","",IF(CommitmentsTable[[#This Row],[Revised due]]&lt;&gt;"",CommitmentsTable[[#This Row],[Revised due]],CommitmentsTable[[#This Row],[Original due]]))</f>
        <v/>
      </c>
      <c r="T1116" s="237" t="str">
        <f>IF(OR(CommitmentsTable[[#This Row],[Commitment / deliverable]]="",CommitmentsTable[[#This Row],[Owner]]=""),"",IF(CommitmentsTable[[#This Row],[Status2]]="","Open",CommitmentsTable[[#This Row],[Status2]]))</f>
        <v/>
      </c>
      <c r="U1116" s="237" t="str">
        <f t="shared" ca="1" si="17"/>
        <v/>
      </c>
      <c r="V1116" s="233"/>
      <c r="W1116" s="63" t="s">
        <v>2018</v>
      </c>
    </row>
    <row r="1117" spans="1:23" ht="26">
      <c r="A1117" s="213" t="str">
        <f>IF(OR(CommitmentsTable[[#This Row],[Commitment / deliverable]]="",CommitmentsTable[[#This Row],[Immutable Key]]=""),"",SUBSTITUTE(CommitmentsTable[[#This Row],[Immutable Key]],"-K-","-"))</f>
        <v/>
      </c>
      <c r="B1117" s="233"/>
      <c r="C1117" s="233"/>
      <c r="D1117" s="213"/>
      <c r="E1117" s="230"/>
      <c r="F1117" s="213"/>
      <c r="G1117" s="245" t="str">
        <f ca="1">IF(CommitmentsTable[[#This Row],[Commitment / deliverable]]="","",IF(CommitmentsTable[[#This Row],[Date record entered]]="",TODAY(),CommitmentsTable[[#This Row],[Date record entered]]))</f>
        <v/>
      </c>
      <c r="H1117" s="245"/>
      <c r="I1117" s="245" t="str">
        <f ca="1">IF(CommitmentsTable[[#This Row],[Date Assigned if different from entry date]]&lt;&gt;"",CommitmentsTable[[#This Row],[Date Assigned if different from entry date]]+90,IF(CommitmentsTable[[#This Row],[Date record entered]]&lt;&gt;"",CommitmentsTable[[#This Row],[Date record entered]]+90,""))</f>
        <v/>
      </c>
      <c r="J1117" s="245" t="str">
        <f ca="1">IF(CommitmentsTable[[#This Row],[Date Assigned if different from entry date]]&lt;&gt;"",CommitmentsTable[[#This Row],[Date Assigned if different from entry date]]+30,IF(CommitmentsTable[[#This Row],[Date record entered]]&lt;&gt;"",CommitmentsTable[[#This Row],[Date record entered]]+30,""))</f>
        <v/>
      </c>
      <c r="K1117" s="245"/>
      <c r="L1117" s="245" t="str">
        <f ca="1">IF(CommitmentsTable[[#This Row],[Date Assigned if different from entry date]]&lt;&gt;"",CommitmentsTable[[#This Row],[Date Assigned if different from entry date]]+60,IF(CommitmentsTable[[#This Row],[Date record entered]]&lt;&gt;"",CommitmentsTable[[#This Row],[Date record entered]]+60,""))</f>
        <v/>
      </c>
      <c r="M1117" s="214"/>
      <c r="N1117" s="214"/>
      <c r="O1117" s="236"/>
      <c r="P1117" s="214"/>
      <c r="Q1117" s="214"/>
      <c r="R1117" s="214"/>
      <c r="S1117" s="238" t="str">
        <f>IF(CommitmentsTable[[#This Row],[Commitment / deliverable]]="","",IF(CommitmentsTable[[#This Row],[Revised due]]&lt;&gt;"",CommitmentsTable[[#This Row],[Revised due]],CommitmentsTable[[#This Row],[Original due]]))</f>
        <v/>
      </c>
      <c r="T1117" s="237" t="str">
        <f>IF(OR(CommitmentsTable[[#This Row],[Commitment / deliverable]]="",CommitmentsTable[[#This Row],[Owner]]=""),"",IF(CommitmentsTable[[#This Row],[Status2]]="","Open",CommitmentsTable[[#This Row],[Status2]]))</f>
        <v/>
      </c>
      <c r="U1117" s="237" t="str">
        <f t="shared" ca="1" si="17"/>
        <v/>
      </c>
      <c r="V1117" s="233"/>
      <c r="W1117" s="63" t="s">
        <v>2019</v>
      </c>
    </row>
    <row r="1118" spans="1:23" ht="26">
      <c r="A1118" s="213" t="str">
        <f>IF(OR(CommitmentsTable[[#This Row],[Commitment / deliverable]]="",CommitmentsTable[[#This Row],[Immutable Key]]=""),"",SUBSTITUTE(CommitmentsTable[[#This Row],[Immutable Key]],"-K-","-"))</f>
        <v/>
      </c>
      <c r="B1118" s="233"/>
      <c r="C1118" s="233"/>
      <c r="D1118" s="213"/>
      <c r="E1118" s="230"/>
      <c r="F1118" s="213"/>
      <c r="G1118" s="245" t="str">
        <f ca="1">IF(CommitmentsTable[[#This Row],[Commitment / deliverable]]="","",IF(CommitmentsTable[[#This Row],[Date record entered]]="",TODAY(),CommitmentsTable[[#This Row],[Date record entered]]))</f>
        <v/>
      </c>
      <c r="H1118" s="245"/>
      <c r="I1118" s="245" t="str">
        <f ca="1">IF(CommitmentsTable[[#This Row],[Date Assigned if different from entry date]]&lt;&gt;"",CommitmentsTable[[#This Row],[Date Assigned if different from entry date]]+90,IF(CommitmentsTable[[#This Row],[Date record entered]]&lt;&gt;"",CommitmentsTable[[#This Row],[Date record entered]]+90,""))</f>
        <v/>
      </c>
      <c r="J1118" s="245" t="str">
        <f ca="1">IF(CommitmentsTable[[#This Row],[Date Assigned if different from entry date]]&lt;&gt;"",CommitmentsTable[[#This Row],[Date Assigned if different from entry date]]+30,IF(CommitmentsTable[[#This Row],[Date record entered]]&lt;&gt;"",CommitmentsTable[[#This Row],[Date record entered]]+30,""))</f>
        <v/>
      </c>
      <c r="K1118" s="245"/>
      <c r="L1118" s="245" t="str">
        <f ca="1">IF(CommitmentsTable[[#This Row],[Date Assigned if different from entry date]]&lt;&gt;"",CommitmentsTable[[#This Row],[Date Assigned if different from entry date]]+60,IF(CommitmentsTable[[#This Row],[Date record entered]]&lt;&gt;"",CommitmentsTable[[#This Row],[Date record entered]]+60,""))</f>
        <v/>
      </c>
      <c r="M1118" s="214"/>
      <c r="N1118" s="214"/>
      <c r="O1118" s="236"/>
      <c r="P1118" s="214"/>
      <c r="Q1118" s="214"/>
      <c r="R1118" s="214"/>
      <c r="S1118" s="238" t="str">
        <f>IF(CommitmentsTable[[#This Row],[Commitment / deliverable]]="","",IF(CommitmentsTable[[#This Row],[Revised due]]&lt;&gt;"",CommitmentsTable[[#This Row],[Revised due]],CommitmentsTable[[#This Row],[Original due]]))</f>
        <v/>
      </c>
      <c r="T1118" s="237" t="str">
        <f>IF(OR(CommitmentsTable[[#This Row],[Commitment / deliverable]]="",CommitmentsTable[[#This Row],[Owner]]=""),"",IF(CommitmentsTable[[#This Row],[Status2]]="","Open",CommitmentsTable[[#This Row],[Status2]]))</f>
        <v/>
      </c>
      <c r="U1118" s="237" t="str">
        <f t="shared" ca="1" si="17"/>
        <v/>
      </c>
      <c r="V1118" s="233"/>
      <c r="W1118" s="63" t="s">
        <v>2020</v>
      </c>
    </row>
    <row r="1119" spans="1:23" ht="26">
      <c r="A1119" s="213" t="str">
        <f>IF(OR(CommitmentsTable[[#This Row],[Commitment / deliverable]]="",CommitmentsTable[[#This Row],[Immutable Key]]=""),"",SUBSTITUTE(CommitmentsTable[[#This Row],[Immutable Key]],"-K-","-"))</f>
        <v/>
      </c>
      <c r="B1119" s="233"/>
      <c r="C1119" s="233"/>
      <c r="D1119" s="213"/>
      <c r="E1119" s="230"/>
      <c r="F1119" s="213"/>
      <c r="G1119" s="245" t="str">
        <f ca="1">IF(CommitmentsTable[[#This Row],[Commitment / deliverable]]="","",IF(CommitmentsTable[[#This Row],[Date record entered]]="",TODAY(),CommitmentsTable[[#This Row],[Date record entered]]))</f>
        <v/>
      </c>
      <c r="H1119" s="245"/>
      <c r="I1119" s="245" t="str">
        <f ca="1">IF(CommitmentsTable[[#This Row],[Date Assigned if different from entry date]]&lt;&gt;"",CommitmentsTable[[#This Row],[Date Assigned if different from entry date]]+90,IF(CommitmentsTable[[#This Row],[Date record entered]]&lt;&gt;"",CommitmentsTable[[#This Row],[Date record entered]]+90,""))</f>
        <v/>
      </c>
      <c r="J1119" s="245" t="str">
        <f ca="1">IF(CommitmentsTable[[#This Row],[Date Assigned if different from entry date]]&lt;&gt;"",CommitmentsTable[[#This Row],[Date Assigned if different from entry date]]+30,IF(CommitmentsTable[[#This Row],[Date record entered]]&lt;&gt;"",CommitmentsTable[[#This Row],[Date record entered]]+30,""))</f>
        <v/>
      </c>
      <c r="K1119" s="245"/>
      <c r="L1119" s="245" t="str">
        <f ca="1">IF(CommitmentsTable[[#This Row],[Date Assigned if different from entry date]]&lt;&gt;"",CommitmentsTable[[#This Row],[Date Assigned if different from entry date]]+60,IF(CommitmentsTable[[#This Row],[Date record entered]]&lt;&gt;"",CommitmentsTable[[#This Row],[Date record entered]]+60,""))</f>
        <v/>
      </c>
      <c r="M1119" s="214"/>
      <c r="N1119" s="214"/>
      <c r="O1119" s="236"/>
      <c r="P1119" s="214"/>
      <c r="Q1119" s="214"/>
      <c r="R1119" s="214"/>
      <c r="S1119" s="238" t="str">
        <f>IF(CommitmentsTable[[#This Row],[Commitment / deliverable]]="","",IF(CommitmentsTable[[#This Row],[Revised due]]&lt;&gt;"",CommitmentsTable[[#This Row],[Revised due]],CommitmentsTable[[#This Row],[Original due]]))</f>
        <v/>
      </c>
      <c r="T1119" s="237" t="str">
        <f>IF(OR(CommitmentsTable[[#This Row],[Commitment / deliverable]]="",CommitmentsTable[[#This Row],[Owner]]=""),"",IF(CommitmentsTable[[#This Row],[Status2]]="","Open",CommitmentsTable[[#This Row],[Status2]]))</f>
        <v/>
      </c>
      <c r="U1119" s="237" t="str">
        <f t="shared" ca="1" si="17"/>
        <v/>
      </c>
      <c r="V1119" s="233"/>
      <c r="W1119" s="63" t="s">
        <v>2021</v>
      </c>
    </row>
    <row r="1120" spans="1:23" ht="26">
      <c r="A1120" s="213" t="str">
        <f>IF(OR(CommitmentsTable[[#This Row],[Commitment / deliverable]]="",CommitmentsTable[[#This Row],[Immutable Key]]=""),"",SUBSTITUTE(CommitmentsTable[[#This Row],[Immutable Key]],"-K-","-"))</f>
        <v/>
      </c>
      <c r="B1120" s="233"/>
      <c r="C1120" s="233"/>
      <c r="D1120" s="213"/>
      <c r="E1120" s="230"/>
      <c r="F1120" s="213"/>
      <c r="G1120" s="245" t="str">
        <f ca="1">IF(CommitmentsTable[[#This Row],[Commitment / deliverable]]="","",IF(CommitmentsTable[[#This Row],[Date record entered]]="",TODAY(),CommitmentsTable[[#This Row],[Date record entered]]))</f>
        <v/>
      </c>
      <c r="H1120" s="245"/>
      <c r="I1120" s="245" t="str">
        <f ca="1">IF(CommitmentsTable[[#This Row],[Date Assigned if different from entry date]]&lt;&gt;"",CommitmentsTable[[#This Row],[Date Assigned if different from entry date]]+90,IF(CommitmentsTable[[#This Row],[Date record entered]]&lt;&gt;"",CommitmentsTable[[#This Row],[Date record entered]]+90,""))</f>
        <v/>
      </c>
      <c r="J1120" s="245" t="str">
        <f ca="1">IF(CommitmentsTable[[#This Row],[Date Assigned if different from entry date]]&lt;&gt;"",CommitmentsTable[[#This Row],[Date Assigned if different from entry date]]+30,IF(CommitmentsTable[[#This Row],[Date record entered]]&lt;&gt;"",CommitmentsTable[[#This Row],[Date record entered]]+30,""))</f>
        <v/>
      </c>
      <c r="K1120" s="245"/>
      <c r="L1120" s="245" t="str">
        <f ca="1">IF(CommitmentsTable[[#This Row],[Date Assigned if different from entry date]]&lt;&gt;"",CommitmentsTable[[#This Row],[Date Assigned if different from entry date]]+60,IF(CommitmentsTable[[#This Row],[Date record entered]]&lt;&gt;"",CommitmentsTable[[#This Row],[Date record entered]]+60,""))</f>
        <v/>
      </c>
      <c r="M1120" s="214"/>
      <c r="N1120" s="214"/>
      <c r="O1120" s="236"/>
      <c r="P1120" s="214"/>
      <c r="Q1120" s="214"/>
      <c r="R1120" s="214"/>
      <c r="S1120" s="238" t="str">
        <f>IF(CommitmentsTable[[#This Row],[Commitment / deliverable]]="","",IF(CommitmentsTable[[#This Row],[Revised due]]&lt;&gt;"",CommitmentsTable[[#This Row],[Revised due]],CommitmentsTable[[#This Row],[Original due]]))</f>
        <v/>
      </c>
      <c r="T1120" s="237" t="str">
        <f>IF(OR(CommitmentsTable[[#This Row],[Commitment / deliverable]]="",CommitmentsTable[[#This Row],[Owner]]=""),"",IF(CommitmentsTable[[#This Row],[Status2]]="","Open",CommitmentsTable[[#This Row],[Status2]]))</f>
        <v/>
      </c>
      <c r="U1120" s="237" t="str">
        <f t="shared" ca="1" si="17"/>
        <v/>
      </c>
      <c r="V1120" s="233"/>
      <c r="W1120" s="63" t="s">
        <v>2022</v>
      </c>
    </row>
    <row r="1121" spans="1:23" ht="26">
      <c r="A1121" s="213" t="str">
        <f>IF(OR(CommitmentsTable[[#This Row],[Commitment / deliverable]]="",CommitmentsTable[[#This Row],[Immutable Key]]=""),"",SUBSTITUTE(CommitmentsTable[[#This Row],[Immutable Key]],"-K-","-"))</f>
        <v/>
      </c>
      <c r="B1121" s="233"/>
      <c r="C1121" s="233"/>
      <c r="D1121" s="213"/>
      <c r="E1121" s="230"/>
      <c r="F1121" s="213"/>
      <c r="G1121" s="245" t="str">
        <f ca="1">IF(CommitmentsTable[[#This Row],[Commitment / deliverable]]="","",IF(CommitmentsTable[[#This Row],[Date record entered]]="",TODAY(),CommitmentsTable[[#This Row],[Date record entered]]))</f>
        <v/>
      </c>
      <c r="H1121" s="245"/>
      <c r="I1121" s="245" t="str">
        <f ca="1">IF(CommitmentsTable[[#This Row],[Date Assigned if different from entry date]]&lt;&gt;"",CommitmentsTable[[#This Row],[Date Assigned if different from entry date]]+90,IF(CommitmentsTable[[#This Row],[Date record entered]]&lt;&gt;"",CommitmentsTable[[#This Row],[Date record entered]]+90,""))</f>
        <v/>
      </c>
      <c r="J1121" s="245" t="str">
        <f ca="1">IF(CommitmentsTable[[#This Row],[Date Assigned if different from entry date]]&lt;&gt;"",CommitmentsTable[[#This Row],[Date Assigned if different from entry date]]+30,IF(CommitmentsTable[[#This Row],[Date record entered]]&lt;&gt;"",CommitmentsTable[[#This Row],[Date record entered]]+30,""))</f>
        <v/>
      </c>
      <c r="K1121" s="245"/>
      <c r="L1121" s="245" t="str">
        <f ca="1">IF(CommitmentsTable[[#This Row],[Date Assigned if different from entry date]]&lt;&gt;"",CommitmentsTable[[#This Row],[Date Assigned if different from entry date]]+60,IF(CommitmentsTable[[#This Row],[Date record entered]]&lt;&gt;"",CommitmentsTable[[#This Row],[Date record entered]]+60,""))</f>
        <v/>
      </c>
      <c r="M1121" s="214"/>
      <c r="N1121" s="214"/>
      <c r="O1121" s="236"/>
      <c r="P1121" s="214"/>
      <c r="Q1121" s="214"/>
      <c r="R1121" s="214"/>
      <c r="S1121" s="238" t="str">
        <f>IF(CommitmentsTable[[#This Row],[Commitment / deliverable]]="","",IF(CommitmentsTable[[#This Row],[Revised due]]&lt;&gt;"",CommitmentsTable[[#This Row],[Revised due]],CommitmentsTable[[#This Row],[Original due]]))</f>
        <v/>
      </c>
      <c r="T1121" s="237" t="str">
        <f>IF(OR(CommitmentsTable[[#This Row],[Commitment / deliverable]]="",CommitmentsTable[[#This Row],[Owner]]=""),"",IF(CommitmentsTable[[#This Row],[Status2]]="","Open",CommitmentsTable[[#This Row],[Status2]]))</f>
        <v/>
      </c>
      <c r="U1121" s="237" t="str">
        <f t="shared" ca="1" si="17"/>
        <v/>
      </c>
      <c r="V1121" s="233"/>
      <c r="W1121" s="63" t="s">
        <v>2023</v>
      </c>
    </row>
    <row r="1122" spans="1:23" ht="26">
      <c r="A1122" s="213" t="str">
        <f>IF(OR(CommitmentsTable[[#This Row],[Commitment / deliverable]]="",CommitmentsTable[[#This Row],[Immutable Key]]=""),"",SUBSTITUTE(CommitmentsTable[[#This Row],[Immutable Key]],"-K-","-"))</f>
        <v/>
      </c>
      <c r="B1122" s="233"/>
      <c r="C1122" s="233"/>
      <c r="D1122" s="213"/>
      <c r="E1122" s="230"/>
      <c r="F1122" s="213"/>
      <c r="G1122" s="245" t="str">
        <f ca="1">IF(CommitmentsTable[[#This Row],[Commitment / deliverable]]="","",IF(CommitmentsTable[[#This Row],[Date record entered]]="",TODAY(),CommitmentsTable[[#This Row],[Date record entered]]))</f>
        <v/>
      </c>
      <c r="H1122" s="245"/>
      <c r="I1122" s="245" t="str">
        <f ca="1">IF(CommitmentsTable[[#This Row],[Date Assigned if different from entry date]]&lt;&gt;"",CommitmentsTable[[#This Row],[Date Assigned if different from entry date]]+90,IF(CommitmentsTable[[#This Row],[Date record entered]]&lt;&gt;"",CommitmentsTable[[#This Row],[Date record entered]]+90,""))</f>
        <v/>
      </c>
      <c r="J1122" s="245" t="str">
        <f ca="1">IF(CommitmentsTable[[#This Row],[Date Assigned if different from entry date]]&lt;&gt;"",CommitmentsTable[[#This Row],[Date Assigned if different from entry date]]+30,IF(CommitmentsTable[[#This Row],[Date record entered]]&lt;&gt;"",CommitmentsTable[[#This Row],[Date record entered]]+30,""))</f>
        <v/>
      </c>
      <c r="K1122" s="245"/>
      <c r="L1122" s="245" t="str">
        <f ca="1">IF(CommitmentsTable[[#This Row],[Date Assigned if different from entry date]]&lt;&gt;"",CommitmentsTable[[#This Row],[Date Assigned if different from entry date]]+60,IF(CommitmentsTable[[#This Row],[Date record entered]]&lt;&gt;"",CommitmentsTable[[#This Row],[Date record entered]]+60,""))</f>
        <v/>
      </c>
      <c r="M1122" s="214"/>
      <c r="N1122" s="214"/>
      <c r="O1122" s="236"/>
      <c r="P1122" s="214"/>
      <c r="Q1122" s="214"/>
      <c r="R1122" s="214"/>
      <c r="S1122" s="238" t="str">
        <f>IF(CommitmentsTable[[#This Row],[Commitment / deliverable]]="","",IF(CommitmentsTable[[#This Row],[Revised due]]&lt;&gt;"",CommitmentsTable[[#This Row],[Revised due]],CommitmentsTable[[#This Row],[Original due]]))</f>
        <v/>
      </c>
      <c r="T1122" s="237" t="str">
        <f>IF(OR(CommitmentsTable[[#This Row],[Commitment / deliverable]]="",CommitmentsTable[[#This Row],[Owner]]=""),"",IF(CommitmentsTable[[#This Row],[Status2]]="","Open",CommitmentsTable[[#This Row],[Status2]]))</f>
        <v/>
      </c>
      <c r="U1122" s="237" t="str">
        <f t="shared" ca="1" si="17"/>
        <v/>
      </c>
      <c r="V1122" s="233"/>
      <c r="W1122" s="63" t="s">
        <v>2024</v>
      </c>
    </row>
    <row r="1123" spans="1:23" ht="26">
      <c r="A1123" s="213" t="str">
        <f>IF(OR(CommitmentsTable[[#This Row],[Commitment / deliverable]]="",CommitmentsTable[[#This Row],[Immutable Key]]=""),"",SUBSTITUTE(CommitmentsTable[[#This Row],[Immutable Key]],"-K-","-"))</f>
        <v/>
      </c>
      <c r="B1123" s="233"/>
      <c r="C1123" s="233"/>
      <c r="D1123" s="213"/>
      <c r="E1123" s="230"/>
      <c r="F1123" s="213"/>
      <c r="G1123" s="245" t="str">
        <f ca="1">IF(CommitmentsTable[[#This Row],[Commitment / deliverable]]="","",IF(CommitmentsTable[[#This Row],[Date record entered]]="",TODAY(),CommitmentsTable[[#This Row],[Date record entered]]))</f>
        <v/>
      </c>
      <c r="H1123" s="245"/>
      <c r="I1123" s="245" t="str">
        <f ca="1">IF(CommitmentsTable[[#This Row],[Date Assigned if different from entry date]]&lt;&gt;"",CommitmentsTable[[#This Row],[Date Assigned if different from entry date]]+90,IF(CommitmentsTable[[#This Row],[Date record entered]]&lt;&gt;"",CommitmentsTable[[#This Row],[Date record entered]]+90,""))</f>
        <v/>
      </c>
      <c r="J1123" s="245" t="str">
        <f ca="1">IF(CommitmentsTable[[#This Row],[Date Assigned if different from entry date]]&lt;&gt;"",CommitmentsTable[[#This Row],[Date Assigned if different from entry date]]+30,IF(CommitmentsTable[[#This Row],[Date record entered]]&lt;&gt;"",CommitmentsTable[[#This Row],[Date record entered]]+30,""))</f>
        <v/>
      </c>
      <c r="K1123" s="245"/>
      <c r="L1123" s="245" t="str">
        <f ca="1">IF(CommitmentsTable[[#This Row],[Date Assigned if different from entry date]]&lt;&gt;"",CommitmentsTable[[#This Row],[Date Assigned if different from entry date]]+60,IF(CommitmentsTable[[#This Row],[Date record entered]]&lt;&gt;"",CommitmentsTable[[#This Row],[Date record entered]]+60,""))</f>
        <v/>
      </c>
      <c r="M1123" s="214"/>
      <c r="N1123" s="214"/>
      <c r="O1123" s="236"/>
      <c r="P1123" s="214"/>
      <c r="Q1123" s="214"/>
      <c r="R1123" s="214"/>
      <c r="S1123" s="238" t="str">
        <f>IF(CommitmentsTable[[#This Row],[Commitment / deliverable]]="","",IF(CommitmentsTable[[#This Row],[Revised due]]&lt;&gt;"",CommitmentsTable[[#This Row],[Revised due]],CommitmentsTable[[#This Row],[Original due]]))</f>
        <v/>
      </c>
      <c r="T1123" s="237" t="str">
        <f>IF(OR(CommitmentsTable[[#This Row],[Commitment / deliverable]]="",CommitmentsTable[[#This Row],[Owner]]=""),"",IF(CommitmentsTable[[#This Row],[Status2]]="","Open",CommitmentsTable[[#This Row],[Status2]]))</f>
        <v/>
      </c>
      <c r="U1123" s="237" t="str">
        <f t="shared" ca="1" si="17"/>
        <v/>
      </c>
      <c r="V1123" s="233"/>
      <c r="W1123" s="63" t="s">
        <v>2025</v>
      </c>
    </row>
    <row r="1124" spans="1:23" ht="26">
      <c r="A1124" s="213" t="str">
        <f>IF(OR(CommitmentsTable[[#This Row],[Commitment / deliverable]]="",CommitmentsTable[[#This Row],[Immutable Key]]=""),"",SUBSTITUTE(CommitmentsTable[[#This Row],[Immutable Key]],"-K-","-"))</f>
        <v/>
      </c>
      <c r="B1124" s="233"/>
      <c r="C1124" s="233"/>
      <c r="D1124" s="213"/>
      <c r="E1124" s="230"/>
      <c r="F1124" s="213"/>
      <c r="G1124" s="245" t="str">
        <f ca="1">IF(CommitmentsTable[[#This Row],[Commitment / deliverable]]="","",IF(CommitmentsTable[[#This Row],[Date record entered]]="",TODAY(),CommitmentsTable[[#This Row],[Date record entered]]))</f>
        <v/>
      </c>
      <c r="H1124" s="245"/>
      <c r="I1124" s="245" t="str">
        <f ca="1">IF(CommitmentsTable[[#This Row],[Date Assigned if different from entry date]]&lt;&gt;"",CommitmentsTable[[#This Row],[Date Assigned if different from entry date]]+90,IF(CommitmentsTable[[#This Row],[Date record entered]]&lt;&gt;"",CommitmentsTable[[#This Row],[Date record entered]]+90,""))</f>
        <v/>
      </c>
      <c r="J1124" s="245" t="str">
        <f ca="1">IF(CommitmentsTable[[#This Row],[Date Assigned if different from entry date]]&lt;&gt;"",CommitmentsTable[[#This Row],[Date Assigned if different from entry date]]+30,IF(CommitmentsTable[[#This Row],[Date record entered]]&lt;&gt;"",CommitmentsTable[[#This Row],[Date record entered]]+30,""))</f>
        <v/>
      </c>
      <c r="K1124" s="245"/>
      <c r="L1124" s="245" t="str">
        <f ca="1">IF(CommitmentsTable[[#This Row],[Date Assigned if different from entry date]]&lt;&gt;"",CommitmentsTable[[#This Row],[Date Assigned if different from entry date]]+60,IF(CommitmentsTable[[#This Row],[Date record entered]]&lt;&gt;"",CommitmentsTable[[#This Row],[Date record entered]]+60,""))</f>
        <v/>
      </c>
      <c r="M1124" s="214"/>
      <c r="N1124" s="214"/>
      <c r="O1124" s="236"/>
      <c r="P1124" s="214"/>
      <c r="Q1124" s="214"/>
      <c r="R1124" s="214"/>
      <c r="S1124" s="238" t="str">
        <f>IF(CommitmentsTable[[#This Row],[Commitment / deliverable]]="","",IF(CommitmentsTable[[#This Row],[Revised due]]&lt;&gt;"",CommitmentsTable[[#This Row],[Revised due]],CommitmentsTable[[#This Row],[Original due]]))</f>
        <v/>
      </c>
      <c r="T1124" s="237" t="str">
        <f>IF(OR(CommitmentsTable[[#This Row],[Commitment / deliverable]]="",CommitmentsTable[[#This Row],[Owner]]=""),"",IF(CommitmentsTable[[#This Row],[Status2]]="","Open",CommitmentsTable[[#This Row],[Status2]]))</f>
        <v/>
      </c>
      <c r="U1124" s="237" t="str">
        <f t="shared" ca="1" si="17"/>
        <v/>
      </c>
      <c r="V1124" s="233"/>
      <c r="W1124" s="63" t="s">
        <v>2026</v>
      </c>
    </row>
    <row r="1125" spans="1:23" ht="26">
      <c r="A1125" s="213" t="str">
        <f>IF(OR(CommitmentsTable[[#This Row],[Commitment / deliverable]]="",CommitmentsTable[[#This Row],[Immutable Key]]=""),"",SUBSTITUTE(CommitmentsTable[[#This Row],[Immutable Key]],"-K-","-"))</f>
        <v/>
      </c>
      <c r="B1125" s="233"/>
      <c r="C1125" s="233"/>
      <c r="D1125" s="213"/>
      <c r="E1125" s="230"/>
      <c r="F1125" s="213"/>
      <c r="G1125" s="245" t="str">
        <f ca="1">IF(CommitmentsTable[[#This Row],[Commitment / deliverable]]="","",IF(CommitmentsTable[[#This Row],[Date record entered]]="",TODAY(),CommitmentsTable[[#This Row],[Date record entered]]))</f>
        <v/>
      </c>
      <c r="H1125" s="245"/>
      <c r="I1125" s="245" t="str">
        <f ca="1">IF(CommitmentsTable[[#This Row],[Date Assigned if different from entry date]]&lt;&gt;"",CommitmentsTable[[#This Row],[Date Assigned if different from entry date]]+90,IF(CommitmentsTable[[#This Row],[Date record entered]]&lt;&gt;"",CommitmentsTable[[#This Row],[Date record entered]]+90,""))</f>
        <v/>
      </c>
      <c r="J1125" s="245" t="str">
        <f ca="1">IF(CommitmentsTable[[#This Row],[Date Assigned if different from entry date]]&lt;&gt;"",CommitmentsTable[[#This Row],[Date Assigned if different from entry date]]+30,IF(CommitmentsTable[[#This Row],[Date record entered]]&lt;&gt;"",CommitmentsTable[[#This Row],[Date record entered]]+30,""))</f>
        <v/>
      </c>
      <c r="K1125" s="245"/>
      <c r="L1125" s="245" t="str">
        <f ca="1">IF(CommitmentsTable[[#This Row],[Date Assigned if different from entry date]]&lt;&gt;"",CommitmentsTable[[#This Row],[Date Assigned if different from entry date]]+60,IF(CommitmentsTable[[#This Row],[Date record entered]]&lt;&gt;"",CommitmentsTable[[#This Row],[Date record entered]]+60,""))</f>
        <v/>
      </c>
      <c r="M1125" s="214"/>
      <c r="N1125" s="214"/>
      <c r="O1125" s="236"/>
      <c r="P1125" s="214"/>
      <c r="Q1125" s="214"/>
      <c r="R1125" s="214"/>
      <c r="S1125" s="238" t="str">
        <f>IF(CommitmentsTable[[#This Row],[Commitment / deliverable]]="","",IF(CommitmentsTable[[#This Row],[Revised due]]&lt;&gt;"",CommitmentsTable[[#This Row],[Revised due]],CommitmentsTable[[#This Row],[Original due]]))</f>
        <v/>
      </c>
      <c r="T1125" s="237" t="str">
        <f>IF(OR(CommitmentsTable[[#This Row],[Commitment / deliverable]]="",CommitmentsTable[[#This Row],[Owner]]=""),"",IF(CommitmentsTable[[#This Row],[Status2]]="","Open",CommitmentsTable[[#This Row],[Status2]]))</f>
        <v/>
      </c>
      <c r="U1125" s="237" t="str">
        <f t="shared" ca="1" si="17"/>
        <v/>
      </c>
      <c r="V1125" s="233"/>
      <c r="W1125" s="63" t="s">
        <v>2027</v>
      </c>
    </row>
    <row r="1126" spans="1:23" ht="26">
      <c r="A1126" s="213" t="str">
        <f>IF(OR(CommitmentsTable[[#This Row],[Commitment / deliverable]]="",CommitmentsTable[[#This Row],[Immutable Key]]=""),"",SUBSTITUTE(CommitmentsTable[[#This Row],[Immutable Key]],"-K-","-"))</f>
        <v/>
      </c>
      <c r="B1126" s="233"/>
      <c r="C1126" s="233"/>
      <c r="D1126" s="213"/>
      <c r="E1126" s="230"/>
      <c r="F1126" s="213"/>
      <c r="G1126" s="245" t="str">
        <f ca="1">IF(CommitmentsTable[[#This Row],[Commitment / deliverable]]="","",IF(CommitmentsTable[[#This Row],[Date record entered]]="",TODAY(),CommitmentsTable[[#This Row],[Date record entered]]))</f>
        <v/>
      </c>
      <c r="H1126" s="245"/>
      <c r="I1126" s="245" t="str">
        <f ca="1">IF(CommitmentsTable[[#This Row],[Date Assigned if different from entry date]]&lt;&gt;"",CommitmentsTable[[#This Row],[Date Assigned if different from entry date]]+90,IF(CommitmentsTable[[#This Row],[Date record entered]]&lt;&gt;"",CommitmentsTable[[#This Row],[Date record entered]]+90,""))</f>
        <v/>
      </c>
      <c r="J1126" s="245" t="str">
        <f ca="1">IF(CommitmentsTable[[#This Row],[Date Assigned if different from entry date]]&lt;&gt;"",CommitmentsTable[[#This Row],[Date Assigned if different from entry date]]+30,IF(CommitmentsTable[[#This Row],[Date record entered]]&lt;&gt;"",CommitmentsTable[[#This Row],[Date record entered]]+30,""))</f>
        <v/>
      </c>
      <c r="K1126" s="245"/>
      <c r="L1126" s="245" t="str">
        <f ca="1">IF(CommitmentsTable[[#This Row],[Date Assigned if different from entry date]]&lt;&gt;"",CommitmentsTable[[#This Row],[Date Assigned if different from entry date]]+60,IF(CommitmentsTable[[#This Row],[Date record entered]]&lt;&gt;"",CommitmentsTable[[#This Row],[Date record entered]]+60,""))</f>
        <v/>
      </c>
      <c r="M1126" s="214"/>
      <c r="N1126" s="214"/>
      <c r="O1126" s="236"/>
      <c r="P1126" s="214"/>
      <c r="Q1126" s="214"/>
      <c r="R1126" s="214"/>
      <c r="S1126" s="238" t="str">
        <f>IF(CommitmentsTable[[#This Row],[Commitment / deliverable]]="","",IF(CommitmentsTable[[#This Row],[Revised due]]&lt;&gt;"",CommitmentsTable[[#This Row],[Revised due]],CommitmentsTable[[#This Row],[Original due]]))</f>
        <v/>
      </c>
      <c r="T1126" s="237" t="str">
        <f>IF(OR(CommitmentsTable[[#This Row],[Commitment / deliverable]]="",CommitmentsTable[[#This Row],[Owner]]=""),"",IF(CommitmentsTable[[#This Row],[Status2]]="","Open",CommitmentsTable[[#This Row],[Status2]]))</f>
        <v/>
      </c>
      <c r="U1126" s="237" t="str">
        <f t="shared" ca="1" si="17"/>
        <v/>
      </c>
      <c r="V1126" s="233"/>
      <c r="W1126" s="63" t="s">
        <v>2028</v>
      </c>
    </row>
    <row r="1127" spans="1:23" ht="26">
      <c r="A1127" s="213" t="str">
        <f>IF(OR(CommitmentsTable[[#This Row],[Commitment / deliverable]]="",CommitmentsTable[[#This Row],[Immutable Key]]=""),"",SUBSTITUTE(CommitmentsTable[[#This Row],[Immutable Key]],"-K-","-"))</f>
        <v/>
      </c>
      <c r="B1127" s="233"/>
      <c r="C1127" s="233"/>
      <c r="D1127" s="213"/>
      <c r="E1127" s="230"/>
      <c r="F1127" s="213"/>
      <c r="G1127" s="245" t="str">
        <f ca="1">IF(CommitmentsTable[[#This Row],[Commitment / deliverable]]="","",IF(CommitmentsTable[[#This Row],[Date record entered]]="",TODAY(),CommitmentsTable[[#This Row],[Date record entered]]))</f>
        <v/>
      </c>
      <c r="H1127" s="245"/>
      <c r="I1127" s="245" t="str">
        <f ca="1">IF(CommitmentsTable[[#This Row],[Date Assigned if different from entry date]]&lt;&gt;"",CommitmentsTable[[#This Row],[Date Assigned if different from entry date]]+90,IF(CommitmentsTable[[#This Row],[Date record entered]]&lt;&gt;"",CommitmentsTable[[#This Row],[Date record entered]]+90,""))</f>
        <v/>
      </c>
      <c r="J1127" s="245" t="str">
        <f ca="1">IF(CommitmentsTable[[#This Row],[Date Assigned if different from entry date]]&lt;&gt;"",CommitmentsTable[[#This Row],[Date Assigned if different from entry date]]+30,IF(CommitmentsTable[[#This Row],[Date record entered]]&lt;&gt;"",CommitmentsTable[[#This Row],[Date record entered]]+30,""))</f>
        <v/>
      </c>
      <c r="K1127" s="245"/>
      <c r="L1127" s="245" t="str">
        <f ca="1">IF(CommitmentsTable[[#This Row],[Date Assigned if different from entry date]]&lt;&gt;"",CommitmentsTable[[#This Row],[Date Assigned if different from entry date]]+60,IF(CommitmentsTable[[#This Row],[Date record entered]]&lt;&gt;"",CommitmentsTable[[#This Row],[Date record entered]]+60,""))</f>
        <v/>
      </c>
      <c r="M1127" s="214"/>
      <c r="N1127" s="214"/>
      <c r="O1127" s="236"/>
      <c r="P1127" s="214"/>
      <c r="Q1127" s="214"/>
      <c r="R1127" s="214"/>
      <c r="S1127" s="238" t="str">
        <f>IF(CommitmentsTable[[#This Row],[Commitment / deliverable]]="","",IF(CommitmentsTable[[#This Row],[Revised due]]&lt;&gt;"",CommitmentsTable[[#This Row],[Revised due]],CommitmentsTable[[#This Row],[Original due]]))</f>
        <v/>
      </c>
      <c r="T1127" s="237" t="str">
        <f>IF(OR(CommitmentsTable[[#This Row],[Commitment / deliverable]]="",CommitmentsTable[[#This Row],[Owner]]=""),"",IF(CommitmentsTable[[#This Row],[Status2]]="","Open",CommitmentsTable[[#This Row],[Status2]]))</f>
        <v/>
      </c>
      <c r="U1127" s="237" t="str">
        <f t="shared" ca="1" si="17"/>
        <v/>
      </c>
      <c r="V1127" s="233"/>
      <c r="W1127" s="63" t="s">
        <v>2029</v>
      </c>
    </row>
    <row r="1128" spans="1:23" ht="26">
      <c r="A1128" s="213" t="str">
        <f>IF(OR(CommitmentsTable[[#This Row],[Commitment / deliverable]]="",CommitmentsTable[[#This Row],[Immutable Key]]=""),"",SUBSTITUTE(CommitmentsTable[[#This Row],[Immutable Key]],"-K-","-"))</f>
        <v/>
      </c>
      <c r="B1128" s="233"/>
      <c r="C1128" s="233"/>
      <c r="D1128" s="213"/>
      <c r="E1128" s="230"/>
      <c r="F1128" s="213"/>
      <c r="G1128" s="245" t="str">
        <f ca="1">IF(CommitmentsTable[[#This Row],[Commitment / deliverable]]="","",IF(CommitmentsTable[[#This Row],[Date record entered]]="",TODAY(),CommitmentsTable[[#This Row],[Date record entered]]))</f>
        <v/>
      </c>
      <c r="H1128" s="245"/>
      <c r="I1128" s="245" t="str">
        <f ca="1">IF(CommitmentsTable[[#This Row],[Date Assigned if different from entry date]]&lt;&gt;"",CommitmentsTable[[#This Row],[Date Assigned if different from entry date]]+90,IF(CommitmentsTable[[#This Row],[Date record entered]]&lt;&gt;"",CommitmentsTable[[#This Row],[Date record entered]]+90,""))</f>
        <v/>
      </c>
      <c r="J1128" s="245" t="str">
        <f ca="1">IF(CommitmentsTable[[#This Row],[Date Assigned if different from entry date]]&lt;&gt;"",CommitmentsTable[[#This Row],[Date Assigned if different from entry date]]+30,IF(CommitmentsTable[[#This Row],[Date record entered]]&lt;&gt;"",CommitmentsTable[[#This Row],[Date record entered]]+30,""))</f>
        <v/>
      </c>
      <c r="K1128" s="245"/>
      <c r="L1128" s="245" t="str">
        <f ca="1">IF(CommitmentsTable[[#This Row],[Date Assigned if different from entry date]]&lt;&gt;"",CommitmentsTable[[#This Row],[Date Assigned if different from entry date]]+60,IF(CommitmentsTable[[#This Row],[Date record entered]]&lt;&gt;"",CommitmentsTable[[#This Row],[Date record entered]]+60,""))</f>
        <v/>
      </c>
      <c r="M1128" s="214"/>
      <c r="N1128" s="214"/>
      <c r="O1128" s="236"/>
      <c r="P1128" s="214"/>
      <c r="Q1128" s="214"/>
      <c r="R1128" s="214"/>
      <c r="S1128" s="238" t="str">
        <f>IF(CommitmentsTable[[#This Row],[Commitment / deliverable]]="","",IF(CommitmentsTable[[#This Row],[Revised due]]&lt;&gt;"",CommitmentsTable[[#This Row],[Revised due]],CommitmentsTable[[#This Row],[Original due]]))</f>
        <v/>
      </c>
      <c r="T1128" s="237" t="str">
        <f>IF(OR(CommitmentsTable[[#This Row],[Commitment / deliverable]]="",CommitmentsTable[[#This Row],[Owner]]=""),"",IF(CommitmentsTable[[#This Row],[Status2]]="","Open",CommitmentsTable[[#This Row],[Status2]]))</f>
        <v/>
      </c>
      <c r="U1128" s="237" t="str">
        <f t="shared" ca="1" si="17"/>
        <v/>
      </c>
      <c r="V1128" s="233"/>
      <c r="W1128" s="63" t="s">
        <v>2030</v>
      </c>
    </row>
    <row r="1129" spans="1:23" ht="26">
      <c r="A1129" s="213" t="str">
        <f>IF(OR(CommitmentsTable[[#This Row],[Commitment / deliverable]]="",CommitmentsTable[[#This Row],[Immutable Key]]=""),"",SUBSTITUTE(CommitmentsTable[[#This Row],[Immutable Key]],"-K-","-"))</f>
        <v/>
      </c>
      <c r="B1129" s="233"/>
      <c r="C1129" s="233"/>
      <c r="D1129" s="213"/>
      <c r="E1129" s="230"/>
      <c r="F1129" s="213"/>
      <c r="G1129" s="245" t="str">
        <f ca="1">IF(CommitmentsTable[[#This Row],[Commitment / deliverable]]="","",IF(CommitmentsTable[[#This Row],[Date record entered]]="",TODAY(),CommitmentsTable[[#This Row],[Date record entered]]))</f>
        <v/>
      </c>
      <c r="H1129" s="245"/>
      <c r="I1129" s="245" t="str">
        <f ca="1">IF(CommitmentsTable[[#This Row],[Date Assigned if different from entry date]]&lt;&gt;"",CommitmentsTable[[#This Row],[Date Assigned if different from entry date]]+90,IF(CommitmentsTable[[#This Row],[Date record entered]]&lt;&gt;"",CommitmentsTable[[#This Row],[Date record entered]]+90,""))</f>
        <v/>
      </c>
      <c r="J1129" s="245" t="str">
        <f ca="1">IF(CommitmentsTable[[#This Row],[Date Assigned if different from entry date]]&lt;&gt;"",CommitmentsTable[[#This Row],[Date Assigned if different from entry date]]+30,IF(CommitmentsTable[[#This Row],[Date record entered]]&lt;&gt;"",CommitmentsTable[[#This Row],[Date record entered]]+30,""))</f>
        <v/>
      </c>
      <c r="K1129" s="245"/>
      <c r="L1129" s="245" t="str">
        <f ca="1">IF(CommitmentsTable[[#This Row],[Date Assigned if different from entry date]]&lt;&gt;"",CommitmentsTable[[#This Row],[Date Assigned if different from entry date]]+60,IF(CommitmentsTable[[#This Row],[Date record entered]]&lt;&gt;"",CommitmentsTable[[#This Row],[Date record entered]]+60,""))</f>
        <v/>
      </c>
      <c r="M1129" s="214"/>
      <c r="N1129" s="214"/>
      <c r="O1129" s="236"/>
      <c r="P1129" s="214"/>
      <c r="Q1129" s="214"/>
      <c r="R1129" s="214"/>
      <c r="S1129" s="238" t="str">
        <f>IF(CommitmentsTable[[#This Row],[Commitment / deliverable]]="","",IF(CommitmentsTable[[#This Row],[Revised due]]&lt;&gt;"",CommitmentsTable[[#This Row],[Revised due]],CommitmentsTable[[#This Row],[Original due]]))</f>
        <v/>
      </c>
      <c r="T1129" s="237" t="str">
        <f>IF(OR(CommitmentsTable[[#This Row],[Commitment / deliverable]]="",CommitmentsTable[[#This Row],[Owner]]=""),"",IF(CommitmentsTable[[#This Row],[Status2]]="","Open",CommitmentsTable[[#This Row],[Status2]]))</f>
        <v/>
      </c>
      <c r="U1129" s="237" t="str">
        <f t="shared" ca="1" si="17"/>
        <v/>
      </c>
      <c r="V1129" s="233"/>
      <c r="W1129" s="63" t="s">
        <v>2031</v>
      </c>
    </row>
    <row r="1130" spans="1:23" ht="26">
      <c r="A1130" s="213" t="str">
        <f>IF(OR(CommitmentsTable[[#This Row],[Commitment / deliverable]]="",CommitmentsTable[[#This Row],[Immutable Key]]=""),"",SUBSTITUTE(CommitmentsTable[[#This Row],[Immutable Key]],"-K-","-"))</f>
        <v/>
      </c>
      <c r="B1130" s="233"/>
      <c r="C1130" s="233"/>
      <c r="D1130" s="213"/>
      <c r="E1130" s="230"/>
      <c r="F1130" s="213"/>
      <c r="G1130" s="245" t="str">
        <f ca="1">IF(CommitmentsTable[[#This Row],[Commitment / deliverable]]="","",IF(CommitmentsTable[[#This Row],[Date record entered]]="",TODAY(),CommitmentsTable[[#This Row],[Date record entered]]))</f>
        <v/>
      </c>
      <c r="H1130" s="245"/>
      <c r="I1130" s="245" t="str">
        <f ca="1">IF(CommitmentsTable[[#This Row],[Date Assigned if different from entry date]]&lt;&gt;"",CommitmentsTable[[#This Row],[Date Assigned if different from entry date]]+90,IF(CommitmentsTable[[#This Row],[Date record entered]]&lt;&gt;"",CommitmentsTable[[#This Row],[Date record entered]]+90,""))</f>
        <v/>
      </c>
      <c r="J1130" s="245" t="str">
        <f ca="1">IF(CommitmentsTable[[#This Row],[Date Assigned if different from entry date]]&lt;&gt;"",CommitmentsTable[[#This Row],[Date Assigned if different from entry date]]+30,IF(CommitmentsTable[[#This Row],[Date record entered]]&lt;&gt;"",CommitmentsTable[[#This Row],[Date record entered]]+30,""))</f>
        <v/>
      </c>
      <c r="K1130" s="245"/>
      <c r="L1130" s="245" t="str">
        <f ca="1">IF(CommitmentsTable[[#This Row],[Date Assigned if different from entry date]]&lt;&gt;"",CommitmentsTable[[#This Row],[Date Assigned if different from entry date]]+60,IF(CommitmentsTable[[#This Row],[Date record entered]]&lt;&gt;"",CommitmentsTable[[#This Row],[Date record entered]]+60,""))</f>
        <v/>
      </c>
      <c r="M1130" s="214"/>
      <c r="N1130" s="214"/>
      <c r="O1130" s="236"/>
      <c r="P1130" s="214"/>
      <c r="Q1130" s="214"/>
      <c r="R1130" s="214"/>
      <c r="S1130" s="238" t="str">
        <f>IF(CommitmentsTable[[#This Row],[Commitment / deliverable]]="","",IF(CommitmentsTable[[#This Row],[Revised due]]&lt;&gt;"",CommitmentsTable[[#This Row],[Revised due]],CommitmentsTable[[#This Row],[Original due]]))</f>
        <v/>
      </c>
      <c r="T1130" s="237" t="str">
        <f>IF(OR(CommitmentsTable[[#This Row],[Commitment / deliverable]]="",CommitmentsTable[[#This Row],[Owner]]=""),"",IF(CommitmentsTable[[#This Row],[Status2]]="","Open",CommitmentsTable[[#This Row],[Status2]]))</f>
        <v/>
      </c>
      <c r="U1130" s="237" t="str">
        <f t="shared" ca="1" si="17"/>
        <v/>
      </c>
      <c r="V1130" s="233"/>
      <c r="W1130" s="63" t="s">
        <v>2032</v>
      </c>
    </row>
    <row r="1131" spans="1:23" ht="26">
      <c r="A1131" s="213" t="str">
        <f>IF(OR(CommitmentsTable[[#This Row],[Commitment / deliverable]]="",CommitmentsTable[[#This Row],[Immutable Key]]=""),"",SUBSTITUTE(CommitmentsTable[[#This Row],[Immutable Key]],"-K-","-"))</f>
        <v/>
      </c>
      <c r="B1131" s="233"/>
      <c r="C1131" s="233"/>
      <c r="D1131" s="213"/>
      <c r="E1131" s="230"/>
      <c r="F1131" s="213"/>
      <c r="G1131" s="245" t="str">
        <f ca="1">IF(CommitmentsTable[[#This Row],[Commitment / deliverable]]="","",IF(CommitmentsTable[[#This Row],[Date record entered]]="",TODAY(),CommitmentsTable[[#This Row],[Date record entered]]))</f>
        <v/>
      </c>
      <c r="H1131" s="245"/>
      <c r="I1131" s="245" t="str">
        <f ca="1">IF(CommitmentsTable[[#This Row],[Date Assigned if different from entry date]]&lt;&gt;"",CommitmentsTable[[#This Row],[Date Assigned if different from entry date]]+90,IF(CommitmentsTable[[#This Row],[Date record entered]]&lt;&gt;"",CommitmentsTable[[#This Row],[Date record entered]]+90,""))</f>
        <v/>
      </c>
      <c r="J1131" s="245" t="str">
        <f ca="1">IF(CommitmentsTable[[#This Row],[Date Assigned if different from entry date]]&lt;&gt;"",CommitmentsTable[[#This Row],[Date Assigned if different from entry date]]+30,IF(CommitmentsTable[[#This Row],[Date record entered]]&lt;&gt;"",CommitmentsTable[[#This Row],[Date record entered]]+30,""))</f>
        <v/>
      </c>
      <c r="K1131" s="245"/>
      <c r="L1131" s="245" t="str">
        <f ca="1">IF(CommitmentsTable[[#This Row],[Date Assigned if different from entry date]]&lt;&gt;"",CommitmentsTable[[#This Row],[Date Assigned if different from entry date]]+60,IF(CommitmentsTable[[#This Row],[Date record entered]]&lt;&gt;"",CommitmentsTable[[#This Row],[Date record entered]]+60,""))</f>
        <v/>
      </c>
      <c r="M1131" s="214"/>
      <c r="N1131" s="214"/>
      <c r="O1131" s="236"/>
      <c r="P1131" s="214"/>
      <c r="Q1131" s="214"/>
      <c r="R1131" s="214"/>
      <c r="S1131" s="238" t="str">
        <f>IF(CommitmentsTable[[#This Row],[Commitment / deliverable]]="","",IF(CommitmentsTable[[#This Row],[Revised due]]&lt;&gt;"",CommitmentsTable[[#This Row],[Revised due]],CommitmentsTable[[#This Row],[Original due]]))</f>
        <v/>
      </c>
      <c r="T1131" s="237" t="str">
        <f>IF(OR(CommitmentsTable[[#This Row],[Commitment / deliverable]]="",CommitmentsTable[[#This Row],[Owner]]=""),"",IF(CommitmentsTable[[#This Row],[Status2]]="","Open",CommitmentsTable[[#This Row],[Status2]]))</f>
        <v/>
      </c>
      <c r="U1131" s="237" t="str">
        <f t="shared" ca="1" si="17"/>
        <v/>
      </c>
      <c r="V1131" s="233"/>
      <c r="W1131" s="63" t="s">
        <v>2033</v>
      </c>
    </row>
    <row r="1132" spans="1:23" ht="26">
      <c r="A1132" s="213" t="str">
        <f>IF(OR(CommitmentsTable[[#This Row],[Commitment / deliverable]]="",CommitmentsTable[[#This Row],[Immutable Key]]=""),"",SUBSTITUTE(CommitmentsTable[[#This Row],[Immutable Key]],"-K-","-"))</f>
        <v/>
      </c>
      <c r="B1132" s="233"/>
      <c r="C1132" s="233"/>
      <c r="D1132" s="213"/>
      <c r="E1132" s="230"/>
      <c r="F1132" s="213"/>
      <c r="G1132" s="245" t="str">
        <f ca="1">IF(CommitmentsTable[[#This Row],[Commitment / deliverable]]="","",IF(CommitmentsTable[[#This Row],[Date record entered]]="",TODAY(),CommitmentsTable[[#This Row],[Date record entered]]))</f>
        <v/>
      </c>
      <c r="H1132" s="245"/>
      <c r="I1132" s="245" t="str">
        <f ca="1">IF(CommitmentsTable[[#This Row],[Date Assigned if different from entry date]]&lt;&gt;"",CommitmentsTable[[#This Row],[Date Assigned if different from entry date]]+90,IF(CommitmentsTable[[#This Row],[Date record entered]]&lt;&gt;"",CommitmentsTable[[#This Row],[Date record entered]]+90,""))</f>
        <v/>
      </c>
      <c r="J1132" s="245" t="str">
        <f ca="1">IF(CommitmentsTable[[#This Row],[Date Assigned if different from entry date]]&lt;&gt;"",CommitmentsTable[[#This Row],[Date Assigned if different from entry date]]+30,IF(CommitmentsTable[[#This Row],[Date record entered]]&lt;&gt;"",CommitmentsTable[[#This Row],[Date record entered]]+30,""))</f>
        <v/>
      </c>
      <c r="K1132" s="245"/>
      <c r="L1132" s="245" t="str">
        <f ca="1">IF(CommitmentsTable[[#This Row],[Date Assigned if different from entry date]]&lt;&gt;"",CommitmentsTable[[#This Row],[Date Assigned if different from entry date]]+60,IF(CommitmentsTable[[#This Row],[Date record entered]]&lt;&gt;"",CommitmentsTable[[#This Row],[Date record entered]]+60,""))</f>
        <v/>
      </c>
      <c r="M1132" s="214"/>
      <c r="N1132" s="214"/>
      <c r="O1132" s="236"/>
      <c r="P1132" s="214"/>
      <c r="Q1132" s="214"/>
      <c r="R1132" s="214"/>
      <c r="S1132" s="238" t="str">
        <f>IF(CommitmentsTable[[#This Row],[Commitment / deliverable]]="","",IF(CommitmentsTable[[#This Row],[Revised due]]&lt;&gt;"",CommitmentsTable[[#This Row],[Revised due]],CommitmentsTable[[#This Row],[Original due]]))</f>
        <v/>
      </c>
      <c r="T1132" s="237" t="str">
        <f>IF(OR(CommitmentsTable[[#This Row],[Commitment / deliverable]]="",CommitmentsTable[[#This Row],[Owner]]=""),"",IF(CommitmentsTable[[#This Row],[Status2]]="","Open",CommitmentsTable[[#This Row],[Status2]]))</f>
        <v/>
      </c>
      <c r="U1132" s="237" t="str">
        <f t="shared" ca="1" si="17"/>
        <v/>
      </c>
      <c r="V1132" s="233"/>
      <c r="W1132" s="63" t="s">
        <v>2034</v>
      </c>
    </row>
    <row r="1133" spans="1:23" ht="26">
      <c r="A1133" s="213" t="str">
        <f>IF(OR(CommitmentsTable[[#This Row],[Commitment / deliverable]]="",CommitmentsTable[[#This Row],[Immutable Key]]=""),"",SUBSTITUTE(CommitmentsTable[[#This Row],[Immutable Key]],"-K-","-"))</f>
        <v/>
      </c>
      <c r="B1133" s="233"/>
      <c r="C1133" s="233"/>
      <c r="D1133" s="213"/>
      <c r="E1133" s="230"/>
      <c r="F1133" s="213"/>
      <c r="G1133" s="245" t="str">
        <f ca="1">IF(CommitmentsTable[[#This Row],[Commitment / deliverable]]="","",IF(CommitmentsTable[[#This Row],[Date record entered]]="",TODAY(),CommitmentsTable[[#This Row],[Date record entered]]))</f>
        <v/>
      </c>
      <c r="H1133" s="245"/>
      <c r="I1133" s="245" t="str">
        <f ca="1">IF(CommitmentsTable[[#This Row],[Date Assigned if different from entry date]]&lt;&gt;"",CommitmentsTable[[#This Row],[Date Assigned if different from entry date]]+90,IF(CommitmentsTable[[#This Row],[Date record entered]]&lt;&gt;"",CommitmentsTable[[#This Row],[Date record entered]]+90,""))</f>
        <v/>
      </c>
      <c r="J1133" s="245" t="str">
        <f ca="1">IF(CommitmentsTable[[#This Row],[Date Assigned if different from entry date]]&lt;&gt;"",CommitmentsTable[[#This Row],[Date Assigned if different from entry date]]+30,IF(CommitmentsTable[[#This Row],[Date record entered]]&lt;&gt;"",CommitmentsTable[[#This Row],[Date record entered]]+30,""))</f>
        <v/>
      </c>
      <c r="K1133" s="245"/>
      <c r="L1133" s="245" t="str">
        <f ca="1">IF(CommitmentsTable[[#This Row],[Date Assigned if different from entry date]]&lt;&gt;"",CommitmentsTable[[#This Row],[Date Assigned if different from entry date]]+60,IF(CommitmentsTable[[#This Row],[Date record entered]]&lt;&gt;"",CommitmentsTable[[#This Row],[Date record entered]]+60,""))</f>
        <v/>
      </c>
      <c r="M1133" s="214"/>
      <c r="N1133" s="214"/>
      <c r="O1133" s="236"/>
      <c r="P1133" s="214"/>
      <c r="Q1133" s="214"/>
      <c r="R1133" s="214"/>
      <c r="S1133" s="238" t="str">
        <f>IF(CommitmentsTable[[#This Row],[Commitment / deliverable]]="","",IF(CommitmentsTable[[#This Row],[Revised due]]&lt;&gt;"",CommitmentsTable[[#This Row],[Revised due]],CommitmentsTable[[#This Row],[Original due]]))</f>
        <v/>
      </c>
      <c r="T1133" s="237" t="str">
        <f>IF(OR(CommitmentsTable[[#This Row],[Commitment / deliverable]]="",CommitmentsTable[[#This Row],[Owner]]=""),"",IF(CommitmentsTable[[#This Row],[Status2]]="","Open",CommitmentsTable[[#This Row],[Status2]]))</f>
        <v/>
      </c>
      <c r="U1133" s="237" t="str">
        <f t="shared" ca="1" si="17"/>
        <v/>
      </c>
      <c r="V1133" s="233"/>
      <c r="W1133" s="63" t="s">
        <v>2035</v>
      </c>
    </row>
    <row r="1134" spans="1:23" ht="26">
      <c r="A1134" s="213" t="str">
        <f>IF(OR(CommitmentsTable[[#This Row],[Commitment / deliverable]]="",CommitmentsTable[[#This Row],[Immutable Key]]=""),"",SUBSTITUTE(CommitmentsTable[[#This Row],[Immutable Key]],"-K-","-"))</f>
        <v/>
      </c>
      <c r="B1134" s="233"/>
      <c r="C1134" s="233"/>
      <c r="D1134" s="213"/>
      <c r="E1134" s="230"/>
      <c r="F1134" s="213"/>
      <c r="G1134" s="245" t="str">
        <f ca="1">IF(CommitmentsTable[[#This Row],[Commitment / deliverable]]="","",IF(CommitmentsTable[[#This Row],[Date record entered]]="",TODAY(),CommitmentsTable[[#This Row],[Date record entered]]))</f>
        <v/>
      </c>
      <c r="H1134" s="245"/>
      <c r="I1134" s="245" t="str">
        <f ca="1">IF(CommitmentsTable[[#This Row],[Date Assigned if different from entry date]]&lt;&gt;"",CommitmentsTable[[#This Row],[Date Assigned if different from entry date]]+90,IF(CommitmentsTable[[#This Row],[Date record entered]]&lt;&gt;"",CommitmentsTable[[#This Row],[Date record entered]]+90,""))</f>
        <v/>
      </c>
      <c r="J1134" s="245" t="str">
        <f ca="1">IF(CommitmentsTable[[#This Row],[Date Assigned if different from entry date]]&lt;&gt;"",CommitmentsTable[[#This Row],[Date Assigned if different from entry date]]+30,IF(CommitmentsTable[[#This Row],[Date record entered]]&lt;&gt;"",CommitmentsTable[[#This Row],[Date record entered]]+30,""))</f>
        <v/>
      </c>
      <c r="K1134" s="245"/>
      <c r="L1134" s="245" t="str">
        <f ca="1">IF(CommitmentsTable[[#This Row],[Date Assigned if different from entry date]]&lt;&gt;"",CommitmentsTable[[#This Row],[Date Assigned if different from entry date]]+60,IF(CommitmentsTable[[#This Row],[Date record entered]]&lt;&gt;"",CommitmentsTable[[#This Row],[Date record entered]]+60,""))</f>
        <v/>
      </c>
      <c r="M1134" s="214"/>
      <c r="N1134" s="214"/>
      <c r="O1134" s="236"/>
      <c r="P1134" s="214"/>
      <c r="Q1134" s="214"/>
      <c r="R1134" s="214"/>
      <c r="S1134" s="238" t="str">
        <f>IF(CommitmentsTable[[#This Row],[Commitment / deliverable]]="","",IF(CommitmentsTable[[#This Row],[Revised due]]&lt;&gt;"",CommitmentsTable[[#This Row],[Revised due]],CommitmentsTable[[#This Row],[Original due]]))</f>
        <v/>
      </c>
      <c r="T1134" s="237" t="str">
        <f>IF(OR(CommitmentsTable[[#This Row],[Commitment / deliverable]]="",CommitmentsTable[[#This Row],[Owner]]=""),"",IF(CommitmentsTable[[#This Row],[Status2]]="","Open",CommitmentsTable[[#This Row],[Status2]]))</f>
        <v/>
      </c>
      <c r="U1134" s="237" t="str">
        <f t="shared" ca="1" si="17"/>
        <v/>
      </c>
      <c r="V1134" s="233"/>
      <c r="W1134" s="63" t="s">
        <v>2036</v>
      </c>
    </row>
    <row r="1135" spans="1:23" ht="26">
      <c r="A1135" s="213" t="str">
        <f>IF(OR(CommitmentsTable[[#This Row],[Commitment / deliverable]]="",CommitmentsTable[[#This Row],[Immutable Key]]=""),"",SUBSTITUTE(CommitmentsTable[[#This Row],[Immutable Key]],"-K-","-"))</f>
        <v/>
      </c>
      <c r="B1135" s="233"/>
      <c r="C1135" s="233"/>
      <c r="D1135" s="213"/>
      <c r="E1135" s="230"/>
      <c r="F1135" s="213"/>
      <c r="G1135" s="245" t="str">
        <f ca="1">IF(CommitmentsTable[[#This Row],[Commitment / deliverable]]="","",IF(CommitmentsTable[[#This Row],[Date record entered]]="",TODAY(),CommitmentsTable[[#This Row],[Date record entered]]))</f>
        <v/>
      </c>
      <c r="H1135" s="245"/>
      <c r="I1135" s="245" t="str">
        <f ca="1">IF(CommitmentsTable[[#This Row],[Date Assigned if different from entry date]]&lt;&gt;"",CommitmentsTable[[#This Row],[Date Assigned if different from entry date]]+90,IF(CommitmentsTable[[#This Row],[Date record entered]]&lt;&gt;"",CommitmentsTable[[#This Row],[Date record entered]]+90,""))</f>
        <v/>
      </c>
      <c r="J1135" s="245" t="str">
        <f ca="1">IF(CommitmentsTable[[#This Row],[Date Assigned if different from entry date]]&lt;&gt;"",CommitmentsTable[[#This Row],[Date Assigned if different from entry date]]+30,IF(CommitmentsTable[[#This Row],[Date record entered]]&lt;&gt;"",CommitmentsTable[[#This Row],[Date record entered]]+30,""))</f>
        <v/>
      </c>
      <c r="K1135" s="245"/>
      <c r="L1135" s="245" t="str">
        <f ca="1">IF(CommitmentsTable[[#This Row],[Date Assigned if different from entry date]]&lt;&gt;"",CommitmentsTable[[#This Row],[Date Assigned if different from entry date]]+60,IF(CommitmentsTable[[#This Row],[Date record entered]]&lt;&gt;"",CommitmentsTable[[#This Row],[Date record entered]]+60,""))</f>
        <v/>
      </c>
      <c r="M1135" s="214"/>
      <c r="N1135" s="214"/>
      <c r="O1135" s="236"/>
      <c r="P1135" s="214"/>
      <c r="Q1135" s="214"/>
      <c r="R1135" s="214"/>
      <c r="S1135" s="238" t="str">
        <f>IF(CommitmentsTable[[#This Row],[Commitment / deliverable]]="","",IF(CommitmentsTable[[#This Row],[Revised due]]&lt;&gt;"",CommitmentsTable[[#This Row],[Revised due]],CommitmentsTable[[#This Row],[Original due]]))</f>
        <v/>
      </c>
      <c r="T1135" s="237" t="str">
        <f>IF(OR(CommitmentsTable[[#This Row],[Commitment / deliverable]]="",CommitmentsTable[[#This Row],[Owner]]=""),"",IF(CommitmentsTable[[#This Row],[Status2]]="","Open",CommitmentsTable[[#This Row],[Status2]]))</f>
        <v/>
      </c>
      <c r="U1135" s="237" t="str">
        <f t="shared" ca="1" si="17"/>
        <v/>
      </c>
      <c r="V1135" s="233"/>
      <c r="W1135" s="63" t="s">
        <v>2037</v>
      </c>
    </row>
    <row r="1136" spans="1:23" ht="26">
      <c r="A1136" s="213" t="str">
        <f>IF(OR(CommitmentsTable[[#This Row],[Commitment / deliverable]]="",CommitmentsTable[[#This Row],[Immutable Key]]=""),"",SUBSTITUTE(CommitmentsTable[[#This Row],[Immutable Key]],"-K-","-"))</f>
        <v/>
      </c>
      <c r="B1136" s="233"/>
      <c r="C1136" s="233"/>
      <c r="D1136" s="213"/>
      <c r="E1136" s="230"/>
      <c r="F1136" s="213"/>
      <c r="G1136" s="245" t="str">
        <f ca="1">IF(CommitmentsTable[[#This Row],[Commitment / deliverable]]="","",IF(CommitmentsTable[[#This Row],[Date record entered]]="",TODAY(),CommitmentsTable[[#This Row],[Date record entered]]))</f>
        <v/>
      </c>
      <c r="H1136" s="245"/>
      <c r="I1136" s="245" t="str">
        <f ca="1">IF(CommitmentsTable[[#This Row],[Date Assigned if different from entry date]]&lt;&gt;"",CommitmentsTable[[#This Row],[Date Assigned if different from entry date]]+90,IF(CommitmentsTable[[#This Row],[Date record entered]]&lt;&gt;"",CommitmentsTable[[#This Row],[Date record entered]]+90,""))</f>
        <v/>
      </c>
      <c r="J1136" s="245" t="str">
        <f ca="1">IF(CommitmentsTable[[#This Row],[Date Assigned if different from entry date]]&lt;&gt;"",CommitmentsTable[[#This Row],[Date Assigned if different from entry date]]+30,IF(CommitmentsTable[[#This Row],[Date record entered]]&lt;&gt;"",CommitmentsTable[[#This Row],[Date record entered]]+30,""))</f>
        <v/>
      </c>
      <c r="K1136" s="245"/>
      <c r="L1136" s="245" t="str">
        <f ca="1">IF(CommitmentsTable[[#This Row],[Date Assigned if different from entry date]]&lt;&gt;"",CommitmentsTable[[#This Row],[Date Assigned if different from entry date]]+60,IF(CommitmentsTable[[#This Row],[Date record entered]]&lt;&gt;"",CommitmentsTable[[#This Row],[Date record entered]]+60,""))</f>
        <v/>
      </c>
      <c r="M1136" s="214"/>
      <c r="N1136" s="214"/>
      <c r="O1136" s="236"/>
      <c r="P1136" s="214"/>
      <c r="Q1136" s="214"/>
      <c r="R1136" s="214"/>
      <c r="S1136" s="238" t="str">
        <f>IF(CommitmentsTable[[#This Row],[Commitment / deliverable]]="","",IF(CommitmentsTable[[#This Row],[Revised due]]&lt;&gt;"",CommitmentsTable[[#This Row],[Revised due]],CommitmentsTable[[#This Row],[Original due]]))</f>
        <v/>
      </c>
      <c r="T1136" s="237" t="str">
        <f>IF(OR(CommitmentsTable[[#This Row],[Commitment / deliverable]]="",CommitmentsTable[[#This Row],[Owner]]=""),"",IF(CommitmentsTable[[#This Row],[Status2]]="","Open",CommitmentsTable[[#This Row],[Status2]]))</f>
        <v/>
      </c>
      <c r="U1136" s="237" t="str">
        <f t="shared" ca="1" si="17"/>
        <v/>
      </c>
      <c r="V1136" s="233"/>
      <c r="W1136" s="63" t="s">
        <v>2038</v>
      </c>
    </row>
    <row r="1137" spans="1:23" ht="26">
      <c r="A1137" s="213" t="str">
        <f>IF(OR(CommitmentsTable[[#This Row],[Commitment / deliverable]]="",CommitmentsTable[[#This Row],[Immutable Key]]=""),"",SUBSTITUTE(CommitmentsTable[[#This Row],[Immutable Key]],"-K-","-"))</f>
        <v/>
      </c>
      <c r="B1137" s="233"/>
      <c r="C1137" s="233"/>
      <c r="D1137" s="213"/>
      <c r="E1137" s="230"/>
      <c r="F1137" s="213"/>
      <c r="G1137" s="245" t="str">
        <f ca="1">IF(CommitmentsTable[[#This Row],[Commitment / deliverable]]="","",IF(CommitmentsTable[[#This Row],[Date record entered]]="",TODAY(),CommitmentsTable[[#This Row],[Date record entered]]))</f>
        <v/>
      </c>
      <c r="H1137" s="245"/>
      <c r="I1137" s="245" t="str">
        <f ca="1">IF(CommitmentsTable[[#This Row],[Date Assigned if different from entry date]]&lt;&gt;"",CommitmentsTable[[#This Row],[Date Assigned if different from entry date]]+90,IF(CommitmentsTable[[#This Row],[Date record entered]]&lt;&gt;"",CommitmentsTable[[#This Row],[Date record entered]]+90,""))</f>
        <v/>
      </c>
      <c r="J1137" s="245" t="str">
        <f ca="1">IF(CommitmentsTable[[#This Row],[Date Assigned if different from entry date]]&lt;&gt;"",CommitmentsTable[[#This Row],[Date Assigned if different from entry date]]+30,IF(CommitmentsTable[[#This Row],[Date record entered]]&lt;&gt;"",CommitmentsTable[[#This Row],[Date record entered]]+30,""))</f>
        <v/>
      </c>
      <c r="K1137" s="245"/>
      <c r="L1137" s="245" t="str">
        <f ca="1">IF(CommitmentsTable[[#This Row],[Date Assigned if different from entry date]]&lt;&gt;"",CommitmentsTable[[#This Row],[Date Assigned if different from entry date]]+60,IF(CommitmentsTable[[#This Row],[Date record entered]]&lt;&gt;"",CommitmentsTable[[#This Row],[Date record entered]]+60,""))</f>
        <v/>
      </c>
      <c r="M1137" s="214"/>
      <c r="N1137" s="214"/>
      <c r="O1137" s="236"/>
      <c r="P1137" s="214"/>
      <c r="Q1137" s="214"/>
      <c r="R1137" s="214"/>
      <c r="S1137" s="238" t="str">
        <f>IF(CommitmentsTable[[#This Row],[Commitment / deliverable]]="","",IF(CommitmentsTable[[#This Row],[Revised due]]&lt;&gt;"",CommitmentsTable[[#This Row],[Revised due]],CommitmentsTable[[#This Row],[Original due]]))</f>
        <v/>
      </c>
      <c r="T1137" s="237" t="str">
        <f>IF(OR(CommitmentsTable[[#This Row],[Commitment / deliverable]]="",CommitmentsTable[[#This Row],[Owner]]=""),"",IF(CommitmentsTable[[#This Row],[Status2]]="","Open",CommitmentsTable[[#This Row],[Status2]]))</f>
        <v/>
      </c>
      <c r="U1137" s="237" t="str">
        <f t="shared" ca="1" si="17"/>
        <v/>
      </c>
      <c r="V1137" s="233"/>
      <c r="W1137" s="63" t="s">
        <v>2039</v>
      </c>
    </row>
    <row r="1138" spans="1:23" ht="26">
      <c r="A1138" s="213" t="str">
        <f>IF(OR(CommitmentsTable[[#This Row],[Commitment / deliverable]]="",CommitmentsTable[[#This Row],[Immutable Key]]=""),"",SUBSTITUTE(CommitmentsTable[[#This Row],[Immutable Key]],"-K-","-"))</f>
        <v/>
      </c>
      <c r="B1138" s="233"/>
      <c r="C1138" s="233"/>
      <c r="D1138" s="213"/>
      <c r="E1138" s="230"/>
      <c r="F1138" s="213"/>
      <c r="G1138" s="245" t="str">
        <f ca="1">IF(CommitmentsTable[[#This Row],[Commitment / deliverable]]="","",IF(CommitmentsTable[[#This Row],[Date record entered]]="",TODAY(),CommitmentsTable[[#This Row],[Date record entered]]))</f>
        <v/>
      </c>
      <c r="H1138" s="245"/>
      <c r="I1138" s="245" t="str">
        <f ca="1">IF(CommitmentsTable[[#This Row],[Date Assigned if different from entry date]]&lt;&gt;"",CommitmentsTable[[#This Row],[Date Assigned if different from entry date]]+90,IF(CommitmentsTable[[#This Row],[Date record entered]]&lt;&gt;"",CommitmentsTable[[#This Row],[Date record entered]]+90,""))</f>
        <v/>
      </c>
      <c r="J1138" s="245" t="str">
        <f ca="1">IF(CommitmentsTable[[#This Row],[Date Assigned if different from entry date]]&lt;&gt;"",CommitmentsTable[[#This Row],[Date Assigned if different from entry date]]+30,IF(CommitmentsTable[[#This Row],[Date record entered]]&lt;&gt;"",CommitmentsTable[[#This Row],[Date record entered]]+30,""))</f>
        <v/>
      </c>
      <c r="K1138" s="245"/>
      <c r="L1138" s="245" t="str">
        <f ca="1">IF(CommitmentsTable[[#This Row],[Date Assigned if different from entry date]]&lt;&gt;"",CommitmentsTable[[#This Row],[Date Assigned if different from entry date]]+60,IF(CommitmentsTable[[#This Row],[Date record entered]]&lt;&gt;"",CommitmentsTable[[#This Row],[Date record entered]]+60,""))</f>
        <v/>
      </c>
      <c r="M1138" s="214"/>
      <c r="N1138" s="214"/>
      <c r="O1138" s="236"/>
      <c r="P1138" s="214"/>
      <c r="Q1138" s="214"/>
      <c r="R1138" s="214"/>
      <c r="S1138" s="238" t="str">
        <f>IF(CommitmentsTable[[#This Row],[Commitment / deliverable]]="","",IF(CommitmentsTable[[#This Row],[Revised due]]&lt;&gt;"",CommitmentsTable[[#This Row],[Revised due]],CommitmentsTable[[#This Row],[Original due]]))</f>
        <v/>
      </c>
      <c r="T1138" s="237" t="str">
        <f>IF(OR(CommitmentsTable[[#This Row],[Commitment / deliverable]]="",CommitmentsTable[[#This Row],[Owner]]=""),"",IF(CommitmentsTable[[#This Row],[Status2]]="","Open",CommitmentsTable[[#This Row],[Status2]]))</f>
        <v/>
      </c>
      <c r="U1138" s="237" t="str">
        <f t="shared" ca="1" si="17"/>
        <v/>
      </c>
      <c r="V1138" s="233"/>
      <c r="W1138" s="63" t="s">
        <v>2040</v>
      </c>
    </row>
    <row r="1139" spans="1:23" ht="26">
      <c r="A1139" s="213" t="str">
        <f>IF(OR(CommitmentsTable[[#This Row],[Commitment / deliverable]]="",CommitmentsTable[[#This Row],[Immutable Key]]=""),"",SUBSTITUTE(CommitmentsTable[[#This Row],[Immutable Key]],"-K-","-"))</f>
        <v/>
      </c>
      <c r="B1139" s="233"/>
      <c r="C1139" s="233"/>
      <c r="D1139" s="213"/>
      <c r="E1139" s="230"/>
      <c r="F1139" s="213"/>
      <c r="G1139" s="245" t="str">
        <f ca="1">IF(CommitmentsTable[[#This Row],[Commitment / deliverable]]="","",IF(CommitmentsTable[[#This Row],[Date record entered]]="",TODAY(),CommitmentsTable[[#This Row],[Date record entered]]))</f>
        <v/>
      </c>
      <c r="H1139" s="245"/>
      <c r="I1139" s="245" t="str">
        <f ca="1">IF(CommitmentsTable[[#This Row],[Date Assigned if different from entry date]]&lt;&gt;"",CommitmentsTable[[#This Row],[Date Assigned if different from entry date]]+90,IF(CommitmentsTable[[#This Row],[Date record entered]]&lt;&gt;"",CommitmentsTable[[#This Row],[Date record entered]]+90,""))</f>
        <v/>
      </c>
      <c r="J1139" s="245" t="str">
        <f ca="1">IF(CommitmentsTable[[#This Row],[Date Assigned if different from entry date]]&lt;&gt;"",CommitmentsTable[[#This Row],[Date Assigned if different from entry date]]+30,IF(CommitmentsTable[[#This Row],[Date record entered]]&lt;&gt;"",CommitmentsTable[[#This Row],[Date record entered]]+30,""))</f>
        <v/>
      </c>
      <c r="K1139" s="245"/>
      <c r="L1139" s="245" t="str">
        <f ca="1">IF(CommitmentsTable[[#This Row],[Date Assigned if different from entry date]]&lt;&gt;"",CommitmentsTable[[#This Row],[Date Assigned if different from entry date]]+60,IF(CommitmentsTable[[#This Row],[Date record entered]]&lt;&gt;"",CommitmentsTable[[#This Row],[Date record entered]]+60,""))</f>
        <v/>
      </c>
      <c r="M1139" s="214"/>
      <c r="N1139" s="214"/>
      <c r="O1139" s="236"/>
      <c r="P1139" s="214"/>
      <c r="Q1139" s="214"/>
      <c r="R1139" s="214"/>
      <c r="S1139" s="238" t="str">
        <f>IF(CommitmentsTable[[#This Row],[Commitment / deliverable]]="","",IF(CommitmentsTable[[#This Row],[Revised due]]&lt;&gt;"",CommitmentsTable[[#This Row],[Revised due]],CommitmentsTable[[#This Row],[Original due]]))</f>
        <v/>
      </c>
      <c r="T1139" s="237" t="str">
        <f>IF(OR(CommitmentsTable[[#This Row],[Commitment / deliverable]]="",CommitmentsTable[[#This Row],[Owner]]=""),"",IF(CommitmentsTable[[#This Row],[Status2]]="","Open",CommitmentsTable[[#This Row],[Status2]]))</f>
        <v/>
      </c>
      <c r="U1139" s="237" t="str">
        <f t="shared" ca="1" si="17"/>
        <v/>
      </c>
      <c r="V1139" s="233"/>
      <c r="W1139" s="63" t="s">
        <v>2041</v>
      </c>
    </row>
    <row r="1140" spans="1:23" ht="26">
      <c r="A1140" s="213" t="str">
        <f>IF(OR(CommitmentsTable[[#This Row],[Commitment / deliverable]]="",CommitmentsTable[[#This Row],[Immutable Key]]=""),"",SUBSTITUTE(CommitmentsTable[[#This Row],[Immutable Key]],"-K-","-"))</f>
        <v/>
      </c>
      <c r="B1140" s="233"/>
      <c r="C1140" s="233"/>
      <c r="D1140" s="213"/>
      <c r="E1140" s="230"/>
      <c r="F1140" s="213"/>
      <c r="G1140" s="245" t="str">
        <f ca="1">IF(CommitmentsTable[[#This Row],[Commitment / deliverable]]="","",IF(CommitmentsTable[[#This Row],[Date record entered]]="",TODAY(),CommitmentsTable[[#This Row],[Date record entered]]))</f>
        <v/>
      </c>
      <c r="H1140" s="245"/>
      <c r="I1140" s="245" t="str">
        <f ca="1">IF(CommitmentsTable[[#This Row],[Date Assigned if different from entry date]]&lt;&gt;"",CommitmentsTable[[#This Row],[Date Assigned if different from entry date]]+90,IF(CommitmentsTable[[#This Row],[Date record entered]]&lt;&gt;"",CommitmentsTable[[#This Row],[Date record entered]]+90,""))</f>
        <v/>
      </c>
      <c r="J1140" s="245" t="str">
        <f ca="1">IF(CommitmentsTable[[#This Row],[Date Assigned if different from entry date]]&lt;&gt;"",CommitmentsTable[[#This Row],[Date Assigned if different from entry date]]+30,IF(CommitmentsTable[[#This Row],[Date record entered]]&lt;&gt;"",CommitmentsTable[[#This Row],[Date record entered]]+30,""))</f>
        <v/>
      </c>
      <c r="K1140" s="245"/>
      <c r="L1140" s="245" t="str">
        <f ca="1">IF(CommitmentsTable[[#This Row],[Date Assigned if different from entry date]]&lt;&gt;"",CommitmentsTable[[#This Row],[Date Assigned if different from entry date]]+60,IF(CommitmentsTable[[#This Row],[Date record entered]]&lt;&gt;"",CommitmentsTable[[#This Row],[Date record entered]]+60,""))</f>
        <v/>
      </c>
      <c r="M1140" s="214"/>
      <c r="N1140" s="214"/>
      <c r="O1140" s="236"/>
      <c r="P1140" s="214"/>
      <c r="Q1140" s="214"/>
      <c r="R1140" s="214"/>
      <c r="S1140" s="238" t="str">
        <f>IF(CommitmentsTable[[#This Row],[Commitment / deliverable]]="","",IF(CommitmentsTable[[#This Row],[Revised due]]&lt;&gt;"",CommitmentsTable[[#This Row],[Revised due]],CommitmentsTable[[#This Row],[Original due]]))</f>
        <v/>
      </c>
      <c r="T1140" s="237" t="str">
        <f>IF(OR(CommitmentsTable[[#This Row],[Commitment / deliverable]]="",CommitmentsTable[[#This Row],[Owner]]=""),"",IF(CommitmentsTable[[#This Row],[Status2]]="","Open",CommitmentsTable[[#This Row],[Status2]]))</f>
        <v/>
      </c>
      <c r="U1140" s="237" t="str">
        <f t="shared" ca="1" si="17"/>
        <v/>
      </c>
      <c r="V1140" s="233"/>
      <c r="W1140" s="63" t="s">
        <v>2042</v>
      </c>
    </row>
    <row r="1141" spans="1:23" ht="26">
      <c r="A1141" s="213" t="str">
        <f>IF(OR(CommitmentsTable[[#This Row],[Commitment / deliverable]]="",CommitmentsTable[[#This Row],[Immutable Key]]=""),"",SUBSTITUTE(CommitmentsTable[[#This Row],[Immutable Key]],"-K-","-"))</f>
        <v/>
      </c>
      <c r="B1141" s="233"/>
      <c r="C1141" s="233"/>
      <c r="D1141" s="213"/>
      <c r="E1141" s="230"/>
      <c r="F1141" s="213"/>
      <c r="G1141" s="245" t="str">
        <f ca="1">IF(CommitmentsTable[[#This Row],[Commitment / deliverable]]="","",IF(CommitmentsTable[[#This Row],[Date record entered]]="",TODAY(),CommitmentsTable[[#This Row],[Date record entered]]))</f>
        <v/>
      </c>
      <c r="H1141" s="245"/>
      <c r="I1141" s="245" t="str">
        <f ca="1">IF(CommitmentsTable[[#This Row],[Date Assigned if different from entry date]]&lt;&gt;"",CommitmentsTable[[#This Row],[Date Assigned if different from entry date]]+90,IF(CommitmentsTable[[#This Row],[Date record entered]]&lt;&gt;"",CommitmentsTable[[#This Row],[Date record entered]]+90,""))</f>
        <v/>
      </c>
      <c r="J1141" s="245" t="str">
        <f ca="1">IF(CommitmentsTable[[#This Row],[Date Assigned if different from entry date]]&lt;&gt;"",CommitmentsTable[[#This Row],[Date Assigned if different from entry date]]+30,IF(CommitmentsTable[[#This Row],[Date record entered]]&lt;&gt;"",CommitmentsTable[[#This Row],[Date record entered]]+30,""))</f>
        <v/>
      </c>
      <c r="K1141" s="245"/>
      <c r="L1141" s="245" t="str">
        <f ca="1">IF(CommitmentsTable[[#This Row],[Date Assigned if different from entry date]]&lt;&gt;"",CommitmentsTable[[#This Row],[Date Assigned if different from entry date]]+60,IF(CommitmentsTable[[#This Row],[Date record entered]]&lt;&gt;"",CommitmentsTable[[#This Row],[Date record entered]]+60,""))</f>
        <v/>
      </c>
      <c r="M1141" s="214"/>
      <c r="N1141" s="214"/>
      <c r="O1141" s="236"/>
      <c r="P1141" s="214"/>
      <c r="Q1141" s="214"/>
      <c r="R1141" s="214"/>
      <c r="S1141" s="238" t="str">
        <f>IF(CommitmentsTable[[#This Row],[Commitment / deliverable]]="","",IF(CommitmentsTable[[#This Row],[Revised due]]&lt;&gt;"",CommitmentsTable[[#This Row],[Revised due]],CommitmentsTable[[#This Row],[Original due]]))</f>
        <v/>
      </c>
      <c r="T1141" s="237" t="str">
        <f>IF(OR(CommitmentsTable[[#This Row],[Commitment / deliverable]]="",CommitmentsTable[[#This Row],[Owner]]=""),"",IF(CommitmentsTable[[#This Row],[Status2]]="","Open",CommitmentsTable[[#This Row],[Status2]]))</f>
        <v/>
      </c>
      <c r="U1141" s="237" t="str">
        <f t="shared" ca="1" si="17"/>
        <v/>
      </c>
      <c r="V1141" s="233"/>
      <c r="W1141" s="63" t="s">
        <v>2043</v>
      </c>
    </row>
    <row r="1142" spans="1:23" ht="26">
      <c r="A1142" s="213" t="str">
        <f>IF(OR(CommitmentsTable[[#This Row],[Commitment / deliverable]]="",CommitmentsTable[[#This Row],[Immutable Key]]=""),"",SUBSTITUTE(CommitmentsTable[[#This Row],[Immutable Key]],"-K-","-"))</f>
        <v/>
      </c>
      <c r="B1142" s="233"/>
      <c r="C1142" s="233"/>
      <c r="D1142" s="213"/>
      <c r="E1142" s="230"/>
      <c r="F1142" s="213"/>
      <c r="G1142" s="245" t="str">
        <f ca="1">IF(CommitmentsTable[[#This Row],[Commitment / deliverable]]="","",IF(CommitmentsTable[[#This Row],[Date record entered]]="",TODAY(),CommitmentsTable[[#This Row],[Date record entered]]))</f>
        <v/>
      </c>
      <c r="H1142" s="245"/>
      <c r="I1142" s="245" t="str">
        <f ca="1">IF(CommitmentsTable[[#This Row],[Date Assigned if different from entry date]]&lt;&gt;"",CommitmentsTable[[#This Row],[Date Assigned if different from entry date]]+90,IF(CommitmentsTable[[#This Row],[Date record entered]]&lt;&gt;"",CommitmentsTable[[#This Row],[Date record entered]]+90,""))</f>
        <v/>
      </c>
      <c r="J1142" s="245" t="str">
        <f ca="1">IF(CommitmentsTable[[#This Row],[Date Assigned if different from entry date]]&lt;&gt;"",CommitmentsTable[[#This Row],[Date Assigned if different from entry date]]+30,IF(CommitmentsTable[[#This Row],[Date record entered]]&lt;&gt;"",CommitmentsTable[[#This Row],[Date record entered]]+30,""))</f>
        <v/>
      </c>
      <c r="K1142" s="245"/>
      <c r="L1142" s="245" t="str">
        <f ca="1">IF(CommitmentsTable[[#This Row],[Date Assigned if different from entry date]]&lt;&gt;"",CommitmentsTable[[#This Row],[Date Assigned if different from entry date]]+60,IF(CommitmentsTable[[#This Row],[Date record entered]]&lt;&gt;"",CommitmentsTable[[#This Row],[Date record entered]]+60,""))</f>
        <v/>
      </c>
      <c r="M1142" s="214"/>
      <c r="N1142" s="214"/>
      <c r="O1142" s="236"/>
      <c r="P1142" s="214"/>
      <c r="Q1142" s="214"/>
      <c r="R1142" s="214"/>
      <c r="S1142" s="238" t="str">
        <f>IF(CommitmentsTable[[#This Row],[Commitment / deliverable]]="","",IF(CommitmentsTable[[#This Row],[Revised due]]&lt;&gt;"",CommitmentsTable[[#This Row],[Revised due]],CommitmentsTable[[#This Row],[Original due]]))</f>
        <v/>
      </c>
      <c r="T1142" s="237" t="str">
        <f>IF(OR(CommitmentsTable[[#This Row],[Commitment / deliverable]]="",CommitmentsTable[[#This Row],[Owner]]=""),"",IF(CommitmentsTable[[#This Row],[Status2]]="","Open",CommitmentsTable[[#This Row],[Status2]]))</f>
        <v/>
      </c>
      <c r="U1142" s="237" t="str">
        <f t="shared" ca="1" si="17"/>
        <v/>
      </c>
      <c r="V1142" s="233"/>
      <c r="W1142" s="63" t="s">
        <v>2044</v>
      </c>
    </row>
    <row r="1143" spans="1:23" ht="26">
      <c r="A1143" s="213" t="str">
        <f>IF(OR(CommitmentsTable[[#This Row],[Commitment / deliverable]]="",CommitmentsTable[[#This Row],[Immutable Key]]=""),"",SUBSTITUTE(CommitmentsTable[[#This Row],[Immutable Key]],"-K-","-"))</f>
        <v/>
      </c>
      <c r="B1143" s="233"/>
      <c r="C1143" s="233"/>
      <c r="D1143" s="213"/>
      <c r="E1143" s="230"/>
      <c r="F1143" s="213"/>
      <c r="G1143" s="245" t="str">
        <f ca="1">IF(CommitmentsTable[[#This Row],[Commitment / deliverable]]="","",IF(CommitmentsTable[[#This Row],[Date record entered]]="",TODAY(),CommitmentsTable[[#This Row],[Date record entered]]))</f>
        <v/>
      </c>
      <c r="H1143" s="245"/>
      <c r="I1143" s="245" t="str">
        <f ca="1">IF(CommitmentsTable[[#This Row],[Date Assigned if different from entry date]]&lt;&gt;"",CommitmentsTable[[#This Row],[Date Assigned if different from entry date]]+90,IF(CommitmentsTable[[#This Row],[Date record entered]]&lt;&gt;"",CommitmentsTable[[#This Row],[Date record entered]]+90,""))</f>
        <v/>
      </c>
      <c r="J1143" s="245" t="str">
        <f ca="1">IF(CommitmentsTable[[#This Row],[Date Assigned if different from entry date]]&lt;&gt;"",CommitmentsTable[[#This Row],[Date Assigned if different from entry date]]+30,IF(CommitmentsTable[[#This Row],[Date record entered]]&lt;&gt;"",CommitmentsTable[[#This Row],[Date record entered]]+30,""))</f>
        <v/>
      </c>
      <c r="K1143" s="245"/>
      <c r="L1143" s="245" t="str">
        <f ca="1">IF(CommitmentsTable[[#This Row],[Date Assigned if different from entry date]]&lt;&gt;"",CommitmentsTable[[#This Row],[Date Assigned if different from entry date]]+60,IF(CommitmentsTable[[#This Row],[Date record entered]]&lt;&gt;"",CommitmentsTable[[#This Row],[Date record entered]]+60,""))</f>
        <v/>
      </c>
      <c r="M1143" s="214"/>
      <c r="N1143" s="214"/>
      <c r="O1143" s="236"/>
      <c r="P1143" s="214"/>
      <c r="Q1143" s="214"/>
      <c r="R1143" s="214"/>
      <c r="S1143" s="238" t="str">
        <f>IF(CommitmentsTable[[#This Row],[Commitment / deliverable]]="","",IF(CommitmentsTable[[#This Row],[Revised due]]&lt;&gt;"",CommitmentsTable[[#This Row],[Revised due]],CommitmentsTable[[#This Row],[Original due]]))</f>
        <v/>
      </c>
      <c r="T1143" s="237" t="str">
        <f>IF(OR(CommitmentsTable[[#This Row],[Commitment / deliverable]]="",CommitmentsTable[[#This Row],[Owner]]=""),"",IF(CommitmentsTable[[#This Row],[Status2]]="","Open",CommitmentsTable[[#This Row],[Status2]]))</f>
        <v/>
      </c>
      <c r="U1143" s="237" t="str">
        <f t="shared" ca="1" si="17"/>
        <v/>
      </c>
      <c r="V1143" s="233"/>
      <c r="W1143" s="63" t="s">
        <v>2045</v>
      </c>
    </row>
    <row r="1144" spans="1:23" ht="26">
      <c r="A1144" s="213" t="str">
        <f>IF(OR(CommitmentsTable[[#This Row],[Commitment / deliverable]]="",CommitmentsTable[[#This Row],[Immutable Key]]=""),"",SUBSTITUTE(CommitmentsTable[[#This Row],[Immutable Key]],"-K-","-"))</f>
        <v/>
      </c>
      <c r="B1144" s="233"/>
      <c r="C1144" s="233"/>
      <c r="D1144" s="213"/>
      <c r="E1144" s="230"/>
      <c r="F1144" s="213"/>
      <c r="G1144" s="245" t="str">
        <f ca="1">IF(CommitmentsTable[[#This Row],[Commitment / deliverable]]="","",IF(CommitmentsTable[[#This Row],[Date record entered]]="",TODAY(),CommitmentsTable[[#This Row],[Date record entered]]))</f>
        <v/>
      </c>
      <c r="H1144" s="245"/>
      <c r="I1144" s="245" t="str">
        <f ca="1">IF(CommitmentsTable[[#This Row],[Date Assigned if different from entry date]]&lt;&gt;"",CommitmentsTable[[#This Row],[Date Assigned if different from entry date]]+90,IF(CommitmentsTable[[#This Row],[Date record entered]]&lt;&gt;"",CommitmentsTable[[#This Row],[Date record entered]]+90,""))</f>
        <v/>
      </c>
      <c r="J1144" s="245" t="str">
        <f ca="1">IF(CommitmentsTable[[#This Row],[Date Assigned if different from entry date]]&lt;&gt;"",CommitmentsTable[[#This Row],[Date Assigned if different from entry date]]+30,IF(CommitmentsTable[[#This Row],[Date record entered]]&lt;&gt;"",CommitmentsTable[[#This Row],[Date record entered]]+30,""))</f>
        <v/>
      </c>
      <c r="K1144" s="245"/>
      <c r="L1144" s="245" t="str">
        <f ca="1">IF(CommitmentsTable[[#This Row],[Date Assigned if different from entry date]]&lt;&gt;"",CommitmentsTable[[#This Row],[Date Assigned if different from entry date]]+60,IF(CommitmentsTable[[#This Row],[Date record entered]]&lt;&gt;"",CommitmentsTable[[#This Row],[Date record entered]]+60,""))</f>
        <v/>
      </c>
      <c r="M1144" s="214"/>
      <c r="N1144" s="214"/>
      <c r="O1144" s="236"/>
      <c r="P1144" s="214"/>
      <c r="Q1144" s="214"/>
      <c r="R1144" s="214"/>
      <c r="S1144" s="238" t="str">
        <f>IF(CommitmentsTable[[#This Row],[Commitment / deliverable]]="","",IF(CommitmentsTable[[#This Row],[Revised due]]&lt;&gt;"",CommitmentsTable[[#This Row],[Revised due]],CommitmentsTable[[#This Row],[Original due]]))</f>
        <v/>
      </c>
      <c r="T1144" s="237" t="str">
        <f>IF(OR(CommitmentsTable[[#This Row],[Commitment / deliverable]]="",CommitmentsTable[[#This Row],[Owner]]=""),"",IF(CommitmentsTable[[#This Row],[Status2]]="","Open",CommitmentsTable[[#This Row],[Status2]]))</f>
        <v/>
      </c>
      <c r="U1144" s="237" t="str">
        <f t="shared" ca="1" si="17"/>
        <v/>
      </c>
      <c r="V1144" s="233"/>
      <c r="W1144" s="63" t="s">
        <v>2046</v>
      </c>
    </row>
    <row r="1145" spans="1:23" ht="26">
      <c r="A1145" s="213" t="str">
        <f>IF(OR(CommitmentsTable[[#This Row],[Commitment / deliverable]]="",CommitmentsTable[[#This Row],[Immutable Key]]=""),"",SUBSTITUTE(CommitmentsTable[[#This Row],[Immutable Key]],"-K-","-"))</f>
        <v/>
      </c>
      <c r="B1145" s="233"/>
      <c r="C1145" s="233"/>
      <c r="D1145" s="213"/>
      <c r="E1145" s="230"/>
      <c r="F1145" s="213"/>
      <c r="G1145" s="245" t="str">
        <f ca="1">IF(CommitmentsTable[[#This Row],[Commitment / deliverable]]="","",IF(CommitmentsTable[[#This Row],[Date record entered]]="",TODAY(),CommitmentsTable[[#This Row],[Date record entered]]))</f>
        <v/>
      </c>
      <c r="H1145" s="245"/>
      <c r="I1145" s="245" t="str">
        <f ca="1">IF(CommitmentsTable[[#This Row],[Date Assigned if different from entry date]]&lt;&gt;"",CommitmentsTable[[#This Row],[Date Assigned if different from entry date]]+90,IF(CommitmentsTable[[#This Row],[Date record entered]]&lt;&gt;"",CommitmentsTable[[#This Row],[Date record entered]]+90,""))</f>
        <v/>
      </c>
      <c r="J1145" s="245" t="str">
        <f ca="1">IF(CommitmentsTable[[#This Row],[Date Assigned if different from entry date]]&lt;&gt;"",CommitmentsTable[[#This Row],[Date Assigned if different from entry date]]+30,IF(CommitmentsTable[[#This Row],[Date record entered]]&lt;&gt;"",CommitmentsTable[[#This Row],[Date record entered]]+30,""))</f>
        <v/>
      </c>
      <c r="K1145" s="245"/>
      <c r="L1145" s="245" t="str">
        <f ca="1">IF(CommitmentsTable[[#This Row],[Date Assigned if different from entry date]]&lt;&gt;"",CommitmentsTable[[#This Row],[Date Assigned if different from entry date]]+60,IF(CommitmentsTable[[#This Row],[Date record entered]]&lt;&gt;"",CommitmentsTable[[#This Row],[Date record entered]]+60,""))</f>
        <v/>
      </c>
      <c r="M1145" s="214"/>
      <c r="N1145" s="214"/>
      <c r="O1145" s="236"/>
      <c r="P1145" s="214"/>
      <c r="Q1145" s="214"/>
      <c r="R1145" s="214"/>
      <c r="S1145" s="238" t="str">
        <f>IF(CommitmentsTable[[#This Row],[Commitment / deliverable]]="","",IF(CommitmentsTable[[#This Row],[Revised due]]&lt;&gt;"",CommitmentsTable[[#This Row],[Revised due]],CommitmentsTable[[#This Row],[Original due]]))</f>
        <v/>
      </c>
      <c r="T1145" s="237" t="str">
        <f>IF(OR(CommitmentsTable[[#This Row],[Commitment / deliverable]]="",CommitmentsTable[[#This Row],[Owner]]=""),"",IF(CommitmentsTable[[#This Row],[Status2]]="","Open",CommitmentsTable[[#This Row],[Status2]]))</f>
        <v/>
      </c>
      <c r="U1145" s="237" t="str">
        <f t="shared" ca="1" si="17"/>
        <v/>
      </c>
      <c r="V1145" s="233"/>
      <c r="W1145" s="63" t="s">
        <v>2047</v>
      </c>
    </row>
    <row r="1146" spans="1:23" ht="26">
      <c r="A1146" s="213" t="str">
        <f>IF(OR(CommitmentsTable[[#This Row],[Commitment / deliverable]]="",CommitmentsTable[[#This Row],[Immutable Key]]=""),"",SUBSTITUTE(CommitmentsTable[[#This Row],[Immutable Key]],"-K-","-"))</f>
        <v/>
      </c>
      <c r="B1146" s="233"/>
      <c r="C1146" s="233"/>
      <c r="D1146" s="213"/>
      <c r="E1146" s="230"/>
      <c r="F1146" s="213"/>
      <c r="G1146" s="245" t="str">
        <f ca="1">IF(CommitmentsTable[[#This Row],[Commitment / deliverable]]="","",IF(CommitmentsTable[[#This Row],[Date record entered]]="",TODAY(),CommitmentsTable[[#This Row],[Date record entered]]))</f>
        <v/>
      </c>
      <c r="H1146" s="245"/>
      <c r="I1146" s="245" t="str">
        <f ca="1">IF(CommitmentsTable[[#This Row],[Date Assigned if different from entry date]]&lt;&gt;"",CommitmentsTable[[#This Row],[Date Assigned if different from entry date]]+90,IF(CommitmentsTable[[#This Row],[Date record entered]]&lt;&gt;"",CommitmentsTable[[#This Row],[Date record entered]]+90,""))</f>
        <v/>
      </c>
      <c r="J1146" s="245" t="str">
        <f ca="1">IF(CommitmentsTable[[#This Row],[Date Assigned if different from entry date]]&lt;&gt;"",CommitmentsTable[[#This Row],[Date Assigned if different from entry date]]+30,IF(CommitmentsTable[[#This Row],[Date record entered]]&lt;&gt;"",CommitmentsTable[[#This Row],[Date record entered]]+30,""))</f>
        <v/>
      </c>
      <c r="K1146" s="245"/>
      <c r="L1146" s="245" t="str">
        <f ca="1">IF(CommitmentsTable[[#This Row],[Date Assigned if different from entry date]]&lt;&gt;"",CommitmentsTable[[#This Row],[Date Assigned if different from entry date]]+60,IF(CommitmentsTable[[#This Row],[Date record entered]]&lt;&gt;"",CommitmentsTable[[#This Row],[Date record entered]]+60,""))</f>
        <v/>
      </c>
      <c r="M1146" s="214"/>
      <c r="N1146" s="214"/>
      <c r="O1146" s="236"/>
      <c r="P1146" s="214"/>
      <c r="Q1146" s="214"/>
      <c r="R1146" s="214"/>
      <c r="S1146" s="238" t="str">
        <f>IF(CommitmentsTable[[#This Row],[Commitment / deliverable]]="","",IF(CommitmentsTable[[#This Row],[Revised due]]&lt;&gt;"",CommitmentsTable[[#This Row],[Revised due]],CommitmentsTable[[#This Row],[Original due]]))</f>
        <v/>
      </c>
      <c r="T1146" s="237" t="str">
        <f>IF(OR(CommitmentsTable[[#This Row],[Commitment / deliverable]]="",CommitmentsTable[[#This Row],[Owner]]=""),"",IF(CommitmentsTable[[#This Row],[Status2]]="","Open",CommitmentsTable[[#This Row],[Status2]]))</f>
        <v/>
      </c>
      <c r="U1146" s="237" t="str">
        <f t="shared" ca="1" si="17"/>
        <v/>
      </c>
      <c r="V1146" s="233"/>
      <c r="W1146" s="63" t="s">
        <v>2048</v>
      </c>
    </row>
    <row r="1147" spans="1:23" ht="26">
      <c r="A1147" s="213" t="str">
        <f>IF(OR(CommitmentsTable[[#This Row],[Commitment / deliverable]]="",CommitmentsTable[[#This Row],[Immutable Key]]=""),"",SUBSTITUTE(CommitmentsTable[[#This Row],[Immutable Key]],"-K-","-"))</f>
        <v/>
      </c>
      <c r="B1147" s="233"/>
      <c r="C1147" s="233"/>
      <c r="D1147" s="213"/>
      <c r="E1147" s="230"/>
      <c r="F1147" s="213"/>
      <c r="G1147" s="245" t="str">
        <f ca="1">IF(CommitmentsTable[[#This Row],[Commitment / deliverable]]="","",IF(CommitmentsTable[[#This Row],[Date record entered]]="",TODAY(),CommitmentsTable[[#This Row],[Date record entered]]))</f>
        <v/>
      </c>
      <c r="H1147" s="245"/>
      <c r="I1147" s="245" t="str">
        <f ca="1">IF(CommitmentsTable[[#This Row],[Date Assigned if different from entry date]]&lt;&gt;"",CommitmentsTable[[#This Row],[Date Assigned if different from entry date]]+90,IF(CommitmentsTable[[#This Row],[Date record entered]]&lt;&gt;"",CommitmentsTable[[#This Row],[Date record entered]]+90,""))</f>
        <v/>
      </c>
      <c r="J1147" s="245" t="str">
        <f ca="1">IF(CommitmentsTable[[#This Row],[Date Assigned if different from entry date]]&lt;&gt;"",CommitmentsTable[[#This Row],[Date Assigned if different from entry date]]+30,IF(CommitmentsTable[[#This Row],[Date record entered]]&lt;&gt;"",CommitmentsTable[[#This Row],[Date record entered]]+30,""))</f>
        <v/>
      </c>
      <c r="K1147" s="245"/>
      <c r="L1147" s="245" t="str">
        <f ca="1">IF(CommitmentsTable[[#This Row],[Date Assigned if different from entry date]]&lt;&gt;"",CommitmentsTable[[#This Row],[Date Assigned if different from entry date]]+60,IF(CommitmentsTable[[#This Row],[Date record entered]]&lt;&gt;"",CommitmentsTable[[#This Row],[Date record entered]]+60,""))</f>
        <v/>
      </c>
      <c r="M1147" s="214"/>
      <c r="N1147" s="214"/>
      <c r="O1147" s="236"/>
      <c r="P1147" s="214"/>
      <c r="Q1147" s="214"/>
      <c r="R1147" s="214"/>
      <c r="S1147" s="238" t="str">
        <f>IF(CommitmentsTable[[#This Row],[Commitment / deliverable]]="","",IF(CommitmentsTable[[#This Row],[Revised due]]&lt;&gt;"",CommitmentsTable[[#This Row],[Revised due]],CommitmentsTable[[#This Row],[Original due]]))</f>
        <v/>
      </c>
      <c r="T1147" s="237" t="str">
        <f>IF(OR(CommitmentsTable[[#This Row],[Commitment / deliverable]]="",CommitmentsTable[[#This Row],[Owner]]=""),"",IF(CommitmentsTable[[#This Row],[Status2]]="","Open",CommitmentsTable[[#This Row],[Status2]]))</f>
        <v/>
      </c>
      <c r="U1147" s="237" t="str">
        <f t="shared" ca="1" si="17"/>
        <v/>
      </c>
      <c r="V1147" s="233"/>
      <c r="W1147" s="63" t="s">
        <v>2049</v>
      </c>
    </row>
    <row r="1148" spans="1:23" ht="26">
      <c r="A1148" s="213" t="str">
        <f>IF(OR(CommitmentsTable[[#This Row],[Commitment / deliverable]]="",CommitmentsTable[[#This Row],[Immutable Key]]=""),"",SUBSTITUTE(CommitmentsTable[[#This Row],[Immutable Key]],"-K-","-"))</f>
        <v/>
      </c>
      <c r="B1148" s="233"/>
      <c r="C1148" s="233"/>
      <c r="D1148" s="213"/>
      <c r="E1148" s="230"/>
      <c r="F1148" s="213"/>
      <c r="G1148" s="245" t="str">
        <f ca="1">IF(CommitmentsTable[[#This Row],[Commitment / deliverable]]="","",IF(CommitmentsTable[[#This Row],[Date record entered]]="",TODAY(),CommitmentsTable[[#This Row],[Date record entered]]))</f>
        <v/>
      </c>
      <c r="H1148" s="245"/>
      <c r="I1148" s="245" t="str">
        <f ca="1">IF(CommitmentsTable[[#This Row],[Date Assigned if different from entry date]]&lt;&gt;"",CommitmentsTable[[#This Row],[Date Assigned if different from entry date]]+90,IF(CommitmentsTable[[#This Row],[Date record entered]]&lt;&gt;"",CommitmentsTable[[#This Row],[Date record entered]]+90,""))</f>
        <v/>
      </c>
      <c r="J1148" s="245" t="str">
        <f ca="1">IF(CommitmentsTable[[#This Row],[Date Assigned if different from entry date]]&lt;&gt;"",CommitmentsTable[[#This Row],[Date Assigned if different from entry date]]+30,IF(CommitmentsTable[[#This Row],[Date record entered]]&lt;&gt;"",CommitmentsTable[[#This Row],[Date record entered]]+30,""))</f>
        <v/>
      </c>
      <c r="K1148" s="245"/>
      <c r="L1148" s="245" t="str">
        <f ca="1">IF(CommitmentsTable[[#This Row],[Date Assigned if different from entry date]]&lt;&gt;"",CommitmentsTable[[#This Row],[Date Assigned if different from entry date]]+60,IF(CommitmentsTable[[#This Row],[Date record entered]]&lt;&gt;"",CommitmentsTable[[#This Row],[Date record entered]]+60,""))</f>
        <v/>
      </c>
      <c r="M1148" s="214"/>
      <c r="N1148" s="214"/>
      <c r="O1148" s="236"/>
      <c r="P1148" s="214"/>
      <c r="Q1148" s="214"/>
      <c r="R1148" s="214"/>
      <c r="S1148" s="238" t="str">
        <f>IF(CommitmentsTable[[#This Row],[Commitment / deliverable]]="","",IF(CommitmentsTable[[#This Row],[Revised due]]&lt;&gt;"",CommitmentsTable[[#This Row],[Revised due]],CommitmentsTable[[#This Row],[Original due]]))</f>
        <v/>
      </c>
      <c r="T1148" s="237" t="str">
        <f>IF(OR(CommitmentsTable[[#This Row],[Commitment / deliverable]]="",CommitmentsTable[[#This Row],[Owner]]=""),"",IF(CommitmentsTable[[#This Row],[Status2]]="","Open",CommitmentsTable[[#This Row],[Status2]]))</f>
        <v/>
      </c>
      <c r="U1148" s="237" t="str">
        <f t="shared" ca="1" si="17"/>
        <v/>
      </c>
      <c r="V1148" s="233"/>
      <c r="W1148" s="63" t="s">
        <v>2050</v>
      </c>
    </row>
    <row r="1149" spans="1:23" ht="26">
      <c r="A1149" s="213" t="str">
        <f>IF(OR(CommitmentsTable[[#This Row],[Commitment / deliverable]]="",CommitmentsTable[[#This Row],[Immutable Key]]=""),"",SUBSTITUTE(CommitmentsTable[[#This Row],[Immutable Key]],"-K-","-"))</f>
        <v/>
      </c>
      <c r="B1149" s="233"/>
      <c r="C1149" s="233"/>
      <c r="D1149" s="213"/>
      <c r="E1149" s="230"/>
      <c r="F1149" s="213"/>
      <c r="G1149" s="245" t="str">
        <f ca="1">IF(CommitmentsTable[[#This Row],[Commitment / deliverable]]="","",IF(CommitmentsTable[[#This Row],[Date record entered]]="",TODAY(),CommitmentsTable[[#This Row],[Date record entered]]))</f>
        <v/>
      </c>
      <c r="H1149" s="245"/>
      <c r="I1149" s="245" t="str">
        <f ca="1">IF(CommitmentsTable[[#This Row],[Date Assigned if different from entry date]]&lt;&gt;"",CommitmentsTable[[#This Row],[Date Assigned if different from entry date]]+90,IF(CommitmentsTable[[#This Row],[Date record entered]]&lt;&gt;"",CommitmentsTable[[#This Row],[Date record entered]]+90,""))</f>
        <v/>
      </c>
      <c r="J1149" s="245" t="str">
        <f ca="1">IF(CommitmentsTable[[#This Row],[Date Assigned if different from entry date]]&lt;&gt;"",CommitmentsTable[[#This Row],[Date Assigned if different from entry date]]+30,IF(CommitmentsTable[[#This Row],[Date record entered]]&lt;&gt;"",CommitmentsTable[[#This Row],[Date record entered]]+30,""))</f>
        <v/>
      </c>
      <c r="K1149" s="245"/>
      <c r="L1149" s="245" t="str">
        <f ca="1">IF(CommitmentsTable[[#This Row],[Date Assigned if different from entry date]]&lt;&gt;"",CommitmentsTable[[#This Row],[Date Assigned if different from entry date]]+60,IF(CommitmentsTable[[#This Row],[Date record entered]]&lt;&gt;"",CommitmentsTable[[#This Row],[Date record entered]]+60,""))</f>
        <v/>
      </c>
      <c r="M1149" s="214"/>
      <c r="N1149" s="214"/>
      <c r="O1149" s="236"/>
      <c r="P1149" s="214"/>
      <c r="Q1149" s="214"/>
      <c r="R1149" s="214"/>
      <c r="S1149" s="238" t="str">
        <f>IF(CommitmentsTable[[#This Row],[Commitment / deliverable]]="","",IF(CommitmentsTable[[#This Row],[Revised due]]&lt;&gt;"",CommitmentsTable[[#This Row],[Revised due]],CommitmentsTable[[#This Row],[Original due]]))</f>
        <v/>
      </c>
      <c r="T1149" s="237" t="str">
        <f>IF(OR(CommitmentsTable[[#This Row],[Commitment / deliverable]]="",CommitmentsTable[[#This Row],[Owner]]=""),"",IF(CommitmentsTable[[#This Row],[Status2]]="","Open",CommitmentsTable[[#This Row],[Status2]]))</f>
        <v/>
      </c>
      <c r="U1149" s="237" t="str">
        <f t="shared" ca="1" si="17"/>
        <v/>
      </c>
      <c r="V1149" s="233"/>
      <c r="W1149" s="63" t="s">
        <v>2051</v>
      </c>
    </row>
    <row r="1150" spans="1:23" ht="26">
      <c r="A1150" s="213" t="str">
        <f>IF(OR(CommitmentsTable[[#This Row],[Commitment / deliverable]]="",CommitmentsTable[[#This Row],[Immutable Key]]=""),"",SUBSTITUTE(CommitmentsTable[[#This Row],[Immutable Key]],"-K-","-"))</f>
        <v/>
      </c>
      <c r="B1150" s="233"/>
      <c r="C1150" s="233"/>
      <c r="D1150" s="213"/>
      <c r="E1150" s="230"/>
      <c r="F1150" s="213"/>
      <c r="G1150" s="245" t="str">
        <f ca="1">IF(CommitmentsTable[[#This Row],[Commitment / deliverable]]="","",IF(CommitmentsTable[[#This Row],[Date record entered]]="",TODAY(),CommitmentsTable[[#This Row],[Date record entered]]))</f>
        <v/>
      </c>
      <c r="H1150" s="245"/>
      <c r="I1150" s="245" t="str">
        <f ca="1">IF(CommitmentsTable[[#This Row],[Date Assigned if different from entry date]]&lt;&gt;"",CommitmentsTable[[#This Row],[Date Assigned if different from entry date]]+90,IF(CommitmentsTable[[#This Row],[Date record entered]]&lt;&gt;"",CommitmentsTable[[#This Row],[Date record entered]]+90,""))</f>
        <v/>
      </c>
      <c r="J1150" s="245" t="str">
        <f ca="1">IF(CommitmentsTable[[#This Row],[Date Assigned if different from entry date]]&lt;&gt;"",CommitmentsTable[[#This Row],[Date Assigned if different from entry date]]+30,IF(CommitmentsTable[[#This Row],[Date record entered]]&lt;&gt;"",CommitmentsTable[[#This Row],[Date record entered]]+30,""))</f>
        <v/>
      </c>
      <c r="K1150" s="245"/>
      <c r="L1150" s="245" t="str">
        <f ca="1">IF(CommitmentsTable[[#This Row],[Date Assigned if different from entry date]]&lt;&gt;"",CommitmentsTable[[#This Row],[Date Assigned if different from entry date]]+60,IF(CommitmentsTable[[#This Row],[Date record entered]]&lt;&gt;"",CommitmentsTable[[#This Row],[Date record entered]]+60,""))</f>
        <v/>
      </c>
      <c r="M1150" s="214"/>
      <c r="N1150" s="214"/>
      <c r="O1150" s="236"/>
      <c r="P1150" s="214"/>
      <c r="Q1150" s="214"/>
      <c r="R1150" s="214"/>
      <c r="S1150" s="238" t="str">
        <f>IF(CommitmentsTable[[#This Row],[Commitment / deliverable]]="","",IF(CommitmentsTable[[#This Row],[Revised due]]&lt;&gt;"",CommitmentsTable[[#This Row],[Revised due]],CommitmentsTable[[#This Row],[Original due]]))</f>
        <v/>
      </c>
      <c r="T1150" s="237" t="str">
        <f>IF(OR(CommitmentsTable[[#This Row],[Commitment / deliverable]]="",CommitmentsTable[[#This Row],[Owner]]=""),"",IF(CommitmentsTable[[#This Row],[Status2]]="","Open",CommitmentsTable[[#This Row],[Status2]]))</f>
        <v/>
      </c>
      <c r="U1150" s="237" t="str">
        <f t="shared" ca="1" si="17"/>
        <v/>
      </c>
      <c r="V1150" s="233"/>
      <c r="W1150" s="63" t="s">
        <v>2052</v>
      </c>
    </row>
    <row r="1151" spans="1:23" ht="26">
      <c r="A1151" s="213" t="str">
        <f>IF(OR(CommitmentsTable[[#This Row],[Commitment / deliverable]]="",CommitmentsTable[[#This Row],[Immutable Key]]=""),"",SUBSTITUTE(CommitmentsTable[[#This Row],[Immutable Key]],"-K-","-"))</f>
        <v/>
      </c>
      <c r="B1151" s="233"/>
      <c r="C1151" s="233"/>
      <c r="D1151" s="213"/>
      <c r="E1151" s="230"/>
      <c r="F1151" s="213"/>
      <c r="G1151" s="245" t="str">
        <f ca="1">IF(CommitmentsTable[[#This Row],[Commitment / deliverable]]="","",IF(CommitmentsTable[[#This Row],[Date record entered]]="",TODAY(),CommitmentsTable[[#This Row],[Date record entered]]))</f>
        <v/>
      </c>
      <c r="H1151" s="245"/>
      <c r="I1151" s="245" t="str">
        <f ca="1">IF(CommitmentsTable[[#This Row],[Date Assigned if different from entry date]]&lt;&gt;"",CommitmentsTable[[#This Row],[Date Assigned if different from entry date]]+90,IF(CommitmentsTable[[#This Row],[Date record entered]]&lt;&gt;"",CommitmentsTable[[#This Row],[Date record entered]]+90,""))</f>
        <v/>
      </c>
      <c r="J1151" s="245" t="str">
        <f ca="1">IF(CommitmentsTable[[#This Row],[Date Assigned if different from entry date]]&lt;&gt;"",CommitmentsTable[[#This Row],[Date Assigned if different from entry date]]+30,IF(CommitmentsTable[[#This Row],[Date record entered]]&lt;&gt;"",CommitmentsTable[[#This Row],[Date record entered]]+30,""))</f>
        <v/>
      </c>
      <c r="K1151" s="245"/>
      <c r="L1151" s="245" t="str">
        <f ca="1">IF(CommitmentsTable[[#This Row],[Date Assigned if different from entry date]]&lt;&gt;"",CommitmentsTable[[#This Row],[Date Assigned if different from entry date]]+60,IF(CommitmentsTable[[#This Row],[Date record entered]]&lt;&gt;"",CommitmentsTable[[#This Row],[Date record entered]]+60,""))</f>
        <v/>
      </c>
      <c r="M1151" s="214"/>
      <c r="N1151" s="214"/>
      <c r="O1151" s="236"/>
      <c r="P1151" s="214"/>
      <c r="Q1151" s="214"/>
      <c r="R1151" s="214"/>
      <c r="S1151" s="238" t="str">
        <f>IF(CommitmentsTable[[#This Row],[Commitment / deliverable]]="","",IF(CommitmentsTable[[#This Row],[Revised due]]&lt;&gt;"",CommitmentsTable[[#This Row],[Revised due]],CommitmentsTable[[#This Row],[Original due]]))</f>
        <v/>
      </c>
      <c r="T1151" s="237" t="str">
        <f>IF(OR(CommitmentsTable[[#This Row],[Commitment / deliverable]]="",CommitmentsTable[[#This Row],[Owner]]=""),"",IF(CommitmentsTable[[#This Row],[Status2]]="","Open",CommitmentsTable[[#This Row],[Status2]]))</f>
        <v/>
      </c>
      <c r="U1151" s="237" t="str">
        <f t="shared" ca="1" si="17"/>
        <v/>
      </c>
      <c r="V1151" s="233"/>
      <c r="W1151" s="63" t="s">
        <v>2053</v>
      </c>
    </row>
    <row r="1152" spans="1:23" ht="26">
      <c r="A1152" s="213" t="str">
        <f>IF(OR(CommitmentsTable[[#This Row],[Commitment / deliverable]]="",CommitmentsTable[[#This Row],[Immutable Key]]=""),"",SUBSTITUTE(CommitmentsTable[[#This Row],[Immutable Key]],"-K-","-"))</f>
        <v/>
      </c>
      <c r="B1152" s="233"/>
      <c r="C1152" s="233"/>
      <c r="D1152" s="213"/>
      <c r="E1152" s="230"/>
      <c r="F1152" s="213"/>
      <c r="G1152" s="245" t="str">
        <f ca="1">IF(CommitmentsTable[[#This Row],[Commitment / deliverable]]="","",IF(CommitmentsTable[[#This Row],[Date record entered]]="",TODAY(),CommitmentsTable[[#This Row],[Date record entered]]))</f>
        <v/>
      </c>
      <c r="H1152" s="245"/>
      <c r="I1152" s="245" t="str">
        <f ca="1">IF(CommitmentsTable[[#This Row],[Date Assigned if different from entry date]]&lt;&gt;"",CommitmentsTable[[#This Row],[Date Assigned if different from entry date]]+90,IF(CommitmentsTable[[#This Row],[Date record entered]]&lt;&gt;"",CommitmentsTable[[#This Row],[Date record entered]]+90,""))</f>
        <v/>
      </c>
      <c r="J1152" s="245" t="str">
        <f ca="1">IF(CommitmentsTable[[#This Row],[Date Assigned if different from entry date]]&lt;&gt;"",CommitmentsTable[[#This Row],[Date Assigned if different from entry date]]+30,IF(CommitmentsTable[[#This Row],[Date record entered]]&lt;&gt;"",CommitmentsTable[[#This Row],[Date record entered]]+30,""))</f>
        <v/>
      </c>
      <c r="K1152" s="245"/>
      <c r="L1152" s="245" t="str">
        <f ca="1">IF(CommitmentsTable[[#This Row],[Date Assigned if different from entry date]]&lt;&gt;"",CommitmentsTable[[#This Row],[Date Assigned if different from entry date]]+60,IF(CommitmentsTable[[#This Row],[Date record entered]]&lt;&gt;"",CommitmentsTable[[#This Row],[Date record entered]]+60,""))</f>
        <v/>
      </c>
      <c r="M1152" s="214"/>
      <c r="N1152" s="214"/>
      <c r="O1152" s="236"/>
      <c r="P1152" s="214"/>
      <c r="Q1152" s="214"/>
      <c r="R1152" s="214"/>
      <c r="S1152" s="238" t="str">
        <f>IF(CommitmentsTable[[#This Row],[Commitment / deliverable]]="","",IF(CommitmentsTable[[#This Row],[Revised due]]&lt;&gt;"",CommitmentsTable[[#This Row],[Revised due]],CommitmentsTable[[#This Row],[Original due]]))</f>
        <v/>
      </c>
      <c r="T1152" s="237" t="str">
        <f>IF(OR(CommitmentsTable[[#This Row],[Commitment / deliverable]]="",CommitmentsTable[[#This Row],[Owner]]=""),"",IF(CommitmentsTable[[#This Row],[Status2]]="","Open",CommitmentsTable[[#This Row],[Status2]]))</f>
        <v/>
      </c>
      <c r="U1152" s="237" t="str">
        <f t="shared" ca="1" si="17"/>
        <v/>
      </c>
      <c r="V1152" s="233"/>
      <c r="W1152" s="63" t="s">
        <v>2054</v>
      </c>
    </row>
    <row r="1153" spans="1:23" ht="26">
      <c r="A1153" s="213" t="str">
        <f>IF(OR(CommitmentsTable[[#This Row],[Commitment / deliverable]]="",CommitmentsTable[[#This Row],[Immutable Key]]=""),"",SUBSTITUTE(CommitmentsTable[[#This Row],[Immutable Key]],"-K-","-"))</f>
        <v/>
      </c>
      <c r="B1153" s="233"/>
      <c r="C1153" s="233"/>
      <c r="D1153" s="213"/>
      <c r="E1153" s="230"/>
      <c r="F1153" s="213"/>
      <c r="G1153" s="245" t="str">
        <f ca="1">IF(CommitmentsTable[[#This Row],[Commitment / deliverable]]="","",IF(CommitmentsTable[[#This Row],[Date record entered]]="",TODAY(),CommitmentsTable[[#This Row],[Date record entered]]))</f>
        <v/>
      </c>
      <c r="H1153" s="245"/>
      <c r="I1153" s="245" t="str">
        <f ca="1">IF(CommitmentsTable[[#This Row],[Date Assigned if different from entry date]]&lt;&gt;"",CommitmentsTable[[#This Row],[Date Assigned if different from entry date]]+90,IF(CommitmentsTable[[#This Row],[Date record entered]]&lt;&gt;"",CommitmentsTable[[#This Row],[Date record entered]]+90,""))</f>
        <v/>
      </c>
      <c r="J1153" s="245" t="str">
        <f ca="1">IF(CommitmentsTable[[#This Row],[Date Assigned if different from entry date]]&lt;&gt;"",CommitmentsTable[[#This Row],[Date Assigned if different from entry date]]+30,IF(CommitmentsTable[[#This Row],[Date record entered]]&lt;&gt;"",CommitmentsTable[[#This Row],[Date record entered]]+30,""))</f>
        <v/>
      </c>
      <c r="K1153" s="245"/>
      <c r="L1153" s="245" t="str">
        <f ca="1">IF(CommitmentsTable[[#This Row],[Date Assigned if different from entry date]]&lt;&gt;"",CommitmentsTable[[#This Row],[Date Assigned if different from entry date]]+60,IF(CommitmentsTable[[#This Row],[Date record entered]]&lt;&gt;"",CommitmentsTable[[#This Row],[Date record entered]]+60,""))</f>
        <v/>
      </c>
      <c r="M1153" s="214"/>
      <c r="N1153" s="214"/>
      <c r="O1153" s="236"/>
      <c r="P1153" s="214"/>
      <c r="Q1153" s="214"/>
      <c r="R1153" s="214"/>
      <c r="S1153" s="238" t="str">
        <f>IF(CommitmentsTable[[#This Row],[Commitment / deliverable]]="","",IF(CommitmentsTable[[#This Row],[Revised due]]&lt;&gt;"",CommitmentsTable[[#This Row],[Revised due]],CommitmentsTable[[#This Row],[Original due]]))</f>
        <v/>
      </c>
      <c r="T1153" s="237" t="str">
        <f>IF(OR(CommitmentsTable[[#This Row],[Commitment / deliverable]]="",CommitmentsTable[[#This Row],[Owner]]=""),"",IF(CommitmentsTable[[#This Row],[Status2]]="","Open",CommitmentsTable[[#This Row],[Status2]]))</f>
        <v/>
      </c>
      <c r="U1153" s="237" t="str">
        <f t="shared" ca="1" si="17"/>
        <v/>
      </c>
      <c r="V1153" s="233"/>
      <c r="W1153" s="63" t="s">
        <v>2055</v>
      </c>
    </row>
    <row r="1154" spans="1:23" ht="26">
      <c r="A1154" s="213" t="str">
        <f>IF(OR(CommitmentsTable[[#This Row],[Commitment / deliverable]]="",CommitmentsTable[[#This Row],[Immutable Key]]=""),"",SUBSTITUTE(CommitmentsTable[[#This Row],[Immutable Key]],"-K-","-"))</f>
        <v/>
      </c>
      <c r="B1154" s="233"/>
      <c r="C1154" s="233"/>
      <c r="D1154" s="213"/>
      <c r="E1154" s="230"/>
      <c r="F1154" s="213"/>
      <c r="G1154" s="245" t="str">
        <f ca="1">IF(CommitmentsTable[[#This Row],[Commitment / deliverable]]="","",IF(CommitmentsTable[[#This Row],[Date record entered]]="",TODAY(),CommitmentsTable[[#This Row],[Date record entered]]))</f>
        <v/>
      </c>
      <c r="H1154" s="245"/>
      <c r="I1154" s="245" t="str">
        <f ca="1">IF(CommitmentsTable[[#This Row],[Date Assigned if different from entry date]]&lt;&gt;"",CommitmentsTable[[#This Row],[Date Assigned if different from entry date]]+90,IF(CommitmentsTable[[#This Row],[Date record entered]]&lt;&gt;"",CommitmentsTable[[#This Row],[Date record entered]]+90,""))</f>
        <v/>
      </c>
      <c r="J1154" s="245" t="str">
        <f ca="1">IF(CommitmentsTable[[#This Row],[Date Assigned if different from entry date]]&lt;&gt;"",CommitmentsTable[[#This Row],[Date Assigned if different from entry date]]+30,IF(CommitmentsTable[[#This Row],[Date record entered]]&lt;&gt;"",CommitmentsTable[[#This Row],[Date record entered]]+30,""))</f>
        <v/>
      </c>
      <c r="K1154" s="245"/>
      <c r="L1154" s="245" t="str">
        <f ca="1">IF(CommitmentsTable[[#This Row],[Date Assigned if different from entry date]]&lt;&gt;"",CommitmentsTable[[#This Row],[Date Assigned if different from entry date]]+60,IF(CommitmentsTable[[#This Row],[Date record entered]]&lt;&gt;"",CommitmentsTable[[#This Row],[Date record entered]]+60,""))</f>
        <v/>
      </c>
      <c r="M1154" s="214"/>
      <c r="N1154" s="214"/>
      <c r="O1154" s="236"/>
      <c r="P1154" s="214"/>
      <c r="Q1154" s="214"/>
      <c r="R1154" s="214"/>
      <c r="S1154" s="238" t="str">
        <f>IF(CommitmentsTable[[#This Row],[Commitment / deliverable]]="","",IF(CommitmentsTable[[#This Row],[Revised due]]&lt;&gt;"",CommitmentsTable[[#This Row],[Revised due]],CommitmentsTable[[#This Row],[Original due]]))</f>
        <v/>
      </c>
      <c r="T1154" s="237" t="str">
        <f>IF(OR(CommitmentsTable[[#This Row],[Commitment / deliverable]]="",CommitmentsTable[[#This Row],[Owner]]=""),"",IF(CommitmentsTable[[#This Row],[Status2]]="","Open",CommitmentsTable[[#This Row],[Status2]]))</f>
        <v/>
      </c>
      <c r="U1154" s="237" t="str">
        <f t="shared" ca="1" si="17"/>
        <v/>
      </c>
      <c r="V1154" s="233"/>
      <c r="W1154" s="63" t="s">
        <v>2056</v>
      </c>
    </row>
    <row r="1155" spans="1:23" ht="26">
      <c r="A1155" s="213" t="str">
        <f>IF(OR(CommitmentsTable[[#This Row],[Commitment / deliverable]]="",CommitmentsTable[[#This Row],[Immutable Key]]=""),"",SUBSTITUTE(CommitmentsTable[[#This Row],[Immutable Key]],"-K-","-"))</f>
        <v/>
      </c>
      <c r="B1155" s="233"/>
      <c r="C1155" s="233"/>
      <c r="D1155" s="213"/>
      <c r="E1155" s="230"/>
      <c r="F1155" s="213"/>
      <c r="G1155" s="245" t="str">
        <f ca="1">IF(CommitmentsTable[[#This Row],[Commitment / deliverable]]="","",IF(CommitmentsTable[[#This Row],[Date record entered]]="",TODAY(),CommitmentsTable[[#This Row],[Date record entered]]))</f>
        <v/>
      </c>
      <c r="H1155" s="245"/>
      <c r="I1155" s="245" t="str">
        <f ca="1">IF(CommitmentsTable[[#This Row],[Date Assigned if different from entry date]]&lt;&gt;"",CommitmentsTable[[#This Row],[Date Assigned if different from entry date]]+90,IF(CommitmentsTable[[#This Row],[Date record entered]]&lt;&gt;"",CommitmentsTable[[#This Row],[Date record entered]]+90,""))</f>
        <v/>
      </c>
      <c r="J1155" s="245" t="str">
        <f ca="1">IF(CommitmentsTable[[#This Row],[Date Assigned if different from entry date]]&lt;&gt;"",CommitmentsTable[[#This Row],[Date Assigned if different from entry date]]+30,IF(CommitmentsTable[[#This Row],[Date record entered]]&lt;&gt;"",CommitmentsTable[[#This Row],[Date record entered]]+30,""))</f>
        <v/>
      </c>
      <c r="K1155" s="245"/>
      <c r="L1155" s="245" t="str">
        <f ca="1">IF(CommitmentsTable[[#This Row],[Date Assigned if different from entry date]]&lt;&gt;"",CommitmentsTable[[#This Row],[Date Assigned if different from entry date]]+60,IF(CommitmentsTable[[#This Row],[Date record entered]]&lt;&gt;"",CommitmentsTable[[#This Row],[Date record entered]]+60,""))</f>
        <v/>
      </c>
      <c r="M1155" s="214"/>
      <c r="N1155" s="214"/>
      <c r="O1155" s="236"/>
      <c r="P1155" s="214"/>
      <c r="Q1155" s="214"/>
      <c r="R1155" s="214"/>
      <c r="S1155" s="238" t="str">
        <f>IF(CommitmentsTable[[#This Row],[Commitment / deliverable]]="","",IF(CommitmentsTable[[#This Row],[Revised due]]&lt;&gt;"",CommitmentsTable[[#This Row],[Revised due]],CommitmentsTable[[#This Row],[Original due]]))</f>
        <v/>
      </c>
      <c r="T1155" s="237" t="str">
        <f>IF(OR(CommitmentsTable[[#This Row],[Commitment / deliverable]]="",CommitmentsTable[[#This Row],[Owner]]=""),"",IF(CommitmentsTable[[#This Row],[Status2]]="","Open",CommitmentsTable[[#This Row],[Status2]]))</f>
        <v/>
      </c>
      <c r="U1155" s="237" t="str">
        <f t="shared" ca="1" si="17"/>
        <v/>
      </c>
      <c r="V1155" s="233"/>
      <c r="W1155" s="63" t="s">
        <v>2057</v>
      </c>
    </row>
    <row r="1156" spans="1:23" ht="26">
      <c r="A1156" s="213" t="str">
        <f>IF(OR(CommitmentsTable[[#This Row],[Commitment / deliverable]]="",CommitmentsTable[[#This Row],[Immutable Key]]=""),"",SUBSTITUTE(CommitmentsTable[[#This Row],[Immutable Key]],"-K-","-"))</f>
        <v/>
      </c>
      <c r="B1156" s="233"/>
      <c r="C1156" s="233"/>
      <c r="D1156" s="213"/>
      <c r="E1156" s="230"/>
      <c r="F1156" s="213"/>
      <c r="G1156" s="245" t="str">
        <f ca="1">IF(CommitmentsTable[[#This Row],[Commitment / deliverable]]="","",IF(CommitmentsTable[[#This Row],[Date record entered]]="",TODAY(),CommitmentsTable[[#This Row],[Date record entered]]))</f>
        <v/>
      </c>
      <c r="H1156" s="245"/>
      <c r="I1156" s="245" t="str">
        <f ca="1">IF(CommitmentsTable[[#This Row],[Date Assigned if different from entry date]]&lt;&gt;"",CommitmentsTable[[#This Row],[Date Assigned if different from entry date]]+90,IF(CommitmentsTable[[#This Row],[Date record entered]]&lt;&gt;"",CommitmentsTable[[#This Row],[Date record entered]]+90,""))</f>
        <v/>
      </c>
      <c r="J1156" s="245" t="str">
        <f ca="1">IF(CommitmentsTable[[#This Row],[Date Assigned if different from entry date]]&lt;&gt;"",CommitmentsTable[[#This Row],[Date Assigned if different from entry date]]+30,IF(CommitmentsTable[[#This Row],[Date record entered]]&lt;&gt;"",CommitmentsTable[[#This Row],[Date record entered]]+30,""))</f>
        <v/>
      </c>
      <c r="K1156" s="245"/>
      <c r="L1156" s="245" t="str">
        <f ca="1">IF(CommitmentsTable[[#This Row],[Date Assigned if different from entry date]]&lt;&gt;"",CommitmentsTable[[#This Row],[Date Assigned if different from entry date]]+60,IF(CommitmentsTable[[#This Row],[Date record entered]]&lt;&gt;"",CommitmentsTable[[#This Row],[Date record entered]]+60,""))</f>
        <v/>
      </c>
      <c r="M1156" s="214"/>
      <c r="N1156" s="214"/>
      <c r="O1156" s="236"/>
      <c r="P1156" s="214"/>
      <c r="Q1156" s="214"/>
      <c r="R1156" s="214"/>
      <c r="S1156" s="238" t="str">
        <f>IF(CommitmentsTable[[#This Row],[Commitment / deliverable]]="","",IF(CommitmentsTable[[#This Row],[Revised due]]&lt;&gt;"",CommitmentsTable[[#This Row],[Revised due]],CommitmentsTable[[#This Row],[Original due]]))</f>
        <v/>
      </c>
      <c r="T1156" s="237" t="str">
        <f>IF(OR(CommitmentsTable[[#This Row],[Commitment / deliverable]]="",CommitmentsTable[[#This Row],[Owner]]=""),"",IF(CommitmentsTable[[#This Row],[Status2]]="","Open",CommitmentsTable[[#This Row],[Status2]]))</f>
        <v/>
      </c>
      <c r="U1156" s="237" t="str">
        <f t="shared" ca="1" si="17"/>
        <v/>
      </c>
      <c r="V1156" s="233"/>
      <c r="W1156" s="63" t="s">
        <v>2058</v>
      </c>
    </row>
    <row r="1157" spans="1:23" ht="26">
      <c r="A1157" s="213" t="str">
        <f>IF(OR(CommitmentsTable[[#This Row],[Commitment / deliverable]]="",CommitmentsTable[[#This Row],[Immutable Key]]=""),"",SUBSTITUTE(CommitmentsTable[[#This Row],[Immutable Key]],"-K-","-"))</f>
        <v/>
      </c>
      <c r="B1157" s="233"/>
      <c r="C1157" s="233"/>
      <c r="D1157" s="213"/>
      <c r="E1157" s="230"/>
      <c r="F1157" s="213"/>
      <c r="G1157" s="245" t="str">
        <f ca="1">IF(CommitmentsTable[[#This Row],[Commitment / deliverable]]="","",IF(CommitmentsTable[[#This Row],[Date record entered]]="",TODAY(),CommitmentsTable[[#This Row],[Date record entered]]))</f>
        <v/>
      </c>
      <c r="H1157" s="245"/>
      <c r="I1157" s="245" t="str">
        <f ca="1">IF(CommitmentsTable[[#This Row],[Date Assigned if different from entry date]]&lt;&gt;"",CommitmentsTable[[#This Row],[Date Assigned if different from entry date]]+90,IF(CommitmentsTable[[#This Row],[Date record entered]]&lt;&gt;"",CommitmentsTable[[#This Row],[Date record entered]]+90,""))</f>
        <v/>
      </c>
      <c r="J1157" s="245" t="str">
        <f ca="1">IF(CommitmentsTable[[#This Row],[Date Assigned if different from entry date]]&lt;&gt;"",CommitmentsTable[[#This Row],[Date Assigned if different from entry date]]+30,IF(CommitmentsTable[[#This Row],[Date record entered]]&lt;&gt;"",CommitmentsTable[[#This Row],[Date record entered]]+30,""))</f>
        <v/>
      </c>
      <c r="K1157" s="245"/>
      <c r="L1157" s="245" t="str">
        <f ca="1">IF(CommitmentsTable[[#This Row],[Date Assigned if different from entry date]]&lt;&gt;"",CommitmentsTable[[#This Row],[Date Assigned if different from entry date]]+60,IF(CommitmentsTable[[#This Row],[Date record entered]]&lt;&gt;"",CommitmentsTable[[#This Row],[Date record entered]]+60,""))</f>
        <v/>
      </c>
      <c r="M1157" s="214"/>
      <c r="N1157" s="214"/>
      <c r="O1157" s="236"/>
      <c r="P1157" s="214"/>
      <c r="Q1157" s="214"/>
      <c r="R1157" s="214"/>
      <c r="S1157" s="238" t="str">
        <f>IF(CommitmentsTable[[#This Row],[Commitment / deliverable]]="","",IF(CommitmentsTable[[#This Row],[Revised due]]&lt;&gt;"",CommitmentsTable[[#This Row],[Revised due]],CommitmentsTable[[#This Row],[Original due]]))</f>
        <v/>
      </c>
      <c r="T1157" s="237" t="str">
        <f>IF(OR(CommitmentsTable[[#This Row],[Commitment / deliverable]]="",CommitmentsTable[[#This Row],[Owner]]=""),"",IF(CommitmentsTable[[#This Row],[Status2]]="","Open",CommitmentsTable[[#This Row],[Status2]]))</f>
        <v/>
      </c>
      <c r="U1157" s="237" t="str">
        <f t="shared" ca="1" si="17"/>
        <v/>
      </c>
      <c r="V1157" s="233"/>
      <c r="W1157" s="63" t="s">
        <v>2059</v>
      </c>
    </row>
    <row r="1158" spans="1:23" ht="26">
      <c r="A1158" s="213" t="str">
        <f>IF(OR(CommitmentsTable[[#This Row],[Commitment / deliverable]]="",CommitmentsTable[[#This Row],[Immutable Key]]=""),"",SUBSTITUTE(CommitmentsTable[[#This Row],[Immutable Key]],"-K-","-"))</f>
        <v/>
      </c>
      <c r="B1158" s="233"/>
      <c r="C1158" s="233"/>
      <c r="D1158" s="213"/>
      <c r="E1158" s="230"/>
      <c r="F1158" s="213"/>
      <c r="G1158" s="245" t="str">
        <f ca="1">IF(CommitmentsTable[[#This Row],[Commitment / deliverable]]="","",IF(CommitmentsTable[[#This Row],[Date record entered]]="",TODAY(),CommitmentsTable[[#This Row],[Date record entered]]))</f>
        <v/>
      </c>
      <c r="H1158" s="245"/>
      <c r="I1158" s="245" t="str">
        <f ca="1">IF(CommitmentsTable[[#This Row],[Date Assigned if different from entry date]]&lt;&gt;"",CommitmentsTable[[#This Row],[Date Assigned if different from entry date]]+90,IF(CommitmentsTable[[#This Row],[Date record entered]]&lt;&gt;"",CommitmentsTable[[#This Row],[Date record entered]]+90,""))</f>
        <v/>
      </c>
      <c r="J1158" s="245" t="str">
        <f ca="1">IF(CommitmentsTable[[#This Row],[Date Assigned if different from entry date]]&lt;&gt;"",CommitmentsTable[[#This Row],[Date Assigned if different from entry date]]+30,IF(CommitmentsTable[[#This Row],[Date record entered]]&lt;&gt;"",CommitmentsTable[[#This Row],[Date record entered]]+30,""))</f>
        <v/>
      </c>
      <c r="K1158" s="245"/>
      <c r="L1158" s="245" t="str">
        <f ca="1">IF(CommitmentsTable[[#This Row],[Date Assigned if different from entry date]]&lt;&gt;"",CommitmentsTable[[#This Row],[Date Assigned if different from entry date]]+60,IF(CommitmentsTable[[#This Row],[Date record entered]]&lt;&gt;"",CommitmentsTable[[#This Row],[Date record entered]]+60,""))</f>
        <v/>
      </c>
      <c r="M1158" s="214"/>
      <c r="N1158" s="214"/>
      <c r="O1158" s="236"/>
      <c r="P1158" s="214"/>
      <c r="Q1158" s="214"/>
      <c r="R1158" s="214"/>
      <c r="S1158" s="238" t="str">
        <f>IF(CommitmentsTable[[#This Row],[Commitment / deliverable]]="","",IF(CommitmentsTable[[#This Row],[Revised due]]&lt;&gt;"",CommitmentsTable[[#This Row],[Revised due]],CommitmentsTable[[#This Row],[Original due]]))</f>
        <v/>
      </c>
      <c r="T1158" s="237" t="str">
        <f>IF(OR(CommitmentsTable[[#This Row],[Commitment / deliverable]]="",CommitmentsTable[[#This Row],[Owner]]=""),"",IF(CommitmentsTable[[#This Row],[Status2]]="","Open",CommitmentsTable[[#This Row],[Status2]]))</f>
        <v/>
      </c>
      <c r="U1158" s="237" t="str">
        <f t="shared" ca="1" si="17"/>
        <v/>
      </c>
      <c r="V1158" s="233"/>
      <c r="W1158" s="63" t="s">
        <v>2060</v>
      </c>
    </row>
    <row r="1159" spans="1:23" ht="26">
      <c r="A1159" s="213" t="str">
        <f>IF(OR(CommitmentsTable[[#This Row],[Commitment / deliverable]]="",CommitmentsTable[[#This Row],[Immutable Key]]=""),"",SUBSTITUTE(CommitmentsTable[[#This Row],[Immutable Key]],"-K-","-"))</f>
        <v/>
      </c>
      <c r="B1159" s="233"/>
      <c r="C1159" s="233"/>
      <c r="D1159" s="213"/>
      <c r="E1159" s="230"/>
      <c r="F1159" s="213"/>
      <c r="G1159" s="245" t="str">
        <f ca="1">IF(CommitmentsTable[[#This Row],[Commitment / deliverable]]="","",IF(CommitmentsTable[[#This Row],[Date record entered]]="",TODAY(),CommitmentsTable[[#This Row],[Date record entered]]))</f>
        <v/>
      </c>
      <c r="H1159" s="245"/>
      <c r="I1159" s="245" t="str">
        <f ca="1">IF(CommitmentsTable[[#This Row],[Date Assigned if different from entry date]]&lt;&gt;"",CommitmentsTable[[#This Row],[Date Assigned if different from entry date]]+90,IF(CommitmentsTable[[#This Row],[Date record entered]]&lt;&gt;"",CommitmentsTable[[#This Row],[Date record entered]]+90,""))</f>
        <v/>
      </c>
      <c r="J1159" s="245" t="str">
        <f ca="1">IF(CommitmentsTable[[#This Row],[Date Assigned if different from entry date]]&lt;&gt;"",CommitmentsTable[[#This Row],[Date Assigned if different from entry date]]+30,IF(CommitmentsTable[[#This Row],[Date record entered]]&lt;&gt;"",CommitmentsTable[[#This Row],[Date record entered]]+30,""))</f>
        <v/>
      </c>
      <c r="K1159" s="245"/>
      <c r="L1159" s="245" t="str">
        <f ca="1">IF(CommitmentsTable[[#This Row],[Date Assigned if different from entry date]]&lt;&gt;"",CommitmentsTable[[#This Row],[Date Assigned if different from entry date]]+60,IF(CommitmentsTable[[#This Row],[Date record entered]]&lt;&gt;"",CommitmentsTable[[#This Row],[Date record entered]]+60,""))</f>
        <v/>
      </c>
      <c r="M1159" s="214"/>
      <c r="N1159" s="214"/>
      <c r="O1159" s="236"/>
      <c r="P1159" s="214"/>
      <c r="Q1159" s="214"/>
      <c r="R1159" s="214"/>
      <c r="S1159" s="238" t="str">
        <f>IF(CommitmentsTable[[#This Row],[Commitment / deliverable]]="","",IF(CommitmentsTable[[#This Row],[Revised due]]&lt;&gt;"",CommitmentsTable[[#This Row],[Revised due]],CommitmentsTable[[#This Row],[Original due]]))</f>
        <v/>
      </c>
      <c r="T1159" s="237" t="str">
        <f>IF(OR(CommitmentsTable[[#This Row],[Commitment / deliverable]]="",CommitmentsTable[[#This Row],[Owner]]=""),"",IF(CommitmentsTable[[#This Row],[Status2]]="","Open",CommitmentsTable[[#This Row],[Status2]]))</f>
        <v/>
      </c>
      <c r="U1159" s="237" t="str">
        <f t="shared" ca="1" si="17"/>
        <v/>
      </c>
      <c r="V1159" s="233"/>
      <c r="W1159" s="63" t="s">
        <v>2061</v>
      </c>
    </row>
    <row r="1160" spans="1:23" ht="26">
      <c r="A1160" s="213" t="str">
        <f>IF(OR(CommitmentsTable[[#This Row],[Commitment / deliverable]]="",CommitmentsTable[[#This Row],[Immutable Key]]=""),"",SUBSTITUTE(CommitmentsTable[[#This Row],[Immutable Key]],"-K-","-"))</f>
        <v/>
      </c>
      <c r="B1160" s="233"/>
      <c r="C1160" s="233"/>
      <c r="D1160" s="213"/>
      <c r="E1160" s="230"/>
      <c r="F1160" s="213"/>
      <c r="G1160" s="245" t="str">
        <f ca="1">IF(CommitmentsTable[[#This Row],[Commitment / deliverable]]="","",IF(CommitmentsTable[[#This Row],[Date record entered]]="",TODAY(),CommitmentsTable[[#This Row],[Date record entered]]))</f>
        <v/>
      </c>
      <c r="H1160" s="245"/>
      <c r="I1160" s="245" t="str">
        <f ca="1">IF(CommitmentsTable[[#This Row],[Date Assigned if different from entry date]]&lt;&gt;"",CommitmentsTable[[#This Row],[Date Assigned if different from entry date]]+90,IF(CommitmentsTable[[#This Row],[Date record entered]]&lt;&gt;"",CommitmentsTable[[#This Row],[Date record entered]]+90,""))</f>
        <v/>
      </c>
      <c r="J1160" s="245" t="str">
        <f ca="1">IF(CommitmentsTable[[#This Row],[Date Assigned if different from entry date]]&lt;&gt;"",CommitmentsTable[[#This Row],[Date Assigned if different from entry date]]+30,IF(CommitmentsTable[[#This Row],[Date record entered]]&lt;&gt;"",CommitmentsTable[[#This Row],[Date record entered]]+30,""))</f>
        <v/>
      </c>
      <c r="K1160" s="245"/>
      <c r="L1160" s="245" t="str">
        <f ca="1">IF(CommitmentsTable[[#This Row],[Date Assigned if different from entry date]]&lt;&gt;"",CommitmentsTable[[#This Row],[Date Assigned if different from entry date]]+60,IF(CommitmentsTable[[#This Row],[Date record entered]]&lt;&gt;"",CommitmentsTable[[#This Row],[Date record entered]]+60,""))</f>
        <v/>
      </c>
      <c r="M1160" s="214"/>
      <c r="N1160" s="214"/>
      <c r="O1160" s="236"/>
      <c r="P1160" s="214"/>
      <c r="Q1160" s="214"/>
      <c r="R1160" s="214"/>
      <c r="S1160" s="238" t="str">
        <f>IF(CommitmentsTable[[#This Row],[Commitment / deliverable]]="","",IF(CommitmentsTable[[#This Row],[Revised due]]&lt;&gt;"",CommitmentsTable[[#This Row],[Revised due]],CommitmentsTable[[#This Row],[Original due]]))</f>
        <v/>
      </c>
      <c r="T1160" s="237" t="str">
        <f>IF(OR(CommitmentsTable[[#This Row],[Commitment / deliverable]]="",CommitmentsTable[[#This Row],[Owner]]=""),"",IF(CommitmentsTable[[#This Row],[Status2]]="","Open",CommitmentsTable[[#This Row],[Status2]]))</f>
        <v/>
      </c>
      <c r="U1160" s="237" t="str">
        <f t="shared" ca="1" si="17"/>
        <v/>
      </c>
      <c r="V1160" s="233"/>
      <c r="W1160" s="63" t="s">
        <v>2062</v>
      </c>
    </row>
    <row r="1161" spans="1:23" ht="26">
      <c r="A1161" s="213" t="str">
        <f>IF(OR(CommitmentsTable[[#This Row],[Commitment / deliverable]]="",CommitmentsTable[[#This Row],[Immutable Key]]=""),"",SUBSTITUTE(CommitmentsTable[[#This Row],[Immutable Key]],"-K-","-"))</f>
        <v/>
      </c>
      <c r="B1161" s="233"/>
      <c r="C1161" s="233"/>
      <c r="D1161" s="213"/>
      <c r="E1161" s="230"/>
      <c r="F1161" s="213"/>
      <c r="G1161" s="245" t="str">
        <f ca="1">IF(CommitmentsTable[[#This Row],[Commitment / deliverable]]="","",IF(CommitmentsTable[[#This Row],[Date record entered]]="",TODAY(),CommitmentsTable[[#This Row],[Date record entered]]))</f>
        <v/>
      </c>
      <c r="H1161" s="245"/>
      <c r="I1161" s="245" t="str">
        <f ca="1">IF(CommitmentsTable[[#This Row],[Date Assigned if different from entry date]]&lt;&gt;"",CommitmentsTable[[#This Row],[Date Assigned if different from entry date]]+90,IF(CommitmentsTable[[#This Row],[Date record entered]]&lt;&gt;"",CommitmentsTable[[#This Row],[Date record entered]]+90,""))</f>
        <v/>
      </c>
      <c r="J1161" s="245" t="str">
        <f ca="1">IF(CommitmentsTable[[#This Row],[Date Assigned if different from entry date]]&lt;&gt;"",CommitmentsTable[[#This Row],[Date Assigned if different from entry date]]+30,IF(CommitmentsTable[[#This Row],[Date record entered]]&lt;&gt;"",CommitmentsTable[[#This Row],[Date record entered]]+30,""))</f>
        <v/>
      </c>
      <c r="K1161" s="245"/>
      <c r="L1161" s="245" t="str">
        <f ca="1">IF(CommitmentsTable[[#This Row],[Date Assigned if different from entry date]]&lt;&gt;"",CommitmentsTable[[#This Row],[Date Assigned if different from entry date]]+60,IF(CommitmentsTable[[#This Row],[Date record entered]]&lt;&gt;"",CommitmentsTable[[#This Row],[Date record entered]]+60,""))</f>
        <v/>
      </c>
      <c r="M1161" s="214"/>
      <c r="N1161" s="214"/>
      <c r="O1161" s="236"/>
      <c r="P1161" s="214"/>
      <c r="Q1161" s="214"/>
      <c r="R1161" s="214"/>
      <c r="S1161" s="238" t="str">
        <f>IF(CommitmentsTable[[#This Row],[Commitment / deliverable]]="","",IF(CommitmentsTable[[#This Row],[Revised due]]&lt;&gt;"",CommitmentsTable[[#This Row],[Revised due]],CommitmentsTable[[#This Row],[Original due]]))</f>
        <v/>
      </c>
      <c r="T1161" s="237" t="str">
        <f>IF(OR(CommitmentsTable[[#This Row],[Commitment / deliverable]]="",CommitmentsTable[[#This Row],[Owner]]=""),"",IF(CommitmentsTable[[#This Row],[Status2]]="","Open",CommitmentsTable[[#This Row],[Status2]]))</f>
        <v/>
      </c>
      <c r="U1161" s="237" t="str">
        <f t="shared" ca="1" si="17"/>
        <v/>
      </c>
      <c r="V1161" s="233"/>
      <c r="W1161" s="63" t="s">
        <v>2063</v>
      </c>
    </row>
    <row r="1162" spans="1:23" ht="26">
      <c r="A1162" s="213" t="str">
        <f>IF(OR(CommitmentsTable[[#This Row],[Commitment / deliverable]]="",CommitmentsTable[[#This Row],[Immutable Key]]=""),"",SUBSTITUTE(CommitmentsTable[[#This Row],[Immutable Key]],"-K-","-"))</f>
        <v/>
      </c>
      <c r="B1162" s="233"/>
      <c r="C1162" s="233"/>
      <c r="D1162" s="213"/>
      <c r="E1162" s="230"/>
      <c r="F1162" s="213"/>
      <c r="G1162" s="245" t="str">
        <f ca="1">IF(CommitmentsTable[[#This Row],[Commitment / deliverable]]="","",IF(CommitmentsTable[[#This Row],[Date record entered]]="",TODAY(),CommitmentsTable[[#This Row],[Date record entered]]))</f>
        <v/>
      </c>
      <c r="H1162" s="245"/>
      <c r="I1162" s="245" t="str">
        <f ca="1">IF(CommitmentsTable[[#This Row],[Date Assigned if different from entry date]]&lt;&gt;"",CommitmentsTable[[#This Row],[Date Assigned if different from entry date]]+90,IF(CommitmentsTable[[#This Row],[Date record entered]]&lt;&gt;"",CommitmentsTable[[#This Row],[Date record entered]]+90,""))</f>
        <v/>
      </c>
      <c r="J1162" s="245" t="str">
        <f ca="1">IF(CommitmentsTable[[#This Row],[Date Assigned if different from entry date]]&lt;&gt;"",CommitmentsTable[[#This Row],[Date Assigned if different from entry date]]+30,IF(CommitmentsTable[[#This Row],[Date record entered]]&lt;&gt;"",CommitmentsTable[[#This Row],[Date record entered]]+30,""))</f>
        <v/>
      </c>
      <c r="K1162" s="245"/>
      <c r="L1162" s="245" t="str">
        <f ca="1">IF(CommitmentsTable[[#This Row],[Date Assigned if different from entry date]]&lt;&gt;"",CommitmentsTable[[#This Row],[Date Assigned if different from entry date]]+60,IF(CommitmentsTable[[#This Row],[Date record entered]]&lt;&gt;"",CommitmentsTable[[#This Row],[Date record entered]]+60,""))</f>
        <v/>
      </c>
      <c r="M1162" s="214"/>
      <c r="N1162" s="214"/>
      <c r="O1162" s="236"/>
      <c r="P1162" s="214"/>
      <c r="Q1162" s="214"/>
      <c r="R1162" s="214"/>
      <c r="S1162" s="238" t="str">
        <f>IF(CommitmentsTable[[#This Row],[Commitment / deliverable]]="","",IF(CommitmentsTable[[#This Row],[Revised due]]&lt;&gt;"",CommitmentsTable[[#This Row],[Revised due]],CommitmentsTable[[#This Row],[Original due]]))</f>
        <v/>
      </c>
      <c r="T1162" s="237" t="str">
        <f>IF(OR(CommitmentsTable[[#This Row],[Commitment / deliverable]]="",CommitmentsTable[[#This Row],[Owner]]=""),"",IF(CommitmentsTable[[#This Row],[Status2]]="","Open",CommitmentsTable[[#This Row],[Status2]]))</f>
        <v/>
      </c>
      <c r="U1162" s="237" t="str">
        <f t="shared" ca="1" si="17"/>
        <v/>
      </c>
      <c r="V1162" s="233"/>
      <c r="W1162" s="63" t="s">
        <v>2064</v>
      </c>
    </row>
    <row r="1163" spans="1:23" ht="26">
      <c r="A1163" s="213" t="str">
        <f>IF(OR(CommitmentsTable[[#This Row],[Commitment / deliverable]]="",CommitmentsTable[[#This Row],[Immutable Key]]=""),"",SUBSTITUTE(CommitmentsTable[[#This Row],[Immutable Key]],"-K-","-"))</f>
        <v/>
      </c>
      <c r="B1163" s="233"/>
      <c r="C1163" s="233"/>
      <c r="D1163" s="213"/>
      <c r="E1163" s="230"/>
      <c r="F1163" s="213"/>
      <c r="G1163" s="245" t="str">
        <f ca="1">IF(CommitmentsTable[[#This Row],[Commitment / deliverable]]="","",IF(CommitmentsTable[[#This Row],[Date record entered]]="",TODAY(),CommitmentsTable[[#This Row],[Date record entered]]))</f>
        <v/>
      </c>
      <c r="H1163" s="245"/>
      <c r="I1163" s="245" t="str">
        <f ca="1">IF(CommitmentsTable[[#This Row],[Date Assigned if different from entry date]]&lt;&gt;"",CommitmentsTable[[#This Row],[Date Assigned if different from entry date]]+90,IF(CommitmentsTable[[#This Row],[Date record entered]]&lt;&gt;"",CommitmentsTable[[#This Row],[Date record entered]]+90,""))</f>
        <v/>
      </c>
      <c r="J1163" s="245" t="str">
        <f ca="1">IF(CommitmentsTable[[#This Row],[Date Assigned if different from entry date]]&lt;&gt;"",CommitmentsTable[[#This Row],[Date Assigned if different from entry date]]+30,IF(CommitmentsTable[[#This Row],[Date record entered]]&lt;&gt;"",CommitmentsTable[[#This Row],[Date record entered]]+30,""))</f>
        <v/>
      </c>
      <c r="K1163" s="245"/>
      <c r="L1163" s="245" t="str">
        <f ca="1">IF(CommitmentsTable[[#This Row],[Date Assigned if different from entry date]]&lt;&gt;"",CommitmentsTable[[#This Row],[Date Assigned if different from entry date]]+60,IF(CommitmentsTable[[#This Row],[Date record entered]]&lt;&gt;"",CommitmentsTable[[#This Row],[Date record entered]]+60,""))</f>
        <v/>
      </c>
      <c r="M1163" s="214"/>
      <c r="N1163" s="214"/>
      <c r="O1163" s="236"/>
      <c r="P1163" s="214"/>
      <c r="Q1163" s="214"/>
      <c r="R1163" s="214"/>
      <c r="S1163" s="238" t="str">
        <f>IF(CommitmentsTable[[#This Row],[Commitment / deliverable]]="","",IF(CommitmentsTable[[#This Row],[Revised due]]&lt;&gt;"",CommitmentsTable[[#This Row],[Revised due]],CommitmentsTable[[#This Row],[Original due]]))</f>
        <v/>
      </c>
      <c r="T1163" s="237" t="str">
        <f>IF(OR(CommitmentsTable[[#This Row],[Commitment / deliverable]]="",CommitmentsTable[[#This Row],[Owner]]=""),"",IF(CommitmentsTable[[#This Row],[Status2]]="","Open",CommitmentsTable[[#This Row],[Status2]]))</f>
        <v/>
      </c>
      <c r="U1163" s="237" t="str">
        <f t="shared" ca="1" si="17"/>
        <v/>
      </c>
      <c r="V1163" s="233"/>
      <c r="W1163" s="63" t="s">
        <v>2065</v>
      </c>
    </row>
    <row r="1164" spans="1:23" ht="26">
      <c r="A1164" s="213" t="str">
        <f>IF(OR(CommitmentsTable[[#This Row],[Commitment / deliverable]]="",CommitmentsTable[[#This Row],[Immutable Key]]=""),"",SUBSTITUTE(CommitmentsTable[[#This Row],[Immutable Key]],"-K-","-"))</f>
        <v/>
      </c>
      <c r="B1164" s="233"/>
      <c r="C1164" s="233"/>
      <c r="D1164" s="213"/>
      <c r="E1164" s="230"/>
      <c r="F1164" s="213"/>
      <c r="G1164" s="245" t="str">
        <f ca="1">IF(CommitmentsTable[[#This Row],[Commitment / deliverable]]="","",IF(CommitmentsTable[[#This Row],[Date record entered]]="",TODAY(),CommitmentsTable[[#This Row],[Date record entered]]))</f>
        <v/>
      </c>
      <c r="H1164" s="245"/>
      <c r="I1164" s="245" t="str">
        <f ca="1">IF(CommitmentsTable[[#This Row],[Date Assigned if different from entry date]]&lt;&gt;"",CommitmentsTable[[#This Row],[Date Assigned if different from entry date]]+90,IF(CommitmentsTable[[#This Row],[Date record entered]]&lt;&gt;"",CommitmentsTable[[#This Row],[Date record entered]]+90,""))</f>
        <v/>
      </c>
      <c r="J1164" s="245" t="str">
        <f ca="1">IF(CommitmentsTable[[#This Row],[Date Assigned if different from entry date]]&lt;&gt;"",CommitmentsTable[[#This Row],[Date Assigned if different from entry date]]+30,IF(CommitmentsTable[[#This Row],[Date record entered]]&lt;&gt;"",CommitmentsTable[[#This Row],[Date record entered]]+30,""))</f>
        <v/>
      </c>
      <c r="K1164" s="245"/>
      <c r="L1164" s="245" t="str">
        <f ca="1">IF(CommitmentsTable[[#This Row],[Date Assigned if different from entry date]]&lt;&gt;"",CommitmentsTable[[#This Row],[Date Assigned if different from entry date]]+60,IF(CommitmentsTable[[#This Row],[Date record entered]]&lt;&gt;"",CommitmentsTable[[#This Row],[Date record entered]]+60,""))</f>
        <v/>
      </c>
      <c r="M1164" s="214"/>
      <c r="N1164" s="214"/>
      <c r="O1164" s="236"/>
      <c r="P1164" s="214"/>
      <c r="Q1164" s="214"/>
      <c r="R1164" s="214"/>
      <c r="S1164" s="238" t="str">
        <f>IF(CommitmentsTable[[#This Row],[Commitment / deliverable]]="","",IF(CommitmentsTable[[#This Row],[Revised due]]&lt;&gt;"",CommitmentsTable[[#This Row],[Revised due]],CommitmentsTable[[#This Row],[Original due]]))</f>
        <v/>
      </c>
      <c r="T1164" s="237" t="str">
        <f>IF(OR(CommitmentsTable[[#This Row],[Commitment / deliverable]]="",CommitmentsTable[[#This Row],[Owner]]=""),"",IF(CommitmentsTable[[#This Row],[Status2]]="","Open",CommitmentsTable[[#This Row],[Status2]]))</f>
        <v/>
      </c>
      <c r="U1164" s="237" t="str">
        <f t="shared" ca="1" si="17"/>
        <v/>
      </c>
      <c r="V1164" s="233"/>
      <c r="W1164" s="63" t="s">
        <v>2066</v>
      </c>
    </row>
    <row r="1165" spans="1:23" ht="26">
      <c r="A1165" s="213" t="str">
        <f>IF(OR(CommitmentsTable[[#This Row],[Commitment / deliverable]]="",CommitmentsTable[[#This Row],[Immutable Key]]=""),"",SUBSTITUTE(CommitmentsTable[[#This Row],[Immutable Key]],"-K-","-"))</f>
        <v/>
      </c>
      <c r="B1165" s="233"/>
      <c r="C1165" s="233"/>
      <c r="D1165" s="213"/>
      <c r="E1165" s="230"/>
      <c r="F1165" s="213"/>
      <c r="G1165" s="245" t="str">
        <f ca="1">IF(CommitmentsTable[[#This Row],[Commitment / deliverable]]="","",IF(CommitmentsTable[[#This Row],[Date record entered]]="",TODAY(),CommitmentsTable[[#This Row],[Date record entered]]))</f>
        <v/>
      </c>
      <c r="H1165" s="245"/>
      <c r="I1165" s="245" t="str">
        <f ca="1">IF(CommitmentsTable[[#This Row],[Date Assigned if different from entry date]]&lt;&gt;"",CommitmentsTable[[#This Row],[Date Assigned if different from entry date]]+90,IF(CommitmentsTable[[#This Row],[Date record entered]]&lt;&gt;"",CommitmentsTable[[#This Row],[Date record entered]]+90,""))</f>
        <v/>
      </c>
      <c r="J1165" s="245" t="str">
        <f ca="1">IF(CommitmentsTable[[#This Row],[Date Assigned if different from entry date]]&lt;&gt;"",CommitmentsTable[[#This Row],[Date Assigned if different from entry date]]+30,IF(CommitmentsTable[[#This Row],[Date record entered]]&lt;&gt;"",CommitmentsTable[[#This Row],[Date record entered]]+30,""))</f>
        <v/>
      </c>
      <c r="K1165" s="245"/>
      <c r="L1165" s="245" t="str">
        <f ca="1">IF(CommitmentsTable[[#This Row],[Date Assigned if different from entry date]]&lt;&gt;"",CommitmentsTable[[#This Row],[Date Assigned if different from entry date]]+60,IF(CommitmentsTable[[#This Row],[Date record entered]]&lt;&gt;"",CommitmentsTable[[#This Row],[Date record entered]]+60,""))</f>
        <v/>
      </c>
      <c r="M1165" s="214"/>
      <c r="N1165" s="214"/>
      <c r="O1165" s="236"/>
      <c r="P1165" s="214"/>
      <c r="Q1165" s="214"/>
      <c r="R1165" s="214"/>
      <c r="S1165" s="238" t="str">
        <f>IF(CommitmentsTable[[#This Row],[Commitment / deliverable]]="","",IF(CommitmentsTable[[#This Row],[Revised due]]&lt;&gt;"",CommitmentsTable[[#This Row],[Revised due]],CommitmentsTable[[#This Row],[Original due]]))</f>
        <v/>
      </c>
      <c r="T1165" s="237" t="str">
        <f>IF(OR(CommitmentsTable[[#This Row],[Commitment / deliverable]]="",CommitmentsTable[[#This Row],[Owner]]=""),"",IF(CommitmentsTable[[#This Row],[Status2]]="","Open",CommitmentsTable[[#This Row],[Status2]]))</f>
        <v/>
      </c>
      <c r="U1165" s="237" t="str">
        <f t="shared" ref="U1165:U1228" ca="1" si="18">IF(B1165="","",IF(T1165="Closed","",IF(OR(T1165="Slipped",T1165="At risk",AND(S1165&lt;&gt;"",S1165&lt;TODAY())),"Slipped / at risk",IF(G1165=TODAY(),"New today",IF(S1165=TODAY()+1,"Due tomorrow","")))))</f>
        <v/>
      </c>
      <c r="V1165" s="233"/>
      <c r="W1165" s="63" t="s">
        <v>2067</v>
      </c>
    </row>
    <row r="1166" spans="1:23" ht="26">
      <c r="A1166" s="213" t="str">
        <f>IF(OR(CommitmentsTable[[#This Row],[Commitment / deliverable]]="",CommitmentsTable[[#This Row],[Immutable Key]]=""),"",SUBSTITUTE(CommitmentsTable[[#This Row],[Immutable Key]],"-K-","-"))</f>
        <v/>
      </c>
      <c r="B1166" s="233"/>
      <c r="C1166" s="233"/>
      <c r="D1166" s="213"/>
      <c r="E1166" s="230"/>
      <c r="F1166" s="213"/>
      <c r="G1166" s="245" t="str">
        <f ca="1">IF(CommitmentsTable[[#This Row],[Commitment / deliverable]]="","",IF(CommitmentsTable[[#This Row],[Date record entered]]="",TODAY(),CommitmentsTable[[#This Row],[Date record entered]]))</f>
        <v/>
      </c>
      <c r="H1166" s="245"/>
      <c r="I1166" s="245" t="str">
        <f ca="1">IF(CommitmentsTable[[#This Row],[Date Assigned if different from entry date]]&lt;&gt;"",CommitmentsTable[[#This Row],[Date Assigned if different from entry date]]+90,IF(CommitmentsTable[[#This Row],[Date record entered]]&lt;&gt;"",CommitmentsTable[[#This Row],[Date record entered]]+90,""))</f>
        <v/>
      </c>
      <c r="J1166" s="245" t="str">
        <f ca="1">IF(CommitmentsTable[[#This Row],[Date Assigned if different from entry date]]&lt;&gt;"",CommitmentsTable[[#This Row],[Date Assigned if different from entry date]]+30,IF(CommitmentsTable[[#This Row],[Date record entered]]&lt;&gt;"",CommitmentsTable[[#This Row],[Date record entered]]+30,""))</f>
        <v/>
      </c>
      <c r="K1166" s="245"/>
      <c r="L1166" s="245" t="str">
        <f ca="1">IF(CommitmentsTable[[#This Row],[Date Assigned if different from entry date]]&lt;&gt;"",CommitmentsTable[[#This Row],[Date Assigned if different from entry date]]+60,IF(CommitmentsTable[[#This Row],[Date record entered]]&lt;&gt;"",CommitmentsTable[[#This Row],[Date record entered]]+60,""))</f>
        <v/>
      </c>
      <c r="M1166" s="214"/>
      <c r="N1166" s="214"/>
      <c r="O1166" s="236"/>
      <c r="P1166" s="214"/>
      <c r="Q1166" s="214"/>
      <c r="R1166" s="214"/>
      <c r="S1166" s="238" t="str">
        <f>IF(CommitmentsTable[[#This Row],[Commitment / deliverable]]="","",IF(CommitmentsTable[[#This Row],[Revised due]]&lt;&gt;"",CommitmentsTable[[#This Row],[Revised due]],CommitmentsTable[[#This Row],[Original due]]))</f>
        <v/>
      </c>
      <c r="T1166" s="237" t="str">
        <f>IF(OR(CommitmentsTable[[#This Row],[Commitment / deliverable]]="",CommitmentsTable[[#This Row],[Owner]]=""),"",IF(CommitmentsTable[[#This Row],[Status2]]="","Open",CommitmentsTable[[#This Row],[Status2]]))</f>
        <v/>
      </c>
      <c r="U1166" s="237" t="str">
        <f t="shared" ca="1" si="18"/>
        <v/>
      </c>
      <c r="V1166" s="233"/>
      <c r="W1166" s="63" t="s">
        <v>2068</v>
      </c>
    </row>
    <row r="1167" spans="1:23" ht="26">
      <c r="A1167" s="213" t="str">
        <f>IF(OR(CommitmentsTable[[#This Row],[Commitment / deliverable]]="",CommitmentsTable[[#This Row],[Immutable Key]]=""),"",SUBSTITUTE(CommitmentsTable[[#This Row],[Immutable Key]],"-K-","-"))</f>
        <v/>
      </c>
      <c r="B1167" s="233"/>
      <c r="C1167" s="233"/>
      <c r="D1167" s="213"/>
      <c r="E1167" s="230"/>
      <c r="F1167" s="213"/>
      <c r="G1167" s="245" t="str">
        <f ca="1">IF(CommitmentsTable[[#This Row],[Commitment / deliverable]]="","",IF(CommitmentsTable[[#This Row],[Date record entered]]="",TODAY(),CommitmentsTable[[#This Row],[Date record entered]]))</f>
        <v/>
      </c>
      <c r="H1167" s="245"/>
      <c r="I1167" s="245" t="str">
        <f ca="1">IF(CommitmentsTable[[#This Row],[Date Assigned if different from entry date]]&lt;&gt;"",CommitmentsTable[[#This Row],[Date Assigned if different from entry date]]+90,IF(CommitmentsTable[[#This Row],[Date record entered]]&lt;&gt;"",CommitmentsTable[[#This Row],[Date record entered]]+90,""))</f>
        <v/>
      </c>
      <c r="J1167" s="245" t="str">
        <f ca="1">IF(CommitmentsTable[[#This Row],[Date Assigned if different from entry date]]&lt;&gt;"",CommitmentsTable[[#This Row],[Date Assigned if different from entry date]]+30,IF(CommitmentsTable[[#This Row],[Date record entered]]&lt;&gt;"",CommitmentsTable[[#This Row],[Date record entered]]+30,""))</f>
        <v/>
      </c>
      <c r="K1167" s="245"/>
      <c r="L1167" s="245" t="str">
        <f ca="1">IF(CommitmentsTable[[#This Row],[Date Assigned if different from entry date]]&lt;&gt;"",CommitmentsTable[[#This Row],[Date Assigned if different from entry date]]+60,IF(CommitmentsTable[[#This Row],[Date record entered]]&lt;&gt;"",CommitmentsTable[[#This Row],[Date record entered]]+60,""))</f>
        <v/>
      </c>
      <c r="M1167" s="214"/>
      <c r="N1167" s="214"/>
      <c r="O1167" s="236"/>
      <c r="P1167" s="214"/>
      <c r="Q1167" s="214"/>
      <c r="R1167" s="214"/>
      <c r="S1167" s="238" t="str">
        <f>IF(CommitmentsTable[[#This Row],[Commitment / deliverable]]="","",IF(CommitmentsTable[[#This Row],[Revised due]]&lt;&gt;"",CommitmentsTable[[#This Row],[Revised due]],CommitmentsTable[[#This Row],[Original due]]))</f>
        <v/>
      </c>
      <c r="T1167" s="237" t="str">
        <f>IF(OR(CommitmentsTable[[#This Row],[Commitment / deliverable]]="",CommitmentsTable[[#This Row],[Owner]]=""),"",IF(CommitmentsTable[[#This Row],[Status2]]="","Open",CommitmentsTable[[#This Row],[Status2]]))</f>
        <v/>
      </c>
      <c r="U1167" s="237" t="str">
        <f t="shared" ca="1" si="18"/>
        <v/>
      </c>
      <c r="V1167" s="233"/>
      <c r="W1167" s="63" t="s">
        <v>2069</v>
      </c>
    </row>
    <row r="1168" spans="1:23" ht="26">
      <c r="A1168" s="213" t="str">
        <f>IF(OR(CommitmentsTable[[#This Row],[Commitment / deliverable]]="",CommitmentsTable[[#This Row],[Immutable Key]]=""),"",SUBSTITUTE(CommitmentsTable[[#This Row],[Immutable Key]],"-K-","-"))</f>
        <v/>
      </c>
      <c r="B1168" s="233"/>
      <c r="C1168" s="233"/>
      <c r="D1168" s="213"/>
      <c r="E1168" s="230"/>
      <c r="F1168" s="213"/>
      <c r="G1168" s="245" t="str">
        <f ca="1">IF(CommitmentsTable[[#This Row],[Commitment / deliverable]]="","",IF(CommitmentsTable[[#This Row],[Date record entered]]="",TODAY(),CommitmentsTable[[#This Row],[Date record entered]]))</f>
        <v/>
      </c>
      <c r="H1168" s="245"/>
      <c r="I1168" s="245" t="str">
        <f ca="1">IF(CommitmentsTable[[#This Row],[Date Assigned if different from entry date]]&lt;&gt;"",CommitmentsTable[[#This Row],[Date Assigned if different from entry date]]+90,IF(CommitmentsTable[[#This Row],[Date record entered]]&lt;&gt;"",CommitmentsTable[[#This Row],[Date record entered]]+90,""))</f>
        <v/>
      </c>
      <c r="J1168" s="245" t="str">
        <f ca="1">IF(CommitmentsTable[[#This Row],[Date Assigned if different from entry date]]&lt;&gt;"",CommitmentsTable[[#This Row],[Date Assigned if different from entry date]]+30,IF(CommitmentsTable[[#This Row],[Date record entered]]&lt;&gt;"",CommitmentsTable[[#This Row],[Date record entered]]+30,""))</f>
        <v/>
      </c>
      <c r="K1168" s="245"/>
      <c r="L1168" s="245" t="str">
        <f ca="1">IF(CommitmentsTable[[#This Row],[Date Assigned if different from entry date]]&lt;&gt;"",CommitmentsTable[[#This Row],[Date Assigned if different from entry date]]+60,IF(CommitmentsTable[[#This Row],[Date record entered]]&lt;&gt;"",CommitmentsTable[[#This Row],[Date record entered]]+60,""))</f>
        <v/>
      </c>
      <c r="M1168" s="214"/>
      <c r="N1168" s="214"/>
      <c r="O1168" s="236"/>
      <c r="P1168" s="214"/>
      <c r="Q1168" s="214"/>
      <c r="R1168" s="214"/>
      <c r="S1168" s="238" t="str">
        <f>IF(CommitmentsTable[[#This Row],[Commitment / deliverable]]="","",IF(CommitmentsTable[[#This Row],[Revised due]]&lt;&gt;"",CommitmentsTable[[#This Row],[Revised due]],CommitmentsTable[[#This Row],[Original due]]))</f>
        <v/>
      </c>
      <c r="T1168" s="237" t="str">
        <f>IF(OR(CommitmentsTable[[#This Row],[Commitment / deliverable]]="",CommitmentsTable[[#This Row],[Owner]]=""),"",IF(CommitmentsTable[[#This Row],[Status2]]="","Open",CommitmentsTable[[#This Row],[Status2]]))</f>
        <v/>
      </c>
      <c r="U1168" s="237" t="str">
        <f t="shared" ca="1" si="18"/>
        <v/>
      </c>
      <c r="V1168" s="233"/>
      <c r="W1168" s="63" t="s">
        <v>2070</v>
      </c>
    </row>
    <row r="1169" spans="1:23" ht="26">
      <c r="A1169" s="213" t="str">
        <f>IF(OR(CommitmentsTable[[#This Row],[Commitment / deliverable]]="",CommitmentsTable[[#This Row],[Immutable Key]]=""),"",SUBSTITUTE(CommitmentsTable[[#This Row],[Immutable Key]],"-K-","-"))</f>
        <v/>
      </c>
      <c r="B1169" s="233"/>
      <c r="C1169" s="233"/>
      <c r="D1169" s="213"/>
      <c r="E1169" s="230"/>
      <c r="F1169" s="213"/>
      <c r="G1169" s="245" t="str">
        <f ca="1">IF(CommitmentsTable[[#This Row],[Commitment / deliverable]]="","",IF(CommitmentsTable[[#This Row],[Date record entered]]="",TODAY(),CommitmentsTable[[#This Row],[Date record entered]]))</f>
        <v/>
      </c>
      <c r="H1169" s="245"/>
      <c r="I1169" s="245" t="str">
        <f ca="1">IF(CommitmentsTable[[#This Row],[Date Assigned if different from entry date]]&lt;&gt;"",CommitmentsTable[[#This Row],[Date Assigned if different from entry date]]+90,IF(CommitmentsTable[[#This Row],[Date record entered]]&lt;&gt;"",CommitmentsTable[[#This Row],[Date record entered]]+90,""))</f>
        <v/>
      </c>
      <c r="J1169" s="245" t="str">
        <f ca="1">IF(CommitmentsTable[[#This Row],[Date Assigned if different from entry date]]&lt;&gt;"",CommitmentsTable[[#This Row],[Date Assigned if different from entry date]]+30,IF(CommitmentsTable[[#This Row],[Date record entered]]&lt;&gt;"",CommitmentsTable[[#This Row],[Date record entered]]+30,""))</f>
        <v/>
      </c>
      <c r="K1169" s="245"/>
      <c r="L1169" s="245" t="str">
        <f ca="1">IF(CommitmentsTable[[#This Row],[Date Assigned if different from entry date]]&lt;&gt;"",CommitmentsTable[[#This Row],[Date Assigned if different from entry date]]+60,IF(CommitmentsTable[[#This Row],[Date record entered]]&lt;&gt;"",CommitmentsTable[[#This Row],[Date record entered]]+60,""))</f>
        <v/>
      </c>
      <c r="M1169" s="214"/>
      <c r="N1169" s="214"/>
      <c r="O1169" s="236"/>
      <c r="P1169" s="214"/>
      <c r="Q1169" s="214"/>
      <c r="R1169" s="214"/>
      <c r="S1169" s="238" t="str">
        <f>IF(CommitmentsTable[[#This Row],[Commitment / deliverable]]="","",IF(CommitmentsTable[[#This Row],[Revised due]]&lt;&gt;"",CommitmentsTable[[#This Row],[Revised due]],CommitmentsTable[[#This Row],[Original due]]))</f>
        <v/>
      </c>
      <c r="T1169" s="237" t="str">
        <f>IF(OR(CommitmentsTable[[#This Row],[Commitment / deliverable]]="",CommitmentsTable[[#This Row],[Owner]]=""),"",IF(CommitmentsTable[[#This Row],[Status2]]="","Open",CommitmentsTable[[#This Row],[Status2]]))</f>
        <v/>
      </c>
      <c r="U1169" s="237" t="str">
        <f t="shared" ca="1" si="18"/>
        <v/>
      </c>
      <c r="V1169" s="233"/>
      <c r="W1169" s="63" t="s">
        <v>2071</v>
      </c>
    </row>
    <row r="1170" spans="1:23" ht="26">
      <c r="A1170" s="213" t="str">
        <f>IF(OR(CommitmentsTable[[#This Row],[Commitment / deliverable]]="",CommitmentsTable[[#This Row],[Immutable Key]]=""),"",SUBSTITUTE(CommitmentsTable[[#This Row],[Immutable Key]],"-K-","-"))</f>
        <v/>
      </c>
      <c r="B1170" s="233"/>
      <c r="C1170" s="233"/>
      <c r="D1170" s="213"/>
      <c r="E1170" s="230"/>
      <c r="F1170" s="213"/>
      <c r="G1170" s="245" t="str">
        <f ca="1">IF(CommitmentsTable[[#This Row],[Commitment / deliverable]]="","",IF(CommitmentsTable[[#This Row],[Date record entered]]="",TODAY(),CommitmentsTable[[#This Row],[Date record entered]]))</f>
        <v/>
      </c>
      <c r="H1170" s="245"/>
      <c r="I1170" s="245" t="str">
        <f ca="1">IF(CommitmentsTable[[#This Row],[Date Assigned if different from entry date]]&lt;&gt;"",CommitmentsTable[[#This Row],[Date Assigned if different from entry date]]+90,IF(CommitmentsTable[[#This Row],[Date record entered]]&lt;&gt;"",CommitmentsTable[[#This Row],[Date record entered]]+90,""))</f>
        <v/>
      </c>
      <c r="J1170" s="245" t="str">
        <f ca="1">IF(CommitmentsTable[[#This Row],[Date Assigned if different from entry date]]&lt;&gt;"",CommitmentsTable[[#This Row],[Date Assigned if different from entry date]]+30,IF(CommitmentsTable[[#This Row],[Date record entered]]&lt;&gt;"",CommitmentsTable[[#This Row],[Date record entered]]+30,""))</f>
        <v/>
      </c>
      <c r="K1170" s="245"/>
      <c r="L1170" s="245" t="str">
        <f ca="1">IF(CommitmentsTable[[#This Row],[Date Assigned if different from entry date]]&lt;&gt;"",CommitmentsTable[[#This Row],[Date Assigned if different from entry date]]+60,IF(CommitmentsTable[[#This Row],[Date record entered]]&lt;&gt;"",CommitmentsTable[[#This Row],[Date record entered]]+60,""))</f>
        <v/>
      </c>
      <c r="M1170" s="214"/>
      <c r="N1170" s="214"/>
      <c r="O1170" s="236"/>
      <c r="P1170" s="214"/>
      <c r="Q1170" s="214"/>
      <c r="R1170" s="214"/>
      <c r="S1170" s="238" t="str">
        <f>IF(CommitmentsTable[[#This Row],[Commitment / deliverable]]="","",IF(CommitmentsTable[[#This Row],[Revised due]]&lt;&gt;"",CommitmentsTable[[#This Row],[Revised due]],CommitmentsTable[[#This Row],[Original due]]))</f>
        <v/>
      </c>
      <c r="T1170" s="237" t="str">
        <f>IF(OR(CommitmentsTable[[#This Row],[Commitment / deliverable]]="",CommitmentsTable[[#This Row],[Owner]]=""),"",IF(CommitmentsTable[[#This Row],[Status2]]="","Open",CommitmentsTable[[#This Row],[Status2]]))</f>
        <v/>
      </c>
      <c r="U1170" s="237" t="str">
        <f t="shared" ca="1" si="18"/>
        <v/>
      </c>
      <c r="V1170" s="233"/>
      <c r="W1170" s="63" t="s">
        <v>2072</v>
      </c>
    </row>
    <row r="1171" spans="1:23" ht="26">
      <c r="A1171" s="213" t="str">
        <f>IF(OR(CommitmentsTable[[#This Row],[Commitment / deliverable]]="",CommitmentsTable[[#This Row],[Immutable Key]]=""),"",SUBSTITUTE(CommitmentsTable[[#This Row],[Immutable Key]],"-K-","-"))</f>
        <v/>
      </c>
      <c r="B1171" s="233"/>
      <c r="C1171" s="233"/>
      <c r="D1171" s="213"/>
      <c r="E1171" s="230"/>
      <c r="F1171" s="213"/>
      <c r="G1171" s="245" t="str">
        <f ca="1">IF(CommitmentsTable[[#This Row],[Commitment / deliverable]]="","",IF(CommitmentsTable[[#This Row],[Date record entered]]="",TODAY(),CommitmentsTable[[#This Row],[Date record entered]]))</f>
        <v/>
      </c>
      <c r="H1171" s="245"/>
      <c r="I1171" s="245" t="str">
        <f ca="1">IF(CommitmentsTable[[#This Row],[Date Assigned if different from entry date]]&lt;&gt;"",CommitmentsTable[[#This Row],[Date Assigned if different from entry date]]+90,IF(CommitmentsTable[[#This Row],[Date record entered]]&lt;&gt;"",CommitmentsTable[[#This Row],[Date record entered]]+90,""))</f>
        <v/>
      </c>
      <c r="J1171" s="245" t="str">
        <f ca="1">IF(CommitmentsTable[[#This Row],[Date Assigned if different from entry date]]&lt;&gt;"",CommitmentsTable[[#This Row],[Date Assigned if different from entry date]]+30,IF(CommitmentsTable[[#This Row],[Date record entered]]&lt;&gt;"",CommitmentsTable[[#This Row],[Date record entered]]+30,""))</f>
        <v/>
      </c>
      <c r="K1171" s="245"/>
      <c r="L1171" s="245" t="str">
        <f ca="1">IF(CommitmentsTable[[#This Row],[Date Assigned if different from entry date]]&lt;&gt;"",CommitmentsTable[[#This Row],[Date Assigned if different from entry date]]+60,IF(CommitmentsTable[[#This Row],[Date record entered]]&lt;&gt;"",CommitmentsTable[[#This Row],[Date record entered]]+60,""))</f>
        <v/>
      </c>
      <c r="M1171" s="214"/>
      <c r="N1171" s="214"/>
      <c r="O1171" s="236"/>
      <c r="P1171" s="214"/>
      <c r="Q1171" s="214"/>
      <c r="R1171" s="214"/>
      <c r="S1171" s="238" t="str">
        <f>IF(CommitmentsTable[[#This Row],[Commitment / deliverable]]="","",IF(CommitmentsTable[[#This Row],[Revised due]]&lt;&gt;"",CommitmentsTable[[#This Row],[Revised due]],CommitmentsTable[[#This Row],[Original due]]))</f>
        <v/>
      </c>
      <c r="T1171" s="237" t="str">
        <f>IF(OR(CommitmentsTable[[#This Row],[Commitment / deliverable]]="",CommitmentsTable[[#This Row],[Owner]]=""),"",IF(CommitmentsTable[[#This Row],[Status2]]="","Open",CommitmentsTable[[#This Row],[Status2]]))</f>
        <v/>
      </c>
      <c r="U1171" s="237" t="str">
        <f t="shared" ca="1" si="18"/>
        <v/>
      </c>
      <c r="V1171" s="233"/>
      <c r="W1171" s="63" t="s">
        <v>2073</v>
      </c>
    </row>
    <row r="1172" spans="1:23" ht="26">
      <c r="A1172" s="213" t="str">
        <f>IF(OR(CommitmentsTable[[#This Row],[Commitment / deliverable]]="",CommitmentsTable[[#This Row],[Immutable Key]]=""),"",SUBSTITUTE(CommitmentsTable[[#This Row],[Immutable Key]],"-K-","-"))</f>
        <v/>
      </c>
      <c r="B1172" s="233"/>
      <c r="C1172" s="233"/>
      <c r="D1172" s="213"/>
      <c r="E1172" s="230"/>
      <c r="F1172" s="213"/>
      <c r="G1172" s="245" t="str">
        <f ca="1">IF(CommitmentsTable[[#This Row],[Commitment / deliverable]]="","",IF(CommitmentsTable[[#This Row],[Date record entered]]="",TODAY(),CommitmentsTable[[#This Row],[Date record entered]]))</f>
        <v/>
      </c>
      <c r="H1172" s="245"/>
      <c r="I1172" s="245" t="str">
        <f ca="1">IF(CommitmentsTable[[#This Row],[Date Assigned if different from entry date]]&lt;&gt;"",CommitmentsTable[[#This Row],[Date Assigned if different from entry date]]+90,IF(CommitmentsTable[[#This Row],[Date record entered]]&lt;&gt;"",CommitmentsTable[[#This Row],[Date record entered]]+90,""))</f>
        <v/>
      </c>
      <c r="J1172" s="245" t="str">
        <f ca="1">IF(CommitmentsTable[[#This Row],[Date Assigned if different from entry date]]&lt;&gt;"",CommitmentsTable[[#This Row],[Date Assigned if different from entry date]]+30,IF(CommitmentsTable[[#This Row],[Date record entered]]&lt;&gt;"",CommitmentsTable[[#This Row],[Date record entered]]+30,""))</f>
        <v/>
      </c>
      <c r="K1172" s="245"/>
      <c r="L1172" s="245" t="str">
        <f ca="1">IF(CommitmentsTable[[#This Row],[Date Assigned if different from entry date]]&lt;&gt;"",CommitmentsTable[[#This Row],[Date Assigned if different from entry date]]+60,IF(CommitmentsTable[[#This Row],[Date record entered]]&lt;&gt;"",CommitmentsTable[[#This Row],[Date record entered]]+60,""))</f>
        <v/>
      </c>
      <c r="M1172" s="214"/>
      <c r="N1172" s="214"/>
      <c r="O1172" s="236"/>
      <c r="P1172" s="214"/>
      <c r="Q1172" s="214"/>
      <c r="R1172" s="214"/>
      <c r="S1172" s="238" t="str">
        <f>IF(CommitmentsTable[[#This Row],[Commitment / deliverable]]="","",IF(CommitmentsTable[[#This Row],[Revised due]]&lt;&gt;"",CommitmentsTable[[#This Row],[Revised due]],CommitmentsTable[[#This Row],[Original due]]))</f>
        <v/>
      </c>
      <c r="T1172" s="237" t="str">
        <f>IF(OR(CommitmentsTable[[#This Row],[Commitment / deliverable]]="",CommitmentsTable[[#This Row],[Owner]]=""),"",IF(CommitmentsTable[[#This Row],[Status2]]="","Open",CommitmentsTable[[#This Row],[Status2]]))</f>
        <v/>
      </c>
      <c r="U1172" s="237" t="str">
        <f t="shared" ca="1" si="18"/>
        <v/>
      </c>
      <c r="V1172" s="233"/>
      <c r="W1172" s="63" t="s">
        <v>2074</v>
      </c>
    </row>
    <row r="1173" spans="1:23" ht="26">
      <c r="A1173" s="213" t="str">
        <f>IF(OR(CommitmentsTable[[#This Row],[Commitment / deliverable]]="",CommitmentsTable[[#This Row],[Immutable Key]]=""),"",SUBSTITUTE(CommitmentsTable[[#This Row],[Immutable Key]],"-K-","-"))</f>
        <v/>
      </c>
      <c r="B1173" s="233"/>
      <c r="C1173" s="233"/>
      <c r="D1173" s="213"/>
      <c r="E1173" s="230"/>
      <c r="F1173" s="213"/>
      <c r="G1173" s="245" t="str">
        <f ca="1">IF(CommitmentsTable[[#This Row],[Commitment / deliverable]]="","",IF(CommitmentsTable[[#This Row],[Date record entered]]="",TODAY(),CommitmentsTable[[#This Row],[Date record entered]]))</f>
        <v/>
      </c>
      <c r="H1173" s="245"/>
      <c r="I1173" s="245" t="str">
        <f ca="1">IF(CommitmentsTable[[#This Row],[Date Assigned if different from entry date]]&lt;&gt;"",CommitmentsTable[[#This Row],[Date Assigned if different from entry date]]+90,IF(CommitmentsTable[[#This Row],[Date record entered]]&lt;&gt;"",CommitmentsTable[[#This Row],[Date record entered]]+90,""))</f>
        <v/>
      </c>
      <c r="J1173" s="245" t="str">
        <f ca="1">IF(CommitmentsTable[[#This Row],[Date Assigned if different from entry date]]&lt;&gt;"",CommitmentsTable[[#This Row],[Date Assigned if different from entry date]]+30,IF(CommitmentsTable[[#This Row],[Date record entered]]&lt;&gt;"",CommitmentsTable[[#This Row],[Date record entered]]+30,""))</f>
        <v/>
      </c>
      <c r="K1173" s="245"/>
      <c r="L1173" s="245" t="str">
        <f ca="1">IF(CommitmentsTable[[#This Row],[Date Assigned if different from entry date]]&lt;&gt;"",CommitmentsTable[[#This Row],[Date Assigned if different from entry date]]+60,IF(CommitmentsTable[[#This Row],[Date record entered]]&lt;&gt;"",CommitmentsTable[[#This Row],[Date record entered]]+60,""))</f>
        <v/>
      </c>
      <c r="M1173" s="214"/>
      <c r="N1173" s="214"/>
      <c r="O1173" s="236"/>
      <c r="P1173" s="214"/>
      <c r="Q1173" s="214"/>
      <c r="R1173" s="214"/>
      <c r="S1173" s="238" t="str">
        <f>IF(CommitmentsTable[[#This Row],[Commitment / deliverable]]="","",IF(CommitmentsTable[[#This Row],[Revised due]]&lt;&gt;"",CommitmentsTable[[#This Row],[Revised due]],CommitmentsTable[[#This Row],[Original due]]))</f>
        <v/>
      </c>
      <c r="T1173" s="237" t="str">
        <f>IF(OR(CommitmentsTable[[#This Row],[Commitment / deliverable]]="",CommitmentsTable[[#This Row],[Owner]]=""),"",IF(CommitmentsTable[[#This Row],[Status2]]="","Open",CommitmentsTable[[#This Row],[Status2]]))</f>
        <v/>
      </c>
      <c r="U1173" s="237" t="str">
        <f t="shared" ca="1" si="18"/>
        <v/>
      </c>
      <c r="V1173" s="233"/>
      <c r="W1173" s="63" t="s">
        <v>2075</v>
      </c>
    </row>
    <row r="1174" spans="1:23" ht="26">
      <c r="A1174" s="213" t="str">
        <f>IF(OR(CommitmentsTable[[#This Row],[Commitment / deliverable]]="",CommitmentsTable[[#This Row],[Immutable Key]]=""),"",SUBSTITUTE(CommitmentsTable[[#This Row],[Immutable Key]],"-K-","-"))</f>
        <v/>
      </c>
      <c r="B1174" s="233"/>
      <c r="C1174" s="233"/>
      <c r="D1174" s="213"/>
      <c r="E1174" s="230"/>
      <c r="F1174" s="213"/>
      <c r="G1174" s="245" t="str">
        <f ca="1">IF(CommitmentsTable[[#This Row],[Commitment / deliverable]]="","",IF(CommitmentsTable[[#This Row],[Date record entered]]="",TODAY(),CommitmentsTable[[#This Row],[Date record entered]]))</f>
        <v/>
      </c>
      <c r="H1174" s="245"/>
      <c r="I1174" s="245" t="str">
        <f ca="1">IF(CommitmentsTable[[#This Row],[Date Assigned if different from entry date]]&lt;&gt;"",CommitmentsTable[[#This Row],[Date Assigned if different from entry date]]+90,IF(CommitmentsTable[[#This Row],[Date record entered]]&lt;&gt;"",CommitmentsTable[[#This Row],[Date record entered]]+90,""))</f>
        <v/>
      </c>
      <c r="J1174" s="245" t="str">
        <f ca="1">IF(CommitmentsTable[[#This Row],[Date Assigned if different from entry date]]&lt;&gt;"",CommitmentsTable[[#This Row],[Date Assigned if different from entry date]]+30,IF(CommitmentsTable[[#This Row],[Date record entered]]&lt;&gt;"",CommitmentsTable[[#This Row],[Date record entered]]+30,""))</f>
        <v/>
      </c>
      <c r="K1174" s="245"/>
      <c r="L1174" s="245" t="str">
        <f ca="1">IF(CommitmentsTable[[#This Row],[Date Assigned if different from entry date]]&lt;&gt;"",CommitmentsTable[[#This Row],[Date Assigned if different from entry date]]+60,IF(CommitmentsTable[[#This Row],[Date record entered]]&lt;&gt;"",CommitmentsTable[[#This Row],[Date record entered]]+60,""))</f>
        <v/>
      </c>
      <c r="M1174" s="214"/>
      <c r="N1174" s="214"/>
      <c r="O1174" s="236"/>
      <c r="P1174" s="214"/>
      <c r="Q1174" s="214"/>
      <c r="R1174" s="214"/>
      <c r="S1174" s="238" t="str">
        <f>IF(CommitmentsTable[[#This Row],[Commitment / deliverable]]="","",IF(CommitmentsTable[[#This Row],[Revised due]]&lt;&gt;"",CommitmentsTable[[#This Row],[Revised due]],CommitmentsTable[[#This Row],[Original due]]))</f>
        <v/>
      </c>
      <c r="T1174" s="237" t="str">
        <f>IF(OR(CommitmentsTable[[#This Row],[Commitment / deliverable]]="",CommitmentsTable[[#This Row],[Owner]]=""),"",IF(CommitmentsTable[[#This Row],[Status2]]="","Open",CommitmentsTable[[#This Row],[Status2]]))</f>
        <v/>
      </c>
      <c r="U1174" s="237" t="str">
        <f t="shared" ca="1" si="18"/>
        <v/>
      </c>
      <c r="V1174" s="233"/>
      <c r="W1174" s="63" t="s">
        <v>2076</v>
      </c>
    </row>
    <row r="1175" spans="1:23" ht="26">
      <c r="A1175" s="213" t="str">
        <f>IF(OR(CommitmentsTable[[#This Row],[Commitment / deliverable]]="",CommitmentsTable[[#This Row],[Immutable Key]]=""),"",SUBSTITUTE(CommitmentsTable[[#This Row],[Immutable Key]],"-K-","-"))</f>
        <v/>
      </c>
      <c r="B1175" s="233"/>
      <c r="C1175" s="233"/>
      <c r="D1175" s="213"/>
      <c r="E1175" s="230"/>
      <c r="F1175" s="213"/>
      <c r="G1175" s="245" t="str">
        <f ca="1">IF(CommitmentsTable[[#This Row],[Commitment / deliverable]]="","",IF(CommitmentsTable[[#This Row],[Date record entered]]="",TODAY(),CommitmentsTable[[#This Row],[Date record entered]]))</f>
        <v/>
      </c>
      <c r="H1175" s="245"/>
      <c r="I1175" s="245" t="str">
        <f ca="1">IF(CommitmentsTable[[#This Row],[Date Assigned if different from entry date]]&lt;&gt;"",CommitmentsTable[[#This Row],[Date Assigned if different from entry date]]+90,IF(CommitmentsTable[[#This Row],[Date record entered]]&lt;&gt;"",CommitmentsTable[[#This Row],[Date record entered]]+90,""))</f>
        <v/>
      </c>
      <c r="J1175" s="245" t="str">
        <f ca="1">IF(CommitmentsTable[[#This Row],[Date Assigned if different from entry date]]&lt;&gt;"",CommitmentsTable[[#This Row],[Date Assigned if different from entry date]]+30,IF(CommitmentsTable[[#This Row],[Date record entered]]&lt;&gt;"",CommitmentsTable[[#This Row],[Date record entered]]+30,""))</f>
        <v/>
      </c>
      <c r="K1175" s="245"/>
      <c r="L1175" s="245" t="str">
        <f ca="1">IF(CommitmentsTable[[#This Row],[Date Assigned if different from entry date]]&lt;&gt;"",CommitmentsTable[[#This Row],[Date Assigned if different from entry date]]+60,IF(CommitmentsTable[[#This Row],[Date record entered]]&lt;&gt;"",CommitmentsTable[[#This Row],[Date record entered]]+60,""))</f>
        <v/>
      </c>
      <c r="M1175" s="214"/>
      <c r="N1175" s="214"/>
      <c r="O1175" s="236"/>
      <c r="P1175" s="214"/>
      <c r="Q1175" s="214"/>
      <c r="R1175" s="214"/>
      <c r="S1175" s="238" t="str">
        <f>IF(CommitmentsTable[[#This Row],[Commitment / deliverable]]="","",IF(CommitmentsTable[[#This Row],[Revised due]]&lt;&gt;"",CommitmentsTable[[#This Row],[Revised due]],CommitmentsTable[[#This Row],[Original due]]))</f>
        <v/>
      </c>
      <c r="T1175" s="237" t="str">
        <f>IF(OR(CommitmentsTable[[#This Row],[Commitment / deliverable]]="",CommitmentsTable[[#This Row],[Owner]]=""),"",IF(CommitmentsTable[[#This Row],[Status2]]="","Open",CommitmentsTable[[#This Row],[Status2]]))</f>
        <v/>
      </c>
      <c r="U1175" s="237" t="str">
        <f t="shared" ca="1" si="18"/>
        <v/>
      </c>
      <c r="V1175" s="233"/>
      <c r="W1175" s="63" t="s">
        <v>2077</v>
      </c>
    </row>
    <row r="1176" spans="1:23" ht="26">
      <c r="A1176" s="213" t="str">
        <f>IF(OR(CommitmentsTable[[#This Row],[Commitment / deliverable]]="",CommitmentsTable[[#This Row],[Immutable Key]]=""),"",SUBSTITUTE(CommitmentsTable[[#This Row],[Immutable Key]],"-K-","-"))</f>
        <v/>
      </c>
      <c r="B1176" s="233"/>
      <c r="C1176" s="233"/>
      <c r="D1176" s="213"/>
      <c r="E1176" s="230"/>
      <c r="F1176" s="213"/>
      <c r="G1176" s="245" t="str">
        <f ca="1">IF(CommitmentsTable[[#This Row],[Commitment / deliverable]]="","",IF(CommitmentsTable[[#This Row],[Date record entered]]="",TODAY(),CommitmentsTable[[#This Row],[Date record entered]]))</f>
        <v/>
      </c>
      <c r="H1176" s="245"/>
      <c r="I1176" s="245" t="str">
        <f ca="1">IF(CommitmentsTable[[#This Row],[Date Assigned if different from entry date]]&lt;&gt;"",CommitmentsTable[[#This Row],[Date Assigned if different from entry date]]+90,IF(CommitmentsTable[[#This Row],[Date record entered]]&lt;&gt;"",CommitmentsTable[[#This Row],[Date record entered]]+90,""))</f>
        <v/>
      </c>
      <c r="J1176" s="245" t="str">
        <f ca="1">IF(CommitmentsTable[[#This Row],[Date Assigned if different from entry date]]&lt;&gt;"",CommitmentsTable[[#This Row],[Date Assigned if different from entry date]]+30,IF(CommitmentsTable[[#This Row],[Date record entered]]&lt;&gt;"",CommitmentsTable[[#This Row],[Date record entered]]+30,""))</f>
        <v/>
      </c>
      <c r="K1176" s="245"/>
      <c r="L1176" s="245" t="str">
        <f ca="1">IF(CommitmentsTable[[#This Row],[Date Assigned if different from entry date]]&lt;&gt;"",CommitmentsTable[[#This Row],[Date Assigned if different from entry date]]+60,IF(CommitmentsTable[[#This Row],[Date record entered]]&lt;&gt;"",CommitmentsTable[[#This Row],[Date record entered]]+60,""))</f>
        <v/>
      </c>
      <c r="M1176" s="214"/>
      <c r="N1176" s="214"/>
      <c r="O1176" s="236"/>
      <c r="P1176" s="214"/>
      <c r="Q1176" s="214"/>
      <c r="R1176" s="214"/>
      <c r="S1176" s="238" t="str">
        <f>IF(CommitmentsTable[[#This Row],[Commitment / deliverable]]="","",IF(CommitmentsTable[[#This Row],[Revised due]]&lt;&gt;"",CommitmentsTable[[#This Row],[Revised due]],CommitmentsTable[[#This Row],[Original due]]))</f>
        <v/>
      </c>
      <c r="T1176" s="237" t="str">
        <f>IF(OR(CommitmentsTable[[#This Row],[Commitment / deliverable]]="",CommitmentsTable[[#This Row],[Owner]]=""),"",IF(CommitmentsTable[[#This Row],[Status2]]="","Open",CommitmentsTable[[#This Row],[Status2]]))</f>
        <v/>
      </c>
      <c r="U1176" s="237" t="str">
        <f t="shared" ca="1" si="18"/>
        <v/>
      </c>
      <c r="V1176" s="233"/>
      <c r="W1176" s="63" t="s">
        <v>2078</v>
      </c>
    </row>
    <row r="1177" spans="1:23" ht="26">
      <c r="A1177" s="213" t="str">
        <f>IF(OR(CommitmentsTable[[#This Row],[Commitment / deliverable]]="",CommitmentsTable[[#This Row],[Immutable Key]]=""),"",SUBSTITUTE(CommitmentsTable[[#This Row],[Immutable Key]],"-K-","-"))</f>
        <v/>
      </c>
      <c r="B1177" s="233"/>
      <c r="C1177" s="233"/>
      <c r="D1177" s="213"/>
      <c r="E1177" s="230"/>
      <c r="F1177" s="213"/>
      <c r="G1177" s="245" t="str">
        <f ca="1">IF(CommitmentsTable[[#This Row],[Commitment / deliverable]]="","",IF(CommitmentsTable[[#This Row],[Date record entered]]="",TODAY(),CommitmentsTable[[#This Row],[Date record entered]]))</f>
        <v/>
      </c>
      <c r="H1177" s="245"/>
      <c r="I1177" s="245" t="str">
        <f ca="1">IF(CommitmentsTable[[#This Row],[Date Assigned if different from entry date]]&lt;&gt;"",CommitmentsTable[[#This Row],[Date Assigned if different from entry date]]+90,IF(CommitmentsTable[[#This Row],[Date record entered]]&lt;&gt;"",CommitmentsTable[[#This Row],[Date record entered]]+90,""))</f>
        <v/>
      </c>
      <c r="J1177" s="245" t="str">
        <f ca="1">IF(CommitmentsTable[[#This Row],[Date Assigned if different from entry date]]&lt;&gt;"",CommitmentsTable[[#This Row],[Date Assigned if different from entry date]]+30,IF(CommitmentsTable[[#This Row],[Date record entered]]&lt;&gt;"",CommitmentsTable[[#This Row],[Date record entered]]+30,""))</f>
        <v/>
      </c>
      <c r="K1177" s="245"/>
      <c r="L1177" s="245" t="str">
        <f ca="1">IF(CommitmentsTable[[#This Row],[Date Assigned if different from entry date]]&lt;&gt;"",CommitmentsTable[[#This Row],[Date Assigned if different from entry date]]+60,IF(CommitmentsTable[[#This Row],[Date record entered]]&lt;&gt;"",CommitmentsTable[[#This Row],[Date record entered]]+60,""))</f>
        <v/>
      </c>
      <c r="M1177" s="214"/>
      <c r="N1177" s="214"/>
      <c r="O1177" s="236"/>
      <c r="P1177" s="214"/>
      <c r="Q1177" s="214"/>
      <c r="R1177" s="214"/>
      <c r="S1177" s="238" t="str">
        <f>IF(CommitmentsTable[[#This Row],[Commitment / deliverable]]="","",IF(CommitmentsTable[[#This Row],[Revised due]]&lt;&gt;"",CommitmentsTable[[#This Row],[Revised due]],CommitmentsTable[[#This Row],[Original due]]))</f>
        <v/>
      </c>
      <c r="T1177" s="237" t="str">
        <f>IF(OR(CommitmentsTable[[#This Row],[Commitment / deliverable]]="",CommitmentsTable[[#This Row],[Owner]]=""),"",IF(CommitmentsTable[[#This Row],[Status2]]="","Open",CommitmentsTable[[#This Row],[Status2]]))</f>
        <v/>
      </c>
      <c r="U1177" s="237" t="str">
        <f t="shared" ca="1" si="18"/>
        <v/>
      </c>
      <c r="V1177" s="233"/>
      <c r="W1177" s="63" t="s">
        <v>2079</v>
      </c>
    </row>
    <row r="1178" spans="1:23" ht="26">
      <c r="A1178" s="213" t="str">
        <f>IF(OR(CommitmentsTable[[#This Row],[Commitment / deliverable]]="",CommitmentsTable[[#This Row],[Immutable Key]]=""),"",SUBSTITUTE(CommitmentsTable[[#This Row],[Immutable Key]],"-K-","-"))</f>
        <v/>
      </c>
      <c r="B1178" s="233"/>
      <c r="C1178" s="233"/>
      <c r="D1178" s="213"/>
      <c r="E1178" s="230"/>
      <c r="F1178" s="213"/>
      <c r="G1178" s="245" t="str">
        <f ca="1">IF(CommitmentsTable[[#This Row],[Commitment / deliverable]]="","",IF(CommitmentsTable[[#This Row],[Date record entered]]="",TODAY(),CommitmentsTable[[#This Row],[Date record entered]]))</f>
        <v/>
      </c>
      <c r="H1178" s="245"/>
      <c r="I1178" s="245" t="str">
        <f ca="1">IF(CommitmentsTable[[#This Row],[Date Assigned if different from entry date]]&lt;&gt;"",CommitmentsTable[[#This Row],[Date Assigned if different from entry date]]+90,IF(CommitmentsTable[[#This Row],[Date record entered]]&lt;&gt;"",CommitmentsTable[[#This Row],[Date record entered]]+90,""))</f>
        <v/>
      </c>
      <c r="J1178" s="245" t="str">
        <f ca="1">IF(CommitmentsTable[[#This Row],[Date Assigned if different from entry date]]&lt;&gt;"",CommitmentsTable[[#This Row],[Date Assigned if different from entry date]]+30,IF(CommitmentsTable[[#This Row],[Date record entered]]&lt;&gt;"",CommitmentsTable[[#This Row],[Date record entered]]+30,""))</f>
        <v/>
      </c>
      <c r="K1178" s="245"/>
      <c r="L1178" s="245" t="str">
        <f ca="1">IF(CommitmentsTable[[#This Row],[Date Assigned if different from entry date]]&lt;&gt;"",CommitmentsTable[[#This Row],[Date Assigned if different from entry date]]+60,IF(CommitmentsTable[[#This Row],[Date record entered]]&lt;&gt;"",CommitmentsTable[[#This Row],[Date record entered]]+60,""))</f>
        <v/>
      </c>
      <c r="M1178" s="214"/>
      <c r="N1178" s="214"/>
      <c r="O1178" s="236"/>
      <c r="P1178" s="214"/>
      <c r="Q1178" s="214"/>
      <c r="R1178" s="214"/>
      <c r="S1178" s="238" t="str">
        <f>IF(CommitmentsTable[[#This Row],[Commitment / deliverable]]="","",IF(CommitmentsTable[[#This Row],[Revised due]]&lt;&gt;"",CommitmentsTable[[#This Row],[Revised due]],CommitmentsTable[[#This Row],[Original due]]))</f>
        <v/>
      </c>
      <c r="T1178" s="237" t="str">
        <f>IF(OR(CommitmentsTable[[#This Row],[Commitment / deliverable]]="",CommitmentsTable[[#This Row],[Owner]]=""),"",IF(CommitmentsTable[[#This Row],[Status2]]="","Open",CommitmentsTable[[#This Row],[Status2]]))</f>
        <v/>
      </c>
      <c r="U1178" s="237" t="str">
        <f t="shared" ca="1" si="18"/>
        <v/>
      </c>
      <c r="V1178" s="233"/>
      <c r="W1178" s="63" t="s">
        <v>2080</v>
      </c>
    </row>
    <row r="1179" spans="1:23" ht="26">
      <c r="A1179" s="213" t="str">
        <f>IF(OR(CommitmentsTable[[#This Row],[Commitment / deliverable]]="",CommitmentsTable[[#This Row],[Immutable Key]]=""),"",SUBSTITUTE(CommitmentsTable[[#This Row],[Immutable Key]],"-K-","-"))</f>
        <v/>
      </c>
      <c r="B1179" s="233"/>
      <c r="C1179" s="233"/>
      <c r="D1179" s="213"/>
      <c r="E1179" s="230"/>
      <c r="F1179" s="213"/>
      <c r="G1179" s="245" t="str">
        <f ca="1">IF(CommitmentsTable[[#This Row],[Commitment / deliverable]]="","",IF(CommitmentsTable[[#This Row],[Date record entered]]="",TODAY(),CommitmentsTable[[#This Row],[Date record entered]]))</f>
        <v/>
      </c>
      <c r="H1179" s="245"/>
      <c r="I1179" s="245" t="str">
        <f ca="1">IF(CommitmentsTable[[#This Row],[Date Assigned if different from entry date]]&lt;&gt;"",CommitmentsTable[[#This Row],[Date Assigned if different from entry date]]+90,IF(CommitmentsTable[[#This Row],[Date record entered]]&lt;&gt;"",CommitmentsTable[[#This Row],[Date record entered]]+90,""))</f>
        <v/>
      </c>
      <c r="J1179" s="245" t="str">
        <f ca="1">IF(CommitmentsTable[[#This Row],[Date Assigned if different from entry date]]&lt;&gt;"",CommitmentsTable[[#This Row],[Date Assigned if different from entry date]]+30,IF(CommitmentsTable[[#This Row],[Date record entered]]&lt;&gt;"",CommitmentsTable[[#This Row],[Date record entered]]+30,""))</f>
        <v/>
      </c>
      <c r="K1179" s="245"/>
      <c r="L1179" s="245" t="str">
        <f ca="1">IF(CommitmentsTable[[#This Row],[Date Assigned if different from entry date]]&lt;&gt;"",CommitmentsTable[[#This Row],[Date Assigned if different from entry date]]+60,IF(CommitmentsTable[[#This Row],[Date record entered]]&lt;&gt;"",CommitmentsTable[[#This Row],[Date record entered]]+60,""))</f>
        <v/>
      </c>
      <c r="M1179" s="214"/>
      <c r="N1179" s="214"/>
      <c r="O1179" s="236"/>
      <c r="P1179" s="214"/>
      <c r="Q1179" s="214"/>
      <c r="R1179" s="214"/>
      <c r="S1179" s="238" t="str">
        <f>IF(CommitmentsTable[[#This Row],[Commitment / deliverable]]="","",IF(CommitmentsTable[[#This Row],[Revised due]]&lt;&gt;"",CommitmentsTable[[#This Row],[Revised due]],CommitmentsTable[[#This Row],[Original due]]))</f>
        <v/>
      </c>
      <c r="T1179" s="237" t="str">
        <f>IF(OR(CommitmentsTable[[#This Row],[Commitment / deliverable]]="",CommitmentsTable[[#This Row],[Owner]]=""),"",IF(CommitmentsTable[[#This Row],[Status2]]="","Open",CommitmentsTable[[#This Row],[Status2]]))</f>
        <v/>
      </c>
      <c r="U1179" s="237" t="str">
        <f t="shared" ca="1" si="18"/>
        <v/>
      </c>
      <c r="V1179" s="233"/>
      <c r="W1179" s="63" t="s">
        <v>2081</v>
      </c>
    </row>
    <row r="1180" spans="1:23" ht="26">
      <c r="A1180" s="213" t="str">
        <f>IF(OR(CommitmentsTable[[#This Row],[Commitment / deliverable]]="",CommitmentsTable[[#This Row],[Immutable Key]]=""),"",SUBSTITUTE(CommitmentsTable[[#This Row],[Immutable Key]],"-K-","-"))</f>
        <v/>
      </c>
      <c r="B1180" s="233"/>
      <c r="C1180" s="233"/>
      <c r="D1180" s="213"/>
      <c r="E1180" s="230"/>
      <c r="F1180" s="213"/>
      <c r="G1180" s="245" t="str">
        <f ca="1">IF(CommitmentsTable[[#This Row],[Commitment / deliverable]]="","",IF(CommitmentsTable[[#This Row],[Date record entered]]="",TODAY(),CommitmentsTable[[#This Row],[Date record entered]]))</f>
        <v/>
      </c>
      <c r="H1180" s="245"/>
      <c r="I1180" s="245" t="str">
        <f ca="1">IF(CommitmentsTable[[#This Row],[Date Assigned if different from entry date]]&lt;&gt;"",CommitmentsTable[[#This Row],[Date Assigned if different from entry date]]+90,IF(CommitmentsTable[[#This Row],[Date record entered]]&lt;&gt;"",CommitmentsTable[[#This Row],[Date record entered]]+90,""))</f>
        <v/>
      </c>
      <c r="J1180" s="245" t="str">
        <f ca="1">IF(CommitmentsTable[[#This Row],[Date Assigned if different from entry date]]&lt;&gt;"",CommitmentsTable[[#This Row],[Date Assigned if different from entry date]]+30,IF(CommitmentsTable[[#This Row],[Date record entered]]&lt;&gt;"",CommitmentsTable[[#This Row],[Date record entered]]+30,""))</f>
        <v/>
      </c>
      <c r="K1180" s="245"/>
      <c r="L1180" s="245" t="str">
        <f ca="1">IF(CommitmentsTable[[#This Row],[Date Assigned if different from entry date]]&lt;&gt;"",CommitmentsTable[[#This Row],[Date Assigned if different from entry date]]+60,IF(CommitmentsTable[[#This Row],[Date record entered]]&lt;&gt;"",CommitmentsTable[[#This Row],[Date record entered]]+60,""))</f>
        <v/>
      </c>
      <c r="M1180" s="214"/>
      <c r="N1180" s="214"/>
      <c r="O1180" s="236"/>
      <c r="P1180" s="214"/>
      <c r="Q1180" s="214"/>
      <c r="R1180" s="214"/>
      <c r="S1180" s="238" t="str">
        <f>IF(CommitmentsTable[[#This Row],[Commitment / deliverable]]="","",IF(CommitmentsTable[[#This Row],[Revised due]]&lt;&gt;"",CommitmentsTable[[#This Row],[Revised due]],CommitmentsTable[[#This Row],[Original due]]))</f>
        <v/>
      </c>
      <c r="T1180" s="237" t="str">
        <f>IF(OR(CommitmentsTable[[#This Row],[Commitment / deliverable]]="",CommitmentsTable[[#This Row],[Owner]]=""),"",IF(CommitmentsTable[[#This Row],[Status2]]="","Open",CommitmentsTable[[#This Row],[Status2]]))</f>
        <v/>
      </c>
      <c r="U1180" s="237" t="str">
        <f t="shared" ca="1" si="18"/>
        <v/>
      </c>
      <c r="V1180" s="233"/>
      <c r="W1180" s="63" t="s">
        <v>2082</v>
      </c>
    </row>
    <row r="1181" spans="1:23" ht="26">
      <c r="A1181" s="213" t="str">
        <f>IF(OR(CommitmentsTable[[#This Row],[Commitment / deliverable]]="",CommitmentsTable[[#This Row],[Immutable Key]]=""),"",SUBSTITUTE(CommitmentsTable[[#This Row],[Immutable Key]],"-K-","-"))</f>
        <v/>
      </c>
      <c r="B1181" s="233"/>
      <c r="C1181" s="233"/>
      <c r="D1181" s="213"/>
      <c r="E1181" s="230"/>
      <c r="F1181" s="213"/>
      <c r="G1181" s="245" t="str">
        <f ca="1">IF(CommitmentsTable[[#This Row],[Commitment / deliverable]]="","",IF(CommitmentsTable[[#This Row],[Date record entered]]="",TODAY(),CommitmentsTable[[#This Row],[Date record entered]]))</f>
        <v/>
      </c>
      <c r="H1181" s="245"/>
      <c r="I1181" s="245" t="str">
        <f ca="1">IF(CommitmentsTable[[#This Row],[Date Assigned if different from entry date]]&lt;&gt;"",CommitmentsTable[[#This Row],[Date Assigned if different from entry date]]+90,IF(CommitmentsTable[[#This Row],[Date record entered]]&lt;&gt;"",CommitmentsTable[[#This Row],[Date record entered]]+90,""))</f>
        <v/>
      </c>
      <c r="J1181" s="245" t="str">
        <f ca="1">IF(CommitmentsTable[[#This Row],[Date Assigned if different from entry date]]&lt;&gt;"",CommitmentsTable[[#This Row],[Date Assigned if different from entry date]]+30,IF(CommitmentsTable[[#This Row],[Date record entered]]&lt;&gt;"",CommitmentsTable[[#This Row],[Date record entered]]+30,""))</f>
        <v/>
      </c>
      <c r="K1181" s="245"/>
      <c r="L1181" s="245" t="str">
        <f ca="1">IF(CommitmentsTable[[#This Row],[Date Assigned if different from entry date]]&lt;&gt;"",CommitmentsTable[[#This Row],[Date Assigned if different from entry date]]+60,IF(CommitmentsTable[[#This Row],[Date record entered]]&lt;&gt;"",CommitmentsTable[[#This Row],[Date record entered]]+60,""))</f>
        <v/>
      </c>
      <c r="M1181" s="214"/>
      <c r="N1181" s="214"/>
      <c r="O1181" s="236"/>
      <c r="P1181" s="214"/>
      <c r="Q1181" s="214"/>
      <c r="R1181" s="214"/>
      <c r="S1181" s="238" t="str">
        <f>IF(CommitmentsTable[[#This Row],[Commitment / deliverable]]="","",IF(CommitmentsTable[[#This Row],[Revised due]]&lt;&gt;"",CommitmentsTable[[#This Row],[Revised due]],CommitmentsTable[[#This Row],[Original due]]))</f>
        <v/>
      </c>
      <c r="T1181" s="237" t="str">
        <f>IF(OR(CommitmentsTable[[#This Row],[Commitment / deliverable]]="",CommitmentsTable[[#This Row],[Owner]]=""),"",IF(CommitmentsTable[[#This Row],[Status2]]="","Open",CommitmentsTable[[#This Row],[Status2]]))</f>
        <v/>
      </c>
      <c r="U1181" s="237" t="str">
        <f t="shared" ca="1" si="18"/>
        <v/>
      </c>
      <c r="V1181" s="233"/>
      <c r="W1181" s="63" t="s">
        <v>2083</v>
      </c>
    </row>
    <row r="1182" spans="1:23" ht="26">
      <c r="A1182" s="213" t="str">
        <f>IF(OR(CommitmentsTable[[#This Row],[Commitment / deliverable]]="",CommitmentsTable[[#This Row],[Immutable Key]]=""),"",SUBSTITUTE(CommitmentsTable[[#This Row],[Immutable Key]],"-K-","-"))</f>
        <v/>
      </c>
      <c r="B1182" s="233"/>
      <c r="C1182" s="233"/>
      <c r="D1182" s="213"/>
      <c r="E1182" s="230"/>
      <c r="F1182" s="213"/>
      <c r="G1182" s="245" t="str">
        <f ca="1">IF(CommitmentsTable[[#This Row],[Commitment / deliverable]]="","",IF(CommitmentsTable[[#This Row],[Date record entered]]="",TODAY(),CommitmentsTable[[#This Row],[Date record entered]]))</f>
        <v/>
      </c>
      <c r="H1182" s="245"/>
      <c r="I1182" s="245" t="str">
        <f ca="1">IF(CommitmentsTable[[#This Row],[Date Assigned if different from entry date]]&lt;&gt;"",CommitmentsTable[[#This Row],[Date Assigned if different from entry date]]+90,IF(CommitmentsTable[[#This Row],[Date record entered]]&lt;&gt;"",CommitmentsTable[[#This Row],[Date record entered]]+90,""))</f>
        <v/>
      </c>
      <c r="J1182" s="245" t="str">
        <f ca="1">IF(CommitmentsTable[[#This Row],[Date Assigned if different from entry date]]&lt;&gt;"",CommitmentsTable[[#This Row],[Date Assigned if different from entry date]]+30,IF(CommitmentsTable[[#This Row],[Date record entered]]&lt;&gt;"",CommitmentsTable[[#This Row],[Date record entered]]+30,""))</f>
        <v/>
      </c>
      <c r="K1182" s="245"/>
      <c r="L1182" s="245" t="str">
        <f ca="1">IF(CommitmentsTable[[#This Row],[Date Assigned if different from entry date]]&lt;&gt;"",CommitmentsTable[[#This Row],[Date Assigned if different from entry date]]+60,IF(CommitmentsTable[[#This Row],[Date record entered]]&lt;&gt;"",CommitmentsTable[[#This Row],[Date record entered]]+60,""))</f>
        <v/>
      </c>
      <c r="M1182" s="214"/>
      <c r="N1182" s="214"/>
      <c r="O1182" s="236"/>
      <c r="P1182" s="214"/>
      <c r="Q1182" s="214"/>
      <c r="R1182" s="214"/>
      <c r="S1182" s="238" t="str">
        <f>IF(CommitmentsTable[[#This Row],[Commitment / deliverable]]="","",IF(CommitmentsTable[[#This Row],[Revised due]]&lt;&gt;"",CommitmentsTable[[#This Row],[Revised due]],CommitmentsTable[[#This Row],[Original due]]))</f>
        <v/>
      </c>
      <c r="T1182" s="237" t="str">
        <f>IF(OR(CommitmentsTable[[#This Row],[Commitment / deliverable]]="",CommitmentsTable[[#This Row],[Owner]]=""),"",IF(CommitmentsTable[[#This Row],[Status2]]="","Open",CommitmentsTable[[#This Row],[Status2]]))</f>
        <v/>
      </c>
      <c r="U1182" s="237" t="str">
        <f t="shared" ca="1" si="18"/>
        <v/>
      </c>
      <c r="V1182" s="233"/>
      <c r="W1182" s="63" t="s">
        <v>2084</v>
      </c>
    </row>
    <row r="1183" spans="1:23" ht="26">
      <c r="A1183" s="213" t="str">
        <f>IF(OR(CommitmentsTable[[#This Row],[Commitment / deliverable]]="",CommitmentsTable[[#This Row],[Immutable Key]]=""),"",SUBSTITUTE(CommitmentsTable[[#This Row],[Immutable Key]],"-K-","-"))</f>
        <v/>
      </c>
      <c r="B1183" s="233"/>
      <c r="C1183" s="233"/>
      <c r="D1183" s="213"/>
      <c r="E1183" s="230"/>
      <c r="F1183" s="213"/>
      <c r="G1183" s="245" t="str">
        <f ca="1">IF(CommitmentsTable[[#This Row],[Commitment / deliverable]]="","",IF(CommitmentsTable[[#This Row],[Date record entered]]="",TODAY(),CommitmentsTable[[#This Row],[Date record entered]]))</f>
        <v/>
      </c>
      <c r="H1183" s="245"/>
      <c r="I1183" s="245" t="str">
        <f ca="1">IF(CommitmentsTable[[#This Row],[Date Assigned if different from entry date]]&lt;&gt;"",CommitmentsTable[[#This Row],[Date Assigned if different from entry date]]+90,IF(CommitmentsTable[[#This Row],[Date record entered]]&lt;&gt;"",CommitmentsTable[[#This Row],[Date record entered]]+90,""))</f>
        <v/>
      </c>
      <c r="J1183" s="245" t="str">
        <f ca="1">IF(CommitmentsTable[[#This Row],[Date Assigned if different from entry date]]&lt;&gt;"",CommitmentsTable[[#This Row],[Date Assigned if different from entry date]]+30,IF(CommitmentsTable[[#This Row],[Date record entered]]&lt;&gt;"",CommitmentsTable[[#This Row],[Date record entered]]+30,""))</f>
        <v/>
      </c>
      <c r="K1183" s="245"/>
      <c r="L1183" s="245" t="str">
        <f ca="1">IF(CommitmentsTable[[#This Row],[Date Assigned if different from entry date]]&lt;&gt;"",CommitmentsTable[[#This Row],[Date Assigned if different from entry date]]+60,IF(CommitmentsTable[[#This Row],[Date record entered]]&lt;&gt;"",CommitmentsTable[[#This Row],[Date record entered]]+60,""))</f>
        <v/>
      </c>
      <c r="M1183" s="214"/>
      <c r="N1183" s="214"/>
      <c r="O1183" s="236"/>
      <c r="P1183" s="214"/>
      <c r="Q1183" s="214"/>
      <c r="R1183" s="214"/>
      <c r="S1183" s="238" t="str">
        <f>IF(CommitmentsTable[[#This Row],[Commitment / deliverable]]="","",IF(CommitmentsTable[[#This Row],[Revised due]]&lt;&gt;"",CommitmentsTable[[#This Row],[Revised due]],CommitmentsTable[[#This Row],[Original due]]))</f>
        <v/>
      </c>
      <c r="T1183" s="237" t="str">
        <f>IF(OR(CommitmentsTable[[#This Row],[Commitment / deliverable]]="",CommitmentsTable[[#This Row],[Owner]]=""),"",IF(CommitmentsTable[[#This Row],[Status2]]="","Open",CommitmentsTable[[#This Row],[Status2]]))</f>
        <v/>
      </c>
      <c r="U1183" s="237" t="str">
        <f t="shared" ca="1" si="18"/>
        <v/>
      </c>
      <c r="V1183" s="233"/>
      <c r="W1183" s="63" t="s">
        <v>2085</v>
      </c>
    </row>
    <row r="1184" spans="1:23" ht="26">
      <c r="A1184" s="213" t="str">
        <f>IF(OR(CommitmentsTable[[#This Row],[Commitment / deliverable]]="",CommitmentsTable[[#This Row],[Immutable Key]]=""),"",SUBSTITUTE(CommitmentsTable[[#This Row],[Immutable Key]],"-K-","-"))</f>
        <v/>
      </c>
      <c r="B1184" s="233"/>
      <c r="C1184" s="233"/>
      <c r="D1184" s="213"/>
      <c r="E1184" s="230"/>
      <c r="F1184" s="213"/>
      <c r="G1184" s="245" t="str">
        <f ca="1">IF(CommitmentsTable[[#This Row],[Commitment / deliverable]]="","",IF(CommitmentsTable[[#This Row],[Date record entered]]="",TODAY(),CommitmentsTable[[#This Row],[Date record entered]]))</f>
        <v/>
      </c>
      <c r="H1184" s="245"/>
      <c r="I1184" s="245" t="str">
        <f ca="1">IF(CommitmentsTable[[#This Row],[Date Assigned if different from entry date]]&lt;&gt;"",CommitmentsTable[[#This Row],[Date Assigned if different from entry date]]+90,IF(CommitmentsTable[[#This Row],[Date record entered]]&lt;&gt;"",CommitmentsTable[[#This Row],[Date record entered]]+90,""))</f>
        <v/>
      </c>
      <c r="J1184" s="245" t="str">
        <f ca="1">IF(CommitmentsTable[[#This Row],[Date Assigned if different from entry date]]&lt;&gt;"",CommitmentsTable[[#This Row],[Date Assigned if different from entry date]]+30,IF(CommitmentsTable[[#This Row],[Date record entered]]&lt;&gt;"",CommitmentsTable[[#This Row],[Date record entered]]+30,""))</f>
        <v/>
      </c>
      <c r="K1184" s="245"/>
      <c r="L1184" s="245" t="str">
        <f ca="1">IF(CommitmentsTable[[#This Row],[Date Assigned if different from entry date]]&lt;&gt;"",CommitmentsTable[[#This Row],[Date Assigned if different from entry date]]+60,IF(CommitmentsTable[[#This Row],[Date record entered]]&lt;&gt;"",CommitmentsTable[[#This Row],[Date record entered]]+60,""))</f>
        <v/>
      </c>
      <c r="M1184" s="214"/>
      <c r="N1184" s="214"/>
      <c r="O1184" s="236"/>
      <c r="P1184" s="214"/>
      <c r="Q1184" s="214"/>
      <c r="R1184" s="214"/>
      <c r="S1184" s="238" t="str">
        <f>IF(CommitmentsTable[[#This Row],[Commitment / deliverable]]="","",IF(CommitmentsTable[[#This Row],[Revised due]]&lt;&gt;"",CommitmentsTable[[#This Row],[Revised due]],CommitmentsTable[[#This Row],[Original due]]))</f>
        <v/>
      </c>
      <c r="T1184" s="237" t="str">
        <f>IF(OR(CommitmentsTable[[#This Row],[Commitment / deliverable]]="",CommitmentsTable[[#This Row],[Owner]]=""),"",IF(CommitmentsTable[[#This Row],[Status2]]="","Open",CommitmentsTable[[#This Row],[Status2]]))</f>
        <v/>
      </c>
      <c r="U1184" s="237" t="str">
        <f t="shared" ca="1" si="18"/>
        <v/>
      </c>
      <c r="V1184" s="233"/>
      <c r="W1184" s="63" t="s">
        <v>2086</v>
      </c>
    </row>
    <row r="1185" spans="1:23" ht="26">
      <c r="A1185" s="213" t="str">
        <f>IF(OR(CommitmentsTable[[#This Row],[Commitment / deliverable]]="",CommitmentsTable[[#This Row],[Immutable Key]]=""),"",SUBSTITUTE(CommitmentsTable[[#This Row],[Immutable Key]],"-K-","-"))</f>
        <v/>
      </c>
      <c r="B1185" s="233"/>
      <c r="C1185" s="233"/>
      <c r="D1185" s="213"/>
      <c r="E1185" s="230"/>
      <c r="F1185" s="213"/>
      <c r="G1185" s="245" t="str">
        <f ca="1">IF(CommitmentsTable[[#This Row],[Commitment / deliverable]]="","",IF(CommitmentsTable[[#This Row],[Date record entered]]="",TODAY(),CommitmentsTable[[#This Row],[Date record entered]]))</f>
        <v/>
      </c>
      <c r="H1185" s="245"/>
      <c r="I1185" s="245" t="str">
        <f ca="1">IF(CommitmentsTable[[#This Row],[Date Assigned if different from entry date]]&lt;&gt;"",CommitmentsTable[[#This Row],[Date Assigned if different from entry date]]+90,IF(CommitmentsTable[[#This Row],[Date record entered]]&lt;&gt;"",CommitmentsTable[[#This Row],[Date record entered]]+90,""))</f>
        <v/>
      </c>
      <c r="J1185" s="245" t="str">
        <f ca="1">IF(CommitmentsTable[[#This Row],[Date Assigned if different from entry date]]&lt;&gt;"",CommitmentsTable[[#This Row],[Date Assigned if different from entry date]]+30,IF(CommitmentsTable[[#This Row],[Date record entered]]&lt;&gt;"",CommitmentsTable[[#This Row],[Date record entered]]+30,""))</f>
        <v/>
      </c>
      <c r="K1185" s="245"/>
      <c r="L1185" s="245" t="str">
        <f ca="1">IF(CommitmentsTable[[#This Row],[Date Assigned if different from entry date]]&lt;&gt;"",CommitmentsTable[[#This Row],[Date Assigned if different from entry date]]+60,IF(CommitmentsTable[[#This Row],[Date record entered]]&lt;&gt;"",CommitmentsTable[[#This Row],[Date record entered]]+60,""))</f>
        <v/>
      </c>
      <c r="M1185" s="214"/>
      <c r="N1185" s="214"/>
      <c r="O1185" s="236"/>
      <c r="P1185" s="214"/>
      <c r="Q1185" s="214"/>
      <c r="R1185" s="214"/>
      <c r="S1185" s="238" t="str">
        <f>IF(CommitmentsTable[[#This Row],[Commitment / deliverable]]="","",IF(CommitmentsTable[[#This Row],[Revised due]]&lt;&gt;"",CommitmentsTable[[#This Row],[Revised due]],CommitmentsTable[[#This Row],[Original due]]))</f>
        <v/>
      </c>
      <c r="T1185" s="237" t="str">
        <f>IF(OR(CommitmentsTable[[#This Row],[Commitment / deliverable]]="",CommitmentsTable[[#This Row],[Owner]]=""),"",IF(CommitmentsTable[[#This Row],[Status2]]="","Open",CommitmentsTable[[#This Row],[Status2]]))</f>
        <v/>
      </c>
      <c r="U1185" s="237" t="str">
        <f t="shared" ca="1" si="18"/>
        <v/>
      </c>
      <c r="V1185" s="233"/>
      <c r="W1185" s="63" t="s">
        <v>2087</v>
      </c>
    </row>
    <row r="1186" spans="1:23" ht="26">
      <c r="A1186" s="213" t="str">
        <f>IF(OR(CommitmentsTable[[#This Row],[Commitment / deliverable]]="",CommitmentsTable[[#This Row],[Immutable Key]]=""),"",SUBSTITUTE(CommitmentsTable[[#This Row],[Immutable Key]],"-K-","-"))</f>
        <v/>
      </c>
      <c r="B1186" s="233"/>
      <c r="C1186" s="233"/>
      <c r="D1186" s="213"/>
      <c r="E1186" s="230"/>
      <c r="F1186" s="213"/>
      <c r="G1186" s="245" t="str">
        <f ca="1">IF(CommitmentsTable[[#This Row],[Commitment / deliverable]]="","",IF(CommitmentsTable[[#This Row],[Date record entered]]="",TODAY(),CommitmentsTable[[#This Row],[Date record entered]]))</f>
        <v/>
      </c>
      <c r="H1186" s="245"/>
      <c r="I1186" s="245" t="str">
        <f ca="1">IF(CommitmentsTable[[#This Row],[Date Assigned if different from entry date]]&lt;&gt;"",CommitmentsTable[[#This Row],[Date Assigned if different from entry date]]+90,IF(CommitmentsTable[[#This Row],[Date record entered]]&lt;&gt;"",CommitmentsTable[[#This Row],[Date record entered]]+90,""))</f>
        <v/>
      </c>
      <c r="J1186" s="245" t="str">
        <f ca="1">IF(CommitmentsTable[[#This Row],[Date Assigned if different from entry date]]&lt;&gt;"",CommitmentsTable[[#This Row],[Date Assigned if different from entry date]]+30,IF(CommitmentsTable[[#This Row],[Date record entered]]&lt;&gt;"",CommitmentsTable[[#This Row],[Date record entered]]+30,""))</f>
        <v/>
      </c>
      <c r="K1186" s="245"/>
      <c r="L1186" s="245" t="str">
        <f ca="1">IF(CommitmentsTable[[#This Row],[Date Assigned if different from entry date]]&lt;&gt;"",CommitmentsTable[[#This Row],[Date Assigned if different from entry date]]+60,IF(CommitmentsTable[[#This Row],[Date record entered]]&lt;&gt;"",CommitmentsTable[[#This Row],[Date record entered]]+60,""))</f>
        <v/>
      </c>
      <c r="M1186" s="214"/>
      <c r="N1186" s="214"/>
      <c r="O1186" s="236"/>
      <c r="P1186" s="214"/>
      <c r="Q1186" s="214"/>
      <c r="R1186" s="214"/>
      <c r="S1186" s="238" t="str">
        <f>IF(CommitmentsTable[[#This Row],[Commitment / deliverable]]="","",IF(CommitmentsTable[[#This Row],[Revised due]]&lt;&gt;"",CommitmentsTable[[#This Row],[Revised due]],CommitmentsTable[[#This Row],[Original due]]))</f>
        <v/>
      </c>
      <c r="T1186" s="237" t="str">
        <f>IF(OR(CommitmentsTable[[#This Row],[Commitment / deliverable]]="",CommitmentsTable[[#This Row],[Owner]]=""),"",IF(CommitmentsTable[[#This Row],[Status2]]="","Open",CommitmentsTable[[#This Row],[Status2]]))</f>
        <v/>
      </c>
      <c r="U1186" s="237" t="str">
        <f t="shared" ca="1" si="18"/>
        <v/>
      </c>
      <c r="V1186" s="233"/>
      <c r="W1186" s="63" t="s">
        <v>2088</v>
      </c>
    </row>
    <row r="1187" spans="1:23" ht="26">
      <c r="A1187" s="213" t="str">
        <f>IF(OR(CommitmentsTable[[#This Row],[Commitment / deliverable]]="",CommitmentsTable[[#This Row],[Immutable Key]]=""),"",SUBSTITUTE(CommitmentsTable[[#This Row],[Immutable Key]],"-K-","-"))</f>
        <v/>
      </c>
      <c r="B1187" s="233"/>
      <c r="C1187" s="233"/>
      <c r="D1187" s="213"/>
      <c r="E1187" s="230"/>
      <c r="F1187" s="213"/>
      <c r="G1187" s="245" t="str">
        <f ca="1">IF(CommitmentsTable[[#This Row],[Commitment / deliverable]]="","",IF(CommitmentsTable[[#This Row],[Date record entered]]="",TODAY(),CommitmentsTable[[#This Row],[Date record entered]]))</f>
        <v/>
      </c>
      <c r="H1187" s="245"/>
      <c r="I1187" s="245" t="str">
        <f ca="1">IF(CommitmentsTable[[#This Row],[Date Assigned if different from entry date]]&lt;&gt;"",CommitmentsTable[[#This Row],[Date Assigned if different from entry date]]+90,IF(CommitmentsTable[[#This Row],[Date record entered]]&lt;&gt;"",CommitmentsTable[[#This Row],[Date record entered]]+90,""))</f>
        <v/>
      </c>
      <c r="J1187" s="245" t="str">
        <f ca="1">IF(CommitmentsTable[[#This Row],[Date Assigned if different from entry date]]&lt;&gt;"",CommitmentsTable[[#This Row],[Date Assigned if different from entry date]]+30,IF(CommitmentsTable[[#This Row],[Date record entered]]&lt;&gt;"",CommitmentsTable[[#This Row],[Date record entered]]+30,""))</f>
        <v/>
      </c>
      <c r="K1187" s="245"/>
      <c r="L1187" s="245" t="str">
        <f ca="1">IF(CommitmentsTable[[#This Row],[Date Assigned if different from entry date]]&lt;&gt;"",CommitmentsTable[[#This Row],[Date Assigned if different from entry date]]+60,IF(CommitmentsTable[[#This Row],[Date record entered]]&lt;&gt;"",CommitmentsTable[[#This Row],[Date record entered]]+60,""))</f>
        <v/>
      </c>
      <c r="M1187" s="214"/>
      <c r="N1187" s="214"/>
      <c r="O1187" s="236"/>
      <c r="P1187" s="214"/>
      <c r="Q1187" s="214"/>
      <c r="R1187" s="214"/>
      <c r="S1187" s="238" t="str">
        <f>IF(CommitmentsTable[[#This Row],[Commitment / deliverable]]="","",IF(CommitmentsTable[[#This Row],[Revised due]]&lt;&gt;"",CommitmentsTable[[#This Row],[Revised due]],CommitmentsTable[[#This Row],[Original due]]))</f>
        <v/>
      </c>
      <c r="T1187" s="237" t="str">
        <f>IF(OR(CommitmentsTable[[#This Row],[Commitment / deliverable]]="",CommitmentsTable[[#This Row],[Owner]]=""),"",IF(CommitmentsTable[[#This Row],[Status2]]="","Open",CommitmentsTable[[#This Row],[Status2]]))</f>
        <v/>
      </c>
      <c r="U1187" s="237" t="str">
        <f t="shared" ca="1" si="18"/>
        <v/>
      </c>
      <c r="V1187" s="233"/>
      <c r="W1187" s="63" t="s">
        <v>2089</v>
      </c>
    </row>
    <row r="1188" spans="1:23" ht="26">
      <c r="A1188" s="213" t="str">
        <f>IF(OR(CommitmentsTable[[#This Row],[Commitment / deliverable]]="",CommitmentsTable[[#This Row],[Immutable Key]]=""),"",SUBSTITUTE(CommitmentsTable[[#This Row],[Immutable Key]],"-K-","-"))</f>
        <v/>
      </c>
      <c r="B1188" s="233"/>
      <c r="C1188" s="233"/>
      <c r="D1188" s="213"/>
      <c r="E1188" s="230"/>
      <c r="F1188" s="213"/>
      <c r="G1188" s="245" t="str">
        <f ca="1">IF(CommitmentsTable[[#This Row],[Commitment / deliverable]]="","",IF(CommitmentsTable[[#This Row],[Date record entered]]="",TODAY(),CommitmentsTable[[#This Row],[Date record entered]]))</f>
        <v/>
      </c>
      <c r="H1188" s="245"/>
      <c r="I1188" s="245" t="str">
        <f ca="1">IF(CommitmentsTable[[#This Row],[Date Assigned if different from entry date]]&lt;&gt;"",CommitmentsTable[[#This Row],[Date Assigned if different from entry date]]+90,IF(CommitmentsTable[[#This Row],[Date record entered]]&lt;&gt;"",CommitmentsTable[[#This Row],[Date record entered]]+90,""))</f>
        <v/>
      </c>
      <c r="J1188" s="245" t="str">
        <f ca="1">IF(CommitmentsTable[[#This Row],[Date Assigned if different from entry date]]&lt;&gt;"",CommitmentsTable[[#This Row],[Date Assigned if different from entry date]]+30,IF(CommitmentsTable[[#This Row],[Date record entered]]&lt;&gt;"",CommitmentsTable[[#This Row],[Date record entered]]+30,""))</f>
        <v/>
      </c>
      <c r="K1188" s="245"/>
      <c r="L1188" s="245" t="str">
        <f ca="1">IF(CommitmentsTable[[#This Row],[Date Assigned if different from entry date]]&lt;&gt;"",CommitmentsTable[[#This Row],[Date Assigned if different from entry date]]+60,IF(CommitmentsTable[[#This Row],[Date record entered]]&lt;&gt;"",CommitmentsTable[[#This Row],[Date record entered]]+60,""))</f>
        <v/>
      </c>
      <c r="M1188" s="214"/>
      <c r="N1188" s="214"/>
      <c r="O1188" s="236"/>
      <c r="P1188" s="214"/>
      <c r="Q1188" s="214"/>
      <c r="R1188" s="214"/>
      <c r="S1188" s="238" t="str">
        <f>IF(CommitmentsTable[[#This Row],[Commitment / deliverable]]="","",IF(CommitmentsTable[[#This Row],[Revised due]]&lt;&gt;"",CommitmentsTable[[#This Row],[Revised due]],CommitmentsTable[[#This Row],[Original due]]))</f>
        <v/>
      </c>
      <c r="T1188" s="237" t="str">
        <f>IF(OR(CommitmentsTable[[#This Row],[Commitment / deliverable]]="",CommitmentsTable[[#This Row],[Owner]]=""),"",IF(CommitmentsTable[[#This Row],[Status2]]="","Open",CommitmentsTable[[#This Row],[Status2]]))</f>
        <v/>
      </c>
      <c r="U1188" s="237" t="str">
        <f t="shared" ca="1" si="18"/>
        <v/>
      </c>
      <c r="V1188" s="233"/>
      <c r="W1188" s="63" t="s">
        <v>2090</v>
      </c>
    </row>
    <row r="1189" spans="1:23" ht="26">
      <c r="A1189" s="213" t="str">
        <f>IF(OR(CommitmentsTable[[#This Row],[Commitment / deliverable]]="",CommitmentsTable[[#This Row],[Immutable Key]]=""),"",SUBSTITUTE(CommitmentsTable[[#This Row],[Immutable Key]],"-K-","-"))</f>
        <v/>
      </c>
      <c r="B1189" s="233"/>
      <c r="C1189" s="233"/>
      <c r="D1189" s="213"/>
      <c r="E1189" s="230"/>
      <c r="F1189" s="213"/>
      <c r="G1189" s="245" t="str">
        <f ca="1">IF(CommitmentsTable[[#This Row],[Commitment / deliverable]]="","",IF(CommitmentsTable[[#This Row],[Date record entered]]="",TODAY(),CommitmentsTable[[#This Row],[Date record entered]]))</f>
        <v/>
      </c>
      <c r="H1189" s="245"/>
      <c r="I1189" s="245" t="str">
        <f ca="1">IF(CommitmentsTable[[#This Row],[Date Assigned if different from entry date]]&lt;&gt;"",CommitmentsTable[[#This Row],[Date Assigned if different from entry date]]+90,IF(CommitmentsTable[[#This Row],[Date record entered]]&lt;&gt;"",CommitmentsTable[[#This Row],[Date record entered]]+90,""))</f>
        <v/>
      </c>
      <c r="J1189" s="245" t="str">
        <f ca="1">IF(CommitmentsTable[[#This Row],[Date Assigned if different from entry date]]&lt;&gt;"",CommitmentsTable[[#This Row],[Date Assigned if different from entry date]]+30,IF(CommitmentsTable[[#This Row],[Date record entered]]&lt;&gt;"",CommitmentsTable[[#This Row],[Date record entered]]+30,""))</f>
        <v/>
      </c>
      <c r="K1189" s="245"/>
      <c r="L1189" s="245" t="str">
        <f ca="1">IF(CommitmentsTable[[#This Row],[Date Assigned if different from entry date]]&lt;&gt;"",CommitmentsTable[[#This Row],[Date Assigned if different from entry date]]+60,IF(CommitmentsTable[[#This Row],[Date record entered]]&lt;&gt;"",CommitmentsTable[[#This Row],[Date record entered]]+60,""))</f>
        <v/>
      </c>
      <c r="M1189" s="214"/>
      <c r="N1189" s="214"/>
      <c r="O1189" s="236"/>
      <c r="P1189" s="214"/>
      <c r="Q1189" s="214"/>
      <c r="R1189" s="214"/>
      <c r="S1189" s="238" t="str">
        <f>IF(CommitmentsTable[[#This Row],[Commitment / deliverable]]="","",IF(CommitmentsTable[[#This Row],[Revised due]]&lt;&gt;"",CommitmentsTable[[#This Row],[Revised due]],CommitmentsTable[[#This Row],[Original due]]))</f>
        <v/>
      </c>
      <c r="T1189" s="237" t="str">
        <f>IF(OR(CommitmentsTable[[#This Row],[Commitment / deliverable]]="",CommitmentsTable[[#This Row],[Owner]]=""),"",IF(CommitmentsTable[[#This Row],[Status2]]="","Open",CommitmentsTable[[#This Row],[Status2]]))</f>
        <v/>
      </c>
      <c r="U1189" s="237" t="str">
        <f t="shared" ca="1" si="18"/>
        <v/>
      </c>
      <c r="V1189" s="233"/>
      <c r="W1189" s="63" t="s">
        <v>2091</v>
      </c>
    </row>
    <row r="1190" spans="1:23" ht="26">
      <c r="A1190" s="213" t="str">
        <f>IF(OR(CommitmentsTable[[#This Row],[Commitment / deliverable]]="",CommitmentsTable[[#This Row],[Immutable Key]]=""),"",SUBSTITUTE(CommitmentsTable[[#This Row],[Immutable Key]],"-K-","-"))</f>
        <v/>
      </c>
      <c r="B1190" s="233"/>
      <c r="C1190" s="233"/>
      <c r="D1190" s="213"/>
      <c r="E1190" s="230"/>
      <c r="F1190" s="213"/>
      <c r="G1190" s="245" t="str">
        <f ca="1">IF(CommitmentsTable[[#This Row],[Commitment / deliverable]]="","",IF(CommitmentsTable[[#This Row],[Date record entered]]="",TODAY(),CommitmentsTable[[#This Row],[Date record entered]]))</f>
        <v/>
      </c>
      <c r="H1190" s="245"/>
      <c r="I1190" s="245" t="str">
        <f ca="1">IF(CommitmentsTable[[#This Row],[Date Assigned if different from entry date]]&lt;&gt;"",CommitmentsTable[[#This Row],[Date Assigned if different from entry date]]+90,IF(CommitmentsTable[[#This Row],[Date record entered]]&lt;&gt;"",CommitmentsTable[[#This Row],[Date record entered]]+90,""))</f>
        <v/>
      </c>
      <c r="J1190" s="245" t="str">
        <f ca="1">IF(CommitmentsTable[[#This Row],[Date Assigned if different from entry date]]&lt;&gt;"",CommitmentsTable[[#This Row],[Date Assigned if different from entry date]]+30,IF(CommitmentsTable[[#This Row],[Date record entered]]&lt;&gt;"",CommitmentsTable[[#This Row],[Date record entered]]+30,""))</f>
        <v/>
      </c>
      <c r="K1190" s="245"/>
      <c r="L1190" s="245" t="str">
        <f ca="1">IF(CommitmentsTable[[#This Row],[Date Assigned if different from entry date]]&lt;&gt;"",CommitmentsTable[[#This Row],[Date Assigned if different from entry date]]+60,IF(CommitmentsTable[[#This Row],[Date record entered]]&lt;&gt;"",CommitmentsTable[[#This Row],[Date record entered]]+60,""))</f>
        <v/>
      </c>
      <c r="M1190" s="214"/>
      <c r="N1190" s="214"/>
      <c r="O1190" s="236"/>
      <c r="P1190" s="214"/>
      <c r="Q1190" s="214"/>
      <c r="R1190" s="214"/>
      <c r="S1190" s="238" t="str">
        <f>IF(CommitmentsTable[[#This Row],[Commitment / deliverable]]="","",IF(CommitmentsTable[[#This Row],[Revised due]]&lt;&gt;"",CommitmentsTable[[#This Row],[Revised due]],CommitmentsTable[[#This Row],[Original due]]))</f>
        <v/>
      </c>
      <c r="T1190" s="237" t="str">
        <f>IF(OR(CommitmentsTable[[#This Row],[Commitment / deliverable]]="",CommitmentsTable[[#This Row],[Owner]]=""),"",IF(CommitmentsTable[[#This Row],[Status2]]="","Open",CommitmentsTable[[#This Row],[Status2]]))</f>
        <v/>
      </c>
      <c r="U1190" s="237" t="str">
        <f t="shared" ca="1" si="18"/>
        <v/>
      </c>
      <c r="V1190" s="233"/>
      <c r="W1190" s="63" t="s">
        <v>2092</v>
      </c>
    </row>
    <row r="1191" spans="1:23" ht="26">
      <c r="A1191" s="213" t="str">
        <f>IF(OR(CommitmentsTable[[#This Row],[Commitment / deliverable]]="",CommitmentsTable[[#This Row],[Immutable Key]]=""),"",SUBSTITUTE(CommitmentsTable[[#This Row],[Immutable Key]],"-K-","-"))</f>
        <v/>
      </c>
      <c r="B1191" s="233"/>
      <c r="C1191" s="233"/>
      <c r="D1191" s="213"/>
      <c r="E1191" s="230"/>
      <c r="F1191" s="213"/>
      <c r="G1191" s="245" t="str">
        <f ca="1">IF(CommitmentsTable[[#This Row],[Commitment / deliverable]]="","",IF(CommitmentsTable[[#This Row],[Date record entered]]="",TODAY(),CommitmentsTable[[#This Row],[Date record entered]]))</f>
        <v/>
      </c>
      <c r="H1191" s="245"/>
      <c r="I1191" s="245" t="str">
        <f ca="1">IF(CommitmentsTable[[#This Row],[Date Assigned if different from entry date]]&lt;&gt;"",CommitmentsTable[[#This Row],[Date Assigned if different from entry date]]+90,IF(CommitmentsTable[[#This Row],[Date record entered]]&lt;&gt;"",CommitmentsTable[[#This Row],[Date record entered]]+90,""))</f>
        <v/>
      </c>
      <c r="J1191" s="245" t="str">
        <f ca="1">IF(CommitmentsTable[[#This Row],[Date Assigned if different from entry date]]&lt;&gt;"",CommitmentsTable[[#This Row],[Date Assigned if different from entry date]]+30,IF(CommitmentsTable[[#This Row],[Date record entered]]&lt;&gt;"",CommitmentsTable[[#This Row],[Date record entered]]+30,""))</f>
        <v/>
      </c>
      <c r="K1191" s="245"/>
      <c r="L1191" s="245" t="str">
        <f ca="1">IF(CommitmentsTable[[#This Row],[Date Assigned if different from entry date]]&lt;&gt;"",CommitmentsTable[[#This Row],[Date Assigned if different from entry date]]+60,IF(CommitmentsTable[[#This Row],[Date record entered]]&lt;&gt;"",CommitmentsTable[[#This Row],[Date record entered]]+60,""))</f>
        <v/>
      </c>
      <c r="M1191" s="214"/>
      <c r="N1191" s="214"/>
      <c r="O1191" s="236"/>
      <c r="P1191" s="214"/>
      <c r="Q1191" s="214"/>
      <c r="R1191" s="214"/>
      <c r="S1191" s="238" t="str">
        <f>IF(CommitmentsTable[[#This Row],[Commitment / deliverable]]="","",IF(CommitmentsTable[[#This Row],[Revised due]]&lt;&gt;"",CommitmentsTable[[#This Row],[Revised due]],CommitmentsTable[[#This Row],[Original due]]))</f>
        <v/>
      </c>
      <c r="T1191" s="237" t="str">
        <f>IF(OR(CommitmentsTable[[#This Row],[Commitment / deliverable]]="",CommitmentsTable[[#This Row],[Owner]]=""),"",IF(CommitmentsTable[[#This Row],[Status2]]="","Open",CommitmentsTable[[#This Row],[Status2]]))</f>
        <v/>
      </c>
      <c r="U1191" s="237" t="str">
        <f t="shared" ca="1" si="18"/>
        <v/>
      </c>
      <c r="V1191" s="233"/>
      <c r="W1191" s="63" t="s">
        <v>2093</v>
      </c>
    </row>
    <row r="1192" spans="1:23" ht="26">
      <c r="A1192" s="213" t="str">
        <f>IF(OR(CommitmentsTable[[#This Row],[Commitment / deliverable]]="",CommitmentsTable[[#This Row],[Immutable Key]]=""),"",SUBSTITUTE(CommitmentsTable[[#This Row],[Immutable Key]],"-K-","-"))</f>
        <v/>
      </c>
      <c r="B1192" s="233"/>
      <c r="C1192" s="233"/>
      <c r="D1192" s="213"/>
      <c r="E1192" s="230"/>
      <c r="F1192" s="213"/>
      <c r="G1192" s="245" t="str">
        <f ca="1">IF(CommitmentsTable[[#This Row],[Commitment / deliverable]]="","",IF(CommitmentsTable[[#This Row],[Date record entered]]="",TODAY(),CommitmentsTable[[#This Row],[Date record entered]]))</f>
        <v/>
      </c>
      <c r="H1192" s="245"/>
      <c r="I1192" s="245" t="str">
        <f ca="1">IF(CommitmentsTable[[#This Row],[Date Assigned if different from entry date]]&lt;&gt;"",CommitmentsTable[[#This Row],[Date Assigned if different from entry date]]+90,IF(CommitmentsTable[[#This Row],[Date record entered]]&lt;&gt;"",CommitmentsTable[[#This Row],[Date record entered]]+90,""))</f>
        <v/>
      </c>
      <c r="J1192" s="245" t="str">
        <f ca="1">IF(CommitmentsTable[[#This Row],[Date Assigned if different from entry date]]&lt;&gt;"",CommitmentsTable[[#This Row],[Date Assigned if different from entry date]]+30,IF(CommitmentsTable[[#This Row],[Date record entered]]&lt;&gt;"",CommitmentsTable[[#This Row],[Date record entered]]+30,""))</f>
        <v/>
      </c>
      <c r="K1192" s="245"/>
      <c r="L1192" s="245" t="str">
        <f ca="1">IF(CommitmentsTable[[#This Row],[Date Assigned if different from entry date]]&lt;&gt;"",CommitmentsTable[[#This Row],[Date Assigned if different from entry date]]+60,IF(CommitmentsTable[[#This Row],[Date record entered]]&lt;&gt;"",CommitmentsTable[[#This Row],[Date record entered]]+60,""))</f>
        <v/>
      </c>
      <c r="M1192" s="214"/>
      <c r="N1192" s="214"/>
      <c r="O1192" s="236"/>
      <c r="P1192" s="214"/>
      <c r="Q1192" s="214"/>
      <c r="R1192" s="214"/>
      <c r="S1192" s="238" t="str">
        <f>IF(CommitmentsTable[[#This Row],[Commitment / deliverable]]="","",IF(CommitmentsTable[[#This Row],[Revised due]]&lt;&gt;"",CommitmentsTable[[#This Row],[Revised due]],CommitmentsTable[[#This Row],[Original due]]))</f>
        <v/>
      </c>
      <c r="T1192" s="237" t="str">
        <f>IF(OR(CommitmentsTable[[#This Row],[Commitment / deliverable]]="",CommitmentsTable[[#This Row],[Owner]]=""),"",IF(CommitmentsTable[[#This Row],[Status2]]="","Open",CommitmentsTable[[#This Row],[Status2]]))</f>
        <v/>
      </c>
      <c r="U1192" s="237" t="str">
        <f t="shared" ca="1" si="18"/>
        <v/>
      </c>
      <c r="V1192" s="233"/>
      <c r="W1192" s="63" t="s">
        <v>2094</v>
      </c>
    </row>
    <row r="1193" spans="1:23" ht="26">
      <c r="A1193" s="213" t="str">
        <f>IF(OR(CommitmentsTable[[#This Row],[Commitment / deliverable]]="",CommitmentsTable[[#This Row],[Immutable Key]]=""),"",SUBSTITUTE(CommitmentsTable[[#This Row],[Immutable Key]],"-K-","-"))</f>
        <v/>
      </c>
      <c r="B1193" s="233"/>
      <c r="C1193" s="233"/>
      <c r="D1193" s="213"/>
      <c r="E1193" s="230"/>
      <c r="F1193" s="213"/>
      <c r="G1193" s="245" t="str">
        <f ca="1">IF(CommitmentsTable[[#This Row],[Commitment / deliverable]]="","",IF(CommitmentsTable[[#This Row],[Date record entered]]="",TODAY(),CommitmentsTable[[#This Row],[Date record entered]]))</f>
        <v/>
      </c>
      <c r="H1193" s="245"/>
      <c r="I1193" s="245" t="str">
        <f ca="1">IF(CommitmentsTable[[#This Row],[Date Assigned if different from entry date]]&lt;&gt;"",CommitmentsTable[[#This Row],[Date Assigned if different from entry date]]+90,IF(CommitmentsTable[[#This Row],[Date record entered]]&lt;&gt;"",CommitmentsTable[[#This Row],[Date record entered]]+90,""))</f>
        <v/>
      </c>
      <c r="J1193" s="245" t="str">
        <f ca="1">IF(CommitmentsTable[[#This Row],[Date Assigned if different from entry date]]&lt;&gt;"",CommitmentsTable[[#This Row],[Date Assigned if different from entry date]]+30,IF(CommitmentsTable[[#This Row],[Date record entered]]&lt;&gt;"",CommitmentsTable[[#This Row],[Date record entered]]+30,""))</f>
        <v/>
      </c>
      <c r="K1193" s="245"/>
      <c r="L1193" s="245" t="str">
        <f ca="1">IF(CommitmentsTable[[#This Row],[Date Assigned if different from entry date]]&lt;&gt;"",CommitmentsTable[[#This Row],[Date Assigned if different from entry date]]+60,IF(CommitmentsTable[[#This Row],[Date record entered]]&lt;&gt;"",CommitmentsTable[[#This Row],[Date record entered]]+60,""))</f>
        <v/>
      </c>
      <c r="M1193" s="214"/>
      <c r="N1193" s="214"/>
      <c r="O1193" s="236"/>
      <c r="P1193" s="214"/>
      <c r="Q1193" s="214"/>
      <c r="R1193" s="214"/>
      <c r="S1193" s="238" t="str">
        <f>IF(CommitmentsTable[[#This Row],[Commitment / deliverable]]="","",IF(CommitmentsTable[[#This Row],[Revised due]]&lt;&gt;"",CommitmentsTable[[#This Row],[Revised due]],CommitmentsTable[[#This Row],[Original due]]))</f>
        <v/>
      </c>
      <c r="T1193" s="237" t="str">
        <f>IF(OR(CommitmentsTable[[#This Row],[Commitment / deliverable]]="",CommitmentsTable[[#This Row],[Owner]]=""),"",IF(CommitmentsTable[[#This Row],[Status2]]="","Open",CommitmentsTable[[#This Row],[Status2]]))</f>
        <v/>
      </c>
      <c r="U1193" s="237" t="str">
        <f t="shared" ca="1" si="18"/>
        <v/>
      </c>
      <c r="V1193" s="233"/>
      <c r="W1193" s="63" t="s">
        <v>2095</v>
      </c>
    </row>
    <row r="1194" spans="1:23" ht="26">
      <c r="A1194" s="213" t="str">
        <f>IF(OR(CommitmentsTable[[#This Row],[Commitment / deliverable]]="",CommitmentsTable[[#This Row],[Immutable Key]]=""),"",SUBSTITUTE(CommitmentsTable[[#This Row],[Immutable Key]],"-K-","-"))</f>
        <v/>
      </c>
      <c r="B1194" s="233"/>
      <c r="C1194" s="233"/>
      <c r="D1194" s="213"/>
      <c r="E1194" s="230"/>
      <c r="F1194" s="213"/>
      <c r="G1194" s="245" t="str">
        <f ca="1">IF(CommitmentsTable[[#This Row],[Commitment / deliverable]]="","",IF(CommitmentsTable[[#This Row],[Date record entered]]="",TODAY(),CommitmentsTable[[#This Row],[Date record entered]]))</f>
        <v/>
      </c>
      <c r="H1194" s="245"/>
      <c r="I1194" s="245" t="str">
        <f ca="1">IF(CommitmentsTable[[#This Row],[Date Assigned if different from entry date]]&lt;&gt;"",CommitmentsTable[[#This Row],[Date Assigned if different from entry date]]+90,IF(CommitmentsTable[[#This Row],[Date record entered]]&lt;&gt;"",CommitmentsTable[[#This Row],[Date record entered]]+90,""))</f>
        <v/>
      </c>
      <c r="J1194" s="245" t="str">
        <f ca="1">IF(CommitmentsTable[[#This Row],[Date Assigned if different from entry date]]&lt;&gt;"",CommitmentsTable[[#This Row],[Date Assigned if different from entry date]]+30,IF(CommitmentsTable[[#This Row],[Date record entered]]&lt;&gt;"",CommitmentsTable[[#This Row],[Date record entered]]+30,""))</f>
        <v/>
      </c>
      <c r="K1194" s="245"/>
      <c r="L1194" s="245" t="str">
        <f ca="1">IF(CommitmentsTable[[#This Row],[Date Assigned if different from entry date]]&lt;&gt;"",CommitmentsTable[[#This Row],[Date Assigned if different from entry date]]+60,IF(CommitmentsTable[[#This Row],[Date record entered]]&lt;&gt;"",CommitmentsTable[[#This Row],[Date record entered]]+60,""))</f>
        <v/>
      </c>
      <c r="M1194" s="214"/>
      <c r="N1194" s="214"/>
      <c r="O1194" s="236"/>
      <c r="P1194" s="214"/>
      <c r="Q1194" s="214"/>
      <c r="R1194" s="214"/>
      <c r="S1194" s="238" t="str">
        <f>IF(CommitmentsTable[[#This Row],[Commitment / deliverable]]="","",IF(CommitmentsTable[[#This Row],[Revised due]]&lt;&gt;"",CommitmentsTable[[#This Row],[Revised due]],CommitmentsTable[[#This Row],[Original due]]))</f>
        <v/>
      </c>
      <c r="T1194" s="237" t="str">
        <f>IF(OR(CommitmentsTable[[#This Row],[Commitment / deliverable]]="",CommitmentsTable[[#This Row],[Owner]]=""),"",IF(CommitmentsTable[[#This Row],[Status2]]="","Open",CommitmentsTable[[#This Row],[Status2]]))</f>
        <v/>
      </c>
      <c r="U1194" s="237" t="str">
        <f t="shared" ca="1" si="18"/>
        <v/>
      </c>
      <c r="V1194" s="233"/>
      <c r="W1194" s="63" t="s">
        <v>2096</v>
      </c>
    </row>
    <row r="1195" spans="1:23" ht="26">
      <c r="A1195" s="213" t="str">
        <f>IF(OR(CommitmentsTable[[#This Row],[Commitment / deliverable]]="",CommitmentsTable[[#This Row],[Immutable Key]]=""),"",SUBSTITUTE(CommitmentsTable[[#This Row],[Immutable Key]],"-K-","-"))</f>
        <v/>
      </c>
      <c r="B1195" s="233"/>
      <c r="C1195" s="233"/>
      <c r="D1195" s="213"/>
      <c r="E1195" s="230"/>
      <c r="F1195" s="213"/>
      <c r="G1195" s="245" t="str">
        <f ca="1">IF(CommitmentsTable[[#This Row],[Commitment / deliverable]]="","",IF(CommitmentsTable[[#This Row],[Date record entered]]="",TODAY(),CommitmentsTable[[#This Row],[Date record entered]]))</f>
        <v/>
      </c>
      <c r="H1195" s="245"/>
      <c r="I1195" s="245" t="str">
        <f ca="1">IF(CommitmentsTable[[#This Row],[Date Assigned if different from entry date]]&lt;&gt;"",CommitmentsTable[[#This Row],[Date Assigned if different from entry date]]+90,IF(CommitmentsTable[[#This Row],[Date record entered]]&lt;&gt;"",CommitmentsTable[[#This Row],[Date record entered]]+90,""))</f>
        <v/>
      </c>
      <c r="J1195" s="245" t="str">
        <f ca="1">IF(CommitmentsTable[[#This Row],[Date Assigned if different from entry date]]&lt;&gt;"",CommitmentsTable[[#This Row],[Date Assigned if different from entry date]]+30,IF(CommitmentsTable[[#This Row],[Date record entered]]&lt;&gt;"",CommitmentsTable[[#This Row],[Date record entered]]+30,""))</f>
        <v/>
      </c>
      <c r="K1195" s="245"/>
      <c r="L1195" s="245" t="str">
        <f ca="1">IF(CommitmentsTable[[#This Row],[Date Assigned if different from entry date]]&lt;&gt;"",CommitmentsTable[[#This Row],[Date Assigned if different from entry date]]+60,IF(CommitmentsTable[[#This Row],[Date record entered]]&lt;&gt;"",CommitmentsTable[[#This Row],[Date record entered]]+60,""))</f>
        <v/>
      </c>
      <c r="M1195" s="214"/>
      <c r="N1195" s="214"/>
      <c r="O1195" s="236"/>
      <c r="P1195" s="214"/>
      <c r="Q1195" s="214"/>
      <c r="R1195" s="214"/>
      <c r="S1195" s="238" t="str">
        <f>IF(CommitmentsTable[[#This Row],[Commitment / deliverable]]="","",IF(CommitmentsTable[[#This Row],[Revised due]]&lt;&gt;"",CommitmentsTable[[#This Row],[Revised due]],CommitmentsTable[[#This Row],[Original due]]))</f>
        <v/>
      </c>
      <c r="T1195" s="237" t="str">
        <f>IF(OR(CommitmentsTable[[#This Row],[Commitment / deliverable]]="",CommitmentsTable[[#This Row],[Owner]]=""),"",IF(CommitmentsTable[[#This Row],[Status2]]="","Open",CommitmentsTable[[#This Row],[Status2]]))</f>
        <v/>
      </c>
      <c r="U1195" s="237" t="str">
        <f t="shared" ca="1" si="18"/>
        <v/>
      </c>
      <c r="V1195" s="233"/>
      <c r="W1195" s="63" t="s">
        <v>2097</v>
      </c>
    </row>
    <row r="1196" spans="1:23" ht="26">
      <c r="A1196" s="213" t="str">
        <f>IF(OR(CommitmentsTable[[#This Row],[Commitment / deliverable]]="",CommitmentsTable[[#This Row],[Immutable Key]]=""),"",SUBSTITUTE(CommitmentsTable[[#This Row],[Immutable Key]],"-K-","-"))</f>
        <v/>
      </c>
      <c r="B1196" s="233"/>
      <c r="C1196" s="233"/>
      <c r="D1196" s="213"/>
      <c r="E1196" s="230"/>
      <c r="F1196" s="213"/>
      <c r="G1196" s="245" t="str">
        <f ca="1">IF(CommitmentsTable[[#This Row],[Commitment / deliverable]]="","",IF(CommitmentsTable[[#This Row],[Date record entered]]="",TODAY(),CommitmentsTable[[#This Row],[Date record entered]]))</f>
        <v/>
      </c>
      <c r="H1196" s="245"/>
      <c r="I1196" s="245" t="str">
        <f ca="1">IF(CommitmentsTable[[#This Row],[Date Assigned if different from entry date]]&lt;&gt;"",CommitmentsTable[[#This Row],[Date Assigned if different from entry date]]+90,IF(CommitmentsTable[[#This Row],[Date record entered]]&lt;&gt;"",CommitmentsTable[[#This Row],[Date record entered]]+90,""))</f>
        <v/>
      </c>
      <c r="J1196" s="245" t="str">
        <f ca="1">IF(CommitmentsTable[[#This Row],[Date Assigned if different from entry date]]&lt;&gt;"",CommitmentsTable[[#This Row],[Date Assigned if different from entry date]]+30,IF(CommitmentsTable[[#This Row],[Date record entered]]&lt;&gt;"",CommitmentsTable[[#This Row],[Date record entered]]+30,""))</f>
        <v/>
      </c>
      <c r="K1196" s="245"/>
      <c r="L1196" s="245" t="str">
        <f ca="1">IF(CommitmentsTable[[#This Row],[Date Assigned if different from entry date]]&lt;&gt;"",CommitmentsTable[[#This Row],[Date Assigned if different from entry date]]+60,IF(CommitmentsTable[[#This Row],[Date record entered]]&lt;&gt;"",CommitmentsTable[[#This Row],[Date record entered]]+60,""))</f>
        <v/>
      </c>
      <c r="M1196" s="214"/>
      <c r="N1196" s="214"/>
      <c r="O1196" s="236"/>
      <c r="P1196" s="214"/>
      <c r="Q1196" s="214"/>
      <c r="R1196" s="214"/>
      <c r="S1196" s="238" t="str">
        <f>IF(CommitmentsTable[[#This Row],[Commitment / deliverable]]="","",IF(CommitmentsTable[[#This Row],[Revised due]]&lt;&gt;"",CommitmentsTable[[#This Row],[Revised due]],CommitmentsTable[[#This Row],[Original due]]))</f>
        <v/>
      </c>
      <c r="T1196" s="237" t="str">
        <f>IF(OR(CommitmentsTable[[#This Row],[Commitment / deliverable]]="",CommitmentsTable[[#This Row],[Owner]]=""),"",IF(CommitmentsTable[[#This Row],[Status2]]="","Open",CommitmentsTable[[#This Row],[Status2]]))</f>
        <v/>
      </c>
      <c r="U1196" s="237" t="str">
        <f t="shared" ca="1" si="18"/>
        <v/>
      </c>
      <c r="V1196" s="233"/>
      <c r="W1196" s="63" t="s">
        <v>2098</v>
      </c>
    </row>
    <row r="1197" spans="1:23" ht="26">
      <c r="A1197" s="213" t="str">
        <f>IF(OR(CommitmentsTable[[#This Row],[Commitment / deliverable]]="",CommitmentsTable[[#This Row],[Immutable Key]]=""),"",SUBSTITUTE(CommitmentsTable[[#This Row],[Immutable Key]],"-K-","-"))</f>
        <v/>
      </c>
      <c r="B1197" s="233"/>
      <c r="C1197" s="233"/>
      <c r="D1197" s="213"/>
      <c r="E1197" s="230"/>
      <c r="F1197" s="213"/>
      <c r="G1197" s="245" t="str">
        <f ca="1">IF(CommitmentsTable[[#This Row],[Commitment / deliverable]]="","",IF(CommitmentsTable[[#This Row],[Date record entered]]="",TODAY(),CommitmentsTable[[#This Row],[Date record entered]]))</f>
        <v/>
      </c>
      <c r="H1197" s="245"/>
      <c r="I1197" s="245" t="str">
        <f ca="1">IF(CommitmentsTable[[#This Row],[Date Assigned if different from entry date]]&lt;&gt;"",CommitmentsTable[[#This Row],[Date Assigned if different from entry date]]+90,IF(CommitmentsTable[[#This Row],[Date record entered]]&lt;&gt;"",CommitmentsTable[[#This Row],[Date record entered]]+90,""))</f>
        <v/>
      </c>
      <c r="J1197" s="245" t="str">
        <f ca="1">IF(CommitmentsTable[[#This Row],[Date Assigned if different from entry date]]&lt;&gt;"",CommitmentsTable[[#This Row],[Date Assigned if different from entry date]]+30,IF(CommitmentsTable[[#This Row],[Date record entered]]&lt;&gt;"",CommitmentsTable[[#This Row],[Date record entered]]+30,""))</f>
        <v/>
      </c>
      <c r="K1197" s="245"/>
      <c r="L1197" s="245" t="str">
        <f ca="1">IF(CommitmentsTable[[#This Row],[Date Assigned if different from entry date]]&lt;&gt;"",CommitmentsTable[[#This Row],[Date Assigned if different from entry date]]+60,IF(CommitmentsTable[[#This Row],[Date record entered]]&lt;&gt;"",CommitmentsTable[[#This Row],[Date record entered]]+60,""))</f>
        <v/>
      </c>
      <c r="M1197" s="214"/>
      <c r="N1197" s="214"/>
      <c r="O1197" s="236"/>
      <c r="P1197" s="214"/>
      <c r="Q1197" s="214"/>
      <c r="R1197" s="214"/>
      <c r="S1197" s="238" t="str">
        <f>IF(CommitmentsTable[[#This Row],[Commitment / deliverable]]="","",IF(CommitmentsTable[[#This Row],[Revised due]]&lt;&gt;"",CommitmentsTable[[#This Row],[Revised due]],CommitmentsTable[[#This Row],[Original due]]))</f>
        <v/>
      </c>
      <c r="T1197" s="237" t="str">
        <f>IF(OR(CommitmentsTable[[#This Row],[Commitment / deliverable]]="",CommitmentsTable[[#This Row],[Owner]]=""),"",IF(CommitmentsTable[[#This Row],[Status2]]="","Open",CommitmentsTable[[#This Row],[Status2]]))</f>
        <v/>
      </c>
      <c r="U1197" s="237" t="str">
        <f t="shared" ca="1" si="18"/>
        <v/>
      </c>
      <c r="V1197" s="233"/>
      <c r="W1197" s="63" t="s">
        <v>2099</v>
      </c>
    </row>
    <row r="1198" spans="1:23" ht="26">
      <c r="A1198" s="213" t="str">
        <f>IF(OR(CommitmentsTable[[#This Row],[Commitment / deliverable]]="",CommitmentsTable[[#This Row],[Immutable Key]]=""),"",SUBSTITUTE(CommitmentsTable[[#This Row],[Immutable Key]],"-K-","-"))</f>
        <v/>
      </c>
      <c r="B1198" s="233"/>
      <c r="C1198" s="233"/>
      <c r="D1198" s="213"/>
      <c r="E1198" s="230"/>
      <c r="F1198" s="213"/>
      <c r="G1198" s="245" t="str">
        <f ca="1">IF(CommitmentsTable[[#This Row],[Commitment / deliverable]]="","",IF(CommitmentsTable[[#This Row],[Date record entered]]="",TODAY(),CommitmentsTable[[#This Row],[Date record entered]]))</f>
        <v/>
      </c>
      <c r="H1198" s="245"/>
      <c r="I1198" s="245" t="str">
        <f ca="1">IF(CommitmentsTable[[#This Row],[Date Assigned if different from entry date]]&lt;&gt;"",CommitmentsTable[[#This Row],[Date Assigned if different from entry date]]+90,IF(CommitmentsTable[[#This Row],[Date record entered]]&lt;&gt;"",CommitmentsTable[[#This Row],[Date record entered]]+90,""))</f>
        <v/>
      </c>
      <c r="J1198" s="245" t="str">
        <f ca="1">IF(CommitmentsTable[[#This Row],[Date Assigned if different from entry date]]&lt;&gt;"",CommitmentsTable[[#This Row],[Date Assigned if different from entry date]]+30,IF(CommitmentsTable[[#This Row],[Date record entered]]&lt;&gt;"",CommitmentsTable[[#This Row],[Date record entered]]+30,""))</f>
        <v/>
      </c>
      <c r="K1198" s="245"/>
      <c r="L1198" s="245" t="str">
        <f ca="1">IF(CommitmentsTable[[#This Row],[Date Assigned if different from entry date]]&lt;&gt;"",CommitmentsTable[[#This Row],[Date Assigned if different from entry date]]+60,IF(CommitmentsTable[[#This Row],[Date record entered]]&lt;&gt;"",CommitmentsTable[[#This Row],[Date record entered]]+60,""))</f>
        <v/>
      </c>
      <c r="M1198" s="214"/>
      <c r="N1198" s="214"/>
      <c r="O1198" s="236"/>
      <c r="P1198" s="214"/>
      <c r="Q1198" s="214"/>
      <c r="R1198" s="214"/>
      <c r="S1198" s="238" t="str">
        <f>IF(CommitmentsTable[[#This Row],[Commitment / deliverable]]="","",IF(CommitmentsTable[[#This Row],[Revised due]]&lt;&gt;"",CommitmentsTable[[#This Row],[Revised due]],CommitmentsTable[[#This Row],[Original due]]))</f>
        <v/>
      </c>
      <c r="T1198" s="237" t="str">
        <f>IF(OR(CommitmentsTable[[#This Row],[Commitment / deliverable]]="",CommitmentsTable[[#This Row],[Owner]]=""),"",IF(CommitmentsTable[[#This Row],[Status2]]="","Open",CommitmentsTable[[#This Row],[Status2]]))</f>
        <v/>
      </c>
      <c r="U1198" s="237" t="str">
        <f t="shared" ca="1" si="18"/>
        <v/>
      </c>
      <c r="V1198" s="233"/>
      <c r="W1198" s="63" t="s">
        <v>2100</v>
      </c>
    </row>
    <row r="1199" spans="1:23" ht="26">
      <c r="A1199" s="213" t="str">
        <f>IF(OR(CommitmentsTable[[#This Row],[Commitment / deliverable]]="",CommitmentsTable[[#This Row],[Immutable Key]]=""),"",SUBSTITUTE(CommitmentsTable[[#This Row],[Immutable Key]],"-K-","-"))</f>
        <v/>
      </c>
      <c r="B1199" s="233"/>
      <c r="C1199" s="233"/>
      <c r="D1199" s="213"/>
      <c r="E1199" s="230"/>
      <c r="F1199" s="213"/>
      <c r="G1199" s="245" t="str">
        <f ca="1">IF(CommitmentsTable[[#This Row],[Commitment / deliverable]]="","",IF(CommitmentsTable[[#This Row],[Date record entered]]="",TODAY(),CommitmentsTable[[#This Row],[Date record entered]]))</f>
        <v/>
      </c>
      <c r="H1199" s="245"/>
      <c r="I1199" s="245" t="str">
        <f ca="1">IF(CommitmentsTable[[#This Row],[Date Assigned if different from entry date]]&lt;&gt;"",CommitmentsTable[[#This Row],[Date Assigned if different from entry date]]+90,IF(CommitmentsTable[[#This Row],[Date record entered]]&lt;&gt;"",CommitmentsTable[[#This Row],[Date record entered]]+90,""))</f>
        <v/>
      </c>
      <c r="J1199" s="245" t="str">
        <f ca="1">IF(CommitmentsTable[[#This Row],[Date Assigned if different from entry date]]&lt;&gt;"",CommitmentsTable[[#This Row],[Date Assigned if different from entry date]]+30,IF(CommitmentsTable[[#This Row],[Date record entered]]&lt;&gt;"",CommitmentsTable[[#This Row],[Date record entered]]+30,""))</f>
        <v/>
      </c>
      <c r="K1199" s="245"/>
      <c r="L1199" s="245" t="str">
        <f ca="1">IF(CommitmentsTable[[#This Row],[Date Assigned if different from entry date]]&lt;&gt;"",CommitmentsTable[[#This Row],[Date Assigned if different from entry date]]+60,IF(CommitmentsTable[[#This Row],[Date record entered]]&lt;&gt;"",CommitmentsTable[[#This Row],[Date record entered]]+60,""))</f>
        <v/>
      </c>
      <c r="M1199" s="214"/>
      <c r="N1199" s="214"/>
      <c r="O1199" s="236"/>
      <c r="P1199" s="214"/>
      <c r="Q1199" s="214"/>
      <c r="R1199" s="214"/>
      <c r="S1199" s="238" t="str">
        <f>IF(CommitmentsTable[[#This Row],[Commitment / deliverable]]="","",IF(CommitmentsTable[[#This Row],[Revised due]]&lt;&gt;"",CommitmentsTable[[#This Row],[Revised due]],CommitmentsTable[[#This Row],[Original due]]))</f>
        <v/>
      </c>
      <c r="T1199" s="237" t="str">
        <f>IF(OR(CommitmentsTable[[#This Row],[Commitment / deliverable]]="",CommitmentsTable[[#This Row],[Owner]]=""),"",IF(CommitmentsTable[[#This Row],[Status2]]="","Open",CommitmentsTable[[#This Row],[Status2]]))</f>
        <v/>
      </c>
      <c r="U1199" s="237" t="str">
        <f t="shared" ca="1" si="18"/>
        <v/>
      </c>
      <c r="V1199" s="233"/>
      <c r="W1199" s="63" t="s">
        <v>2101</v>
      </c>
    </row>
    <row r="1200" spans="1:23" ht="26">
      <c r="A1200" s="213" t="str">
        <f>IF(OR(CommitmentsTable[[#This Row],[Commitment / deliverable]]="",CommitmentsTable[[#This Row],[Immutable Key]]=""),"",SUBSTITUTE(CommitmentsTable[[#This Row],[Immutable Key]],"-K-","-"))</f>
        <v/>
      </c>
      <c r="B1200" s="233"/>
      <c r="C1200" s="233"/>
      <c r="D1200" s="213"/>
      <c r="E1200" s="230"/>
      <c r="F1200" s="213"/>
      <c r="G1200" s="245" t="str">
        <f ca="1">IF(CommitmentsTable[[#This Row],[Commitment / deliverable]]="","",IF(CommitmentsTable[[#This Row],[Date record entered]]="",TODAY(),CommitmentsTable[[#This Row],[Date record entered]]))</f>
        <v/>
      </c>
      <c r="H1200" s="245"/>
      <c r="I1200" s="245" t="str">
        <f ca="1">IF(CommitmentsTable[[#This Row],[Date Assigned if different from entry date]]&lt;&gt;"",CommitmentsTable[[#This Row],[Date Assigned if different from entry date]]+90,IF(CommitmentsTable[[#This Row],[Date record entered]]&lt;&gt;"",CommitmentsTable[[#This Row],[Date record entered]]+90,""))</f>
        <v/>
      </c>
      <c r="J1200" s="245" t="str">
        <f ca="1">IF(CommitmentsTable[[#This Row],[Date Assigned if different from entry date]]&lt;&gt;"",CommitmentsTable[[#This Row],[Date Assigned if different from entry date]]+30,IF(CommitmentsTable[[#This Row],[Date record entered]]&lt;&gt;"",CommitmentsTable[[#This Row],[Date record entered]]+30,""))</f>
        <v/>
      </c>
      <c r="K1200" s="245"/>
      <c r="L1200" s="245" t="str">
        <f ca="1">IF(CommitmentsTable[[#This Row],[Date Assigned if different from entry date]]&lt;&gt;"",CommitmentsTable[[#This Row],[Date Assigned if different from entry date]]+60,IF(CommitmentsTable[[#This Row],[Date record entered]]&lt;&gt;"",CommitmentsTable[[#This Row],[Date record entered]]+60,""))</f>
        <v/>
      </c>
      <c r="M1200" s="214"/>
      <c r="N1200" s="214"/>
      <c r="O1200" s="236"/>
      <c r="P1200" s="214"/>
      <c r="Q1200" s="214"/>
      <c r="R1200" s="214"/>
      <c r="S1200" s="238" t="str">
        <f>IF(CommitmentsTable[[#This Row],[Commitment / deliverable]]="","",IF(CommitmentsTable[[#This Row],[Revised due]]&lt;&gt;"",CommitmentsTable[[#This Row],[Revised due]],CommitmentsTable[[#This Row],[Original due]]))</f>
        <v/>
      </c>
      <c r="T1200" s="237" t="str">
        <f>IF(OR(CommitmentsTable[[#This Row],[Commitment / deliverable]]="",CommitmentsTable[[#This Row],[Owner]]=""),"",IF(CommitmentsTable[[#This Row],[Status2]]="","Open",CommitmentsTable[[#This Row],[Status2]]))</f>
        <v/>
      </c>
      <c r="U1200" s="237" t="str">
        <f t="shared" ca="1" si="18"/>
        <v/>
      </c>
      <c r="V1200" s="233"/>
      <c r="W1200" s="63" t="s">
        <v>2102</v>
      </c>
    </row>
    <row r="1201" spans="1:23" ht="26">
      <c r="A1201" s="213" t="str">
        <f>IF(OR(CommitmentsTable[[#This Row],[Commitment / deliverable]]="",CommitmentsTable[[#This Row],[Immutable Key]]=""),"",SUBSTITUTE(CommitmentsTable[[#This Row],[Immutable Key]],"-K-","-"))</f>
        <v/>
      </c>
      <c r="B1201" s="233"/>
      <c r="C1201" s="233"/>
      <c r="D1201" s="213"/>
      <c r="E1201" s="230"/>
      <c r="F1201" s="213"/>
      <c r="G1201" s="245" t="str">
        <f ca="1">IF(CommitmentsTable[[#This Row],[Commitment / deliverable]]="","",IF(CommitmentsTable[[#This Row],[Date record entered]]="",TODAY(),CommitmentsTable[[#This Row],[Date record entered]]))</f>
        <v/>
      </c>
      <c r="H1201" s="245"/>
      <c r="I1201" s="245" t="str">
        <f ca="1">IF(CommitmentsTable[[#This Row],[Date Assigned if different from entry date]]&lt;&gt;"",CommitmentsTable[[#This Row],[Date Assigned if different from entry date]]+90,IF(CommitmentsTable[[#This Row],[Date record entered]]&lt;&gt;"",CommitmentsTable[[#This Row],[Date record entered]]+90,""))</f>
        <v/>
      </c>
      <c r="J1201" s="245" t="str">
        <f ca="1">IF(CommitmentsTable[[#This Row],[Date Assigned if different from entry date]]&lt;&gt;"",CommitmentsTable[[#This Row],[Date Assigned if different from entry date]]+30,IF(CommitmentsTable[[#This Row],[Date record entered]]&lt;&gt;"",CommitmentsTable[[#This Row],[Date record entered]]+30,""))</f>
        <v/>
      </c>
      <c r="K1201" s="245"/>
      <c r="L1201" s="245" t="str">
        <f ca="1">IF(CommitmentsTable[[#This Row],[Date Assigned if different from entry date]]&lt;&gt;"",CommitmentsTable[[#This Row],[Date Assigned if different from entry date]]+60,IF(CommitmentsTable[[#This Row],[Date record entered]]&lt;&gt;"",CommitmentsTable[[#This Row],[Date record entered]]+60,""))</f>
        <v/>
      </c>
      <c r="M1201" s="214"/>
      <c r="N1201" s="214"/>
      <c r="O1201" s="236"/>
      <c r="P1201" s="214"/>
      <c r="Q1201" s="214"/>
      <c r="R1201" s="214"/>
      <c r="S1201" s="238" t="str">
        <f>IF(CommitmentsTable[[#This Row],[Commitment / deliverable]]="","",IF(CommitmentsTable[[#This Row],[Revised due]]&lt;&gt;"",CommitmentsTable[[#This Row],[Revised due]],CommitmentsTable[[#This Row],[Original due]]))</f>
        <v/>
      </c>
      <c r="T1201" s="237" t="str">
        <f>IF(OR(CommitmentsTable[[#This Row],[Commitment / deliverable]]="",CommitmentsTable[[#This Row],[Owner]]=""),"",IF(CommitmentsTable[[#This Row],[Status2]]="","Open",CommitmentsTable[[#This Row],[Status2]]))</f>
        <v/>
      </c>
      <c r="U1201" s="237" t="str">
        <f t="shared" ca="1" si="18"/>
        <v/>
      </c>
      <c r="V1201" s="233"/>
      <c r="W1201" s="63" t="s">
        <v>2103</v>
      </c>
    </row>
    <row r="1202" spans="1:23" ht="26">
      <c r="A1202" s="213" t="str">
        <f>IF(OR(CommitmentsTable[[#This Row],[Commitment / deliverable]]="",CommitmentsTable[[#This Row],[Immutable Key]]=""),"",SUBSTITUTE(CommitmentsTable[[#This Row],[Immutable Key]],"-K-","-"))</f>
        <v/>
      </c>
      <c r="B1202" s="233"/>
      <c r="C1202" s="233"/>
      <c r="D1202" s="213"/>
      <c r="E1202" s="230"/>
      <c r="F1202" s="213"/>
      <c r="G1202" s="245" t="str">
        <f ca="1">IF(CommitmentsTable[[#This Row],[Commitment / deliverable]]="","",IF(CommitmentsTable[[#This Row],[Date record entered]]="",TODAY(),CommitmentsTable[[#This Row],[Date record entered]]))</f>
        <v/>
      </c>
      <c r="H1202" s="245"/>
      <c r="I1202" s="245" t="str">
        <f ca="1">IF(CommitmentsTable[[#This Row],[Date Assigned if different from entry date]]&lt;&gt;"",CommitmentsTable[[#This Row],[Date Assigned if different from entry date]]+90,IF(CommitmentsTable[[#This Row],[Date record entered]]&lt;&gt;"",CommitmentsTable[[#This Row],[Date record entered]]+90,""))</f>
        <v/>
      </c>
      <c r="J1202" s="245" t="str">
        <f ca="1">IF(CommitmentsTable[[#This Row],[Date Assigned if different from entry date]]&lt;&gt;"",CommitmentsTable[[#This Row],[Date Assigned if different from entry date]]+30,IF(CommitmentsTable[[#This Row],[Date record entered]]&lt;&gt;"",CommitmentsTable[[#This Row],[Date record entered]]+30,""))</f>
        <v/>
      </c>
      <c r="K1202" s="245"/>
      <c r="L1202" s="245" t="str">
        <f ca="1">IF(CommitmentsTable[[#This Row],[Date Assigned if different from entry date]]&lt;&gt;"",CommitmentsTable[[#This Row],[Date Assigned if different from entry date]]+60,IF(CommitmentsTable[[#This Row],[Date record entered]]&lt;&gt;"",CommitmentsTable[[#This Row],[Date record entered]]+60,""))</f>
        <v/>
      </c>
      <c r="M1202" s="214"/>
      <c r="N1202" s="214"/>
      <c r="O1202" s="236"/>
      <c r="P1202" s="214"/>
      <c r="Q1202" s="214"/>
      <c r="R1202" s="214"/>
      <c r="S1202" s="238" t="str">
        <f>IF(CommitmentsTable[[#This Row],[Commitment / deliverable]]="","",IF(CommitmentsTable[[#This Row],[Revised due]]&lt;&gt;"",CommitmentsTable[[#This Row],[Revised due]],CommitmentsTable[[#This Row],[Original due]]))</f>
        <v/>
      </c>
      <c r="T1202" s="237" t="str">
        <f>IF(OR(CommitmentsTable[[#This Row],[Commitment / deliverable]]="",CommitmentsTable[[#This Row],[Owner]]=""),"",IF(CommitmentsTable[[#This Row],[Status2]]="","Open",CommitmentsTable[[#This Row],[Status2]]))</f>
        <v/>
      </c>
      <c r="U1202" s="237" t="str">
        <f t="shared" ca="1" si="18"/>
        <v/>
      </c>
      <c r="V1202" s="233"/>
      <c r="W1202" s="63" t="s">
        <v>2104</v>
      </c>
    </row>
    <row r="1203" spans="1:23" ht="26">
      <c r="A1203" s="213" t="str">
        <f>IF(OR(CommitmentsTable[[#This Row],[Commitment / deliverable]]="",CommitmentsTable[[#This Row],[Immutable Key]]=""),"",SUBSTITUTE(CommitmentsTable[[#This Row],[Immutable Key]],"-K-","-"))</f>
        <v/>
      </c>
      <c r="B1203" s="233"/>
      <c r="C1203" s="233"/>
      <c r="D1203" s="213"/>
      <c r="E1203" s="230"/>
      <c r="F1203" s="213"/>
      <c r="G1203" s="245" t="str">
        <f ca="1">IF(CommitmentsTable[[#This Row],[Commitment / deliverable]]="","",IF(CommitmentsTable[[#This Row],[Date record entered]]="",TODAY(),CommitmentsTable[[#This Row],[Date record entered]]))</f>
        <v/>
      </c>
      <c r="H1203" s="245"/>
      <c r="I1203" s="245" t="str">
        <f ca="1">IF(CommitmentsTable[[#This Row],[Date Assigned if different from entry date]]&lt;&gt;"",CommitmentsTable[[#This Row],[Date Assigned if different from entry date]]+90,IF(CommitmentsTable[[#This Row],[Date record entered]]&lt;&gt;"",CommitmentsTable[[#This Row],[Date record entered]]+90,""))</f>
        <v/>
      </c>
      <c r="J1203" s="245" t="str">
        <f ca="1">IF(CommitmentsTable[[#This Row],[Date Assigned if different from entry date]]&lt;&gt;"",CommitmentsTable[[#This Row],[Date Assigned if different from entry date]]+30,IF(CommitmentsTable[[#This Row],[Date record entered]]&lt;&gt;"",CommitmentsTable[[#This Row],[Date record entered]]+30,""))</f>
        <v/>
      </c>
      <c r="K1203" s="245"/>
      <c r="L1203" s="245" t="str">
        <f ca="1">IF(CommitmentsTable[[#This Row],[Date Assigned if different from entry date]]&lt;&gt;"",CommitmentsTable[[#This Row],[Date Assigned if different from entry date]]+60,IF(CommitmentsTable[[#This Row],[Date record entered]]&lt;&gt;"",CommitmentsTable[[#This Row],[Date record entered]]+60,""))</f>
        <v/>
      </c>
      <c r="M1203" s="214"/>
      <c r="N1203" s="214"/>
      <c r="O1203" s="236"/>
      <c r="P1203" s="214"/>
      <c r="Q1203" s="214"/>
      <c r="R1203" s="214"/>
      <c r="S1203" s="238" t="str">
        <f>IF(CommitmentsTable[[#This Row],[Commitment / deliverable]]="","",IF(CommitmentsTable[[#This Row],[Revised due]]&lt;&gt;"",CommitmentsTable[[#This Row],[Revised due]],CommitmentsTable[[#This Row],[Original due]]))</f>
        <v/>
      </c>
      <c r="T1203" s="237" t="str">
        <f>IF(OR(CommitmentsTable[[#This Row],[Commitment / deliverable]]="",CommitmentsTable[[#This Row],[Owner]]=""),"",IF(CommitmentsTable[[#This Row],[Status2]]="","Open",CommitmentsTable[[#This Row],[Status2]]))</f>
        <v/>
      </c>
      <c r="U1203" s="237" t="str">
        <f t="shared" ca="1" si="18"/>
        <v/>
      </c>
      <c r="V1203" s="233"/>
      <c r="W1203" s="63" t="s">
        <v>2105</v>
      </c>
    </row>
    <row r="1204" spans="1:23" ht="26">
      <c r="A1204" s="213" t="str">
        <f>IF(OR(CommitmentsTable[[#This Row],[Commitment / deliverable]]="",CommitmentsTable[[#This Row],[Immutable Key]]=""),"",SUBSTITUTE(CommitmentsTable[[#This Row],[Immutable Key]],"-K-","-"))</f>
        <v/>
      </c>
      <c r="B1204" s="233"/>
      <c r="C1204" s="233"/>
      <c r="D1204" s="213"/>
      <c r="E1204" s="230"/>
      <c r="F1204" s="213"/>
      <c r="G1204" s="245" t="str">
        <f ca="1">IF(CommitmentsTable[[#This Row],[Commitment / deliverable]]="","",IF(CommitmentsTable[[#This Row],[Date record entered]]="",TODAY(),CommitmentsTable[[#This Row],[Date record entered]]))</f>
        <v/>
      </c>
      <c r="H1204" s="245"/>
      <c r="I1204" s="245" t="str">
        <f ca="1">IF(CommitmentsTable[[#This Row],[Date Assigned if different from entry date]]&lt;&gt;"",CommitmentsTable[[#This Row],[Date Assigned if different from entry date]]+90,IF(CommitmentsTable[[#This Row],[Date record entered]]&lt;&gt;"",CommitmentsTable[[#This Row],[Date record entered]]+90,""))</f>
        <v/>
      </c>
      <c r="J1204" s="245" t="str">
        <f ca="1">IF(CommitmentsTable[[#This Row],[Date Assigned if different from entry date]]&lt;&gt;"",CommitmentsTable[[#This Row],[Date Assigned if different from entry date]]+30,IF(CommitmentsTable[[#This Row],[Date record entered]]&lt;&gt;"",CommitmentsTable[[#This Row],[Date record entered]]+30,""))</f>
        <v/>
      </c>
      <c r="K1204" s="245"/>
      <c r="L1204" s="245" t="str">
        <f ca="1">IF(CommitmentsTable[[#This Row],[Date Assigned if different from entry date]]&lt;&gt;"",CommitmentsTable[[#This Row],[Date Assigned if different from entry date]]+60,IF(CommitmentsTable[[#This Row],[Date record entered]]&lt;&gt;"",CommitmentsTable[[#This Row],[Date record entered]]+60,""))</f>
        <v/>
      </c>
      <c r="M1204" s="214"/>
      <c r="N1204" s="214"/>
      <c r="O1204" s="236"/>
      <c r="P1204" s="214"/>
      <c r="Q1204" s="214"/>
      <c r="R1204" s="214"/>
      <c r="S1204" s="238" t="str">
        <f>IF(CommitmentsTable[[#This Row],[Commitment / deliverable]]="","",IF(CommitmentsTable[[#This Row],[Revised due]]&lt;&gt;"",CommitmentsTable[[#This Row],[Revised due]],CommitmentsTable[[#This Row],[Original due]]))</f>
        <v/>
      </c>
      <c r="T1204" s="237" t="str">
        <f>IF(OR(CommitmentsTable[[#This Row],[Commitment / deliverable]]="",CommitmentsTable[[#This Row],[Owner]]=""),"",IF(CommitmentsTable[[#This Row],[Status2]]="","Open",CommitmentsTable[[#This Row],[Status2]]))</f>
        <v/>
      </c>
      <c r="U1204" s="237" t="str">
        <f t="shared" ca="1" si="18"/>
        <v/>
      </c>
      <c r="V1204" s="233"/>
      <c r="W1204" s="63" t="s">
        <v>2106</v>
      </c>
    </row>
    <row r="1205" spans="1:23" ht="26">
      <c r="A1205" s="213" t="str">
        <f>IF(OR(CommitmentsTable[[#This Row],[Commitment / deliverable]]="",CommitmentsTable[[#This Row],[Immutable Key]]=""),"",SUBSTITUTE(CommitmentsTable[[#This Row],[Immutable Key]],"-K-","-"))</f>
        <v/>
      </c>
      <c r="B1205" s="233"/>
      <c r="C1205" s="233"/>
      <c r="D1205" s="213"/>
      <c r="E1205" s="230"/>
      <c r="F1205" s="213"/>
      <c r="G1205" s="245" t="str">
        <f ca="1">IF(CommitmentsTable[[#This Row],[Commitment / deliverable]]="","",IF(CommitmentsTable[[#This Row],[Date record entered]]="",TODAY(),CommitmentsTable[[#This Row],[Date record entered]]))</f>
        <v/>
      </c>
      <c r="H1205" s="245"/>
      <c r="I1205" s="245" t="str">
        <f ca="1">IF(CommitmentsTable[[#This Row],[Date Assigned if different from entry date]]&lt;&gt;"",CommitmentsTable[[#This Row],[Date Assigned if different from entry date]]+90,IF(CommitmentsTable[[#This Row],[Date record entered]]&lt;&gt;"",CommitmentsTable[[#This Row],[Date record entered]]+90,""))</f>
        <v/>
      </c>
      <c r="J1205" s="245" t="str">
        <f ca="1">IF(CommitmentsTable[[#This Row],[Date Assigned if different from entry date]]&lt;&gt;"",CommitmentsTable[[#This Row],[Date Assigned if different from entry date]]+30,IF(CommitmentsTable[[#This Row],[Date record entered]]&lt;&gt;"",CommitmentsTable[[#This Row],[Date record entered]]+30,""))</f>
        <v/>
      </c>
      <c r="K1205" s="245"/>
      <c r="L1205" s="245" t="str">
        <f ca="1">IF(CommitmentsTable[[#This Row],[Date Assigned if different from entry date]]&lt;&gt;"",CommitmentsTable[[#This Row],[Date Assigned if different from entry date]]+60,IF(CommitmentsTable[[#This Row],[Date record entered]]&lt;&gt;"",CommitmentsTable[[#This Row],[Date record entered]]+60,""))</f>
        <v/>
      </c>
      <c r="M1205" s="214"/>
      <c r="N1205" s="214"/>
      <c r="O1205" s="236"/>
      <c r="P1205" s="214"/>
      <c r="Q1205" s="214"/>
      <c r="R1205" s="214"/>
      <c r="S1205" s="238" t="str">
        <f>IF(CommitmentsTable[[#This Row],[Commitment / deliverable]]="","",IF(CommitmentsTable[[#This Row],[Revised due]]&lt;&gt;"",CommitmentsTable[[#This Row],[Revised due]],CommitmentsTable[[#This Row],[Original due]]))</f>
        <v/>
      </c>
      <c r="T1205" s="237" t="str">
        <f>IF(OR(CommitmentsTable[[#This Row],[Commitment / deliverable]]="",CommitmentsTable[[#This Row],[Owner]]=""),"",IF(CommitmentsTable[[#This Row],[Status2]]="","Open",CommitmentsTable[[#This Row],[Status2]]))</f>
        <v/>
      </c>
      <c r="U1205" s="237" t="str">
        <f t="shared" ca="1" si="18"/>
        <v/>
      </c>
      <c r="V1205" s="233"/>
      <c r="W1205" s="63" t="s">
        <v>2107</v>
      </c>
    </row>
    <row r="1206" spans="1:23" ht="26">
      <c r="A1206" s="213" t="str">
        <f>IF(OR(CommitmentsTable[[#This Row],[Commitment / deliverable]]="",CommitmentsTable[[#This Row],[Immutable Key]]=""),"",SUBSTITUTE(CommitmentsTable[[#This Row],[Immutable Key]],"-K-","-"))</f>
        <v/>
      </c>
      <c r="B1206" s="233"/>
      <c r="C1206" s="233"/>
      <c r="D1206" s="213"/>
      <c r="E1206" s="230"/>
      <c r="F1206" s="213"/>
      <c r="G1206" s="245" t="str">
        <f ca="1">IF(CommitmentsTable[[#This Row],[Commitment / deliverable]]="","",IF(CommitmentsTable[[#This Row],[Date record entered]]="",TODAY(),CommitmentsTable[[#This Row],[Date record entered]]))</f>
        <v/>
      </c>
      <c r="H1206" s="245"/>
      <c r="I1206" s="245" t="str">
        <f ca="1">IF(CommitmentsTable[[#This Row],[Date Assigned if different from entry date]]&lt;&gt;"",CommitmentsTable[[#This Row],[Date Assigned if different from entry date]]+90,IF(CommitmentsTable[[#This Row],[Date record entered]]&lt;&gt;"",CommitmentsTable[[#This Row],[Date record entered]]+90,""))</f>
        <v/>
      </c>
      <c r="J1206" s="245" t="str">
        <f ca="1">IF(CommitmentsTable[[#This Row],[Date Assigned if different from entry date]]&lt;&gt;"",CommitmentsTable[[#This Row],[Date Assigned if different from entry date]]+30,IF(CommitmentsTable[[#This Row],[Date record entered]]&lt;&gt;"",CommitmentsTable[[#This Row],[Date record entered]]+30,""))</f>
        <v/>
      </c>
      <c r="K1206" s="245"/>
      <c r="L1206" s="245" t="str">
        <f ca="1">IF(CommitmentsTable[[#This Row],[Date Assigned if different from entry date]]&lt;&gt;"",CommitmentsTable[[#This Row],[Date Assigned if different from entry date]]+60,IF(CommitmentsTable[[#This Row],[Date record entered]]&lt;&gt;"",CommitmentsTable[[#This Row],[Date record entered]]+60,""))</f>
        <v/>
      </c>
      <c r="M1206" s="214"/>
      <c r="N1206" s="214"/>
      <c r="O1206" s="236"/>
      <c r="P1206" s="214"/>
      <c r="Q1206" s="214"/>
      <c r="R1206" s="214"/>
      <c r="S1206" s="238" t="str">
        <f>IF(CommitmentsTable[[#This Row],[Commitment / deliverable]]="","",IF(CommitmentsTable[[#This Row],[Revised due]]&lt;&gt;"",CommitmentsTable[[#This Row],[Revised due]],CommitmentsTable[[#This Row],[Original due]]))</f>
        <v/>
      </c>
      <c r="T1206" s="237" t="str">
        <f>IF(OR(CommitmentsTable[[#This Row],[Commitment / deliverable]]="",CommitmentsTable[[#This Row],[Owner]]=""),"",IF(CommitmentsTable[[#This Row],[Status2]]="","Open",CommitmentsTable[[#This Row],[Status2]]))</f>
        <v/>
      </c>
      <c r="U1206" s="237" t="str">
        <f t="shared" ca="1" si="18"/>
        <v/>
      </c>
      <c r="V1206" s="233"/>
      <c r="W1206" s="63" t="s">
        <v>2108</v>
      </c>
    </row>
    <row r="1207" spans="1:23" ht="26">
      <c r="A1207" s="213" t="str">
        <f>IF(OR(CommitmentsTable[[#This Row],[Commitment / deliverable]]="",CommitmentsTable[[#This Row],[Immutable Key]]=""),"",SUBSTITUTE(CommitmentsTable[[#This Row],[Immutable Key]],"-K-","-"))</f>
        <v/>
      </c>
      <c r="B1207" s="233"/>
      <c r="C1207" s="233"/>
      <c r="D1207" s="213"/>
      <c r="E1207" s="230"/>
      <c r="F1207" s="213"/>
      <c r="G1207" s="245" t="str">
        <f ca="1">IF(CommitmentsTable[[#This Row],[Commitment / deliverable]]="","",IF(CommitmentsTable[[#This Row],[Date record entered]]="",TODAY(),CommitmentsTable[[#This Row],[Date record entered]]))</f>
        <v/>
      </c>
      <c r="H1207" s="245"/>
      <c r="I1207" s="245" t="str">
        <f ca="1">IF(CommitmentsTable[[#This Row],[Date Assigned if different from entry date]]&lt;&gt;"",CommitmentsTable[[#This Row],[Date Assigned if different from entry date]]+90,IF(CommitmentsTable[[#This Row],[Date record entered]]&lt;&gt;"",CommitmentsTable[[#This Row],[Date record entered]]+90,""))</f>
        <v/>
      </c>
      <c r="J1207" s="245" t="str">
        <f ca="1">IF(CommitmentsTable[[#This Row],[Date Assigned if different from entry date]]&lt;&gt;"",CommitmentsTable[[#This Row],[Date Assigned if different from entry date]]+30,IF(CommitmentsTable[[#This Row],[Date record entered]]&lt;&gt;"",CommitmentsTable[[#This Row],[Date record entered]]+30,""))</f>
        <v/>
      </c>
      <c r="K1207" s="245"/>
      <c r="L1207" s="245" t="str">
        <f ca="1">IF(CommitmentsTable[[#This Row],[Date Assigned if different from entry date]]&lt;&gt;"",CommitmentsTable[[#This Row],[Date Assigned if different from entry date]]+60,IF(CommitmentsTable[[#This Row],[Date record entered]]&lt;&gt;"",CommitmentsTable[[#This Row],[Date record entered]]+60,""))</f>
        <v/>
      </c>
      <c r="M1207" s="214"/>
      <c r="N1207" s="214"/>
      <c r="O1207" s="236"/>
      <c r="P1207" s="214"/>
      <c r="Q1207" s="214"/>
      <c r="R1207" s="214"/>
      <c r="S1207" s="238" t="str">
        <f>IF(CommitmentsTable[[#This Row],[Commitment / deliverable]]="","",IF(CommitmentsTable[[#This Row],[Revised due]]&lt;&gt;"",CommitmentsTable[[#This Row],[Revised due]],CommitmentsTable[[#This Row],[Original due]]))</f>
        <v/>
      </c>
      <c r="T1207" s="237" t="str">
        <f>IF(OR(CommitmentsTable[[#This Row],[Commitment / deliverable]]="",CommitmentsTable[[#This Row],[Owner]]=""),"",IF(CommitmentsTable[[#This Row],[Status2]]="","Open",CommitmentsTable[[#This Row],[Status2]]))</f>
        <v/>
      </c>
      <c r="U1207" s="237" t="str">
        <f t="shared" ca="1" si="18"/>
        <v/>
      </c>
      <c r="V1207" s="233"/>
      <c r="W1207" s="63" t="s">
        <v>2109</v>
      </c>
    </row>
    <row r="1208" spans="1:23" ht="26">
      <c r="A1208" s="213" t="str">
        <f>IF(OR(CommitmentsTable[[#This Row],[Commitment / deliverable]]="",CommitmentsTable[[#This Row],[Immutable Key]]=""),"",SUBSTITUTE(CommitmentsTable[[#This Row],[Immutable Key]],"-K-","-"))</f>
        <v/>
      </c>
      <c r="B1208" s="233"/>
      <c r="C1208" s="233"/>
      <c r="D1208" s="213"/>
      <c r="E1208" s="230"/>
      <c r="F1208" s="213"/>
      <c r="G1208" s="245" t="str">
        <f ca="1">IF(CommitmentsTable[[#This Row],[Commitment / deliverable]]="","",IF(CommitmentsTable[[#This Row],[Date record entered]]="",TODAY(),CommitmentsTable[[#This Row],[Date record entered]]))</f>
        <v/>
      </c>
      <c r="H1208" s="245"/>
      <c r="I1208" s="245" t="str">
        <f ca="1">IF(CommitmentsTable[[#This Row],[Date Assigned if different from entry date]]&lt;&gt;"",CommitmentsTable[[#This Row],[Date Assigned if different from entry date]]+90,IF(CommitmentsTable[[#This Row],[Date record entered]]&lt;&gt;"",CommitmentsTable[[#This Row],[Date record entered]]+90,""))</f>
        <v/>
      </c>
      <c r="J1208" s="245" t="str">
        <f ca="1">IF(CommitmentsTable[[#This Row],[Date Assigned if different from entry date]]&lt;&gt;"",CommitmentsTable[[#This Row],[Date Assigned if different from entry date]]+30,IF(CommitmentsTable[[#This Row],[Date record entered]]&lt;&gt;"",CommitmentsTable[[#This Row],[Date record entered]]+30,""))</f>
        <v/>
      </c>
      <c r="K1208" s="245"/>
      <c r="L1208" s="245" t="str">
        <f ca="1">IF(CommitmentsTable[[#This Row],[Date Assigned if different from entry date]]&lt;&gt;"",CommitmentsTable[[#This Row],[Date Assigned if different from entry date]]+60,IF(CommitmentsTable[[#This Row],[Date record entered]]&lt;&gt;"",CommitmentsTable[[#This Row],[Date record entered]]+60,""))</f>
        <v/>
      </c>
      <c r="M1208" s="214"/>
      <c r="N1208" s="214"/>
      <c r="O1208" s="236"/>
      <c r="P1208" s="214"/>
      <c r="Q1208" s="214"/>
      <c r="R1208" s="214"/>
      <c r="S1208" s="238" t="str">
        <f>IF(CommitmentsTable[[#This Row],[Commitment / deliverable]]="","",IF(CommitmentsTable[[#This Row],[Revised due]]&lt;&gt;"",CommitmentsTable[[#This Row],[Revised due]],CommitmentsTable[[#This Row],[Original due]]))</f>
        <v/>
      </c>
      <c r="T1208" s="237" t="str">
        <f>IF(OR(CommitmentsTable[[#This Row],[Commitment / deliverable]]="",CommitmentsTable[[#This Row],[Owner]]=""),"",IF(CommitmentsTable[[#This Row],[Status2]]="","Open",CommitmentsTable[[#This Row],[Status2]]))</f>
        <v/>
      </c>
      <c r="U1208" s="237" t="str">
        <f t="shared" ca="1" si="18"/>
        <v/>
      </c>
      <c r="V1208" s="233"/>
      <c r="W1208" s="63" t="s">
        <v>2110</v>
      </c>
    </row>
    <row r="1209" spans="1:23" ht="26">
      <c r="A1209" s="213" t="str">
        <f>IF(OR(CommitmentsTable[[#This Row],[Commitment / deliverable]]="",CommitmentsTable[[#This Row],[Immutable Key]]=""),"",SUBSTITUTE(CommitmentsTable[[#This Row],[Immutable Key]],"-K-","-"))</f>
        <v/>
      </c>
      <c r="B1209" s="233"/>
      <c r="C1209" s="233"/>
      <c r="D1209" s="213"/>
      <c r="E1209" s="230"/>
      <c r="F1209" s="213"/>
      <c r="G1209" s="245" t="str">
        <f ca="1">IF(CommitmentsTable[[#This Row],[Commitment / deliverable]]="","",IF(CommitmentsTable[[#This Row],[Date record entered]]="",TODAY(),CommitmentsTable[[#This Row],[Date record entered]]))</f>
        <v/>
      </c>
      <c r="H1209" s="245"/>
      <c r="I1209" s="245" t="str">
        <f ca="1">IF(CommitmentsTable[[#This Row],[Date Assigned if different from entry date]]&lt;&gt;"",CommitmentsTable[[#This Row],[Date Assigned if different from entry date]]+90,IF(CommitmentsTable[[#This Row],[Date record entered]]&lt;&gt;"",CommitmentsTable[[#This Row],[Date record entered]]+90,""))</f>
        <v/>
      </c>
      <c r="J1209" s="245" t="str">
        <f ca="1">IF(CommitmentsTable[[#This Row],[Date Assigned if different from entry date]]&lt;&gt;"",CommitmentsTable[[#This Row],[Date Assigned if different from entry date]]+30,IF(CommitmentsTable[[#This Row],[Date record entered]]&lt;&gt;"",CommitmentsTable[[#This Row],[Date record entered]]+30,""))</f>
        <v/>
      </c>
      <c r="K1209" s="245"/>
      <c r="L1209" s="245" t="str">
        <f ca="1">IF(CommitmentsTable[[#This Row],[Date Assigned if different from entry date]]&lt;&gt;"",CommitmentsTable[[#This Row],[Date Assigned if different from entry date]]+60,IF(CommitmentsTable[[#This Row],[Date record entered]]&lt;&gt;"",CommitmentsTable[[#This Row],[Date record entered]]+60,""))</f>
        <v/>
      </c>
      <c r="M1209" s="214"/>
      <c r="N1209" s="214"/>
      <c r="O1209" s="236"/>
      <c r="P1209" s="214"/>
      <c r="Q1209" s="214"/>
      <c r="R1209" s="214"/>
      <c r="S1209" s="238" t="str">
        <f>IF(CommitmentsTable[[#This Row],[Commitment / deliverable]]="","",IF(CommitmentsTable[[#This Row],[Revised due]]&lt;&gt;"",CommitmentsTable[[#This Row],[Revised due]],CommitmentsTable[[#This Row],[Original due]]))</f>
        <v/>
      </c>
      <c r="T1209" s="237" t="str">
        <f>IF(OR(CommitmentsTable[[#This Row],[Commitment / deliverable]]="",CommitmentsTable[[#This Row],[Owner]]=""),"",IF(CommitmentsTable[[#This Row],[Status2]]="","Open",CommitmentsTable[[#This Row],[Status2]]))</f>
        <v/>
      </c>
      <c r="U1209" s="237" t="str">
        <f t="shared" ca="1" si="18"/>
        <v/>
      </c>
      <c r="V1209" s="233"/>
      <c r="W1209" s="63" t="s">
        <v>2111</v>
      </c>
    </row>
    <row r="1210" spans="1:23" ht="26">
      <c r="A1210" s="213" t="str">
        <f>IF(OR(CommitmentsTable[[#This Row],[Commitment / deliverable]]="",CommitmentsTable[[#This Row],[Immutable Key]]=""),"",SUBSTITUTE(CommitmentsTable[[#This Row],[Immutable Key]],"-K-","-"))</f>
        <v/>
      </c>
      <c r="B1210" s="233"/>
      <c r="C1210" s="233"/>
      <c r="D1210" s="213"/>
      <c r="E1210" s="230"/>
      <c r="F1210" s="213"/>
      <c r="G1210" s="245" t="str">
        <f ca="1">IF(CommitmentsTable[[#This Row],[Commitment / deliverable]]="","",IF(CommitmentsTable[[#This Row],[Date record entered]]="",TODAY(),CommitmentsTable[[#This Row],[Date record entered]]))</f>
        <v/>
      </c>
      <c r="H1210" s="245"/>
      <c r="I1210" s="245" t="str">
        <f ca="1">IF(CommitmentsTable[[#This Row],[Date Assigned if different from entry date]]&lt;&gt;"",CommitmentsTable[[#This Row],[Date Assigned if different from entry date]]+90,IF(CommitmentsTable[[#This Row],[Date record entered]]&lt;&gt;"",CommitmentsTable[[#This Row],[Date record entered]]+90,""))</f>
        <v/>
      </c>
      <c r="J1210" s="245" t="str">
        <f ca="1">IF(CommitmentsTable[[#This Row],[Date Assigned if different from entry date]]&lt;&gt;"",CommitmentsTable[[#This Row],[Date Assigned if different from entry date]]+30,IF(CommitmentsTable[[#This Row],[Date record entered]]&lt;&gt;"",CommitmentsTable[[#This Row],[Date record entered]]+30,""))</f>
        <v/>
      </c>
      <c r="K1210" s="245"/>
      <c r="L1210" s="245" t="str">
        <f ca="1">IF(CommitmentsTable[[#This Row],[Date Assigned if different from entry date]]&lt;&gt;"",CommitmentsTable[[#This Row],[Date Assigned if different from entry date]]+60,IF(CommitmentsTable[[#This Row],[Date record entered]]&lt;&gt;"",CommitmentsTable[[#This Row],[Date record entered]]+60,""))</f>
        <v/>
      </c>
      <c r="M1210" s="214"/>
      <c r="N1210" s="214"/>
      <c r="O1210" s="236"/>
      <c r="P1210" s="214"/>
      <c r="Q1210" s="214"/>
      <c r="R1210" s="214"/>
      <c r="S1210" s="238" t="str">
        <f>IF(CommitmentsTable[[#This Row],[Commitment / deliverable]]="","",IF(CommitmentsTable[[#This Row],[Revised due]]&lt;&gt;"",CommitmentsTable[[#This Row],[Revised due]],CommitmentsTable[[#This Row],[Original due]]))</f>
        <v/>
      </c>
      <c r="T1210" s="237" t="str">
        <f>IF(OR(CommitmentsTable[[#This Row],[Commitment / deliverable]]="",CommitmentsTable[[#This Row],[Owner]]=""),"",IF(CommitmentsTable[[#This Row],[Status2]]="","Open",CommitmentsTable[[#This Row],[Status2]]))</f>
        <v/>
      </c>
      <c r="U1210" s="237" t="str">
        <f t="shared" ca="1" si="18"/>
        <v/>
      </c>
      <c r="V1210" s="233"/>
      <c r="W1210" s="63" t="s">
        <v>2112</v>
      </c>
    </row>
    <row r="1211" spans="1:23" ht="26">
      <c r="A1211" s="213" t="str">
        <f>IF(OR(CommitmentsTable[[#This Row],[Commitment / deliverable]]="",CommitmentsTable[[#This Row],[Immutable Key]]=""),"",SUBSTITUTE(CommitmentsTable[[#This Row],[Immutable Key]],"-K-","-"))</f>
        <v/>
      </c>
      <c r="B1211" s="233"/>
      <c r="C1211" s="233"/>
      <c r="D1211" s="213"/>
      <c r="E1211" s="230"/>
      <c r="F1211" s="213"/>
      <c r="G1211" s="245" t="str">
        <f ca="1">IF(CommitmentsTable[[#This Row],[Commitment / deliverable]]="","",IF(CommitmentsTable[[#This Row],[Date record entered]]="",TODAY(),CommitmentsTable[[#This Row],[Date record entered]]))</f>
        <v/>
      </c>
      <c r="H1211" s="245"/>
      <c r="I1211" s="245" t="str">
        <f ca="1">IF(CommitmentsTable[[#This Row],[Date Assigned if different from entry date]]&lt;&gt;"",CommitmentsTable[[#This Row],[Date Assigned if different from entry date]]+90,IF(CommitmentsTable[[#This Row],[Date record entered]]&lt;&gt;"",CommitmentsTable[[#This Row],[Date record entered]]+90,""))</f>
        <v/>
      </c>
      <c r="J1211" s="245" t="str">
        <f ca="1">IF(CommitmentsTable[[#This Row],[Date Assigned if different from entry date]]&lt;&gt;"",CommitmentsTable[[#This Row],[Date Assigned if different from entry date]]+30,IF(CommitmentsTable[[#This Row],[Date record entered]]&lt;&gt;"",CommitmentsTable[[#This Row],[Date record entered]]+30,""))</f>
        <v/>
      </c>
      <c r="K1211" s="245"/>
      <c r="L1211" s="245" t="str">
        <f ca="1">IF(CommitmentsTable[[#This Row],[Date Assigned if different from entry date]]&lt;&gt;"",CommitmentsTable[[#This Row],[Date Assigned if different from entry date]]+60,IF(CommitmentsTable[[#This Row],[Date record entered]]&lt;&gt;"",CommitmentsTable[[#This Row],[Date record entered]]+60,""))</f>
        <v/>
      </c>
      <c r="M1211" s="214"/>
      <c r="N1211" s="214"/>
      <c r="O1211" s="236"/>
      <c r="P1211" s="214"/>
      <c r="Q1211" s="214"/>
      <c r="R1211" s="214"/>
      <c r="S1211" s="238" t="str">
        <f>IF(CommitmentsTable[[#This Row],[Commitment / deliverable]]="","",IF(CommitmentsTable[[#This Row],[Revised due]]&lt;&gt;"",CommitmentsTable[[#This Row],[Revised due]],CommitmentsTable[[#This Row],[Original due]]))</f>
        <v/>
      </c>
      <c r="T1211" s="237" t="str">
        <f>IF(OR(CommitmentsTable[[#This Row],[Commitment / deliverable]]="",CommitmentsTable[[#This Row],[Owner]]=""),"",IF(CommitmentsTable[[#This Row],[Status2]]="","Open",CommitmentsTable[[#This Row],[Status2]]))</f>
        <v/>
      </c>
      <c r="U1211" s="237" t="str">
        <f t="shared" ca="1" si="18"/>
        <v/>
      </c>
      <c r="V1211" s="233"/>
      <c r="W1211" s="63" t="s">
        <v>2113</v>
      </c>
    </row>
    <row r="1212" spans="1:23" ht="26">
      <c r="A1212" s="213" t="str">
        <f>IF(OR(CommitmentsTable[[#This Row],[Commitment / deliverable]]="",CommitmentsTable[[#This Row],[Immutable Key]]=""),"",SUBSTITUTE(CommitmentsTable[[#This Row],[Immutable Key]],"-K-","-"))</f>
        <v/>
      </c>
      <c r="B1212" s="233"/>
      <c r="C1212" s="233"/>
      <c r="D1212" s="213"/>
      <c r="E1212" s="230"/>
      <c r="F1212" s="213"/>
      <c r="G1212" s="245" t="str">
        <f ca="1">IF(CommitmentsTable[[#This Row],[Commitment / deliverable]]="","",IF(CommitmentsTable[[#This Row],[Date record entered]]="",TODAY(),CommitmentsTable[[#This Row],[Date record entered]]))</f>
        <v/>
      </c>
      <c r="H1212" s="245"/>
      <c r="I1212" s="245" t="str">
        <f ca="1">IF(CommitmentsTable[[#This Row],[Date Assigned if different from entry date]]&lt;&gt;"",CommitmentsTable[[#This Row],[Date Assigned if different from entry date]]+90,IF(CommitmentsTable[[#This Row],[Date record entered]]&lt;&gt;"",CommitmentsTable[[#This Row],[Date record entered]]+90,""))</f>
        <v/>
      </c>
      <c r="J1212" s="245" t="str">
        <f ca="1">IF(CommitmentsTable[[#This Row],[Date Assigned if different from entry date]]&lt;&gt;"",CommitmentsTable[[#This Row],[Date Assigned if different from entry date]]+30,IF(CommitmentsTable[[#This Row],[Date record entered]]&lt;&gt;"",CommitmentsTable[[#This Row],[Date record entered]]+30,""))</f>
        <v/>
      </c>
      <c r="K1212" s="245"/>
      <c r="L1212" s="245" t="str">
        <f ca="1">IF(CommitmentsTable[[#This Row],[Date Assigned if different from entry date]]&lt;&gt;"",CommitmentsTable[[#This Row],[Date Assigned if different from entry date]]+60,IF(CommitmentsTable[[#This Row],[Date record entered]]&lt;&gt;"",CommitmentsTable[[#This Row],[Date record entered]]+60,""))</f>
        <v/>
      </c>
      <c r="M1212" s="214"/>
      <c r="N1212" s="214"/>
      <c r="O1212" s="236"/>
      <c r="P1212" s="214"/>
      <c r="Q1212" s="214"/>
      <c r="R1212" s="214"/>
      <c r="S1212" s="238" t="str">
        <f>IF(CommitmentsTable[[#This Row],[Commitment / deliverable]]="","",IF(CommitmentsTable[[#This Row],[Revised due]]&lt;&gt;"",CommitmentsTable[[#This Row],[Revised due]],CommitmentsTable[[#This Row],[Original due]]))</f>
        <v/>
      </c>
      <c r="T1212" s="237" t="str">
        <f>IF(OR(CommitmentsTable[[#This Row],[Commitment / deliverable]]="",CommitmentsTable[[#This Row],[Owner]]=""),"",IF(CommitmentsTable[[#This Row],[Status2]]="","Open",CommitmentsTable[[#This Row],[Status2]]))</f>
        <v/>
      </c>
      <c r="U1212" s="237" t="str">
        <f t="shared" ca="1" si="18"/>
        <v/>
      </c>
      <c r="V1212" s="233"/>
      <c r="W1212" s="63" t="s">
        <v>2114</v>
      </c>
    </row>
    <row r="1213" spans="1:23" ht="26">
      <c r="A1213" s="213" t="str">
        <f>IF(OR(CommitmentsTable[[#This Row],[Commitment / deliverable]]="",CommitmentsTable[[#This Row],[Immutable Key]]=""),"",SUBSTITUTE(CommitmentsTable[[#This Row],[Immutable Key]],"-K-","-"))</f>
        <v/>
      </c>
      <c r="B1213" s="233"/>
      <c r="C1213" s="233"/>
      <c r="D1213" s="213"/>
      <c r="E1213" s="230"/>
      <c r="F1213" s="213"/>
      <c r="G1213" s="245" t="str">
        <f ca="1">IF(CommitmentsTable[[#This Row],[Commitment / deliverable]]="","",IF(CommitmentsTable[[#This Row],[Date record entered]]="",TODAY(),CommitmentsTable[[#This Row],[Date record entered]]))</f>
        <v/>
      </c>
      <c r="H1213" s="245"/>
      <c r="I1213" s="245" t="str">
        <f ca="1">IF(CommitmentsTable[[#This Row],[Date Assigned if different from entry date]]&lt;&gt;"",CommitmentsTable[[#This Row],[Date Assigned if different from entry date]]+90,IF(CommitmentsTable[[#This Row],[Date record entered]]&lt;&gt;"",CommitmentsTable[[#This Row],[Date record entered]]+90,""))</f>
        <v/>
      </c>
      <c r="J1213" s="245" t="str">
        <f ca="1">IF(CommitmentsTable[[#This Row],[Date Assigned if different from entry date]]&lt;&gt;"",CommitmentsTable[[#This Row],[Date Assigned if different from entry date]]+30,IF(CommitmentsTable[[#This Row],[Date record entered]]&lt;&gt;"",CommitmentsTable[[#This Row],[Date record entered]]+30,""))</f>
        <v/>
      </c>
      <c r="K1213" s="245"/>
      <c r="L1213" s="245" t="str">
        <f ca="1">IF(CommitmentsTable[[#This Row],[Date Assigned if different from entry date]]&lt;&gt;"",CommitmentsTable[[#This Row],[Date Assigned if different from entry date]]+60,IF(CommitmentsTable[[#This Row],[Date record entered]]&lt;&gt;"",CommitmentsTable[[#This Row],[Date record entered]]+60,""))</f>
        <v/>
      </c>
      <c r="M1213" s="214"/>
      <c r="N1213" s="214"/>
      <c r="O1213" s="236"/>
      <c r="P1213" s="214"/>
      <c r="Q1213" s="214"/>
      <c r="R1213" s="214"/>
      <c r="S1213" s="238" t="str">
        <f>IF(CommitmentsTable[[#This Row],[Commitment / deliverable]]="","",IF(CommitmentsTable[[#This Row],[Revised due]]&lt;&gt;"",CommitmentsTable[[#This Row],[Revised due]],CommitmentsTable[[#This Row],[Original due]]))</f>
        <v/>
      </c>
      <c r="T1213" s="237" t="str">
        <f>IF(OR(CommitmentsTable[[#This Row],[Commitment / deliverable]]="",CommitmentsTable[[#This Row],[Owner]]=""),"",IF(CommitmentsTable[[#This Row],[Status2]]="","Open",CommitmentsTable[[#This Row],[Status2]]))</f>
        <v/>
      </c>
      <c r="U1213" s="237" t="str">
        <f t="shared" ca="1" si="18"/>
        <v/>
      </c>
      <c r="V1213" s="233"/>
      <c r="W1213" s="63" t="s">
        <v>2115</v>
      </c>
    </row>
    <row r="1214" spans="1:23" ht="26">
      <c r="A1214" s="213" t="str">
        <f>IF(OR(CommitmentsTable[[#This Row],[Commitment / deliverable]]="",CommitmentsTable[[#This Row],[Immutable Key]]=""),"",SUBSTITUTE(CommitmentsTable[[#This Row],[Immutable Key]],"-K-","-"))</f>
        <v/>
      </c>
      <c r="B1214" s="233"/>
      <c r="C1214" s="233"/>
      <c r="D1214" s="213"/>
      <c r="E1214" s="230"/>
      <c r="F1214" s="213"/>
      <c r="G1214" s="245" t="str">
        <f ca="1">IF(CommitmentsTable[[#This Row],[Commitment / deliverable]]="","",IF(CommitmentsTable[[#This Row],[Date record entered]]="",TODAY(),CommitmentsTable[[#This Row],[Date record entered]]))</f>
        <v/>
      </c>
      <c r="H1214" s="245"/>
      <c r="I1214" s="245" t="str">
        <f ca="1">IF(CommitmentsTable[[#This Row],[Date Assigned if different from entry date]]&lt;&gt;"",CommitmentsTable[[#This Row],[Date Assigned if different from entry date]]+90,IF(CommitmentsTable[[#This Row],[Date record entered]]&lt;&gt;"",CommitmentsTable[[#This Row],[Date record entered]]+90,""))</f>
        <v/>
      </c>
      <c r="J1214" s="245" t="str">
        <f ca="1">IF(CommitmentsTable[[#This Row],[Date Assigned if different from entry date]]&lt;&gt;"",CommitmentsTable[[#This Row],[Date Assigned if different from entry date]]+30,IF(CommitmentsTable[[#This Row],[Date record entered]]&lt;&gt;"",CommitmentsTable[[#This Row],[Date record entered]]+30,""))</f>
        <v/>
      </c>
      <c r="K1214" s="245"/>
      <c r="L1214" s="245" t="str">
        <f ca="1">IF(CommitmentsTable[[#This Row],[Date Assigned if different from entry date]]&lt;&gt;"",CommitmentsTable[[#This Row],[Date Assigned if different from entry date]]+60,IF(CommitmentsTable[[#This Row],[Date record entered]]&lt;&gt;"",CommitmentsTable[[#This Row],[Date record entered]]+60,""))</f>
        <v/>
      </c>
      <c r="M1214" s="214"/>
      <c r="N1214" s="214"/>
      <c r="O1214" s="236"/>
      <c r="P1214" s="214"/>
      <c r="Q1214" s="214"/>
      <c r="R1214" s="214"/>
      <c r="S1214" s="238" t="str">
        <f>IF(CommitmentsTable[[#This Row],[Commitment / deliverable]]="","",IF(CommitmentsTable[[#This Row],[Revised due]]&lt;&gt;"",CommitmentsTable[[#This Row],[Revised due]],CommitmentsTable[[#This Row],[Original due]]))</f>
        <v/>
      </c>
      <c r="T1214" s="237" t="str">
        <f>IF(OR(CommitmentsTable[[#This Row],[Commitment / deliverable]]="",CommitmentsTable[[#This Row],[Owner]]=""),"",IF(CommitmentsTable[[#This Row],[Status2]]="","Open",CommitmentsTable[[#This Row],[Status2]]))</f>
        <v/>
      </c>
      <c r="U1214" s="237" t="str">
        <f t="shared" ca="1" si="18"/>
        <v/>
      </c>
      <c r="V1214" s="233"/>
      <c r="W1214" s="63" t="s">
        <v>2116</v>
      </c>
    </row>
    <row r="1215" spans="1:23" ht="26">
      <c r="A1215" s="213" t="str">
        <f>IF(OR(CommitmentsTable[[#This Row],[Commitment / deliverable]]="",CommitmentsTable[[#This Row],[Immutable Key]]=""),"",SUBSTITUTE(CommitmentsTable[[#This Row],[Immutable Key]],"-K-","-"))</f>
        <v/>
      </c>
      <c r="B1215" s="233"/>
      <c r="C1215" s="233"/>
      <c r="D1215" s="213"/>
      <c r="E1215" s="230"/>
      <c r="F1215" s="213"/>
      <c r="G1215" s="245" t="str">
        <f ca="1">IF(CommitmentsTable[[#This Row],[Commitment / deliverable]]="","",IF(CommitmentsTable[[#This Row],[Date record entered]]="",TODAY(),CommitmentsTable[[#This Row],[Date record entered]]))</f>
        <v/>
      </c>
      <c r="H1215" s="245"/>
      <c r="I1215" s="245" t="str">
        <f ca="1">IF(CommitmentsTable[[#This Row],[Date Assigned if different from entry date]]&lt;&gt;"",CommitmentsTable[[#This Row],[Date Assigned if different from entry date]]+90,IF(CommitmentsTable[[#This Row],[Date record entered]]&lt;&gt;"",CommitmentsTable[[#This Row],[Date record entered]]+90,""))</f>
        <v/>
      </c>
      <c r="J1215" s="245" t="str">
        <f ca="1">IF(CommitmentsTable[[#This Row],[Date Assigned if different from entry date]]&lt;&gt;"",CommitmentsTable[[#This Row],[Date Assigned if different from entry date]]+30,IF(CommitmentsTable[[#This Row],[Date record entered]]&lt;&gt;"",CommitmentsTable[[#This Row],[Date record entered]]+30,""))</f>
        <v/>
      </c>
      <c r="K1215" s="245"/>
      <c r="L1215" s="245" t="str">
        <f ca="1">IF(CommitmentsTable[[#This Row],[Date Assigned if different from entry date]]&lt;&gt;"",CommitmentsTable[[#This Row],[Date Assigned if different from entry date]]+60,IF(CommitmentsTable[[#This Row],[Date record entered]]&lt;&gt;"",CommitmentsTable[[#This Row],[Date record entered]]+60,""))</f>
        <v/>
      </c>
      <c r="M1215" s="214"/>
      <c r="N1215" s="214"/>
      <c r="O1215" s="236"/>
      <c r="P1215" s="214"/>
      <c r="Q1215" s="214"/>
      <c r="R1215" s="214"/>
      <c r="S1215" s="238" t="str">
        <f>IF(CommitmentsTable[[#This Row],[Commitment / deliverable]]="","",IF(CommitmentsTable[[#This Row],[Revised due]]&lt;&gt;"",CommitmentsTable[[#This Row],[Revised due]],CommitmentsTable[[#This Row],[Original due]]))</f>
        <v/>
      </c>
      <c r="T1215" s="237" t="str">
        <f>IF(OR(CommitmentsTable[[#This Row],[Commitment / deliverable]]="",CommitmentsTable[[#This Row],[Owner]]=""),"",IF(CommitmentsTable[[#This Row],[Status2]]="","Open",CommitmentsTable[[#This Row],[Status2]]))</f>
        <v/>
      </c>
      <c r="U1215" s="237" t="str">
        <f t="shared" ca="1" si="18"/>
        <v/>
      </c>
      <c r="V1215" s="233"/>
      <c r="W1215" s="63" t="s">
        <v>2117</v>
      </c>
    </row>
    <row r="1216" spans="1:23" ht="26">
      <c r="A1216" s="213" t="str">
        <f>IF(OR(CommitmentsTable[[#This Row],[Commitment / deliverable]]="",CommitmentsTable[[#This Row],[Immutable Key]]=""),"",SUBSTITUTE(CommitmentsTable[[#This Row],[Immutable Key]],"-K-","-"))</f>
        <v/>
      </c>
      <c r="B1216" s="233"/>
      <c r="C1216" s="233"/>
      <c r="D1216" s="213"/>
      <c r="E1216" s="230"/>
      <c r="F1216" s="213"/>
      <c r="G1216" s="245" t="str">
        <f ca="1">IF(CommitmentsTable[[#This Row],[Commitment / deliverable]]="","",IF(CommitmentsTable[[#This Row],[Date record entered]]="",TODAY(),CommitmentsTable[[#This Row],[Date record entered]]))</f>
        <v/>
      </c>
      <c r="H1216" s="245"/>
      <c r="I1216" s="245" t="str">
        <f ca="1">IF(CommitmentsTable[[#This Row],[Date Assigned if different from entry date]]&lt;&gt;"",CommitmentsTable[[#This Row],[Date Assigned if different from entry date]]+90,IF(CommitmentsTable[[#This Row],[Date record entered]]&lt;&gt;"",CommitmentsTable[[#This Row],[Date record entered]]+90,""))</f>
        <v/>
      </c>
      <c r="J1216" s="245" t="str">
        <f ca="1">IF(CommitmentsTable[[#This Row],[Date Assigned if different from entry date]]&lt;&gt;"",CommitmentsTable[[#This Row],[Date Assigned if different from entry date]]+30,IF(CommitmentsTable[[#This Row],[Date record entered]]&lt;&gt;"",CommitmentsTable[[#This Row],[Date record entered]]+30,""))</f>
        <v/>
      </c>
      <c r="K1216" s="245"/>
      <c r="L1216" s="245" t="str">
        <f ca="1">IF(CommitmentsTable[[#This Row],[Date Assigned if different from entry date]]&lt;&gt;"",CommitmentsTable[[#This Row],[Date Assigned if different from entry date]]+60,IF(CommitmentsTable[[#This Row],[Date record entered]]&lt;&gt;"",CommitmentsTable[[#This Row],[Date record entered]]+60,""))</f>
        <v/>
      </c>
      <c r="M1216" s="214"/>
      <c r="N1216" s="214"/>
      <c r="O1216" s="236"/>
      <c r="P1216" s="214"/>
      <c r="Q1216" s="214"/>
      <c r="R1216" s="214"/>
      <c r="S1216" s="238" t="str">
        <f>IF(CommitmentsTable[[#This Row],[Commitment / deliverable]]="","",IF(CommitmentsTable[[#This Row],[Revised due]]&lt;&gt;"",CommitmentsTable[[#This Row],[Revised due]],CommitmentsTable[[#This Row],[Original due]]))</f>
        <v/>
      </c>
      <c r="T1216" s="237" t="str">
        <f>IF(OR(CommitmentsTable[[#This Row],[Commitment / deliverable]]="",CommitmentsTable[[#This Row],[Owner]]=""),"",IF(CommitmentsTable[[#This Row],[Status2]]="","Open",CommitmentsTable[[#This Row],[Status2]]))</f>
        <v/>
      </c>
      <c r="U1216" s="237" t="str">
        <f t="shared" ca="1" si="18"/>
        <v/>
      </c>
      <c r="V1216" s="233"/>
      <c r="W1216" s="63" t="s">
        <v>2118</v>
      </c>
    </row>
    <row r="1217" spans="1:23" ht="26">
      <c r="A1217" s="213" t="str">
        <f>IF(OR(CommitmentsTable[[#This Row],[Commitment / deliverable]]="",CommitmentsTable[[#This Row],[Immutable Key]]=""),"",SUBSTITUTE(CommitmentsTable[[#This Row],[Immutable Key]],"-K-","-"))</f>
        <v/>
      </c>
      <c r="B1217" s="233"/>
      <c r="C1217" s="233"/>
      <c r="D1217" s="213"/>
      <c r="E1217" s="230"/>
      <c r="F1217" s="213"/>
      <c r="G1217" s="245" t="str">
        <f ca="1">IF(CommitmentsTable[[#This Row],[Commitment / deliverable]]="","",IF(CommitmentsTable[[#This Row],[Date record entered]]="",TODAY(),CommitmentsTable[[#This Row],[Date record entered]]))</f>
        <v/>
      </c>
      <c r="H1217" s="245"/>
      <c r="I1217" s="245" t="str">
        <f ca="1">IF(CommitmentsTable[[#This Row],[Date Assigned if different from entry date]]&lt;&gt;"",CommitmentsTable[[#This Row],[Date Assigned if different from entry date]]+90,IF(CommitmentsTable[[#This Row],[Date record entered]]&lt;&gt;"",CommitmentsTable[[#This Row],[Date record entered]]+90,""))</f>
        <v/>
      </c>
      <c r="J1217" s="245" t="str">
        <f ca="1">IF(CommitmentsTable[[#This Row],[Date Assigned if different from entry date]]&lt;&gt;"",CommitmentsTable[[#This Row],[Date Assigned if different from entry date]]+30,IF(CommitmentsTable[[#This Row],[Date record entered]]&lt;&gt;"",CommitmentsTable[[#This Row],[Date record entered]]+30,""))</f>
        <v/>
      </c>
      <c r="K1217" s="245"/>
      <c r="L1217" s="245" t="str">
        <f ca="1">IF(CommitmentsTable[[#This Row],[Date Assigned if different from entry date]]&lt;&gt;"",CommitmentsTable[[#This Row],[Date Assigned if different from entry date]]+60,IF(CommitmentsTable[[#This Row],[Date record entered]]&lt;&gt;"",CommitmentsTable[[#This Row],[Date record entered]]+60,""))</f>
        <v/>
      </c>
      <c r="M1217" s="214"/>
      <c r="N1217" s="214"/>
      <c r="O1217" s="236"/>
      <c r="P1217" s="214"/>
      <c r="Q1217" s="214"/>
      <c r="R1217" s="214"/>
      <c r="S1217" s="238" t="str">
        <f>IF(CommitmentsTable[[#This Row],[Commitment / deliverable]]="","",IF(CommitmentsTable[[#This Row],[Revised due]]&lt;&gt;"",CommitmentsTable[[#This Row],[Revised due]],CommitmentsTable[[#This Row],[Original due]]))</f>
        <v/>
      </c>
      <c r="T1217" s="237" t="str">
        <f>IF(OR(CommitmentsTable[[#This Row],[Commitment / deliverable]]="",CommitmentsTable[[#This Row],[Owner]]=""),"",IF(CommitmentsTable[[#This Row],[Status2]]="","Open",CommitmentsTable[[#This Row],[Status2]]))</f>
        <v/>
      </c>
      <c r="U1217" s="237" t="str">
        <f t="shared" ca="1" si="18"/>
        <v/>
      </c>
      <c r="V1217" s="233"/>
      <c r="W1217" s="63" t="s">
        <v>2119</v>
      </c>
    </row>
    <row r="1218" spans="1:23" ht="26">
      <c r="A1218" s="213" t="str">
        <f>IF(OR(CommitmentsTable[[#This Row],[Commitment / deliverable]]="",CommitmentsTable[[#This Row],[Immutable Key]]=""),"",SUBSTITUTE(CommitmentsTable[[#This Row],[Immutable Key]],"-K-","-"))</f>
        <v/>
      </c>
      <c r="B1218" s="233"/>
      <c r="C1218" s="233"/>
      <c r="D1218" s="213"/>
      <c r="E1218" s="230"/>
      <c r="F1218" s="213"/>
      <c r="G1218" s="245" t="str">
        <f ca="1">IF(CommitmentsTable[[#This Row],[Commitment / deliverable]]="","",IF(CommitmentsTable[[#This Row],[Date record entered]]="",TODAY(),CommitmentsTable[[#This Row],[Date record entered]]))</f>
        <v/>
      </c>
      <c r="H1218" s="245"/>
      <c r="I1218" s="245" t="str">
        <f ca="1">IF(CommitmentsTable[[#This Row],[Date Assigned if different from entry date]]&lt;&gt;"",CommitmentsTable[[#This Row],[Date Assigned if different from entry date]]+90,IF(CommitmentsTable[[#This Row],[Date record entered]]&lt;&gt;"",CommitmentsTable[[#This Row],[Date record entered]]+90,""))</f>
        <v/>
      </c>
      <c r="J1218" s="245" t="str">
        <f ca="1">IF(CommitmentsTable[[#This Row],[Date Assigned if different from entry date]]&lt;&gt;"",CommitmentsTable[[#This Row],[Date Assigned if different from entry date]]+30,IF(CommitmentsTable[[#This Row],[Date record entered]]&lt;&gt;"",CommitmentsTable[[#This Row],[Date record entered]]+30,""))</f>
        <v/>
      </c>
      <c r="K1218" s="245"/>
      <c r="L1218" s="245" t="str">
        <f ca="1">IF(CommitmentsTable[[#This Row],[Date Assigned if different from entry date]]&lt;&gt;"",CommitmentsTable[[#This Row],[Date Assigned if different from entry date]]+60,IF(CommitmentsTable[[#This Row],[Date record entered]]&lt;&gt;"",CommitmentsTable[[#This Row],[Date record entered]]+60,""))</f>
        <v/>
      </c>
      <c r="M1218" s="214"/>
      <c r="N1218" s="214"/>
      <c r="O1218" s="236"/>
      <c r="P1218" s="214"/>
      <c r="Q1218" s="214"/>
      <c r="R1218" s="214"/>
      <c r="S1218" s="238" t="str">
        <f>IF(CommitmentsTable[[#This Row],[Commitment / deliverable]]="","",IF(CommitmentsTable[[#This Row],[Revised due]]&lt;&gt;"",CommitmentsTable[[#This Row],[Revised due]],CommitmentsTable[[#This Row],[Original due]]))</f>
        <v/>
      </c>
      <c r="T1218" s="237" t="str">
        <f>IF(OR(CommitmentsTable[[#This Row],[Commitment / deliverable]]="",CommitmentsTable[[#This Row],[Owner]]=""),"",IF(CommitmentsTable[[#This Row],[Status2]]="","Open",CommitmentsTable[[#This Row],[Status2]]))</f>
        <v/>
      </c>
      <c r="U1218" s="237" t="str">
        <f t="shared" ca="1" si="18"/>
        <v/>
      </c>
      <c r="V1218" s="233"/>
      <c r="W1218" s="63" t="s">
        <v>2120</v>
      </c>
    </row>
    <row r="1219" spans="1:23" ht="26">
      <c r="A1219" s="213" t="str">
        <f>IF(OR(CommitmentsTable[[#This Row],[Commitment / deliverable]]="",CommitmentsTable[[#This Row],[Immutable Key]]=""),"",SUBSTITUTE(CommitmentsTable[[#This Row],[Immutable Key]],"-K-","-"))</f>
        <v/>
      </c>
      <c r="B1219" s="233"/>
      <c r="C1219" s="233"/>
      <c r="D1219" s="213"/>
      <c r="E1219" s="230"/>
      <c r="F1219" s="213"/>
      <c r="G1219" s="245" t="str">
        <f ca="1">IF(CommitmentsTable[[#This Row],[Commitment / deliverable]]="","",IF(CommitmentsTable[[#This Row],[Date record entered]]="",TODAY(),CommitmentsTable[[#This Row],[Date record entered]]))</f>
        <v/>
      </c>
      <c r="H1219" s="245"/>
      <c r="I1219" s="245" t="str">
        <f ca="1">IF(CommitmentsTable[[#This Row],[Date Assigned if different from entry date]]&lt;&gt;"",CommitmentsTable[[#This Row],[Date Assigned if different from entry date]]+90,IF(CommitmentsTable[[#This Row],[Date record entered]]&lt;&gt;"",CommitmentsTable[[#This Row],[Date record entered]]+90,""))</f>
        <v/>
      </c>
      <c r="J1219" s="245" t="str">
        <f ca="1">IF(CommitmentsTable[[#This Row],[Date Assigned if different from entry date]]&lt;&gt;"",CommitmentsTable[[#This Row],[Date Assigned if different from entry date]]+30,IF(CommitmentsTable[[#This Row],[Date record entered]]&lt;&gt;"",CommitmentsTable[[#This Row],[Date record entered]]+30,""))</f>
        <v/>
      </c>
      <c r="K1219" s="245"/>
      <c r="L1219" s="245" t="str">
        <f ca="1">IF(CommitmentsTable[[#This Row],[Date Assigned if different from entry date]]&lt;&gt;"",CommitmentsTable[[#This Row],[Date Assigned if different from entry date]]+60,IF(CommitmentsTable[[#This Row],[Date record entered]]&lt;&gt;"",CommitmentsTable[[#This Row],[Date record entered]]+60,""))</f>
        <v/>
      </c>
      <c r="M1219" s="214"/>
      <c r="N1219" s="214"/>
      <c r="O1219" s="236"/>
      <c r="P1219" s="214"/>
      <c r="Q1219" s="214"/>
      <c r="R1219" s="214"/>
      <c r="S1219" s="238" t="str">
        <f>IF(CommitmentsTable[[#This Row],[Commitment / deliverable]]="","",IF(CommitmentsTable[[#This Row],[Revised due]]&lt;&gt;"",CommitmentsTable[[#This Row],[Revised due]],CommitmentsTable[[#This Row],[Original due]]))</f>
        <v/>
      </c>
      <c r="T1219" s="237" t="str">
        <f>IF(OR(CommitmentsTable[[#This Row],[Commitment / deliverable]]="",CommitmentsTable[[#This Row],[Owner]]=""),"",IF(CommitmentsTable[[#This Row],[Status2]]="","Open",CommitmentsTable[[#This Row],[Status2]]))</f>
        <v/>
      </c>
      <c r="U1219" s="237" t="str">
        <f t="shared" ca="1" si="18"/>
        <v/>
      </c>
      <c r="V1219" s="233"/>
      <c r="W1219" s="63" t="s">
        <v>2121</v>
      </c>
    </row>
    <row r="1220" spans="1:23" ht="26">
      <c r="A1220" s="213" t="str">
        <f>IF(OR(CommitmentsTable[[#This Row],[Commitment / deliverable]]="",CommitmentsTable[[#This Row],[Immutable Key]]=""),"",SUBSTITUTE(CommitmentsTable[[#This Row],[Immutable Key]],"-K-","-"))</f>
        <v/>
      </c>
      <c r="B1220" s="233"/>
      <c r="C1220" s="233"/>
      <c r="D1220" s="213"/>
      <c r="E1220" s="230"/>
      <c r="F1220" s="213"/>
      <c r="G1220" s="245" t="str">
        <f ca="1">IF(CommitmentsTable[[#This Row],[Commitment / deliverable]]="","",IF(CommitmentsTable[[#This Row],[Date record entered]]="",TODAY(),CommitmentsTable[[#This Row],[Date record entered]]))</f>
        <v/>
      </c>
      <c r="H1220" s="245"/>
      <c r="I1220" s="245" t="str">
        <f ca="1">IF(CommitmentsTable[[#This Row],[Date Assigned if different from entry date]]&lt;&gt;"",CommitmentsTable[[#This Row],[Date Assigned if different from entry date]]+90,IF(CommitmentsTable[[#This Row],[Date record entered]]&lt;&gt;"",CommitmentsTable[[#This Row],[Date record entered]]+90,""))</f>
        <v/>
      </c>
      <c r="J1220" s="245" t="str">
        <f ca="1">IF(CommitmentsTable[[#This Row],[Date Assigned if different from entry date]]&lt;&gt;"",CommitmentsTable[[#This Row],[Date Assigned if different from entry date]]+30,IF(CommitmentsTable[[#This Row],[Date record entered]]&lt;&gt;"",CommitmentsTable[[#This Row],[Date record entered]]+30,""))</f>
        <v/>
      </c>
      <c r="K1220" s="245"/>
      <c r="L1220" s="245" t="str">
        <f ca="1">IF(CommitmentsTable[[#This Row],[Date Assigned if different from entry date]]&lt;&gt;"",CommitmentsTable[[#This Row],[Date Assigned if different from entry date]]+60,IF(CommitmentsTable[[#This Row],[Date record entered]]&lt;&gt;"",CommitmentsTable[[#This Row],[Date record entered]]+60,""))</f>
        <v/>
      </c>
      <c r="M1220" s="214"/>
      <c r="N1220" s="214"/>
      <c r="O1220" s="236"/>
      <c r="P1220" s="214"/>
      <c r="Q1220" s="214"/>
      <c r="R1220" s="214"/>
      <c r="S1220" s="238" t="str">
        <f>IF(CommitmentsTable[[#This Row],[Commitment / deliverable]]="","",IF(CommitmentsTable[[#This Row],[Revised due]]&lt;&gt;"",CommitmentsTable[[#This Row],[Revised due]],CommitmentsTable[[#This Row],[Original due]]))</f>
        <v/>
      </c>
      <c r="T1220" s="237" t="str">
        <f>IF(OR(CommitmentsTable[[#This Row],[Commitment / deliverable]]="",CommitmentsTable[[#This Row],[Owner]]=""),"",IF(CommitmentsTable[[#This Row],[Status2]]="","Open",CommitmentsTable[[#This Row],[Status2]]))</f>
        <v/>
      </c>
      <c r="U1220" s="237" t="str">
        <f t="shared" ca="1" si="18"/>
        <v/>
      </c>
      <c r="V1220" s="233"/>
      <c r="W1220" s="63" t="s">
        <v>2122</v>
      </c>
    </row>
    <row r="1221" spans="1:23" ht="26">
      <c r="A1221" s="213" t="str">
        <f>IF(OR(CommitmentsTable[[#This Row],[Commitment / deliverable]]="",CommitmentsTable[[#This Row],[Immutable Key]]=""),"",SUBSTITUTE(CommitmentsTable[[#This Row],[Immutable Key]],"-K-","-"))</f>
        <v/>
      </c>
      <c r="B1221" s="233"/>
      <c r="C1221" s="233"/>
      <c r="D1221" s="213"/>
      <c r="E1221" s="230"/>
      <c r="F1221" s="213"/>
      <c r="G1221" s="245" t="str">
        <f ca="1">IF(CommitmentsTable[[#This Row],[Commitment / deliverable]]="","",IF(CommitmentsTable[[#This Row],[Date record entered]]="",TODAY(),CommitmentsTable[[#This Row],[Date record entered]]))</f>
        <v/>
      </c>
      <c r="H1221" s="245"/>
      <c r="I1221" s="245" t="str">
        <f ca="1">IF(CommitmentsTable[[#This Row],[Date Assigned if different from entry date]]&lt;&gt;"",CommitmentsTable[[#This Row],[Date Assigned if different from entry date]]+90,IF(CommitmentsTable[[#This Row],[Date record entered]]&lt;&gt;"",CommitmentsTable[[#This Row],[Date record entered]]+90,""))</f>
        <v/>
      </c>
      <c r="J1221" s="245" t="str">
        <f ca="1">IF(CommitmentsTable[[#This Row],[Date Assigned if different from entry date]]&lt;&gt;"",CommitmentsTable[[#This Row],[Date Assigned if different from entry date]]+30,IF(CommitmentsTable[[#This Row],[Date record entered]]&lt;&gt;"",CommitmentsTable[[#This Row],[Date record entered]]+30,""))</f>
        <v/>
      </c>
      <c r="K1221" s="245"/>
      <c r="L1221" s="245" t="str">
        <f ca="1">IF(CommitmentsTable[[#This Row],[Date Assigned if different from entry date]]&lt;&gt;"",CommitmentsTable[[#This Row],[Date Assigned if different from entry date]]+60,IF(CommitmentsTable[[#This Row],[Date record entered]]&lt;&gt;"",CommitmentsTable[[#This Row],[Date record entered]]+60,""))</f>
        <v/>
      </c>
      <c r="M1221" s="214"/>
      <c r="N1221" s="214"/>
      <c r="O1221" s="236"/>
      <c r="P1221" s="214"/>
      <c r="Q1221" s="214"/>
      <c r="R1221" s="214"/>
      <c r="S1221" s="238" t="str">
        <f>IF(CommitmentsTable[[#This Row],[Commitment / deliverable]]="","",IF(CommitmentsTable[[#This Row],[Revised due]]&lt;&gt;"",CommitmentsTable[[#This Row],[Revised due]],CommitmentsTable[[#This Row],[Original due]]))</f>
        <v/>
      </c>
      <c r="T1221" s="237" t="str">
        <f>IF(OR(CommitmentsTable[[#This Row],[Commitment / deliverable]]="",CommitmentsTable[[#This Row],[Owner]]=""),"",IF(CommitmentsTable[[#This Row],[Status2]]="","Open",CommitmentsTable[[#This Row],[Status2]]))</f>
        <v/>
      </c>
      <c r="U1221" s="237" t="str">
        <f t="shared" ca="1" si="18"/>
        <v/>
      </c>
      <c r="V1221" s="233"/>
      <c r="W1221" s="63" t="s">
        <v>2123</v>
      </c>
    </row>
    <row r="1222" spans="1:23" ht="26">
      <c r="A1222" s="213" t="str">
        <f>IF(OR(CommitmentsTable[[#This Row],[Commitment / deliverable]]="",CommitmentsTable[[#This Row],[Immutable Key]]=""),"",SUBSTITUTE(CommitmentsTable[[#This Row],[Immutable Key]],"-K-","-"))</f>
        <v/>
      </c>
      <c r="B1222" s="233"/>
      <c r="C1222" s="233"/>
      <c r="D1222" s="213"/>
      <c r="E1222" s="230"/>
      <c r="F1222" s="213"/>
      <c r="G1222" s="245" t="str">
        <f ca="1">IF(CommitmentsTable[[#This Row],[Commitment / deliverable]]="","",IF(CommitmentsTable[[#This Row],[Date record entered]]="",TODAY(),CommitmentsTable[[#This Row],[Date record entered]]))</f>
        <v/>
      </c>
      <c r="H1222" s="245"/>
      <c r="I1222" s="245" t="str">
        <f ca="1">IF(CommitmentsTable[[#This Row],[Date Assigned if different from entry date]]&lt;&gt;"",CommitmentsTable[[#This Row],[Date Assigned if different from entry date]]+90,IF(CommitmentsTable[[#This Row],[Date record entered]]&lt;&gt;"",CommitmentsTable[[#This Row],[Date record entered]]+90,""))</f>
        <v/>
      </c>
      <c r="J1222" s="245" t="str">
        <f ca="1">IF(CommitmentsTable[[#This Row],[Date Assigned if different from entry date]]&lt;&gt;"",CommitmentsTable[[#This Row],[Date Assigned if different from entry date]]+30,IF(CommitmentsTable[[#This Row],[Date record entered]]&lt;&gt;"",CommitmentsTable[[#This Row],[Date record entered]]+30,""))</f>
        <v/>
      </c>
      <c r="K1222" s="245"/>
      <c r="L1222" s="245" t="str">
        <f ca="1">IF(CommitmentsTable[[#This Row],[Date Assigned if different from entry date]]&lt;&gt;"",CommitmentsTable[[#This Row],[Date Assigned if different from entry date]]+60,IF(CommitmentsTable[[#This Row],[Date record entered]]&lt;&gt;"",CommitmentsTable[[#This Row],[Date record entered]]+60,""))</f>
        <v/>
      </c>
      <c r="M1222" s="214"/>
      <c r="N1222" s="214"/>
      <c r="O1222" s="236"/>
      <c r="P1222" s="214"/>
      <c r="Q1222" s="214"/>
      <c r="R1222" s="214"/>
      <c r="S1222" s="238" t="str">
        <f>IF(CommitmentsTable[[#This Row],[Commitment / deliverable]]="","",IF(CommitmentsTable[[#This Row],[Revised due]]&lt;&gt;"",CommitmentsTable[[#This Row],[Revised due]],CommitmentsTable[[#This Row],[Original due]]))</f>
        <v/>
      </c>
      <c r="T1222" s="237" t="str">
        <f>IF(OR(CommitmentsTable[[#This Row],[Commitment / deliverable]]="",CommitmentsTable[[#This Row],[Owner]]=""),"",IF(CommitmentsTable[[#This Row],[Status2]]="","Open",CommitmentsTable[[#This Row],[Status2]]))</f>
        <v/>
      </c>
      <c r="U1222" s="237" t="str">
        <f t="shared" ca="1" si="18"/>
        <v/>
      </c>
      <c r="V1222" s="233"/>
      <c r="W1222" s="63" t="s">
        <v>2124</v>
      </c>
    </row>
    <row r="1223" spans="1:23" ht="26">
      <c r="A1223" s="213" t="str">
        <f>IF(OR(CommitmentsTable[[#This Row],[Commitment / deliverable]]="",CommitmentsTable[[#This Row],[Immutable Key]]=""),"",SUBSTITUTE(CommitmentsTable[[#This Row],[Immutable Key]],"-K-","-"))</f>
        <v/>
      </c>
      <c r="B1223" s="233"/>
      <c r="C1223" s="233"/>
      <c r="D1223" s="213"/>
      <c r="E1223" s="230"/>
      <c r="F1223" s="213"/>
      <c r="G1223" s="245" t="str">
        <f ca="1">IF(CommitmentsTable[[#This Row],[Commitment / deliverable]]="","",IF(CommitmentsTable[[#This Row],[Date record entered]]="",TODAY(),CommitmentsTable[[#This Row],[Date record entered]]))</f>
        <v/>
      </c>
      <c r="H1223" s="245"/>
      <c r="I1223" s="245" t="str">
        <f ca="1">IF(CommitmentsTable[[#This Row],[Date Assigned if different from entry date]]&lt;&gt;"",CommitmentsTable[[#This Row],[Date Assigned if different from entry date]]+90,IF(CommitmentsTable[[#This Row],[Date record entered]]&lt;&gt;"",CommitmentsTable[[#This Row],[Date record entered]]+90,""))</f>
        <v/>
      </c>
      <c r="J1223" s="245" t="str">
        <f ca="1">IF(CommitmentsTable[[#This Row],[Date Assigned if different from entry date]]&lt;&gt;"",CommitmentsTable[[#This Row],[Date Assigned if different from entry date]]+30,IF(CommitmentsTable[[#This Row],[Date record entered]]&lt;&gt;"",CommitmentsTable[[#This Row],[Date record entered]]+30,""))</f>
        <v/>
      </c>
      <c r="K1223" s="245"/>
      <c r="L1223" s="245" t="str">
        <f ca="1">IF(CommitmentsTable[[#This Row],[Date Assigned if different from entry date]]&lt;&gt;"",CommitmentsTable[[#This Row],[Date Assigned if different from entry date]]+60,IF(CommitmentsTable[[#This Row],[Date record entered]]&lt;&gt;"",CommitmentsTable[[#This Row],[Date record entered]]+60,""))</f>
        <v/>
      </c>
      <c r="M1223" s="214"/>
      <c r="N1223" s="214"/>
      <c r="O1223" s="236"/>
      <c r="P1223" s="214"/>
      <c r="Q1223" s="214"/>
      <c r="R1223" s="214"/>
      <c r="S1223" s="238" t="str">
        <f>IF(CommitmentsTable[[#This Row],[Commitment / deliverable]]="","",IF(CommitmentsTable[[#This Row],[Revised due]]&lt;&gt;"",CommitmentsTable[[#This Row],[Revised due]],CommitmentsTable[[#This Row],[Original due]]))</f>
        <v/>
      </c>
      <c r="T1223" s="237" t="str">
        <f>IF(OR(CommitmentsTable[[#This Row],[Commitment / deliverable]]="",CommitmentsTable[[#This Row],[Owner]]=""),"",IF(CommitmentsTable[[#This Row],[Status2]]="","Open",CommitmentsTable[[#This Row],[Status2]]))</f>
        <v/>
      </c>
      <c r="U1223" s="237" t="str">
        <f t="shared" ca="1" si="18"/>
        <v/>
      </c>
      <c r="V1223" s="233"/>
      <c r="W1223" s="63" t="s">
        <v>2125</v>
      </c>
    </row>
    <row r="1224" spans="1:23" ht="26">
      <c r="A1224" s="213" t="str">
        <f>IF(OR(CommitmentsTable[[#This Row],[Commitment / deliverable]]="",CommitmentsTable[[#This Row],[Immutable Key]]=""),"",SUBSTITUTE(CommitmentsTable[[#This Row],[Immutable Key]],"-K-","-"))</f>
        <v/>
      </c>
      <c r="B1224" s="233"/>
      <c r="C1224" s="233"/>
      <c r="D1224" s="213"/>
      <c r="E1224" s="230"/>
      <c r="F1224" s="213"/>
      <c r="G1224" s="245" t="str">
        <f ca="1">IF(CommitmentsTable[[#This Row],[Commitment / deliverable]]="","",IF(CommitmentsTable[[#This Row],[Date record entered]]="",TODAY(),CommitmentsTable[[#This Row],[Date record entered]]))</f>
        <v/>
      </c>
      <c r="H1224" s="245"/>
      <c r="I1224" s="245" t="str">
        <f ca="1">IF(CommitmentsTable[[#This Row],[Date Assigned if different from entry date]]&lt;&gt;"",CommitmentsTable[[#This Row],[Date Assigned if different from entry date]]+90,IF(CommitmentsTable[[#This Row],[Date record entered]]&lt;&gt;"",CommitmentsTable[[#This Row],[Date record entered]]+90,""))</f>
        <v/>
      </c>
      <c r="J1224" s="245" t="str">
        <f ca="1">IF(CommitmentsTable[[#This Row],[Date Assigned if different from entry date]]&lt;&gt;"",CommitmentsTable[[#This Row],[Date Assigned if different from entry date]]+30,IF(CommitmentsTable[[#This Row],[Date record entered]]&lt;&gt;"",CommitmentsTable[[#This Row],[Date record entered]]+30,""))</f>
        <v/>
      </c>
      <c r="K1224" s="245"/>
      <c r="L1224" s="245" t="str">
        <f ca="1">IF(CommitmentsTable[[#This Row],[Date Assigned if different from entry date]]&lt;&gt;"",CommitmentsTable[[#This Row],[Date Assigned if different from entry date]]+60,IF(CommitmentsTable[[#This Row],[Date record entered]]&lt;&gt;"",CommitmentsTable[[#This Row],[Date record entered]]+60,""))</f>
        <v/>
      </c>
      <c r="M1224" s="214"/>
      <c r="N1224" s="214"/>
      <c r="O1224" s="236"/>
      <c r="P1224" s="214"/>
      <c r="Q1224" s="214"/>
      <c r="R1224" s="214"/>
      <c r="S1224" s="238" t="str">
        <f>IF(CommitmentsTable[[#This Row],[Commitment / deliverable]]="","",IF(CommitmentsTable[[#This Row],[Revised due]]&lt;&gt;"",CommitmentsTable[[#This Row],[Revised due]],CommitmentsTable[[#This Row],[Original due]]))</f>
        <v/>
      </c>
      <c r="T1224" s="237" t="str">
        <f>IF(OR(CommitmentsTable[[#This Row],[Commitment / deliverable]]="",CommitmentsTable[[#This Row],[Owner]]=""),"",IF(CommitmentsTable[[#This Row],[Status2]]="","Open",CommitmentsTable[[#This Row],[Status2]]))</f>
        <v/>
      </c>
      <c r="U1224" s="237" t="str">
        <f t="shared" ca="1" si="18"/>
        <v/>
      </c>
      <c r="V1224" s="233"/>
      <c r="W1224" s="63" t="s">
        <v>2126</v>
      </c>
    </row>
    <row r="1225" spans="1:23" ht="26">
      <c r="A1225" s="213" t="str">
        <f>IF(OR(CommitmentsTable[[#This Row],[Commitment / deliverable]]="",CommitmentsTable[[#This Row],[Immutable Key]]=""),"",SUBSTITUTE(CommitmentsTable[[#This Row],[Immutable Key]],"-K-","-"))</f>
        <v/>
      </c>
      <c r="B1225" s="233"/>
      <c r="C1225" s="233"/>
      <c r="D1225" s="213"/>
      <c r="E1225" s="230"/>
      <c r="F1225" s="213"/>
      <c r="G1225" s="245" t="str">
        <f ca="1">IF(CommitmentsTable[[#This Row],[Commitment / deliverable]]="","",IF(CommitmentsTable[[#This Row],[Date record entered]]="",TODAY(),CommitmentsTable[[#This Row],[Date record entered]]))</f>
        <v/>
      </c>
      <c r="H1225" s="245"/>
      <c r="I1225" s="245" t="str">
        <f ca="1">IF(CommitmentsTable[[#This Row],[Date Assigned if different from entry date]]&lt;&gt;"",CommitmentsTable[[#This Row],[Date Assigned if different from entry date]]+90,IF(CommitmentsTable[[#This Row],[Date record entered]]&lt;&gt;"",CommitmentsTable[[#This Row],[Date record entered]]+90,""))</f>
        <v/>
      </c>
      <c r="J1225" s="245" t="str">
        <f ca="1">IF(CommitmentsTable[[#This Row],[Date Assigned if different from entry date]]&lt;&gt;"",CommitmentsTable[[#This Row],[Date Assigned if different from entry date]]+30,IF(CommitmentsTable[[#This Row],[Date record entered]]&lt;&gt;"",CommitmentsTable[[#This Row],[Date record entered]]+30,""))</f>
        <v/>
      </c>
      <c r="K1225" s="245"/>
      <c r="L1225" s="245" t="str">
        <f ca="1">IF(CommitmentsTable[[#This Row],[Date Assigned if different from entry date]]&lt;&gt;"",CommitmentsTable[[#This Row],[Date Assigned if different from entry date]]+60,IF(CommitmentsTable[[#This Row],[Date record entered]]&lt;&gt;"",CommitmentsTable[[#This Row],[Date record entered]]+60,""))</f>
        <v/>
      </c>
      <c r="M1225" s="214"/>
      <c r="N1225" s="214"/>
      <c r="O1225" s="236"/>
      <c r="P1225" s="214"/>
      <c r="Q1225" s="214"/>
      <c r="R1225" s="214"/>
      <c r="S1225" s="238" t="str">
        <f>IF(CommitmentsTable[[#This Row],[Commitment / deliverable]]="","",IF(CommitmentsTable[[#This Row],[Revised due]]&lt;&gt;"",CommitmentsTable[[#This Row],[Revised due]],CommitmentsTable[[#This Row],[Original due]]))</f>
        <v/>
      </c>
      <c r="T1225" s="237" t="str">
        <f>IF(OR(CommitmentsTable[[#This Row],[Commitment / deliverable]]="",CommitmentsTable[[#This Row],[Owner]]=""),"",IF(CommitmentsTable[[#This Row],[Status2]]="","Open",CommitmentsTable[[#This Row],[Status2]]))</f>
        <v/>
      </c>
      <c r="U1225" s="237" t="str">
        <f t="shared" ca="1" si="18"/>
        <v/>
      </c>
      <c r="V1225" s="233"/>
      <c r="W1225" s="63" t="s">
        <v>2127</v>
      </c>
    </row>
    <row r="1226" spans="1:23" ht="26">
      <c r="A1226" s="213" t="str">
        <f>IF(OR(CommitmentsTable[[#This Row],[Commitment / deliverable]]="",CommitmentsTable[[#This Row],[Immutable Key]]=""),"",SUBSTITUTE(CommitmentsTable[[#This Row],[Immutable Key]],"-K-","-"))</f>
        <v/>
      </c>
      <c r="B1226" s="233"/>
      <c r="C1226" s="233"/>
      <c r="D1226" s="213"/>
      <c r="E1226" s="230"/>
      <c r="F1226" s="213"/>
      <c r="G1226" s="245" t="str">
        <f ca="1">IF(CommitmentsTable[[#This Row],[Commitment / deliverable]]="","",IF(CommitmentsTable[[#This Row],[Date record entered]]="",TODAY(),CommitmentsTable[[#This Row],[Date record entered]]))</f>
        <v/>
      </c>
      <c r="H1226" s="245"/>
      <c r="I1226" s="245" t="str">
        <f ca="1">IF(CommitmentsTable[[#This Row],[Date Assigned if different from entry date]]&lt;&gt;"",CommitmentsTable[[#This Row],[Date Assigned if different from entry date]]+90,IF(CommitmentsTable[[#This Row],[Date record entered]]&lt;&gt;"",CommitmentsTable[[#This Row],[Date record entered]]+90,""))</f>
        <v/>
      </c>
      <c r="J1226" s="245" t="str">
        <f ca="1">IF(CommitmentsTable[[#This Row],[Date Assigned if different from entry date]]&lt;&gt;"",CommitmentsTable[[#This Row],[Date Assigned if different from entry date]]+30,IF(CommitmentsTable[[#This Row],[Date record entered]]&lt;&gt;"",CommitmentsTable[[#This Row],[Date record entered]]+30,""))</f>
        <v/>
      </c>
      <c r="K1226" s="245"/>
      <c r="L1226" s="245" t="str">
        <f ca="1">IF(CommitmentsTable[[#This Row],[Date Assigned if different from entry date]]&lt;&gt;"",CommitmentsTable[[#This Row],[Date Assigned if different from entry date]]+60,IF(CommitmentsTable[[#This Row],[Date record entered]]&lt;&gt;"",CommitmentsTable[[#This Row],[Date record entered]]+60,""))</f>
        <v/>
      </c>
      <c r="M1226" s="214"/>
      <c r="N1226" s="214"/>
      <c r="O1226" s="236"/>
      <c r="P1226" s="214"/>
      <c r="Q1226" s="214"/>
      <c r="R1226" s="214"/>
      <c r="S1226" s="238" t="str">
        <f>IF(CommitmentsTable[[#This Row],[Commitment / deliverable]]="","",IF(CommitmentsTable[[#This Row],[Revised due]]&lt;&gt;"",CommitmentsTable[[#This Row],[Revised due]],CommitmentsTable[[#This Row],[Original due]]))</f>
        <v/>
      </c>
      <c r="T1226" s="237" t="str">
        <f>IF(OR(CommitmentsTable[[#This Row],[Commitment / deliverable]]="",CommitmentsTable[[#This Row],[Owner]]=""),"",IF(CommitmentsTable[[#This Row],[Status2]]="","Open",CommitmentsTable[[#This Row],[Status2]]))</f>
        <v/>
      </c>
      <c r="U1226" s="237" t="str">
        <f t="shared" ca="1" si="18"/>
        <v/>
      </c>
      <c r="V1226" s="233"/>
      <c r="W1226" s="63" t="s">
        <v>2128</v>
      </c>
    </row>
    <row r="1227" spans="1:23" ht="26">
      <c r="A1227" s="213" t="str">
        <f>IF(OR(CommitmentsTable[[#This Row],[Commitment / deliverable]]="",CommitmentsTable[[#This Row],[Immutable Key]]=""),"",SUBSTITUTE(CommitmentsTable[[#This Row],[Immutable Key]],"-K-","-"))</f>
        <v/>
      </c>
      <c r="B1227" s="233"/>
      <c r="C1227" s="233"/>
      <c r="D1227" s="213"/>
      <c r="E1227" s="230"/>
      <c r="F1227" s="213"/>
      <c r="G1227" s="245" t="str">
        <f ca="1">IF(CommitmentsTable[[#This Row],[Commitment / deliverable]]="","",IF(CommitmentsTable[[#This Row],[Date record entered]]="",TODAY(),CommitmentsTable[[#This Row],[Date record entered]]))</f>
        <v/>
      </c>
      <c r="H1227" s="245"/>
      <c r="I1227" s="245" t="str">
        <f ca="1">IF(CommitmentsTable[[#This Row],[Date Assigned if different from entry date]]&lt;&gt;"",CommitmentsTable[[#This Row],[Date Assigned if different from entry date]]+90,IF(CommitmentsTable[[#This Row],[Date record entered]]&lt;&gt;"",CommitmentsTable[[#This Row],[Date record entered]]+90,""))</f>
        <v/>
      </c>
      <c r="J1227" s="245" t="str">
        <f ca="1">IF(CommitmentsTable[[#This Row],[Date Assigned if different from entry date]]&lt;&gt;"",CommitmentsTable[[#This Row],[Date Assigned if different from entry date]]+30,IF(CommitmentsTable[[#This Row],[Date record entered]]&lt;&gt;"",CommitmentsTable[[#This Row],[Date record entered]]+30,""))</f>
        <v/>
      </c>
      <c r="K1227" s="245"/>
      <c r="L1227" s="245" t="str">
        <f ca="1">IF(CommitmentsTable[[#This Row],[Date Assigned if different from entry date]]&lt;&gt;"",CommitmentsTable[[#This Row],[Date Assigned if different from entry date]]+60,IF(CommitmentsTable[[#This Row],[Date record entered]]&lt;&gt;"",CommitmentsTable[[#This Row],[Date record entered]]+60,""))</f>
        <v/>
      </c>
      <c r="M1227" s="214"/>
      <c r="N1227" s="214"/>
      <c r="O1227" s="236"/>
      <c r="P1227" s="214"/>
      <c r="Q1227" s="214"/>
      <c r="R1227" s="214"/>
      <c r="S1227" s="238" t="str">
        <f>IF(CommitmentsTable[[#This Row],[Commitment / deliverable]]="","",IF(CommitmentsTable[[#This Row],[Revised due]]&lt;&gt;"",CommitmentsTable[[#This Row],[Revised due]],CommitmentsTable[[#This Row],[Original due]]))</f>
        <v/>
      </c>
      <c r="T1227" s="237" t="str">
        <f>IF(OR(CommitmentsTable[[#This Row],[Commitment / deliverable]]="",CommitmentsTable[[#This Row],[Owner]]=""),"",IF(CommitmentsTable[[#This Row],[Status2]]="","Open",CommitmentsTable[[#This Row],[Status2]]))</f>
        <v/>
      </c>
      <c r="U1227" s="237" t="str">
        <f t="shared" ca="1" si="18"/>
        <v/>
      </c>
      <c r="V1227" s="233"/>
      <c r="W1227" s="63" t="s">
        <v>2129</v>
      </c>
    </row>
    <row r="1228" spans="1:23" ht="26">
      <c r="A1228" s="213" t="str">
        <f>IF(OR(CommitmentsTable[[#This Row],[Commitment / deliverable]]="",CommitmentsTable[[#This Row],[Immutable Key]]=""),"",SUBSTITUTE(CommitmentsTable[[#This Row],[Immutable Key]],"-K-","-"))</f>
        <v/>
      </c>
      <c r="B1228" s="233"/>
      <c r="C1228" s="233"/>
      <c r="D1228" s="213"/>
      <c r="E1228" s="230"/>
      <c r="F1228" s="213"/>
      <c r="G1228" s="245" t="str">
        <f ca="1">IF(CommitmentsTable[[#This Row],[Commitment / deliverable]]="","",IF(CommitmentsTable[[#This Row],[Date record entered]]="",TODAY(),CommitmentsTable[[#This Row],[Date record entered]]))</f>
        <v/>
      </c>
      <c r="H1228" s="245"/>
      <c r="I1228" s="245" t="str">
        <f ca="1">IF(CommitmentsTable[[#This Row],[Date Assigned if different from entry date]]&lt;&gt;"",CommitmentsTable[[#This Row],[Date Assigned if different from entry date]]+90,IF(CommitmentsTable[[#This Row],[Date record entered]]&lt;&gt;"",CommitmentsTable[[#This Row],[Date record entered]]+90,""))</f>
        <v/>
      </c>
      <c r="J1228" s="245" t="str">
        <f ca="1">IF(CommitmentsTable[[#This Row],[Date Assigned if different from entry date]]&lt;&gt;"",CommitmentsTable[[#This Row],[Date Assigned if different from entry date]]+30,IF(CommitmentsTable[[#This Row],[Date record entered]]&lt;&gt;"",CommitmentsTable[[#This Row],[Date record entered]]+30,""))</f>
        <v/>
      </c>
      <c r="K1228" s="245"/>
      <c r="L1228" s="245" t="str">
        <f ca="1">IF(CommitmentsTable[[#This Row],[Date Assigned if different from entry date]]&lt;&gt;"",CommitmentsTable[[#This Row],[Date Assigned if different from entry date]]+60,IF(CommitmentsTable[[#This Row],[Date record entered]]&lt;&gt;"",CommitmentsTable[[#This Row],[Date record entered]]+60,""))</f>
        <v/>
      </c>
      <c r="M1228" s="214"/>
      <c r="N1228" s="214"/>
      <c r="O1228" s="236"/>
      <c r="P1228" s="214"/>
      <c r="Q1228" s="214"/>
      <c r="R1228" s="214"/>
      <c r="S1228" s="238" t="str">
        <f>IF(CommitmentsTable[[#This Row],[Commitment / deliverable]]="","",IF(CommitmentsTable[[#This Row],[Revised due]]&lt;&gt;"",CommitmentsTable[[#This Row],[Revised due]],CommitmentsTable[[#This Row],[Original due]]))</f>
        <v/>
      </c>
      <c r="T1228" s="237" t="str">
        <f>IF(OR(CommitmentsTable[[#This Row],[Commitment / deliverable]]="",CommitmentsTable[[#This Row],[Owner]]=""),"",IF(CommitmentsTable[[#This Row],[Status2]]="","Open",CommitmentsTable[[#This Row],[Status2]]))</f>
        <v/>
      </c>
      <c r="U1228" s="237" t="str">
        <f t="shared" ca="1" si="18"/>
        <v/>
      </c>
      <c r="V1228" s="233"/>
      <c r="W1228" s="63" t="s">
        <v>2130</v>
      </c>
    </row>
    <row r="1229" spans="1:23" ht="26">
      <c r="A1229" s="213" t="str">
        <f>IF(OR(CommitmentsTable[[#This Row],[Commitment / deliverable]]="",CommitmentsTable[[#This Row],[Immutable Key]]=""),"",SUBSTITUTE(CommitmentsTable[[#This Row],[Immutable Key]],"-K-","-"))</f>
        <v/>
      </c>
      <c r="B1229" s="233"/>
      <c r="C1229" s="233"/>
      <c r="D1229" s="213"/>
      <c r="E1229" s="230"/>
      <c r="F1229" s="213"/>
      <c r="G1229" s="245" t="str">
        <f ca="1">IF(CommitmentsTable[[#This Row],[Commitment / deliverable]]="","",IF(CommitmentsTable[[#This Row],[Date record entered]]="",TODAY(),CommitmentsTable[[#This Row],[Date record entered]]))</f>
        <v/>
      </c>
      <c r="H1229" s="245"/>
      <c r="I1229" s="245" t="str">
        <f ca="1">IF(CommitmentsTable[[#This Row],[Date Assigned if different from entry date]]&lt;&gt;"",CommitmentsTable[[#This Row],[Date Assigned if different from entry date]]+90,IF(CommitmentsTable[[#This Row],[Date record entered]]&lt;&gt;"",CommitmentsTable[[#This Row],[Date record entered]]+90,""))</f>
        <v/>
      </c>
      <c r="J1229" s="245" t="str">
        <f ca="1">IF(CommitmentsTable[[#This Row],[Date Assigned if different from entry date]]&lt;&gt;"",CommitmentsTable[[#This Row],[Date Assigned if different from entry date]]+30,IF(CommitmentsTable[[#This Row],[Date record entered]]&lt;&gt;"",CommitmentsTable[[#This Row],[Date record entered]]+30,""))</f>
        <v/>
      </c>
      <c r="K1229" s="245"/>
      <c r="L1229" s="245" t="str">
        <f ca="1">IF(CommitmentsTable[[#This Row],[Date Assigned if different from entry date]]&lt;&gt;"",CommitmentsTable[[#This Row],[Date Assigned if different from entry date]]+60,IF(CommitmentsTable[[#This Row],[Date record entered]]&lt;&gt;"",CommitmentsTable[[#This Row],[Date record entered]]+60,""))</f>
        <v/>
      </c>
      <c r="M1229" s="214"/>
      <c r="N1229" s="214"/>
      <c r="O1229" s="236"/>
      <c r="P1229" s="214"/>
      <c r="Q1229" s="214"/>
      <c r="R1229" s="214"/>
      <c r="S1229" s="238" t="str">
        <f>IF(CommitmentsTable[[#This Row],[Commitment / deliverable]]="","",IF(CommitmentsTable[[#This Row],[Revised due]]&lt;&gt;"",CommitmentsTable[[#This Row],[Revised due]],CommitmentsTable[[#This Row],[Original due]]))</f>
        <v/>
      </c>
      <c r="T1229" s="237" t="str">
        <f>IF(OR(CommitmentsTable[[#This Row],[Commitment / deliverable]]="",CommitmentsTable[[#This Row],[Owner]]=""),"",IF(CommitmentsTable[[#This Row],[Status2]]="","Open",CommitmentsTable[[#This Row],[Status2]]))</f>
        <v/>
      </c>
      <c r="U1229" s="237" t="str">
        <f t="shared" ref="U1229:U1292" ca="1" si="19">IF(B1229="","",IF(T1229="Closed","",IF(OR(T1229="Slipped",T1229="At risk",AND(S1229&lt;&gt;"",S1229&lt;TODAY())),"Slipped / at risk",IF(G1229=TODAY(),"New today",IF(S1229=TODAY()+1,"Due tomorrow","")))))</f>
        <v/>
      </c>
      <c r="V1229" s="233"/>
      <c r="W1229" s="63" t="s">
        <v>2131</v>
      </c>
    </row>
    <row r="1230" spans="1:23" ht="26">
      <c r="A1230" s="213" t="str">
        <f>IF(OR(CommitmentsTable[[#This Row],[Commitment / deliverable]]="",CommitmentsTable[[#This Row],[Immutable Key]]=""),"",SUBSTITUTE(CommitmentsTable[[#This Row],[Immutable Key]],"-K-","-"))</f>
        <v/>
      </c>
      <c r="B1230" s="233"/>
      <c r="C1230" s="233"/>
      <c r="D1230" s="213"/>
      <c r="E1230" s="230"/>
      <c r="F1230" s="213"/>
      <c r="G1230" s="245" t="str">
        <f ca="1">IF(CommitmentsTable[[#This Row],[Commitment / deliverable]]="","",IF(CommitmentsTable[[#This Row],[Date record entered]]="",TODAY(),CommitmentsTable[[#This Row],[Date record entered]]))</f>
        <v/>
      </c>
      <c r="H1230" s="245"/>
      <c r="I1230" s="245" t="str">
        <f ca="1">IF(CommitmentsTable[[#This Row],[Date Assigned if different from entry date]]&lt;&gt;"",CommitmentsTable[[#This Row],[Date Assigned if different from entry date]]+90,IF(CommitmentsTable[[#This Row],[Date record entered]]&lt;&gt;"",CommitmentsTable[[#This Row],[Date record entered]]+90,""))</f>
        <v/>
      </c>
      <c r="J1230" s="245" t="str">
        <f ca="1">IF(CommitmentsTable[[#This Row],[Date Assigned if different from entry date]]&lt;&gt;"",CommitmentsTable[[#This Row],[Date Assigned if different from entry date]]+30,IF(CommitmentsTable[[#This Row],[Date record entered]]&lt;&gt;"",CommitmentsTable[[#This Row],[Date record entered]]+30,""))</f>
        <v/>
      </c>
      <c r="K1230" s="245"/>
      <c r="L1230" s="245" t="str">
        <f ca="1">IF(CommitmentsTable[[#This Row],[Date Assigned if different from entry date]]&lt;&gt;"",CommitmentsTable[[#This Row],[Date Assigned if different from entry date]]+60,IF(CommitmentsTable[[#This Row],[Date record entered]]&lt;&gt;"",CommitmentsTable[[#This Row],[Date record entered]]+60,""))</f>
        <v/>
      </c>
      <c r="M1230" s="214"/>
      <c r="N1230" s="214"/>
      <c r="O1230" s="236"/>
      <c r="P1230" s="214"/>
      <c r="Q1230" s="214"/>
      <c r="R1230" s="214"/>
      <c r="S1230" s="238" t="str">
        <f>IF(CommitmentsTable[[#This Row],[Commitment / deliverable]]="","",IF(CommitmentsTable[[#This Row],[Revised due]]&lt;&gt;"",CommitmentsTable[[#This Row],[Revised due]],CommitmentsTable[[#This Row],[Original due]]))</f>
        <v/>
      </c>
      <c r="T1230" s="237" t="str">
        <f>IF(OR(CommitmentsTable[[#This Row],[Commitment / deliverable]]="",CommitmentsTable[[#This Row],[Owner]]=""),"",IF(CommitmentsTable[[#This Row],[Status2]]="","Open",CommitmentsTable[[#This Row],[Status2]]))</f>
        <v/>
      </c>
      <c r="U1230" s="237" t="str">
        <f t="shared" ca="1" si="19"/>
        <v/>
      </c>
      <c r="V1230" s="233"/>
      <c r="W1230" s="63" t="s">
        <v>2132</v>
      </c>
    </row>
    <row r="1231" spans="1:23" ht="26">
      <c r="A1231" s="213" t="str">
        <f>IF(OR(CommitmentsTable[[#This Row],[Commitment / deliverable]]="",CommitmentsTable[[#This Row],[Immutable Key]]=""),"",SUBSTITUTE(CommitmentsTable[[#This Row],[Immutable Key]],"-K-","-"))</f>
        <v/>
      </c>
      <c r="B1231" s="233"/>
      <c r="C1231" s="233"/>
      <c r="D1231" s="213"/>
      <c r="E1231" s="230"/>
      <c r="F1231" s="213"/>
      <c r="G1231" s="245" t="str">
        <f ca="1">IF(CommitmentsTable[[#This Row],[Commitment / deliverable]]="","",IF(CommitmentsTable[[#This Row],[Date record entered]]="",TODAY(),CommitmentsTable[[#This Row],[Date record entered]]))</f>
        <v/>
      </c>
      <c r="H1231" s="245"/>
      <c r="I1231" s="245" t="str">
        <f ca="1">IF(CommitmentsTable[[#This Row],[Date Assigned if different from entry date]]&lt;&gt;"",CommitmentsTable[[#This Row],[Date Assigned if different from entry date]]+90,IF(CommitmentsTable[[#This Row],[Date record entered]]&lt;&gt;"",CommitmentsTable[[#This Row],[Date record entered]]+90,""))</f>
        <v/>
      </c>
      <c r="J1231" s="245" t="str">
        <f ca="1">IF(CommitmentsTable[[#This Row],[Date Assigned if different from entry date]]&lt;&gt;"",CommitmentsTable[[#This Row],[Date Assigned if different from entry date]]+30,IF(CommitmentsTable[[#This Row],[Date record entered]]&lt;&gt;"",CommitmentsTable[[#This Row],[Date record entered]]+30,""))</f>
        <v/>
      </c>
      <c r="K1231" s="245"/>
      <c r="L1231" s="245" t="str">
        <f ca="1">IF(CommitmentsTable[[#This Row],[Date Assigned if different from entry date]]&lt;&gt;"",CommitmentsTable[[#This Row],[Date Assigned if different from entry date]]+60,IF(CommitmentsTable[[#This Row],[Date record entered]]&lt;&gt;"",CommitmentsTable[[#This Row],[Date record entered]]+60,""))</f>
        <v/>
      </c>
      <c r="M1231" s="214"/>
      <c r="N1231" s="214"/>
      <c r="O1231" s="236"/>
      <c r="P1231" s="214"/>
      <c r="Q1231" s="214"/>
      <c r="R1231" s="214"/>
      <c r="S1231" s="238" t="str">
        <f>IF(CommitmentsTable[[#This Row],[Commitment / deliverable]]="","",IF(CommitmentsTable[[#This Row],[Revised due]]&lt;&gt;"",CommitmentsTable[[#This Row],[Revised due]],CommitmentsTable[[#This Row],[Original due]]))</f>
        <v/>
      </c>
      <c r="T1231" s="237" t="str">
        <f>IF(OR(CommitmentsTable[[#This Row],[Commitment / deliverable]]="",CommitmentsTable[[#This Row],[Owner]]=""),"",IF(CommitmentsTable[[#This Row],[Status2]]="","Open",CommitmentsTable[[#This Row],[Status2]]))</f>
        <v/>
      </c>
      <c r="U1231" s="237" t="str">
        <f t="shared" ca="1" si="19"/>
        <v/>
      </c>
      <c r="V1231" s="233"/>
      <c r="W1231" s="63" t="s">
        <v>2133</v>
      </c>
    </row>
    <row r="1232" spans="1:23" ht="26">
      <c r="A1232" s="213" t="str">
        <f>IF(OR(CommitmentsTable[[#This Row],[Commitment / deliverable]]="",CommitmentsTable[[#This Row],[Immutable Key]]=""),"",SUBSTITUTE(CommitmentsTable[[#This Row],[Immutable Key]],"-K-","-"))</f>
        <v/>
      </c>
      <c r="B1232" s="233"/>
      <c r="C1232" s="233"/>
      <c r="D1232" s="213"/>
      <c r="E1232" s="230"/>
      <c r="F1232" s="213"/>
      <c r="G1232" s="245" t="str">
        <f ca="1">IF(CommitmentsTable[[#This Row],[Commitment / deliverable]]="","",IF(CommitmentsTable[[#This Row],[Date record entered]]="",TODAY(),CommitmentsTable[[#This Row],[Date record entered]]))</f>
        <v/>
      </c>
      <c r="H1232" s="245"/>
      <c r="I1232" s="245" t="str">
        <f ca="1">IF(CommitmentsTable[[#This Row],[Date Assigned if different from entry date]]&lt;&gt;"",CommitmentsTable[[#This Row],[Date Assigned if different from entry date]]+90,IF(CommitmentsTable[[#This Row],[Date record entered]]&lt;&gt;"",CommitmentsTable[[#This Row],[Date record entered]]+90,""))</f>
        <v/>
      </c>
      <c r="J1232" s="245" t="str">
        <f ca="1">IF(CommitmentsTable[[#This Row],[Date Assigned if different from entry date]]&lt;&gt;"",CommitmentsTable[[#This Row],[Date Assigned if different from entry date]]+30,IF(CommitmentsTable[[#This Row],[Date record entered]]&lt;&gt;"",CommitmentsTable[[#This Row],[Date record entered]]+30,""))</f>
        <v/>
      </c>
      <c r="K1232" s="245"/>
      <c r="L1232" s="245" t="str">
        <f ca="1">IF(CommitmentsTable[[#This Row],[Date Assigned if different from entry date]]&lt;&gt;"",CommitmentsTable[[#This Row],[Date Assigned if different from entry date]]+60,IF(CommitmentsTable[[#This Row],[Date record entered]]&lt;&gt;"",CommitmentsTable[[#This Row],[Date record entered]]+60,""))</f>
        <v/>
      </c>
      <c r="M1232" s="214"/>
      <c r="N1232" s="214"/>
      <c r="O1232" s="236"/>
      <c r="P1232" s="214"/>
      <c r="Q1232" s="214"/>
      <c r="R1232" s="214"/>
      <c r="S1232" s="238" t="str">
        <f>IF(CommitmentsTable[[#This Row],[Commitment / deliverable]]="","",IF(CommitmentsTable[[#This Row],[Revised due]]&lt;&gt;"",CommitmentsTable[[#This Row],[Revised due]],CommitmentsTable[[#This Row],[Original due]]))</f>
        <v/>
      </c>
      <c r="T1232" s="237" t="str">
        <f>IF(OR(CommitmentsTable[[#This Row],[Commitment / deliverable]]="",CommitmentsTable[[#This Row],[Owner]]=""),"",IF(CommitmentsTable[[#This Row],[Status2]]="","Open",CommitmentsTable[[#This Row],[Status2]]))</f>
        <v/>
      </c>
      <c r="U1232" s="237" t="str">
        <f t="shared" ca="1" si="19"/>
        <v/>
      </c>
      <c r="V1232" s="233"/>
      <c r="W1232" s="63" t="s">
        <v>2134</v>
      </c>
    </row>
    <row r="1233" spans="1:23" ht="26">
      <c r="A1233" s="213" t="str">
        <f>IF(OR(CommitmentsTable[[#This Row],[Commitment / deliverable]]="",CommitmentsTable[[#This Row],[Immutable Key]]=""),"",SUBSTITUTE(CommitmentsTable[[#This Row],[Immutable Key]],"-K-","-"))</f>
        <v/>
      </c>
      <c r="B1233" s="233"/>
      <c r="C1233" s="233"/>
      <c r="D1233" s="213"/>
      <c r="E1233" s="230"/>
      <c r="F1233" s="213"/>
      <c r="G1233" s="245" t="str">
        <f ca="1">IF(CommitmentsTable[[#This Row],[Commitment / deliverable]]="","",IF(CommitmentsTable[[#This Row],[Date record entered]]="",TODAY(),CommitmentsTable[[#This Row],[Date record entered]]))</f>
        <v/>
      </c>
      <c r="H1233" s="245"/>
      <c r="I1233" s="245" t="str">
        <f ca="1">IF(CommitmentsTable[[#This Row],[Date Assigned if different from entry date]]&lt;&gt;"",CommitmentsTable[[#This Row],[Date Assigned if different from entry date]]+90,IF(CommitmentsTable[[#This Row],[Date record entered]]&lt;&gt;"",CommitmentsTable[[#This Row],[Date record entered]]+90,""))</f>
        <v/>
      </c>
      <c r="J1233" s="245" t="str">
        <f ca="1">IF(CommitmentsTable[[#This Row],[Date Assigned if different from entry date]]&lt;&gt;"",CommitmentsTable[[#This Row],[Date Assigned if different from entry date]]+30,IF(CommitmentsTable[[#This Row],[Date record entered]]&lt;&gt;"",CommitmentsTable[[#This Row],[Date record entered]]+30,""))</f>
        <v/>
      </c>
      <c r="K1233" s="245"/>
      <c r="L1233" s="245" t="str">
        <f ca="1">IF(CommitmentsTable[[#This Row],[Date Assigned if different from entry date]]&lt;&gt;"",CommitmentsTable[[#This Row],[Date Assigned if different from entry date]]+60,IF(CommitmentsTable[[#This Row],[Date record entered]]&lt;&gt;"",CommitmentsTable[[#This Row],[Date record entered]]+60,""))</f>
        <v/>
      </c>
      <c r="M1233" s="214"/>
      <c r="N1233" s="214"/>
      <c r="O1233" s="236"/>
      <c r="P1233" s="214"/>
      <c r="Q1233" s="214"/>
      <c r="R1233" s="214"/>
      <c r="S1233" s="238" t="str">
        <f>IF(CommitmentsTable[[#This Row],[Commitment / deliverable]]="","",IF(CommitmentsTable[[#This Row],[Revised due]]&lt;&gt;"",CommitmentsTable[[#This Row],[Revised due]],CommitmentsTable[[#This Row],[Original due]]))</f>
        <v/>
      </c>
      <c r="T1233" s="237" t="str">
        <f>IF(OR(CommitmentsTable[[#This Row],[Commitment / deliverable]]="",CommitmentsTable[[#This Row],[Owner]]=""),"",IF(CommitmentsTable[[#This Row],[Status2]]="","Open",CommitmentsTable[[#This Row],[Status2]]))</f>
        <v/>
      </c>
      <c r="U1233" s="237" t="str">
        <f t="shared" ca="1" si="19"/>
        <v/>
      </c>
      <c r="V1233" s="233"/>
      <c r="W1233" s="63" t="s">
        <v>2135</v>
      </c>
    </row>
    <row r="1234" spans="1:23" ht="26">
      <c r="A1234" s="213" t="str">
        <f>IF(OR(CommitmentsTable[[#This Row],[Commitment / deliverable]]="",CommitmentsTable[[#This Row],[Immutable Key]]=""),"",SUBSTITUTE(CommitmentsTable[[#This Row],[Immutable Key]],"-K-","-"))</f>
        <v/>
      </c>
      <c r="B1234" s="233"/>
      <c r="C1234" s="233"/>
      <c r="D1234" s="213"/>
      <c r="E1234" s="230"/>
      <c r="F1234" s="213"/>
      <c r="G1234" s="245" t="str">
        <f ca="1">IF(CommitmentsTable[[#This Row],[Commitment / deliverable]]="","",IF(CommitmentsTable[[#This Row],[Date record entered]]="",TODAY(),CommitmentsTable[[#This Row],[Date record entered]]))</f>
        <v/>
      </c>
      <c r="H1234" s="245"/>
      <c r="I1234" s="245" t="str">
        <f ca="1">IF(CommitmentsTable[[#This Row],[Date Assigned if different from entry date]]&lt;&gt;"",CommitmentsTable[[#This Row],[Date Assigned if different from entry date]]+90,IF(CommitmentsTable[[#This Row],[Date record entered]]&lt;&gt;"",CommitmentsTable[[#This Row],[Date record entered]]+90,""))</f>
        <v/>
      </c>
      <c r="J1234" s="245" t="str">
        <f ca="1">IF(CommitmentsTable[[#This Row],[Date Assigned if different from entry date]]&lt;&gt;"",CommitmentsTable[[#This Row],[Date Assigned if different from entry date]]+30,IF(CommitmentsTable[[#This Row],[Date record entered]]&lt;&gt;"",CommitmentsTable[[#This Row],[Date record entered]]+30,""))</f>
        <v/>
      </c>
      <c r="K1234" s="245"/>
      <c r="L1234" s="245" t="str">
        <f ca="1">IF(CommitmentsTable[[#This Row],[Date Assigned if different from entry date]]&lt;&gt;"",CommitmentsTable[[#This Row],[Date Assigned if different from entry date]]+60,IF(CommitmentsTable[[#This Row],[Date record entered]]&lt;&gt;"",CommitmentsTable[[#This Row],[Date record entered]]+60,""))</f>
        <v/>
      </c>
      <c r="M1234" s="214"/>
      <c r="N1234" s="214"/>
      <c r="O1234" s="236"/>
      <c r="P1234" s="214"/>
      <c r="Q1234" s="214"/>
      <c r="R1234" s="214"/>
      <c r="S1234" s="238" t="str">
        <f>IF(CommitmentsTable[[#This Row],[Commitment / deliverable]]="","",IF(CommitmentsTable[[#This Row],[Revised due]]&lt;&gt;"",CommitmentsTable[[#This Row],[Revised due]],CommitmentsTable[[#This Row],[Original due]]))</f>
        <v/>
      </c>
      <c r="T1234" s="237" t="str">
        <f>IF(OR(CommitmentsTable[[#This Row],[Commitment / deliverable]]="",CommitmentsTable[[#This Row],[Owner]]=""),"",IF(CommitmentsTable[[#This Row],[Status2]]="","Open",CommitmentsTable[[#This Row],[Status2]]))</f>
        <v/>
      </c>
      <c r="U1234" s="237" t="str">
        <f t="shared" ca="1" si="19"/>
        <v/>
      </c>
      <c r="V1234" s="233"/>
      <c r="W1234" s="63" t="s">
        <v>2136</v>
      </c>
    </row>
    <row r="1235" spans="1:23" ht="26">
      <c r="A1235" s="213" t="str">
        <f>IF(OR(CommitmentsTable[[#This Row],[Commitment / deliverable]]="",CommitmentsTable[[#This Row],[Immutable Key]]=""),"",SUBSTITUTE(CommitmentsTable[[#This Row],[Immutable Key]],"-K-","-"))</f>
        <v/>
      </c>
      <c r="B1235" s="233"/>
      <c r="C1235" s="233"/>
      <c r="D1235" s="213"/>
      <c r="E1235" s="230"/>
      <c r="F1235" s="213"/>
      <c r="G1235" s="245" t="str">
        <f ca="1">IF(CommitmentsTable[[#This Row],[Commitment / deliverable]]="","",IF(CommitmentsTable[[#This Row],[Date record entered]]="",TODAY(),CommitmentsTable[[#This Row],[Date record entered]]))</f>
        <v/>
      </c>
      <c r="H1235" s="245"/>
      <c r="I1235" s="245" t="str">
        <f ca="1">IF(CommitmentsTable[[#This Row],[Date Assigned if different from entry date]]&lt;&gt;"",CommitmentsTable[[#This Row],[Date Assigned if different from entry date]]+90,IF(CommitmentsTable[[#This Row],[Date record entered]]&lt;&gt;"",CommitmentsTable[[#This Row],[Date record entered]]+90,""))</f>
        <v/>
      </c>
      <c r="J1235" s="245" t="str">
        <f ca="1">IF(CommitmentsTable[[#This Row],[Date Assigned if different from entry date]]&lt;&gt;"",CommitmentsTable[[#This Row],[Date Assigned if different from entry date]]+30,IF(CommitmentsTable[[#This Row],[Date record entered]]&lt;&gt;"",CommitmentsTable[[#This Row],[Date record entered]]+30,""))</f>
        <v/>
      </c>
      <c r="K1235" s="245"/>
      <c r="L1235" s="245" t="str">
        <f ca="1">IF(CommitmentsTable[[#This Row],[Date Assigned if different from entry date]]&lt;&gt;"",CommitmentsTable[[#This Row],[Date Assigned if different from entry date]]+60,IF(CommitmentsTable[[#This Row],[Date record entered]]&lt;&gt;"",CommitmentsTable[[#This Row],[Date record entered]]+60,""))</f>
        <v/>
      </c>
      <c r="M1235" s="214"/>
      <c r="N1235" s="214"/>
      <c r="O1235" s="236"/>
      <c r="P1235" s="214"/>
      <c r="Q1235" s="214"/>
      <c r="R1235" s="214"/>
      <c r="S1235" s="238" t="str">
        <f>IF(CommitmentsTable[[#This Row],[Commitment / deliverable]]="","",IF(CommitmentsTable[[#This Row],[Revised due]]&lt;&gt;"",CommitmentsTable[[#This Row],[Revised due]],CommitmentsTable[[#This Row],[Original due]]))</f>
        <v/>
      </c>
      <c r="T1235" s="237" t="str">
        <f>IF(OR(CommitmentsTable[[#This Row],[Commitment / deliverable]]="",CommitmentsTable[[#This Row],[Owner]]=""),"",IF(CommitmentsTable[[#This Row],[Status2]]="","Open",CommitmentsTable[[#This Row],[Status2]]))</f>
        <v/>
      </c>
      <c r="U1235" s="237" t="str">
        <f t="shared" ca="1" si="19"/>
        <v/>
      </c>
      <c r="V1235" s="233"/>
      <c r="W1235" s="63" t="s">
        <v>2137</v>
      </c>
    </row>
    <row r="1236" spans="1:23" ht="26">
      <c r="A1236" s="213" t="str">
        <f>IF(OR(CommitmentsTable[[#This Row],[Commitment / deliverable]]="",CommitmentsTable[[#This Row],[Immutable Key]]=""),"",SUBSTITUTE(CommitmentsTable[[#This Row],[Immutable Key]],"-K-","-"))</f>
        <v/>
      </c>
      <c r="B1236" s="233"/>
      <c r="C1236" s="233"/>
      <c r="D1236" s="213"/>
      <c r="E1236" s="230"/>
      <c r="F1236" s="213"/>
      <c r="G1236" s="245" t="str">
        <f ca="1">IF(CommitmentsTable[[#This Row],[Commitment / deliverable]]="","",IF(CommitmentsTable[[#This Row],[Date record entered]]="",TODAY(),CommitmentsTable[[#This Row],[Date record entered]]))</f>
        <v/>
      </c>
      <c r="H1236" s="245"/>
      <c r="I1236" s="245" t="str">
        <f ca="1">IF(CommitmentsTable[[#This Row],[Date Assigned if different from entry date]]&lt;&gt;"",CommitmentsTable[[#This Row],[Date Assigned if different from entry date]]+90,IF(CommitmentsTable[[#This Row],[Date record entered]]&lt;&gt;"",CommitmentsTable[[#This Row],[Date record entered]]+90,""))</f>
        <v/>
      </c>
      <c r="J1236" s="245" t="str">
        <f ca="1">IF(CommitmentsTable[[#This Row],[Date Assigned if different from entry date]]&lt;&gt;"",CommitmentsTable[[#This Row],[Date Assigned if different from entry date]]+30,IF(CommitmentsTable[[#This Row],[Date record entered]]&lt;&gt;"",CommitmentsTable[[#This Row],[Date record entered]]+30,""))</f>
        <v/>
      </c>
      <c r="K1236" s="245"/>
      <c r="L1236" s="245" t="str">
        <f ca="1">IF(CommitmentsTable[[#This Row],[Date Assigned if different from entry date]]&lt;&gt;"",CommitmentsTable[[#This Row],[Date Assigned if different from entry date]]+60,IF(CommitmentsTable[[#This Row],[Date record entered]]&lt;&gt;"",CommitmentsTable[[#This Row],[Date record entered]]+60,""))</f>
        <v/>
      </c>
      <c r="M1236" s="214"/>
      <c r="N1236" s="214"/>
      <c r="O1236" s="236"/>
      <c r="P1236" s="214"/>
      <c r="Q1236" s="214"/>
      <c r="R1236" s="214"/>
      <c r="S1236" s="238" t="str">
        <f>IF(CommitmentsTable[[#This Row],[Commitment / deliverable]]="","",IF(CommitmentsTable[[#This Row],[Revised due]]&lt;&gt;"",CommitmentsTable[[#This Row],[Revised due]],CommitmentsTable[[#This Row],[Original due]]))</f>
        <v/>
      </c>
      <c r="T1236" s="237" t="str">
        <f>IF(OR(CommitmentsTable[[#This Row],[Commitment / deliverable]]="",CommitmentsTable[[#This Row],[Owner]]=""),"",IF(CommitmentsTable[[#This Row],[Status2]]="","Open",CommitmentsTable[[#This Row],[Status2]]))</f>
        <v/>
      </c>
      <c r="U1236" s="237" t="str">
        <f t="shared" ca="1" si="19"/>
        <v/>
      </c>
      <c r="V1236" s="233"/>
      <c r="W1236" s="63" t="s">
        <v>2138</v>
      </c>
    </row>
    <row r="1237" spans="1:23" ht="26">
      <c r="A1237" s="213" t="str">
        <f>IF(OR(CommitmentsTable[[#This Row],[Commitment / deliverable]]="",CommitmentsTable[[#This Row],[Immutable Key]]=""),"",SUBSTITUTE(CommitmentsTable[[#This Row],[Immutable Key]],"-K-","-"))</f>
        <v/>
      </c>
      <c r="B1237" s="233"/>
      <c r="C1237" s="233"/>
      <c r="D1237" s="213"/>
      <c r="E1237" s="230"/>
      <c r="F1237" s="213"/>
      <c r="G1237" s="245" t="str">
        <f ca="1">IF(CommitmentsTable[[#This Row],[Commitment / deliverable]]="","",IF(CommitmentsTable[[#This Row],[Date record entered]]="",TODAY(),CommitmentsTable[[#This Row],[Date record entered]]))</f>
        <v/>
      </c>
      <c r="H1237" s="245"/>
      <c r="I1237" s="245" t="str">
        <f ca="1">IF(CommitmentsTable[[#This Row],[Date Assigned if different from entry date]]&lt;&gt;"",CommitmentsTable[[#This Row],[Date Assigned if different from entry date]]+90,IF(CommitmentsTable[[#This Row],[Date record entered]]&lt;&gt;"",CommitmentsTable[[#This Row],[Date record entered]]+90,""))</f>
        <v/>
      </c>
      <c r="J1237" s="245" t="str">
        <f ca="1">IF(CommitmentsTable[[#This Row],[Date Assigned if different from entry date]]&lt;&gt;"",CommitmentsTable[[#This Row],[Date Assigned if different from entry date]]+30,IF(CommitmentsTable[[#This Row],[Date record entered]]&lt;&gt;"",CommitmentsTable[[#This Row],[Date record entered]]+30,""))</f>
        <v/>
      </c>
      <c r="K1237" s="245"/>
      <c r="L1237" s="245" t="str">
        <f ca="1">IF(CommitmentsTable[[#This Row],[Date Assigned if different from entry date]]&lt;&gt;"",CommitmentsTable[[#This Row],[Date Assigned if different from entry date]]+60,IF(CommitmentsTable[[#This Row],[Date record entered]]&lt;&gt;"",CommitmentsTable[[#This Row],[Date record entered]]+60,""))</f>
        <v/>
      </c>
      <c r="M1237" s="214"/>
      <c r="N1237" s="214"/>
      <c r="O1237" s="236"/>
      <c r="P1237" s="214"/>
      <c r="Q1237" s="214"/>
      <c r="R1237" s="214"/>
      <c r="S1237" s="238" t="str">
        <f>IF(CommitmentsTable[[#This Row],[Commitment / deliverable]]="","",IF(CommitmentsTable[[#This Row],[Revised due]]&lt;&gt;"",CommitmentsTable[[#This Row],[Revised due]],CommitmentsTable[[#This Row],[Original due]]))</f>
        <v/>
      </c>
      <c r="T1237" s="237" t="str">
        <f>IF(OR(CommitmentsTable[[#This Row],[Commitment / deliverable]]="",CommitmentsTable[[#This Row],[Owner]]=""),"",IF(CommitmentsTable[[#This Row],[Status2]]="","Open",CommitmentsTable[[#This Row],[Status2]]))</f>
        <v/>
      </c>
      <c r="U1237" s="237" t="str">
        <f t="shared" ca="1" si="19"/>
        <v/>
      </c>
      <c r="V1237" s="233"/>
      <c r="W1237" s="63" t="s">
        <v>2139</v>
      </c>
    </row>
    <row r="1238" spans="1:23" ht="26">
      <c r="A1238" s="213" t="str">
        <f>IF(OR(CommitmentsTable[[#This Row],[Commitment / deliverable]]="",CommitmentsTable[[#This Row],[Immutable Key]]=""),"",SUBSTITUTE(CommitmentsTable[[#This Row],[Immutable Key]],"-K-","-"))</f>
        <v/>
      </c>
      <c r="B1238" s="233"/>
      <c r="C1238" s="233"/>
      <c r="D1238" s="213"/>
      <c r="E1238" s="230"/>
      <c r="F1238" s="213"/>
      <c r="G1238" s="245" t="str">
        <f ca="1">IF(CommitmentsTable[[#This Row],[Commitment / deliverable]]="","",IF(CommitmentsTable[[#This Row],[Date record entered]]="",TODAY(),CommitmentsTable[[#This Row],[Date record entered]]))</f>
        <v/>
      </c>
      <c r="H1238" s="245"/>
      <c r="I1238" s="245" t="str">
        <f ca="1">IF(CommitmentsTable[[#This Row],[Date Assigned if different from entry date]]&lt;&gt;"",CommitmentsTable[[#This Row],[Date Assigned if different from entry date]]+90,IF(CommitmentsTable[[#This Row],[Date record entered]]&lt;&gt;"",CommitmentsTable[[#This Row],[Date record entered]]+90,""))</f>
        <v/>
      </c>
      <c r="J1238" s="245" t="str">
        <f ca="1">IF(CommitmentsTable[[#This Row],[Date Assigned if different from entry date]]&lt;&gt;"",CommitmentsTable[[#This Row],[Date Assigned if different from entry date]]+30,IF(CommitmentsTable[[#This Row],[Date record entered]]&lt;&gt;"",CommitmentsTable[[#This Row],[Date record entered]]+30,""))</f>
        <v/>
      </c>
      <c r="K1238" s="245"/>
      <c r="L1238" s="245" t="str">
        <f ca="1">IF(CommitmentsTable[[#This Row],[Date Assigned if different from entry date]]&lt;&gt;"",CommitmentsTable[[#This Row],[Date Assigned if different from entry date]]+60,IF(CommitmentsTable[[#This Row],[Date record entered]]&lt;&gt;"",CommitmentsTable[[#This Row],[Date record entered]]+60,""))</f>
        <v/>
      </c>
      <c r="M1238" s="214"/>
      <c r="N1238" s="214"/>
      <c r="O1238" s="236"/>
      <c r="P1238" s="214"/>
      <c r="Q1238" s="214"/>
      <c r="R1238" s="214"/>
      <c r="S1238" s="238" t="str">
        <f>IF(CommitmentsTable[[#This Row],[Commitment / deliverable]]="","",IF(CommitmentsTable[[#This Row],[Revised due]]&lt;&gt;"",CommitmentsTable[[#This Row],[Revised due]],CommitmentsTable[[#This Row],[Original due]]))</f>
        <v/>
      </c>
      <c r="T1238" s="237" t="str">
        <f>IF(OR(CommitmentsTable[[#This Row],[Commitment / deliverable]]="",CommitmentsTable[[#This Row],[Owner]]=""),"",IF(CommitmentsTable[[#This Row],[Status2]]="","Open",CommitmentsTable[[#This Row],[Status2]]))</f>
        <v/>
      </c>
      <c r="U1238" s="237" t="str">
        <f t="shared" ca="1" si="19"/>
        <v/>
      </c>
      <c r="V1238" s="233"/>
      <c r="W1238" s="63" t="s">
        <v>2140</v>
      </c>
    </row>
    <row r="1239" spans="1:23" ht="26">
      <c r="A1239" s="213" t="str">
        <f>IF(OR(CommitmentsTable[[#This Row],[Commitment / deliverable]]="",CommitmentsTable[[#This Row],[Immutable Key]]=""),"",SUBSTITUTE(CommitmentsTable[[#This Row],[Immutable Key]],"-K-","-"))</f>
        <v/>
      </c>
      <c r="B1239" s="233"/>
      <c r="C1239" s="233"/>
      <c r="D1239" s="213"/>
      <c r="E1239" s="230"/>
      <c r="F1239" s="213"/>
      <c r="G1239" s="245" t="str">
        <f ca="1">IF(CommitmentsTable[[#This Row],[Commitment / deliverable]]="","",IF(CommitmentsTable[[#This Row],[Date record entered]]="",TODAY(),CommitmentsTable[[#This Row],[Date record entered]]))</f>
        <v/>
      </c>
      <c r="H1239" s="245"/>
      <c r="I1239" s="245" t="str">
        <f ca="1">IF(CommitmentsTable[[#This Row],[Date Assigned if different from entry date]]&lt;&gt;"",CommitmentsTable[[#This Row],[Date Assigned if different from entry date]]+90,IF(CommitmentsTable[[#This Row],[Date record entered]]&lt;&gt;"",CommitmentsTable[[#This Row],[Date record entered]]+90,""))</f>
        <v/>
      </c>
      <c r="J1239" s="245" t="str">
        <f ca="1">IF(CommitmentsTable[[#This Row],[Date Assigned if different from entry date]]&lt;&gt;"",CommitmentsTable[[#This Row],[Date Assigned if different from entry date]]+30,IF(CommitmentsTable[[#This Row],[Date record entered]]&lt;&gt;"",CommitmentsTable[[#This Row],[Date record entered]]+30,""))</f>
        <v/>
      </c>
      <c r="K1239" s="245"/>
      <c r="L1239" s="245" t="str">
        <f ca="1">IF(CommitmentsTable[[#This Row],[Date Assigned if different from entry date]]&lt;&gt;"",CommitmentsTable[[#This Row],[Date Assigned if different from entry date]]+60,IF(CommitmentsTable[[#This Row],[Date record entered]]&lt;&gt;"",CommitmentsTable[[#This Row],[Date record entered]]+60,""))</f>
        <v/>
      </c>
      <c r="M1239" s="214"/>
      <c r="N1239" s="214"/>
      <c r="O1239" s="236"/>
      <c r="P1239" s="214"/>
      <c r="Q1239" s="214"/>
      <c r="R1239" s="214"/>
      <c r="S1239" s="238" t="str">
        <f>IF(CommitmentsTable[[#This Row],[Commitment / deliverable]]="","",IF(CommitmentsTable[[#This Row],[Revised due]]&lt;&gt;"",CommitmentsTable[[#This Row],[Revised due]],CommitmentsTable[[#This Row],[Original due]]))</f>
        <v/>
      </c>
      <c r="T1239" s="237" t="str">
        <f>IF(OR(CommitmentsTable[[#This Row],[Commitment / deliverable]]="",CommitmentsTable[[#This Row],[Owner]]=""),"",IF(CommitmentsTable[[#This Row],[Status2]]="","Open",CommitmentsTable[[#This Row],[Status2]]))</f>
        <v/>
      </c>
      <c r="U1239" s="237" t="str">
        <f t="shared" ca="1" si="19"/>
        <v/>
      </c>
      <c r="V1239" s="233"/>
      <c r="W1239" s="63" t="s">
        <v>2141</v>
      </c>
    </row>
    <row r="1240" spans="1:23" ht="26">
      <c r="A1240" s="213" t="str">
        <f>IF(OR(CommitmentsTable[[#This Row],[Commitment / deliverable]]="",CommitmentsTable[[#This Row],[Immutable Key]]=""),"",SUBSTITUTE(CommitmentsTable[[#This Row],[Immutable Key]],"-K-","-"))</f>
        <v/>
      </c>
      <c r="B1240" s="233"/>
      <c r="C1240" s="233"/>
      <c r="D1240" s="213"/>
      <c r="E1240" s="230"/>
      <c r="F1240" s="213"/>
      <c r="G1240" s="245" t="str">
        <f ca="1">IF(CommitmentsTable[[#This Row],[Commitment / deliverable]]="","",IF(CommitmentsTable[[#This Row],[Date record entered]]="",TODAY(),CommitmentsTable[[#This Row],[Date record entered]]))</f>
        <v/>
      </c>
      <c r="H1240" s="245"/>
      <c r="I1240" s="245" t="str">
        <f ca="1">IF(CommitmentsTable[[#This Row],[Date Assigned if different from entry date]]&lt;&gt;"",CommitmentsTable[[#This Row],[Date Assigned if different from entry date]]+90,IF(CommitmentsTable[[#This Row],[Date record entered]]&lt;&gt;"",CommitmentsTable[[#This Row],[Date record entered]]+90,""))</f>
        <v/>
      </c>
      <c r="J1240" s="245" t="str">
        <f ca="1">IF(CommitmentsTable[[#This Row],[Date Assigned if different from entry date]]&lt;&gt;"",CommitmentsTable[[#This Row],[Date Assigned if different from entry date]]+30,IF(CommitmentsTable[[#This Row],[Date record entered]]&lt;&gt;"",CommitmentsTable[[#This Row],[Date record entered]]+30,""))</f>
        <v/>
      </c>
      <c r="K1240" s="245"/>
      <c r="L1240" s="245" t="str">
        <f ca="1">IF(CommitmentsTable[[#This Row],[Date Assigned if different from entry date]]&lt;&gt;"",CommitmentsTable[[#This Row],[Date Assigned if different from entry date]]+60,IF(CommitmentsTable[[#This Row],[Date record entered]]&lt;&gt;"",CommitmentsTable[[#This Row],[Date record entered]]+60,""))</f>
        <v/>
      </c>
      <c r="M1240" s="214"/>
      <c r="N1240" s="214"/>
      <c r="O1240" s="236"/>
      <c r="P1240" s="214"/>
      <c r="Q1240" s="214"/>
      <c r="R1240" s="214"/>
      <c r="S1240" s="238" t="str">
        <f>IF(CommitmentsTable[[#This Row],[Commitment / deliverable]]="","",IF(CommitmentsTable[[#This Row],[Revised due]]&lt;&gt;"",CommitmentsTable[[#This Row],[Revised due]],CommitmentsTable[[#This Row],[Original due]]))</f>
        <v/>
      </c>
      <c r="T1240" s="237" t="str">
        <f>IF(OR(CommitmentsTable[[#This Row],[Commitment / deliverable]]="",CommitmentsTable[[#This Row],[Owner]]=""),"",IF(CommitmentsTable[[#This Row],[Status2]]="","Open",CommitmentsTable[[#This Row],[Status2]]))</f>
        <v/>
      </c>
      <c r="U1240" s="237" t="str">
        <f t="shared" ca="1" si="19"/>
        <v/>
      </c>
      <c r="V1240" s="233"/>
      <c r="W1240" s="63" t="s">
        <v>2142</v>
      </c>
    </row>
    <row r="1241" spans="1:23" ht="26">
      <c r="A1241" s="213" t="str">
        <f>IF(OR(CommitmentsTable[[#This Row],[Commitment / deliverable]]="",CommitmentsTable[[#This Row],[Immutable Key]]=""),"",SUBSTITUTE(CommitmentsTable[[#This Row],[Immutable Key]],"-K-","-"))</f>
        <v/>
      </c>
      <c r="B1241" s="233"/>
      <c r="C1241" s="233"/>
      <c r="D1241" s="213"/>
      <c r="E1241" s="230"/>
      <c r="F1241" s="213"/>
      <c r="G1241" s="245" t="str">
        <f ca="1">IF(CommitmentsTable[[#This Row],[Commitment / deliverable]]="","",IF(CommitmentsTable[[#This Row],[Date record entered]]="",TODAY(),CommitmentsTable[[#This Row],[Date record entered]]))</f>
        <v/>
      </c>
      <c r="H1241" s="245"/>
      <c r="I1241" s="245" t="str">
        <f ca="1">IF(CommitmentsTable[[#This Row],[Date Assigned if different from entry date]]&lt;&gt;"",CommitmentsTable[[#This Row],[Date Assigned if different from entry date]]+90,IF(CommitmentsTable[[#This Row],[Date record entered]]&lt;&gt;"",CommitmentsTable[[#This Row],[Date record entered]]+90,""))</f>
        <v/>
      </c>
      <c r="J1241" s="245" t="str">
        <f ca="1">IF(CommitmentsTable[[#This Row],[Date Assigned if different from entry date]]&lt;&gt;"",CommitmentsTable[[#This Row],[Date Assigned if different from entry date]]+30,IF(CommitmentsTable[[#This Row],[Date record entered]]&lt;&gt;"",CommitmentsTable[[#This Row],[Date record entered]]+30,""))</f>
        <v/>
      </c>
      <c r="K1241" s="245"/>
      <c r="L1241" s="245" t="str">
        <f ca="1">IF(CommitmentsTable[[#This Row],[Date Assigned if different from entry date]]&lt;&gt;"",CommitmentsTable[[#This Row],[Date Assigned if different from entry date]]+60,IF(CommitmentsTable[[#This Row],[Date record entered]]&lt;&gt;"",CommitmentsTable[[#This Row],[Date record entered]]+60,""))</f>
        <v/>
      </c>
      <c r="M1241" s="214"/>
      <c r="N1241" s="214"/>
      <c r="O1241" s="236"/>
      <c r="P1241" s="214"/>
      <c r="Q1241" s="214"/>
      <c r="R1241" s="214"/>
      <c r="S1241" s="238" t="str">
        <f>IF(CommitmentsTable[[#This Row],[Commitment / deliverable]]="","",IF(CommitmentsTable[[#This Row],[Revised due]]&lt;&gt;"",CommitmentsTable[[#This Row],[Revised due]],CommitmentsTable[[#This Row],[Original due]]))</f>
        <v/>
      </c>
      <c r="T1241" s="237" t="str">
        <f>IF(OR(CommitmentsTable[[#This Row],[Commitment / deliverable]]="",CommitmentsTable[[#This Row],[Owner]]=""),"",IF(CommitmentsTable[[#This Row],[Status2]]="","Open",CommitmentsTable[[#This Row],[Status2]]))</f>
        <v/>
      </c>
      <c r="U1241" s="237" t="str">
        <f t="shared" ca="1" si="19"/>
        <v/>
      </c>
      <c r="V1241" s="233"/>
      <c r="W1241" s="63" t="s">
        <v>2143</v>
      </c>
    </row>
    <row r="1242" spans="1:23" ht="26">
      <c r="A1242" s="213" t="str">
        <f>IF(OR(CommitmentsTable[[#This Row],[Commitment / deliverable]]="",CommitmentsTable[[#This Row],[Immutable Key]]=""),"",SUBSTITUTE(CommitmentsTable[[#This Row],[Immutable Key]],"-K-","-"))</f>
        <v/>
      </c>
      <c r="B1242" s="233"/>
      <c r="C1242" s="233"/>
      <c r="D1242" s="213"/>
      <c r="E1242" s="230"/>
      <c r="F1242" s="213"/>
      <c r="G1242" s="245" t="str">
        <f ca="1">IF(CommitmentsTable[[#This Row],[Commitment / deliverable]]="","",IF(CommitmentsTable[[#This Row],[Date record entered]]="",TODAY(),CommitmentsTable[[#This Row],[Date record entered]]))</f>
        <v/>
      </c>
      <c r="H1242" s="245"/>
      <c r="I1242" s="245" t="str">
        <f ca="1">IF(CommitmentsTable[[#This Row],[Date Assigned if different from entry date]]&lt;&gt;"",CommitmentsTable[[#This Row],[Date Assigned if different from entry date]]+90,IF(CommitmentsTable[[#This Row],[Date record entered]]&lt;&gt;"",CommitmentsTable[[#This Row],[Date record entered]]+90,""))</f>
        <v/>
      </c>
      <c r="J1242" s="245" t="str">
        <f ca="1">IF(CommitmentsTable[[#This Row],[Date Assigned if different from entry date]]&lt;&gt;"",CommitmentsTable[[#This Row],[Date Assigned if different from entry date]]+30,IF(CommitmentsTable[[#This Row],[Date record entered]]&lt;&gt;"",CommitmentsTable[[#This Row],[Date record entered]]+30,""))</f>
        <v/>
      </c>
      <c r="K1242" s="245"/>
      <c r="L1242" s="245" t="str">
        <f ca="1">IF(CommitmentsTable[[#This Row],[Date Assigned if different from entry date]]&lt;&gt;"",CommitmentsTable[[#This Row],[Date Assigned if different from entry date]]+60,IF(CommitmentsTable[[#This Row],[Date record entered]]&lt;&gt;"",CommitmentsTable[[#This Row],[Date record entered]]+60,""))</f>
        <v/>
      </c>
      <c r="M1242" s="214"/>
      <c r="N1242" s="214"/>
      <c r="O1242" s="236"/>
      <c r="P1242" s="214"/>
      <c r="Q1242" s="214"/>
      <c r="R1242" s="214"/>
      <c r="S1242" s="238" t="str">
        <f>IF(CommitmentsTable[[#This Row],[Commitment / deliverable]]="","",IF(CommitmentsTable[[#This Row],[Revised due]]&lt;&gt;"",CommitmentsTable[[#This Row],[Revised due]],CommitmentsTable[[#This Row],[Original due]]))</f>
        <v/>
      </c>
      <c r="T1242" s="237" t="str">
        <f>IF(OR(CommitmentsTable[[#This Row],[Commitment / deliverable]]="",CommitmentsTable[[#This Row],[Owner]]=""),"",IF(CommitmentsTable[[#This Row],[Status2]]="","Open",CommitmentsTable[[#This Row],[Status2]]))</f>
        <v/>
      </c>
      <c r="U1242" s="237" t="str">
        <f t="shared" ca="1" si="19"/>
        <v/>
      </c>
      <c r="V1242" s="233"/>
      <c r="W1242" s="63" t="s">
        <v>2144</v>
      </c>
    </row>
    <row r="1243" spans="1:23" ht="26">
      <c r="A1243" s="213" t="str">
        <f>IF(OR(CommitmentsTable[[#This Row],[Commitment / deliverable]]="",CommitmentsTable[[#This Row],[Immutable Key]]=""),"",SUBSTITUTE(CommitmentsTable[[#This Row],[Immutable Key]],"-K-","-"))</f>
        <v/>
      </c>
      <c r="B1243" s="233"/>
      <c r="C1243" s="233"/>
      <c r="D1243" s="213"/>
      <c r="E1243" s="230"/>
      <c r="F1243" s="213"/>
      <c r="G1243" s="245" t="str">
        <f ca="1">IF(CommitmentsTable[[#This Row],[Commitment / deliverable]]="","",IF(CommitmentsTable[[#This Row],[Date record entered]]="",TODAY(),CommitmentsTable[[#This Row],[Date record entered]]))</f>
        <v/>
      </c>
      <c r="H1243" s="245"/>
      <c r="I1243" s="245" t="str">
        <f ca="1">IF(CommitmentsTable[[#This Row],[Date Assigned if different from entry date]]&lt;&gt;"",CommitmentsTable[[#This Row],[Date Assigned if different from entry date]]+90,IF(CommitmentsTable[[#This Row],[Date record entered]]&lt;&gt;"",CommitmentsTable[[#This Row],[Date record entered]]+90,""))</f>
        <v/>
      </c>
      <c r="J1243" s="245" t="str">
        <f ca="1">IF(CommitmentsTable[[#This Row],[Date Assigned if different from entry date]]&lt;&gt;"",CommitmentsTable[[#This Row],[Date Assigned if different from entry date]]+30,IF(CommitmentsTable[[#This Row],[Date record entered]]&lt;&gt;"",CommitmentsTable[[#This Row],[Date record entered]]+30,""))</f>
        <v/>
      </c>
      <c r="K1243" s="245"/>
      <c r="L1243" s="245" t="str">
        <f ca="1">IF(CommitmentsTable[[#This Row],[Date Assigned if different from entry date]]&lt;&gt;"",CommitmentsTable[[#This Row],[Date Assigned if different from entry date]]+60,IF(CommitmentsTable[[#This Row],[Date record entered]]&lt;&gt;"",CommitmentsTable[[#This Row],[Date record entered]]+60,""))</f>
        <v/>
      </c>
      <c r="M1243" s="214"/>
      <c r="N1243" s="214"/>
      <c r="O1243" s="236"/>
      <c r="P1243" s="214"/>
      <c r="Q1243" s="214"/>
      <c r="R1243" s="214"/>
      <c r="S1243" s="238" t="str">
        <f>IF(CommitmentsTable[[#This Row],[Commitment / deliverable]]="","",IF(CommitmentsTable[[#This Row],[Revised due]]&lt;&gt;"",CommitmentsTable[[#This Row],[Revised due]],CommitmentsTable[[#This Row],[Original due]]))</f>
        <v/>
      </c>
      <c r="T1243" s="237" t="str">
        <f>IF(OR(CommitmentsTable[[#This Row],[Commitment / deliverable]]="",CommitmentsTable[[#This Row],[Owner]]=""),"",IF(CommitmentsTable[[#This Row],[Status2]]="","Open",CommitmentsTable[[#This Row],[Status2]]))</f>
        <v/>
      </c>
      <c r="U1243" s="237" t="str">
        <f t="shared" ca="1" si="19"/>
        <v/>
      </c>
      <c r="V1243" s="233"/>
      <c r="W1243" s="63" t="s">
        <v>2145</v>
      </c>
    </row>
    <row r="1244" spans="1:23" ht="26">
      <c r="A1244" s="213" t="str">
        <f>IF(OR(CommitmentsTable[[#This Row],[Commitment / deliverable]]="",CommitmentsTable[[#This Row],[Immutable Key]]=""),"",SUBSTITUTE(CommitmentsTable[[#This Row],[Immutable Key]],"-K-","-"))</f>
        <v/>
      </c>
      <c r="B1244" s="233"/>
      <c r="C1244" s="233"/>
      <c r="D1244" s="213"/>
      <c r="E1244" s="230"/>
      <c r="F1244" s="213"/>
      <c r="G1244" s="245" t="str">
        <f ca="1">IF(CommitmentsTable[[#This Row],[Commitment / deliverable]]="","",IF(CommitmentsTable[[#This Row],[Date record entered]]="",TODAY(),CommitmentsTable[[#This Row],[Date record entered]]))</f>
        <v/>
      </c>
      <c r="H1244" s="245"/>
      <c r="I1244" s="245" t="str">
        <f ca="1">IF(CommitmentsTable[[#This Row],[Date Assigned if different from entry date]]&lt;&gt;"",CommitmentsTable[[#This Row],[Date Assigned if different from entry date]]+90,IF(CommitmentsTable[[#This Row],[Date record entered]]&lt;&gt;"",CommitmentsTable[[#This Row],[Date record entered]]+90,""))</f>
        <v/>
      </c>
      <c r="J1244" s="245" t="str">
        <f ca="1">IF(CommitmentsTable[[#This Row],[Date Assigned if different from entry date]]&lt;&gt;"",CommitmentsTable[[#This Row],[Date Assigned if different from entry date]]+30,IF(CommitmentsTable[[#This Row],[Date record entered]]&lt;&gt;"",CommitmentsTable[[#This Row],[Date record entered]]+30,""))</f>
        <v/>
      </c>
      <c r="K1244" s="245"/>
      <c r="L1244" s="245" t="str">
        <f ca="1">IF(CommitmentsTable[[#This Row],[Date Assigned if different from entry date]]&lt;&gt;"",CommitmentsTable[[#This Row],[Date Assigned if different from entry date]]+60,IF(CommitmentsTable[[#This Row],[Date record entered]]&lt;&gt;"",CommitmentsTable[[#This Row],[Date record entered]]+60,""))</f>
        <v/>
      </c>
      <c r="M1244" s="214"/>
      <c r="N1244" s="214"/>
      <c r="O1244" s="236"/>
      <c r="P1244" s="214"/>
      <c r="Q1244" s="214"/>
      <c r="R1244" s="214"/>
      <c r="S1244" s="238" t="str">
        <f>IF(CommitmentsTable[[#This Row],[Commitment / deliverable]]="","",IF(CommitmentsTable[[#This Row],[Revised due]]&lt;&gt;"",CommitmentsTable[[#This Row],[Revised due]],CommitmentsTable[[#This Row],[Original due]]))</f>
        <v/>
      </c>
      <c r="T1244" s="237" t="str">
        <f>IF(OR(CommitmentsTable[[#This Row],[Commitment / deliverable]]="",CommitmentsTable[[#This Row],[Owner]]=""),"",IF(CommitmentsTable[[#This Row],[Status2]]="","Open",CommitmentsTable[[#This Row],[Status2]]))</f>
        <v/>
      </c>
      <c r="U1244" s="237" t="str">
        <f t="shared" ca="1" si="19"/>
        <v/>
      </c>
      <c r="V1244" s="233"/>
      <c r="W1244" s="63" t="s">
        <v>2146</v>
      </c>
    </row>
    <row r="1245" spans="1:23" ht="26">
      <c r="A1245" s="213" t="str">
        <f>IF(OR(CommitmentsTable[[#This Row],[Commitment / deliverable]]="",CommitmentsTable[[#This Row],[Immutable Key]]=""),"",SUBSTITUTE(CommitmentsTable[[#This Row],[Immutable Key]],"-K-","-"))</f>
        <v/>
      </c>
      <c r="B1245" s="233"/>
      <c r="C1245" s="233"/>
      <c r="D1245" s="213"/>
      <c r="E1245" s="230"/>
      <c r="F1245" s="213"/>
      <c r="G1245" s="245" t="str">
        <f ca="1">IF(CommitmentsTable[[#This Row],[Commitment / deliverable]]="","",IF(CommitmentsTable[[#This Row],[Date record entered]]="",TODAY(),CommitmentsTable[[#This Row],[Date record entered]]))</f>
        <v/>
      </c>
      <c r="H1245" s="245"/>
      <c r="I1245" s="245" t="str">
        <f ca="1">IF(CommitmentsTable[[#This Row],[Date Assigned if different from entry date]]&lt;&gt;"",CommitmentsTable[[#This Row],[Date Assigned if different from entry date]]+90,IF(CommitmentsTable[[#This Row],[Date record entered]]&lt;&gt;"",CommitmentsTable[[#This Row],[Date record entered]]+90,""))</f>
        <v/>
      </c>
      <c r="J1245" s="245" t="str">
        <f ca="1">IF(CommitmentsTable[[#This Row],[Date Assigned if different from entry date]]&lt;&gt;"",CommitmentsTable[[#This Row],[Date Assigned if different from entry date]]+30,IF(CommitmentsTable[[#This Row],[Date record entered]]&lt;&gt;"",CommitmentsTable[[#This Row],[Date record entered]]+30,""))</f>
        <v/>
      </c>
      <c r="K1245" s="245"/>
      <c r="L1245" s="245" t="str">
        <f ca="1">IF(CommitmentsTable[[#This Row],[Date Assigned if different from entry date]]&lt;&gt;"",CommitmentsTable[[#This Row],[Date Assigned if different from entry date]]+60,IF(CommitmentsTable[[#This Row],[Date record entered]]&lt;&gt;"",CommitmentsTable[[#This Row],[Date record entered]]+60,""))</f>
        <v/>
      </c>
      <c r="M1245" s="214"/>
      <c r="N1245" s="214"/>
      <c r="O1245" s="236"/>
      <c r="P1245" s="214"/>
      <c r="Q1245" s="214"/>
      <c r="R1245" s="214"/>
      <c r="S1245" s="238" t="str">
        <f>IF(CommitmentsTable[[#This Row],[Commitment / deliverable]]="","",IF(CommitmentsTable[[#This Row],[Revised due]]&lt;&gt;"",CommitmentsTable[[#This Row],[Revised due]],CommitmentsTable[[#This Row],[Original due]]))</f>
        <v/>
      </c>
      <c r="T1245" s="237" t="str">
        <f>IF(OR(CommitmentsTable[[#This Row],[Commitment / deliverable]]="",CommitmentsTable[[#This Row],[Owner]]=""),"",IF(CommitmentsTable[[#This Row],[Status2]]="","Open",CommitmentsTable[[#This Row],[Status2]]))</f>
        <v/>
      </c>
      <c r="U1245" s="237" t="str">
        <f t="shared" ca="1" si="19"/>
        <v/>
      </c>
      <c r="V1245" s="233"/>
      <c r="W1245" s="63" t="s">
        <v>2147</v>
      </c>
    </row>
    <row r="1246" spans="1:23" ht="26">
      <c r="A1246" s="213" t="str">
        <f>IF(OR(CommitmentsTable[[#This Row],[Commitment / deliverable]]="",CommitmentsTable[[#This Row],[Immutable Key]]=""),"",SUBSTITUTE(CommitmentsTable[[#This Row],[Immutable Key]],"-K-","-"))</f>
        <v/>
      </c>
      <c r="B1246" s="233"/>
      <c r="C1246" s="233"/>
      <c r="D1246" s="213"/>
      <c r="E1246" s="230"/>
      <c r="F1246" s="213"/>
      <c r="G1246" s="245" t="str">
        <f ca="1">IF(CommitmentsTable[[#This Row],[Commitment / deliverable]]="","",IF(CommitmentsTable[[#This Row],[Date record entered]]="",TODAY(),CommitmentsTable[[#This Row],[Date record entered]]))</f>
        <v/>
      </c>
      <c r="H1246" s="245"/>
      <c r="I1246" s="245" t="str">
        <f ca="1">IF(CommitmentsTable[[#This Row],[Date Assigned if different from entry date]]&lt;&gt;"",CommitmentsTable[[#This Row],[Date Assigned if different from entry date]]+90,IF(CommitmentsTable[[#This Row],[Date record entered]]&lt;&gt;"",CommitmentsTable[[#This Row],[Date record entered]]+90,""))</f>
        <v/>
      </c>
      <c r="J1246" s="245" t="str">
        <f ca="1">IF(CommitmentsTable[[#This Row],[Date Assigned if different from entry date]]&lt;&gt;"",CommitmentsTable[[#This Row],[Date Assigned if different from entry date]]+30,IF(CommitmentsTable[[#This Row],[Date record entered]]&lt;&gt;"",CommitmentsTable[[#This Row],[Date record entered]]+30,""))</f>
        <v/>
      </c>
      <c r="K1246" s="245"/>
      <c r="L1246" s="245" t="str">
        <f ca="1">IF(CommitmentsTable[[#This Row],[Date Assigned if different from entry date]]&lt;&gt;"",CommitmentsTable[[#This Row],[Date Assigned if different from entry date]]+60,IF(CommitmentsTable[[#This Row],[Date record entered]]&lt;&gt;"",CommitmentsTable[[#This Row],[Date record entered]]+60,""))</f>
        <v/>
      </c>
      <c r="M1246" s="214"/>
      <c r="N1246" s="214"/>
      <c r="O1246" s="236"/>
      <c r="P1246" s="214"/>
      <c r="Q1246" s="214"/>
      <c r="R1246" s="214"/>
      <c r="S1246" s="238" t="str">
        <f>IF(CommitmentsTable[[#This Row],[Commitment / deliverable]]="","",IF(CommitmentsTable[[#This Row],[Revised due]]&lt;&gt;"",CommitmentsTable[[#This Row],[Revised due]],CommitmentsTable[[#This Row],[Original due]]))</f>
        <v/>
      </c>
      <c r="T1246" s="237" t="str">
        <f>IF(OR(CommitmentsTable[[#This Row],[Commitment / deliverable]]="",CommitmentsTable[[#This Row],[Owner]]=""),"",IF(CommitmentsTable[[#This Row],[Status2]]="","Open",CommitmentsTable[[#This Row],[Status2]]))</f>
        <v/>
      </c>
      <c r="U1246" s="237" t="str">
        <f t="shared" ca="1" si="19"/>
        <v/>
      </c>
      <c r="V1246" s="233"/>
      <c r="W1246" s="63" t="s">
        <v>2148</v>
      </c>
    </row>
    <row r="1247" spans="1:23" ht="26">
      <c r="A1247" s="213" t="str">
        <f>IF(OR(CommitmentsTable[[#This Row],[Commitment / deliverable]]="",CommitmentsTable[[#This Row],[Immutable Key]]=""),"",SUBSTITUTE(CommitmentsTable[[#This Row],[Immutable Key]],"-K-","-"))</f>
        <v/>
      </c>
      <c r="B1247" s="233"/>
      <c r="C1247" s="233"/>
      <c r="D1247" s="213"/>
      <c r="E1247" s="230"/>
      <c r="F1247" s="213"/>
      <c r="G1247" s="245" t="str">
        <f ca="1">IF(CommitmentsTable[[#This Row],[Commitment / deliverable]]="","",IF(CommitmentsTable[[#This Row],[Date record entered]]="",TODAY(),CommitmentsTable[[#This Row],[Date record entered]]))</f>
        <v/>
      </c>
      <c r="H1247" s="245"/>
      <c r="I1247" s="245" t="str">
        <f ca="1">IF(CommitmentsTable[[#This Row],[Date Assigned if different from entry date]]&lt;&gt;"",CommitmentsTable[[#This Row],[Date Assigned if different from entry date]]+90,IF(CommitmentsTable[[#This Row],[Date record entered]]&lt;&gt;"",CommitmentsTable[[#This Row],[Date record entered]]+90,""))</f>
        <v/>
      </c>
      <c r="J1247" s="245" t="str">
        <f ca="1">IF(CommitmentsTable[[#This Row],[Date Assigned if different from entry date]]&lt;&gt;"",CommitmentsTable[[#This Row],[Date Assigned if different from entry date]]+30,IF(CommitmentsTable[[#This Row],[Date record entered]]&lt;&gt;"",CommitmentsTable[[#This Row],[Date record entered]]+30,""))</f>
        <v/>
      </c>
      <c r="K1247" s="245"/>
      <c r="L1247" s="245" t="str">
        <f ca="1">IF(CommitmentsTable[[#This Row],[Date Assigned if different from entry date]]&lt;&gt;"",CommitmentsTable[[#This Row],[Date Assigned if different from entry date]]+60,IF(CommitmentsTable[[#This Row],[Date record entered]]&lt;&gt;"",CommitmentsTable[[#This Row],[Date record entered]]+60,""))</f>
        <v/>
      </c>
      <c r="M1247" s="214"/>
      <c r="N1247" s="214"/>
      <c r="O1247" s="236"/>
      <c r="P1247" s="214"/>
      <c r="Q1247" s="214"/>
      <c r="R1247" s="214"/>
      <c r="S1247" s="238" t="str">
        <f>IF(CommitmentsTable[[#This Row],[Commitment / deliverable]]="","",IF(CommitmentsTable[[#This Row],[Revised due]]&lt;&gt;"",CommitmentsTable[[#This Row],[Revised due]],CommitmentsTable[[#This Row],[Original due]]))</f>
        <v/>
      </c>
      <c r="T1247" s="237" t="str">
        <f>IF(OR(CommitmentsTable[[#This Row],[Commitment / deliverable]]="",CommitmentsTable[[#This Row],[Owner]]=""),"",IF(CommitmentsTable[[#This Row],[Status2]]="","Open",CommitmentsTable[[#This Row],[Status2]]))</f>
        <v/>
      </c>
      <c r="U1247" s="237" t="str">
        <f t="shared" ca="1" si="19"/>
        <v/>
      </c>
      <c r="V1247" s="233"/>
      <c r="W1247" s="63" t="s">
        <v>2149</v>
      </c>
    </row>
    <row r="1248" spans="1:23" ht="26">
      <c r="A1248" s="213" t="str">
        <f>IF(OR(CommitmentsTable[[#This Row],[Commitment / deliverable]]="",CommitmentsTable[[#This Row],[Immutable Key]]=""),"",SUBSTITUTE(CommitmentsTable[[#This Row],[Immutable Key]],"-K-","-"))</f>
        <v/>
      </c>
      <c r="B1248" s="233"/>
      <c r="C1248" s="233"/>
      <c r="D1248" s="213"/>
      <c r="E1248" s="230"/>
      <c r="F1248" s="213"/>
      <c r="G1248" s="245" t="str">
        <f ca="1">IF(CommitmentsTable[[#This Row],[Commitment / deliverable]]="","",IF(CommitmentsTable[[#This Row],[Date record entered]]="",TODAY(),CommitmentsTable[[#This Row],[Date record entered]]))</f>
        <v/>
      </c>
      <c r="H1248" s="245"/>
      <c r="I1248" s="245" t="str">
        <f ca="1">IF(CommitmentsTable[[#This Row],[Date Assigned if different from entry date]]&lt;&gt;"",CommitmentsTable[[#This Row],[Date Assigned if different from entry date]]+90,IF(CommitmentsTable[[#This Row],[Date record entered]]&lt;&gt;"",CommitmentsTable[[#This Row],[Date record entered]]+90,""))</f>
        <v/>
      </c>
      <c r="J1248" s="245" t="str">
        <f ca="1">IF(CommitmentsTable[[#This Row],[Date Assigned if different from entry date]]&lt;&gt;"",CommitmentsTable[[#This Row],[Date Assigned if different from entry date]]+30,IF(CommitmentsTable[[#This Row],[Date record entered]]&lt;&gt;"",CommitmentsTable[[#This Row],[Date record entered]]+30,""))</f>
        <v/>
      </c>
      <c r="K1248" s="245"/>
      <c r="L1248" s="245" t="str">
        <f ca="1">IF(CommitmentsTable[[#This Row],[Date Assigned if different from entry date]]&lt;&gt;"",CommitmentsTable[[#This Row],[Date Assigned if different from entry date]]+60,IF(CommitmentsTable[[#This Row],[Date record entered]]&lt;&gt;"",CommitmentsTable[[#This Row],[Date record entered]]+60,""))</f>
        <v/>
      </c>
      <c r="M1248" s="214"/>
      <c r="N1248" s="214"/>
      <c r="O1248" s="236"/>
      <c r="P1248" s="214"/>
      <c r="Q1248" s="214"/>
      <c r="R1248" s="214"/>
      <c r="S1248" s="238" t="str">
        <f>IF(CommitmentsTable[[#This Row],[Commitment / deliverable]]="","",IF(CommitmentsTable[[#This Row],[Revised due]]&lt;&gt;"",CommitmentsTable[[#This Row],[Revised due]],CommitmentsTable[[#This Row],[Original due]]))</f>
        <v/>
      </c>
      <c r="T1248" s="237" t="str">
        <f>IF(OR(CommitmentsTable[[#This Row],[Commitment / deliverable]]="",CommitmentsTable[[#This Row],[Owner]]=""),"",IF(CommitmentsTable[[#This Row],[Status2]]="","Open",CommitmentsTable[[#This Row],[Status2]]))</f>
        <v/>
      </c>
      <c r="U1248" s="237" t="str">
        <f t="shared" ca="1" si="19"/>
        <v/>
      </c>
      <c r="V1248" s="233"/>
      <c r="W1248" s="63" t="s">
        <v>2150</v>
      </c>
    </row>
    <row r="1249" spans="1:23" ht="26">
      <c r="A1249" s="213" t="str">
        <f>IF(OR(CommitmentsTable[[#This Row],[Commitment / deliverable]]="",CommitmentsTable[[#This Row],[Immutable Key]]=""),"",SUBSTITUTE(CommitmentsTable[[#This Row],[Immutable Key]],"-K-","-"))</f>
        <v/>
      </c>
      <c r="B1249" s="233"/>
      <c r="C1249" s="233"/>
      <c r="D1249" s="213"/>
      <c r="E1249" s="230"/>
      <c r="F1249" s="213"/>
      <c r="G1249" s="245" t="str">
        <f ca="1">IF(CommitmentsTable[[#This Row],[Commitment / deliverable]]="","",IF(CommitmentsTable[[#This Row],[Date record entered]]="",TODAY(),CommitmentsTable[[#This Row],[Date record entered]]))</f>
        <v/>
      </c>
      <c r="H1249" s="245"/>
      <c r="I1249" s="245" t="str">
        <f ca="1">IF(CommitmentsTable[[#This Row],[Date Assigned if different from entry date]]&lt;&gt;"",CommitmentsTable[[#This Row],[Date Assigned if different from entry date]]+90,IF(CommitmentsTable[[#This Row],[Date record entered]]&lt;&gt;"",CommitmentsTable[[#This Row],[Date record entered]]+90,""))</f>
        <v/>
      </c>
      <c r="J1249" s="245" t="str">
        <f ca="1">IF(CommitmentsTable[[#This Row],[Date Assigned if different from entry date]]&lt;&gt;"",CommitmentsTable[[#This Row],[Date Assigned if different from entry date]]+30,IF(CommitmentsTable[[#This Row],[Date record entered]]&lt;&gt;"",CommitmentsTable[[#This Row],[Date record entered]]+30,""))</f>
        <v/>
      </c>
      <c r="K1249" s="245"/>
      <c r="L1249" s="245" t="str">
        <f ca="1">IF(CommitmentsTable[[#This Row],[Date Assigned if different from entry date]]&lt;&gt;"",CommitmentsTable[[#This Row],[Date Assigned if different from entry date]]+60,IF(CommitmentsTable[[#This Row],[Date record entered]]&lt;&gt;"",CommitmentsTable[[#This Row],[Date record entered]]+60,""))</f>
        <v/>
      </c>
      <c r="M1249" s="214"/>
      <c r="N1249" s="214"/>
      <c r="O1249" s="236"/>
      <c r="P1249" s="214"/>
      <c r="Q1249" s="214"/>
      <c r="R1249" s="214"/>
      <c r="S1249" s="238" t="str">
        <f>IF(CommitmentsTable[[#This Row],[Commitment / deliverable]]="","",IF(CommitmentsTable[[#This Row],[Revised due]]&lt;&gt;"",CommitmentsTable[[#This Row],[Revised due]],CommitmentsTable[[#This Row],[Original due]]))</f>
        <v/>
      </c>
      <c r="T1249" s="237" t="str">
        <f>IF(OR(CommitmentsTable[[#This Row],[Commitment / deliverable]]="",CommitmentsTable[[#This Row],[Owner]]=""),"",IF(CommitmentsTable[[#This Row],[Status2]]="","Open",CommitmentsTable[[#This Row],[Status2]]))</f>
        <v/>
      </c>
      <c r="U1249" s="237" t="str">
        <f t="shared" ca="1" si="19"/>
        <v/>
      </c>
      <c r="V1249" s="233"/>
      <c r="W1249" s="63" t="s">
        <v>2151</v>
      </c>
    </row>
    <row r="1250" spans="1:23" ht="26">
      <c r="A1250" s="213" t="str">
        <f>IF(OR(CommitmentsTable[[#This Row],[Commitment / deliverable]]="",CommitmentsTable[[#This Row],[Immutable Key]]=""),"",SUBSTITUTE(CommitmentsTable[[#This Row],[Immutable Key]],"-K-","-"))</f>
        <v/>
      </c>
      <c r="B1250" s="233"/>
      <c r="C1250" s="233"/>
      <c r="D1250" s="213"/>
      <c r="E1250" s="230"/>
      <c r="F1250" s="213"/>
      <c r="G1250" s="245" t="str">
        <f ca="1">IF(CommitmentsTable[[#This Row],[Commitment / deliverable]]="","",IF(CommitmentsTable[[#This Row],[Date record entered]]="",TODAY(),CommitmentsTable[[#This Row],[Date record entered]]))</f>
        <v/>
      </c>
      <c r="H1250" s="245"/>
      <c r="I1250" s="245" t="str">
        <f ca="1">IF(CommitmentsTable[[#This Row],[Date Assigned if different from entry date]]&lt;&gt;"",CommitmentsTable[[#This Row],[Date Assigned if different from entry date]]+90,IF(CommitmentsTable[[#This Row],[Date record entered]]&lt;&gt;"",CommitmentsTable[[#This Row],[Date record entered]]+90,""))</f>
        <v/>
      </c>
      <c r="J1250" s="245" t="str">
        <f ca="1">IF(CommitmentsTable[[#This Row],[Date Assigned if different from entry date]]&lt;&gt;"",CommitmentsTable[[#This Row],[Date Assigned if different from entry date]]+30,IF(CommitmentsTable[[#This Row],[Date record entered]]&lt;&gt;"",CommitmentsTable[[#This Row],[Date record entered]]+30,""))</f>
        <v/>
      </c>
      <c r="K1250" s="245"/>
      <c r="L1250" s="245" t="str">
        <f ca="1">IF(CommitmentsTable[[#This Row],[Date Assigned if different from entry date]]&lt;&gt;"",CommitmentsTable[[#This Row],[Date Assigned if different from entry date]]+60,IF(CommitmentsTable[[#This Row],[Date record entered]]&lt;&gt;"",CommitmentsTable[[#This Row],[Date record entered]]+60,""))</f>
        <v/>
      </c>
      <c r="M1250" s="214"/>
      <c r="N1250" s="214"/>
      <c r="O1250" s="236"/>
      <c r="P1250" s="214"/>
      <c r="Q1250" s="214"/>
      <c r="R1250" s="214"/>
      <c r="S1250" s="238" t="str">
        <f>IF(CommitmentsTable[[#This Row],[Commitment / deliverable]]="","",IF(CommitmentsTable[[#This Row],[Revised due]]&lt;&gt;"",CommitmentsTable[[#This Row],[Revised due]],CommitmentsTable[[#This Row],[Original due]]))</f>
        <v/>
      </c>
      <c r="T1250" s="237" t="str">
        <f>IF(OR(CommitmentsTable[[#This Row],[Commitment / deliverable]]="",CommitmentsTable[[#This Row],[Owner]]=""),"",IF(CommitmentsTable[[#This Row],[Status2]]="","Open",CommitmentsTable[[#This Row],[Status2]]))</f>
        <v/>
      </c>
      <c r="U1250" s="237" t="str">
        <f t="shared" ca="1" si="19"/>
        <v/>
      </c>
      <c r="V1250" s="233"/>
      <c r="W1250" s="63" t="s">
        <v>2152</v>
      </c>
    </row>
    <row r="1251" spans="1:23" ht="26">
      <c r="A1251" s="213" t="str">
        <f>IF(OR(CommitmentsTable[[#This Row],[Commitment / deliverable]]="",CommitmentsTable[[#This Row],[Immutable Key]]=""),"",SUBSTITUTE(CommitmentsTable[[#This Row],[Immutable Key]],"-K-","-"))</f>
        <v/>
      </c>
      <c r="B1251" s="233"/>
      <c r="C1251" s="233"/>
      <c r="D1251" s="213"/>
      <c r="E1251" s="230"/>
      <c r="F1251" s="213"/>
      <c r="G1251" s="245" t="str">
        <f ca="1">IF(CommitmentsTable[[#This Row],[Commitment / deliverable]]="","",IF(CommitmentsTable[[#This Row],[Date record entered]]="",TODAY(),CommitmentsTable[[#This Row],[Date record entered]]))</f>
        <v/>
      </c>
      <c r="H1251" s="245"/>
      <c r="I1251" s="245" t="str">
        <f ca="1">IF(CommitmentsTable[[#This Row],[Date Assigned if different from entry date]]&lt;&gt;"",CommitmentsTable[[#This Row],[Date Assigned if different from entry date]]+90,IF(CommitmentsTable[[#This Row],[Date record entered]]&lt;&gt;"",CommitmentsTable[[#This Row],[Date record entered]]+90,""))</f>
        <v/>
      </c>
      <c r="J1251" s="245" t="str">
        <f ca="1">IF(CommitmentsTable[[#This Row],[Date Assigned if different from entry date]]&lt;&gt;"",CommitmentsTable[[#This Row],[Date Assigned if different from entry date]]+30,IF(CommitmentsTable[[#This Row],[Date record entered]]&lt;&gt;"",CommitmentsTable[[#This Row],[Date record entered]]+30,""))</f>
        <v/>
      </c>
      <c r="K1251" s="245"/>
      <c r="L1251" s="245" t="str">
        <f ca="1">IF(CommitmentsTable[[#This Row],[Date Assigned if different from entry date]]&lt;&gt;"",CommitmentsTable[[#This Row],[Date Assigned if different from entry date]]+60,IF(CommitmentsTable[[#This Row],[Date record entered]]&lt;&gt;"",CommitmentsTable[[#This Row],[Date record entered]]+60,""))</f>
        <v/>
      </c>
      <c r="M1251" s="214"/>
      <c r="N1251" s="214"/>
      <c r="O1251" s="236"/>
      <c r="P1251" s="214"/>
      <c r="Q1251" s="214"/>
      <c r="R1251" s="214"/>
      <c r="S1251" s="238" t="str">
        <f>IF(CommitmentsTable[[#This Row],[Commitment / deliverable]]="","",IF(CommitmentsTable[[#This Row],[Revised due]]&lt;&gt;"",CommitmentsTable[[#This Row],[Revised due]],CommitmentsTable[[#This Row],[Original due]]))</f>
        <v/>
      </c>
      <c r="T1251" s="237" t="str">
        <f>IF(OR(CommitmentsTable[[#This Row],[Commitment / deliverable]]="",CommitmentsTable[[#This Row],[Owner]]=""),"",IF(CommitmentsTable[[#This Row],[Status2]]="","Open",CommitmentsTable[[#This Row],[Status2]]))</f>
        <v/>
      </c>
      <c r="U1251" s="237" t="str">
        <f t="shared" ca="1" si="19"/>
        <v/>
      </c>
      <c r="V1251" s="233"/>
      <c r="W1251" s="63" t="s">
        <v>2153</v>
      </c>
    </row>
    <row r="1252" spans="1:23" ht="26">
      <c r="A1252" s="213" t="str">
        <f>IF(OR(CommitmentsTable[[#This Row],[Commitment / deliverable]]="",CommitmentsTable[[#This Row],[Immutable Key]]=""),"",SUBSTITUTE(CommitmentsTable[[#This Row],[Immutable Key]],"-K-","-"))</f>
        <v/>
      </c>
      <c r="B1252" s="233"/>
      <c r="C1252" s="233"/>
      <c r="D1252" s="213"/>
      <c r="E1252" s="230"/>
      <c r="F1252" s="213"/>
      <c r="G1252" s="245" t="str">
        <f ca="1">IF(CommitmentsTable[[#This Row],[Commitment / deliverable]]="","",IF(CommitmentsTable[[#This Row],[Date record entered]]="",TODAY(),CommitmentsTable[[#This Row],[Date record entered]]))</f>
        <v/>
      </c>
      <c r="H1252" s="245"/>
      <c r="I1252" s="245" t="str">
        <f ca="1">IF(CommitmentsTable[[#This Row],[Date Assigned if different from entry date]]&lt;&gt;"",CommitmentsTable[[#This Row],[Date Assigned if different from entry date]]+90,IF(CommitmentsTable[[#This Row],[Date record entered]]&lt;&gt;"",CommitmentsTable[[#This Row],[Date record entered]]+90,""))</f>
        <v/>
      </c>
      <c r="J1252" s="245" t="str">
        <f ca="1">IF(CommitmentsTable[[#This Row],[Date Assigned if different from entry date]]&lt;&gt;"",CommitmentsTable[[#This Row],[Date Assigned if different from entry date]]+30,IF(CommitmentsTable[[#This Row],[Date record entered]]&lt;&gt;"",CommitmentsTable[[#This Row],[Date record entered]]+30,""))</f>
        <v/>
      </c>
      <c r="K1252" s="245"/>
      <c r="L1252" s="245" t="str">
        <f ca="1">IF(CommitmentsTable[[#This Row],[Date Assigned if different from entry date]]&lt;&gt;"",CommitmentsTable[[#This Row],[Date Assigned if different from entry date]]+60,IF(CommitmentsTable[[#This Row],[Date record entered]]&lt;&gt;"",CommitmentsTable[[#This Row],[Date record entered]]+60,""))</f>
        <v/>
      </c>
      <c r="M1252" s="214"/>
      <c r="N1252" s="214"/>
      <c r="O1252" s="236"/>
      <c r="P1252" s="214"/>
      <c r="Q1252" s="214"/>
      <c r="R1252" s="214"/>
      <c r="S1252" s="238" t="str">
        <f>IF(CommitmentsTable[[#This Row],[Commitment / deliverable]]="","",IF(CommitmentsTable[[#This Row],[Revised due]]&lt;&gt;"",CommitmentsTable[[#This Row],[Revised due]],CommitmentsTable[[#This Row],[Original due]]))</f>
        <v/>
      </c>
      <c r="T1252" s="237" t="str">
        <f>IF(OR(CommitmentsTable[[#This Row],[Commitment / deliverable]]="",CommitmentsTable[[#This Row],[Owner]]=""),"",IF(CommitmentsTable[[#This Row],[Status2]]="","Open",CommitmentsTable[[#This Row],[Status2]]))</f>
        <v/>
      </c>
      <c r="U1252" s="237" t="str">
        <f t="shared" ca="1" si="19"/>
        <v/>
      </c>
      <c r="V1252" s="233"/>
      <c r="W1252" s="63" t="s">
        <v>2154</v>
      </c>
    </row>
    <row r="1253" spans="1:23" ht="26">
      <c r="A1253" s="213" t="str">
        <f>IF(OR(CommitmentsTable[[#This Row],[Commitment / deliverable]]="",CommitmentsTable[[#This Row],[Immutable Key]]=""),"",SUBSTITUTE(CommitmentsTable[[#This Row],[Immutable Key]],"-K-","-"))</f>
        <v/>
      </c>
      <c r="B1253" s="233"/>
      <c r="C1253" s="233"/>
      <c r="D1253" s="213"/>
      <c r="E1253" s="230"/>
      <c r="F1253" s="213"/>
      <c r="G1253" s="245" t="str">
        <f ca="1">IF(CommitmentsTable[[#This Row],[Commitment / deliverable]]="","",IF(CommitmentsTable[[#This Row],[Date record entered]]="",TODAY(),CommitmentsTable[[#This Row],[Date record entered]]))</f>
        <v/>
      </c>
      <c r="H1253" s="245"/>
      <c r="I1253" s="245" t="str">
        <f ca="1">IF(CommitmentsTable[[#This Row],[Date Assigned if different from entry date]]&lt;&gt;"",CommitmentsTable[[#This Row],[Date Assigned if different from entry date]]+90,IF(CommitmentsTable[[#This Row],[Date record entered]]&lt;&gt;"",CommitmentsTable[[#This Row],[Date record entered]]+90,""))</f>
        <v/>
      </c>
      <c r="J1253" s="245" t="str">
        <f ca="1">IF(CommitmentsTable[[#This Row],[Date Assigned if different from entry date]]&lt;&gt;"",CommitmentsTable[[#This Row],[Date Assigned if different from entry date]]+30,IF(CommitmentsTable[[#This Row],[Date record entered]]&lt;&gt;"",CommitmentsTable[[#This Row],[Date record entered]]+30,""))</f>
        <v/>
      </c>
      <c r="K1253" s="245"/>
      <c r="L1253" s="245" t="str">
        <f ca="1">IF(CommitmentsTable[[#This Row],[Date Assigned if different from entry date]]&lt;&gt;"",CommitmentsTable[[#This Row],[Date Assigned if different from entry date]]+60,IF(CommitmentsTable[[#This Row],[Date record entered]]&lt;&gt;"",CommitmentsTable[[#This Row],[Date record entered]]+60,""))</f>
        <v/>
      </c>
      <c r="M1253" s="214"/>
      <c r="N1253" s="214"/>
      <c r="O1253" s="236"/>
      <c r="P1253" s="214"/>
      <c r="Q1253" s="214"/>
      <c r="R1253" s="214"/>
      <c r="S1253" s="238" t="str">
        <f>IF(CommitmentsTable[[#This Row],[Commitment / deliverable]]="","",IF(CommitmentsTable[[#This Row],[Revised due]]&lt;&gt;"",CommitmentsTable[[#This Row],[Revised due]],CommitmentsTable[[#This Row],[Original due]]))</f>
        <v/>
      </c>
      <c r="T1253" s="237" t="str">
        <f>IF(OR(CommitmentsTable[[#This Row],[Commitment / deliverable]]="",CommitmentsTable[[#This Row],[Owner]]=""),"",IF(CommitmentsTable[[#This Row],[Status2]]="","Open",CommitmentsTable[[#This Row],[Status2]]))</f>
        <v/>
      </c>
      <c r="U1253" s="237" t="str">
        <f t="shared" ca="1" si="19"/>
        <v/>
      </c>
      <c r="V1253" s="233"/>
      <c r="W1253" s="63" t="s">
        <v>2155</v>
      </c>
    </row>
    <row r="1254" spans="1:23" ht="26">
      <c r="A1254" s="213" t="str">
        <f>IF(OR(CommitmentsTable[[#This Row],[Commitment / deliverable]]="",CommitmentsTable[[#This Row],[Immutable Key]]=""),"",SUBSTITUTE(CommitmentsTable[[#This Row],[Immutable Key]],"-K-","-"))</f>
        <v/>
      </c>
      <c r="B1254" s="233"/>
      <c r="C1254" s="233"/>
      <c r="D1254" s="213"/>
      <c r="E1254" s="230"/>
      <c r="F1254" s="213"/>
      <c r="G1254" s="245" t="str">
        <f ca="1">IF(CommitmentsTable[[#This Row],[Commitment / deliverable]]="","",IF(CommitmentsTable[[#This Row],[Date record entered]]="",TODAY(),CommitmentsTable[[#This Row],[Date record entered]]))</f>
        <v/>
      </c>
      <c r="H1254" s="245"/>
      <c r="I1254" s="245" t="str">
        <f ca="1">IF(CommitmentsTable[[#This Row],[Date Assigned if different from entry date]]&lt;&gt;"",CommitmentsTable[[#This Row],[Date Assigned if different from entry date]]+90,IF(CommitmentsTable[[#This Row],[Date record entered]]&lt;&gt;"",CommitmentsTable[[#This Row],[Date record entered]]+90,""))</f>
        <v/>
      </c>
      <c r="J1254" s="245" t="str">
        <f ca="1">IF(CommitmentsTable[[#This Row],[Date Assigned if different from entry date]]&lt;&gt;"",CommitmentsTable[[#This Row],[Date Assigned if different from entry date]]+30,IF(CommitmentsTable[[#This Row],[Date record entered]]&lt;&gt;"",CommitmentsTable[[#This Row],[Date record entered]]+30,""))</f>
        <v/>
      </c>
      <c r="K1254" s="245"/>
      <c r="L1254" s="245" t="str">
        <f ca="1">IF(CommitmentsTable[[#This Row],[Date Assigned if different from entry date]]&lt;&gt;"",CommitmentsTable[[#This Row],[Date Assigned if different from entry date]]+60,IF(CommitmentsTable[[#This Row],[Date record entered]]&lt;&gt;"",CommitmentsTable[[#This Row],[Date record entered]]+60,""))</f>
        <v/>
      </c>
      <c r="M1254" s="214"/>
      <c r="N1254" s="214"/>
      <c r="O1254" s="236"/>
      <c r="P1254" s="214"/>
      <c r="Q1254" s="214"/>
      <c r="R1254" s="214"/>
      <c r="S1254" s="238" t="str">
        <f>IF(CommitmentsTable[[#This Row],[Commitment / deliverable]]="","",IF(CommitmentsTable[[#This Row],[Revised due]]&lt;&gt;"",CommitmentsTable[[#This Row],[Revised due]],CommitmentsTable[[#This Row],[Original due]]))</f>
        <v/>
      </c>
      <c r="T1254" s="237" t="str">
        <f>IF(OR(CommitmentsTable[[#This Row],[Commitment / deliverable]]="",CommitmentsTable[[#This Row],[Owner]]=""),"",IF(CommitmentsTable[[#This Row],[Status2]]="","Open",CommitmentsTable[[#This Row],[Status2]]))</f>
        <v/>
      </c>
      <c r="U1254" s="237" t="str">
        <f t="shared" ca="1" si="19"/>
        <v/>
      </c>
      <c r="V1254" s="233"/>
      <c r="W1254" s="63" t="s">
        <v>2156</v>
      </c>
    </row>
    <row r="1255" spans="1:23" ht="26">
      <c r="A1255" s="213" t="str">
        <f>IF(OR(CommitmentsTable[[#This Row],[Commitment / deliverable]]="",CommitmentsTable[[#This Row],[Immutable Key]]=""),"",SUBSTITUTE(CommitmentsTable[[#This Row],[Immutable Key]],"-K-","-"))</f>
        <v/>
      </c>
      <c r="B1255" s="233"/>
      <c r="C1255" s="233"/>
      <c r="D1255" s="213"/>
      <c r="E1255" s="230"/>
      <c r="F1255" s="213"/>
      <c r="G1255" s="245" t="str">
        <f ca="1">IF(CommitmentsTable[[#This Row],[Commitment / deliverable]]="","",IF(CommitmentsTable[[#This Row],[Date record entered]]="",TODAY(),CommitmentsTable[[#This Row],[Date record entered]]))</f>
        <v/>
      </c>
      <c r="H1255" s="245"/>
      <c r="I1255" s="245" t="str">
        <f ca="1">IF(CommitmentsTable[[#This Row],[Date Assigned if different from entry date]]&lt;&gt;"",CommitmentsTable[[#This Row],[Date Assigned if different from entry date]]+90,IF(CommitmentsTable[[#This Row],[Date record entered]]&lt;&gt;"",CommitmentsTable[[#This Row],[Date record entered]]+90,""))</f>
        <v/>
      </c>
      <c r="J1255" s="245" t="str">
        <f ca="1">IF(CommitmentsTable[[#This Row],[Date Assigned if different from entry date]]&lt;&gt;"",CommitmentsTable[[#This Row],[Date Assigned if different from entry date]]+30,IF(CommitmentsTable[[#This Row],[Date record entered]]&lt;&gt;"",CommitmentsTable[[#This Row],[Date record entered]]+30,""))</f>
        <v/>
      </c>
      <c r="K1255" s="245"/>
      <c r="L1255" s="245" t="str">
        <f ca="1">IF(CommitmentsTable[[#This Row],[Date Assigned if different from entry date]]&lt;&gt;"",CommitmentsTable[[#This Row],[Date Assigned if different from entry date]]+60,IF(CommitmentsTable[[#This Row],[Date record entered]]&lt;&gt;"",CommitmentsTable[[#This Row],[Date record entered]]+60,""))</f>
        <v/>
      </c>
      <c r="M1255" s="214"/>
      <c r="N1255" s="214"/>
      <c r="O1255" s="236"/>
      <c r="P1255" s="214"/>
      <c r="Q1255" s="214"/>
      <c r="R1255" s="214"/>
      <c r="S1255" s="238" t="str">
        <f>IF(CommitmentsTable[[#This Row],[Commitment / deliverable]]="","",IF(CommitmentsTable[[#This Row],[Revised due]]&lt;&gt;"",CommitmentsTable[[#This Row],[Revised due]],CommitmentsTable[[#This Row],[Original due]]))</f>
        <v/>
      </c>
      <c r="T1255" s="237" t="str">
        <f>IF(OR(CommitmentsTable[[#This Row],[Commitment / deliverable]]="",CommitmentsTable[[#This Row],[Owner]]=""),"",IF(CommitmentsTable[[#This Row],[Status2]]="","Open",CommitmentsTable[[#This Row],[Status2]]))</f>
        <v/>
      </c>
      <c r="U1255" s="237" t="str">
        <f t="shared" ca="1" si="19"/>
        <v/>
      </c>
      <c r="V1255" s="233"/>
      <c r="W1255" s="63" t="s">
        <v>2157</v>
      </c>
    </row>
    <row r="1256" spans="1:23" ht="26">
      <c r="A1256" s="213" t="str">
        <f>IF(OR(CommitmentsTable[[#This Row],[Commitment / deliverable]]="",CommitmentsTable[[#This Row],[Immutable Key]]=""),"",SUBSTITUTE(CommitmentsTable[[#This Row],[Immutable Key]],"-K-","-"))</f>
        <v/>
      </c>
      <c r="B1256" s="233"/>
      <c r="C1256" s="233"/>
      <c r="D1256" s="213"/>
      <c r="E1256" s="230"/>
      <c r="F1256" s="213"/>
      <c r="G1256" s="245" t="str">
        <f ca="1">IF(CommitmentsTable[[#This Row],[Commitment / deliverable]]="","",IF(CommitmentsTable[[#This Row],[Date record entered]]="",TODAY(),CommitmentsTable[[#This Row],[Date record entered]]))</f>
        <v/>
      </c>
      <c r="H1256" s="245"/>
      <c r="I1256" s="245" t="str">
        <f ca="1">IF(CommitmentsTable[[#This Row],[Date Assigned if different from entry date]]&lt;&gt;"",CommitmentsTable[[#This Row],[Date Assigned if different from entry date]]+90,IF(CommitmentsTable[[#This Row],[Date record entered]]&lt;&gt;"",CommitmentsTable[[#This Row],[Date record entered]]+90,""))</f>
        <v/>
      </c>
      <c r="J1256" s="245" t="str">
        <f ca="1">IF(CommitmentsTable[[#This Row],[Date Assigned if different from entry date]]&lt;&gt;"",CommitmentsTable[[#This Row],[Date Assigned if different from entry date]]+30,IF(CommitmentsTable[[#This Row],[Date record entered]]&lt;&gt;"",CommitmentsTable[[#This Row],[Date record entered]]+30,""))</f>
        <v/>
      </c>
      <c r="K1256" s="245"/>
      <c r="L1256" s="245" t="str">
        <f ca="1">IF(CommitmentsTable[[#This Row],[Date Assigned if different from entry date]]&lt;&gt;"",CommitmentsTable[[#This Row],[Date Assigned if different from entry date]]+60,IF(CommitmentsTable[[#This Row],[Date record entered]]&lt;&gt;"",CommitmentsTable[[#This Row],[Date record entered]]+60,""))</f>
        <v/>
      </c>
      <c r="M1256" s="214"/>
      <c r="N1256" s="214"/>
      <c r="O1256" s="236"/>
      <c r="P1256" s="214"/>
      <c r="Q1256" s="214"/>
      <c r="R1256" s="214"/>
      <c r="S1256" s="238" t="str">
        <f>IF(CommitmentsTable[[#This Row],[Commitment / deliverable]]="","",IF(CommitmentsTable[[#This Row],[Revised due]]&lt;&gt;"",CommitmentsTable[[#This Row],[Revised due]],CommitmentsTable[[#This Row],[Original due]]))</f>
        <v/>
      </c>
      <c r="T1256" s="237" t="str">
        <f>IF(OR(CommitmentsTable[[#This Row],[Commitment / deliverable]]="",CommitmentsTable[[#This Row],[Owner]]=""),"",IF(CommitmentsTable[[#This Row],[Status2]]="","Open",CommitmentsTable[[#This Row],[Status2]]))</f>
        <v/>
      </c>
      <c r="U1256" s="237" t="str">
        <f t="shared" ca="1" si="19"/>
        <v/>
      </c>
      <c r="V1256" s="233"/>
      <c r="W1256" s="63" t="s">
        <v>2158</v>
      </c>
    </row>
    <row r="1257" spans="1:23" ht="26">
      <c r="A1257" s="213" t="str">
        <f>IF(OR(CommitmentsTable[[#This Row],[Commitment / deliverable]]="",CommitmentsTable[[#This Row],[Immutable Key]]=""),"",SUBSTITUTE(CommitmentsTable[[#This Row],[Immutable Key]],"-K-","-"))</f>
        <v/>
      </c>
      <c r="B1257" s="233"/>
      <c r="C1257" s="233"/>
      <c r="D1257" s="213"/>
      <c r="E1257" s="230"/>
      <c r="F1257" s="213"/>
      <c r="G1257" s="245" t="str">
        <f ca="1">IF(CommitmentsTable[[#This Row],[Commitment / deliverable]]="","",IF(CommitmentsTable[[#This Row],[Date record entered]]="",TODAY(),CommitmentsTable[[#This Row],[Date record entered]]))</f>
        <v/>
      </c>
      <c r="H1257" s="245"/>
      <c r="I1257" s="245" t="str">
        <f ca="1">IF(CommitmentsTable[[#This Row],[Date Assigned if different from entry date]]&lt;&gt;"",CommitmentsTable[[#This Row],[Date Assigned if different from entry date]]+90,IF(CommitmentsTable[[#This Row],[Date record entered]]&lt;&gt;"",CommitmentsTable[[#This Row],[Date record entered]]+90,""))</f>
        <v/>
      </c>
      <c r="J1257" s="245" t="str">
        <f ca="1">IF(CommitmentsTable[[#This Row],[Date Assigned if different from entry date]]&lt;&gt;"",CommitmentsTable[[#This Row],[Date Assigned if different from entry date]]+30,IF(CommitmentsTable[[#This Row],[Date record entered]]&lt;&gt;"",CommitmentsTable[[#This Row],[Date record entered]]+30,""))</f>
        <v/>
      </c>
      <c r="K1257" s="245"/>
      <c r="L1257" s="245" t="str">
        <f ca="1">IF(CommitmentsTable[[#This Row],[Date Assigned if different from entry date]]&lt;&gt;"",CommitmentsTable[[#This Row],[Date Assigned if different from entry date]]+60,IF(CommitmentsTable[[#This Row],[Date record entered]]&lt;&gt;"",CommitmentsTable[[#This Row],[Date record entered]]+60,""))</f>
        <v/>
      </c>
      <c r="M1257" s="214"/>
      <c r="N1257" s="214"/>
      <c r="O1257" s="236"/>
      <c r="P1257" s="214"/>
      <c r="Q1257" s="214"/>
      <c r="R1257" s="214"/>
      <c r="S1257" s="238" t="str">
        <f>IF(CommitmentsTable[[#This Row],[Commitment / deliverable]]="","",IF(CommitmentsTable[[#This Row],[Revised due]]&lt;&gt;"",CommitmentsTable[[#This Row],[Revised due]],CommitmentsTable[[#This Row],[Original due]]))</f>
        <v/>
      </c>
      <c r="T1257" s="237" t="str">
        <f>IF(OR(CommitmentsTable[[#This Row],[Commitment / deliverable]]="",CommitmentsTable[[#This Row],[Owner]]=""),"",IF(CommitmentsTable[[#This Row],[Status2]]="","Open",CommitmentsTable[[#This Row],[Status2]]))</f>
        <v/>
      </c>
      <c r="U1257" s="237" t="str">
        <f t="shared" ca="1" si="19"/>
        <v/>
      </c>
      <c r="V1257" s="233"/>
      <c r="W1257" s="63" t="s">
        <v>2159</v>
      </c>
    </row>
    <row r="1258" spans="1:23" ht="26">
      <c r="A1258" s="213" t="str">
        <f>IF(OR(CommitmentsTable[[#This Row],[Commitment / deliverable]]="",CommitmentsTable[[#This Row],[Immutable Key]]=""),"",SUBSTITUTE(CommitmentsTable[[#This Row],[Immutable Key]],"-K-","-"))</f>
        <v/>
      </c>
      <c r="B1258" s="233"/>
      <c r="C1258" s="233"/>
      <c r="D1258" s="213"/>
      <c r="E1258" s="230"/>
      <c r="F1258" s="213"/>
      <c r="G1258" s="245" t="str">
        <f ca="1">IF(CommitmentsTable[[#This Row],[Commitment / deliverable]]="","",IF(CommitmentsTable[[#This Row],[Date record entered]]="",TODAY(),CommitmentsTable[[#This Row],[Date record entered]]))</f>
        <v/>
      </c>
      <c r="H1258" s="245"/>
      <c r="I1258" s="245" t="str">
        <f ca="1">IF(CommitmentsTable[[#This Row],[Date Assigned if different from entry date]]&lt;&gt;"",CommitmentsTable[[#This Row],[Date Assigned if different from entry date]]+90,IF(CommitmentsTable[[#This Row],[Date record entered]]&lt;&gt;"",CommitmentsTable[[#This Row],[Date record entered]]+90,""))</f>
        <v/>
      </c>
      <c r="J1258" s="245" t="str">
        <f ca="1">IF(CommitmentsTable[[#This Row],[Date Assigned if different from entry date]]&lt;&gt;"",CommitmentsTable[[#This Row],[Date Assigned if different from entry date]]+30,IF(CommitmentsTable[[#This Row],[Date record entered]]&lt;&gt;"",CommitmentsTable[[#This Row],[Date record entered]]+30,""))</f>
        <v/>
      </c>
      <c r="K1258" s="245"/>
      <c r="L1258" s="245" t="str">
        <f ca="1">IF(CommitmentsTable[[#This Row],[Date Assigned if different from entry date]]&lt;&gt;"",CommitmentsTable[[#This Row],[Date Assigned if different from entry date]]+60,IF(CommitmentsTable[[#This Row],[Date record entered]]&lt;&gt;"",CommitmentsTable[[#This Row],[Date record entered]]+60,""))</f>
        <v/>
      </c>
      <c r="M1258" s="214"/>
      <c r="N1258" s="214"/>
      <c r="O1258" s="236"/>
      <c r="P1258" s="214"/>
      <c r="Q1258" s="214"/>
      <c r="R1258" s="214"/>
      <c r="S1258" s="238" t="str">
        <f>IF(CommitmentsTable[[#This Row],[Commitment / deliverable]]="","",IF(CommitmentsTable[[#This Row],[Revised due]]&lt;&gt;"",CommitmentsTable[[#This Row],[Revised due]],CommitmentsTable[[#This Row],[Original due]]))</f>
        <v/>
      </c>
      <c r="T1258" s="237" t="str">
        <f>IF(OR(CommitmentsTable[[#This Row],[Commitment / deliverable]]="",CommitmentsTable[[#This Row],[Owner]]=""),"",IF(CommitmentsTable[[#This Row],[Status2]]="","Open",CommitmentsTable[[#This Row],[Status2]]))</f>
        <v/>
      </c>
      <c r="U1258" s="237" t="str">
        <f t="shared" ca="1" si="19"/>
        <v/>
      </c>
      <c r="V1258" s="233"/>
      <c r="W1258" s="63" t="s">
        <v>2160</v>
      </c>
    </row>
    <row r="1259" spans="1:23" ht="26">
      <c r="A1259" s="213" t="str">
        <f>IF(OR(CommitmentsTable[[#This Row],[Commitment / deliverable]]="",CommitmentsTable[[#This Row],[Immutable Key]]=""),"",SUBSTITUTE(CommitmentsTable[[#This Row],[Immutable Key]],"-K-","-"))</f>
        <v/>
      </c>
      <c r="B1259" s="233"/>
      <c r="C1259" s="233"/>
      <c r="D1259" s="213"/>
      <c r="E1259" s="230"/>
      <c r="F1259" s="213"/>
      <c r="G1259" s="245" t="str">
        <f ca="1">IF(CommitmentsTable[[#This Row],[Commitment / deliverable]]="","",IF(CommitmentsTable[[#This Row],[Date record entered]]="",TODAY(),CommitmentsTable[[#This Row],[Date record entered]]))</f>
        <v/>
      </c>
      <c r="H1259" s="245"/>
      <c r="I1259" s="245" t="str">
        <f ca="1">IF(CommitmentsTable[[#This Row],[Date Assigned if different from entry date]]&lt;&gt;"",CommitmentsTable[[#This Row],[Date Assigned if different from entry date]]+90,IF(CommitmentsTable[[#This Row],[Date record entered]]&lt;&gt;"",CommitmentsTable[[#This Row],[Date record entered]]+90,""))</f>
        <v/>
      </c>
      <c r="J1259" s="245" t="str">
        <f ca="1">IF(CommitmentsTable[[#This Row],[Date Assigned if different from entry date]]&lt;&gt;"",CommitmentsTable[[#This Row],[Date Assigned if different from entry date]]+30,IF(CommitmentsTable[[#This Row],[Date record entered]]&lt;&gt;"",CommitmentsTable[[#This Row],[Date record entered]]+30,""))</f>
        <v/>
      </c>
      <c r="K1259" s="245"/>
      <c r="L1259" s="245" t="str">
        <f ca="1">IF(CommitmentsTable[[#This Row],[Date Assigned if different from entry date]]&lt;&gt;"",CommitmentsTable[[#This Row],[Date Assigned if different from entry date]]+60,IF(CommitmentsTable[[#This Row],[Date record entered]]&lt;&gt;"",CommitmentsTable[[#This Row],[Date record entered]]+60,""))</f>
        <v/>
      </c>
      <c r="M1259" s="214"/>
      <c r="N1259" s="214"/>
      <c r="O1259" s="236"/>
      <c r="P1259" s="214"/>
      <c r="Q1259" s="214"/>
      <c r="R1259" s="214"/>
      <c r="S1259" s="238" t="str">
        <f>IF(CommitmentsTable[[#This Row],[Commitment / deliverable]]="","",IF(CommitmentsTable[[#This Row],[Revised due]]&lt;&gt;"",CommitmentsTable[[#This Row],[Revised due]],CommitmentsTable[[#This Row],[Original due]]))</f>
        <v/>
      </c>
      <c r="T1259" s="237" t="str">
        <f>IF(OR(CommitmentsTable[[#This Row],[Commitment / deliverable]]="",CommitmentsTable[[#This Row],[Owner]]=""),"",IF(CommitmentsTable[[#This Row],[Status2]]="","Open",CommitmentsTable[[#This Row],[Status2]]))</f>
        <v/>
      </c>
      <c r="U1259" s="237" t="str">
        <f t="shared" ca="1" si="19"/>
        <v/>
      </c>
      <c r="V1259" s="233"/>
      <c r="W1259" s="63" t="s">
        <v>2161</v>
      </c>
    </row>
    <row r="1260" spans="1:23" ht="26">
      <c r="A1260" s="213" t="str">
        <f>IF(OR(CommitmentsTable[[#This Row],[Commitment / deliverable]]="",CommitmentsTable[[#This Row],[Immutable Key]]=""),"",SUBSTITUTE(CommitmentsTable[[#This Row],[Immutable Key]],"-K-","-"))</f>
        <v/>
      </c>
      <c r="B1260" s="233"/>
      <c r="C1260" s="233"/>
      <c r="D1260" s="213"/>
      <c r="E1260" s="230"/>
      <c r="F1260" s="213"/>
      <c r="G1260" s="245" t="str">
        <f ca="1">IF(CommitmentsTable[[#This Row],[Commitment / deliverable]]="","",IF(CommitmentsTable[[#This Row],[Date record entered]]="",TODAY(),CommitmentsTable[[#This Row],[Date record entered]]))</f>
        <v/>
      </c>
      <c r="H1260" s="245"/>
      <c r="I1260" s="245" t="str">
        <f ca="1">IF(CommitmentsTable[[#This Row],[Date Assigned if different from entry date]]&lt;&gt;"",CommitmentsTable[[#This Row],[Date Assigned if different from entry date]]+90,IF(CommitmentsTable[[#This Row],[Date record entered]]&lt;&gt;"",CommitmentsTable[[#This Row],[Date record entered]]+90,""))</f>
        <v/>
      </c>
      <c r="J1260" s="245" t="str">
        <f ca="1">IF(CommitmentsTable[[#This Row],[Date Assigned if different from entry date]]&lt;&gt;"",CommitmentsTable[[#This Row],[Date Assigned if different from entry date]]+30,IF(CommitmentsTable[[#This Row],[Date record entered]]&lt;&gt;"",CommitmentsTable[[#This Row],[Date record entered]]+30,""))</f>
        <v/>
      </c>
      <c r="K1260" s="245"/>
      <c r="L1260" s="245" t="str">
        <f ca="1">IF(CommitmentsTable[[#This Row],[Date Assigned if different from entry date]]&lt;&gt;"",CommitmentsTable[[#This Row],[Date Assigned if different from entry date]]+60,IF(CommitmentsTable[[#This Row],[Date record entered]]&lt;&gt;"",CommitmentsTable[[#This Row],[Date record entered]]+60,""))</f>
        <v/>
      </c>
      <c r="M1260" s="214"/>
      <c r="N1260" s="214"/>
      <c r="O1260" s="236"/>
      <c r="P1260" s="214"/>
      <c r="Q1260" s="214"/>
      <c r="R1260" s="214"/>
      <c r="S1260" s="238" t="str">
        <f>IF(CommitmentsTable[[#This Row],[Commitment / deliverable]]="","",IF(CommitmentsTable[[#This Row],[Revised due]]&lt;&gt;"",CommitmentsTable[[#This Row],[Revised due]],CommitmentsTable[[#This Row],[Original due]]))</f>
        <v/>
      </c>
      <c r="T1260" s="237" t="str">
        <f>IF(OR(CommitmentsTable[[#This Row],[Commitment / deliverable]]="",CommitmentsTable[[#This Row],[Owner]]=""),"",IF(CommitmentsTable[[#This Row],[Status2]]="","Open",CommitmentsTable[[#This Row],[Status2]]))</f>
        <v/>
      </c>
      <c r="U1260" s="237" t="str">
        <f t="shared" ca="1" si="19"/>
        <v/>
      </c>
      <c r="V1260" s="233"/>
      <c r="W1260" s="63" t="s">
        <v>2162</v>
      </c>
    </row>
    <row r="1261" spans="1:23" ht="26">
      <c r="A1261" s="213" t="str">
        <f>IF(OR(CommitmentsTable[[#This Row],[Commitment / deliverable]]="",CommitmentsTable[[#This Row],[Immutable Key]]=""),"",SUBSTITUTE(CommitmentsTable[[#This Row],[Immutable Key]],"-K-","-"))</f>
        <v/>
      </c>
      <c r="B1261" s="233"/>
      <c r="C1261" s="233"/>
      <c r="D1261" s="213"/>
      <c r="E1261" s="230"/>
      <c r="F1261" s="213"/>
      <c r="G1261" s="245" t="str">
        <f ca="1">IF(CommitmentsTable[[#This Row],[Commitment / deliverable]]="","",IF(CommitmentsTable[[#This Row],[Date record entered]]="",TODAY(),CommitmentsTable[[#This Row],[Date record entered]]))</f>
        <v/>
      </c>
      <c r="H1261" s="245"/>
      <c r="I1261" s="245" t="str">
        <f ca="1">IF(CommitmentsTable[[#This Row],[Date Assigned if different from entry date]]&lt;&gt;"",CommitmentsTable[[#This Row],[Date Assigned if different from entry date]]+90,IF(CommitmentsTable[[#This Row],[Date record entered]]&lt;&gt;"",CommitmentsTable[[#This Row],[Date record entered]]+90,""))</f>
        <v/>
      </c>
      <c r="J1261" s="245" t="str">
        <f ca="1">IF(CommitmentsTable[[#This Row],[Date Assigned if different from entry date]]&lt;&gt;"",CommitmentsTable[[#This Row],[Date Assigned if different from entry date]]+30,IF(CommitmentsTable[[#This Row],[Date record entered]]&lt;&gt;"",CommitmentsTable[[#This Row],[Date record entered]]+30,""))</f>
        <v/>
      </c>
      <c r="K1261" s="245"/>
      <c r="L1261" s="245" t="str">
        <f ca="1">IF(CommitmentsTable[[#This Row],[Date Assigned if different from entry date]]&lt;&gt;"",CommitmentsTable[[#This Row],[Date Assigned if different from entry date]]+60,IF(CommitmentsTable[[#This Row],[Date record entered]]&lt;&gt;"",CommitmentsTable[[#This Row],[Date record entered]]+60,""))</f>
        <v/>
      </c>
      <c r="M1261" s="214"/>
      <c r="N1261" s="214"/>
      <c r="O1261" s="236"/>
      <c r="P1261" s="214"/>
      <c r="Q1261" s="214"/>
      <c r="R1261" s="214"/>
      <c r="S1261" s="238" t="str">
        <f>IF(CommitmentsTable[[#This Row],[Commitment / deliverable]]="","",IF(CommitmentsTable[[#This Row],[Revised due]]&lt;&gt;"",CommitmentsTable[[#This Row],[Revised due]],CommitmentsTable[[#This Row],[Original due]]))</f>
        <v/>
      </c>
      <c r="T1261" s="237" t="str">
        <f>IF(OR(CommitmentsTable[[#This Row],[Commitment / deliverable]]="",CommitmentsTable[[#This Row],[Owner]]=""),"",IF(CommitmentsTable[[#This Row],[Status2]]="","Open",CommitmentsTable[[#This Row],[Status2]]))</f>
        <v/>
      </c>
      <c r="U1261" s="237" t="str">
        <f t="shared" ca="1" si="19"/>
        <v/>
      </c>
      <c r="V1261" s="233"/>
      <c r="W1261" s="63" t="s">
        <v>2163</v>
      </c>
    </row>
    <row r="1262" spans="1:23" ht="26">
      <c r="A1262" s="213" t="str">
        <f>IF(OR(CommitmentsTable[[#This Row],[Commitment / deliverable]]="",CommitmentsTable[[#This Row],[Immutable Key]]=""),"",SUBSTITUTE(CommitmentsTable[[#This Row],[Immutable Key]],"-K-","-"))</f>
        <v/>
      </c>
      <c r="B1262" s="233"/>
      <c r="C1262" s="233"/>
      <c r="D1262" s="213"/>
      <c r="E1262" s="230"/>
      <c r="F1262" s="213"/>
      <c r="G1262" s="245" t="str">
        <f ca="1">IF(CommitmentsTable[[#This Row],[Commitment / deliverable]]="","",IF(CommitmentsTable[[#This Row],[Date record entered]]="",TODAY(),CommitmentsTable[[#This Row],[Date record entered]]))</f>
        <v/>
      </c>
      <c r="H1262" s="245"/>
      <c r="I1262" s="245" t="str">
        <f ca="1">IF(CommitmentsTable[[#This Row],[Date Assigned if different from entry date]]&lt;&gt;"",CommitmentsTable[[#This Row],[Date Assigned if different from entry date]]+90,IF(CommitmentsTable[[#This Row],[Date record entered]]&lt;&gt;"",CommitmentsTable[[#This Row],[Date record entered]]+90,""))</f>
        <v/>
      </c>
      <c r="J1262" s="245" t="str">
        <f ca="1">IF(CommitmentsTable[[#This Row],[Date Assigned if different from entry date]]&lt;&gt;"",CommitmentsTable[[#This Row],[Date Assigned if different from entry date]]+30,IF(CommitmentsTable[[#This Row],[Date record entered]]&lt;&gt;"",CommitmentsTable[[#This Row],[Date record entered]]+30,""))</f>
        <v/>
      </c>
      <c r="K1262" s="245"/>
      <c r="L1262" s="245" t="str">
        <f ca="1">IF(CommitmentsTable[[#This Row],[Date Assigned if different from entry date]]&lt;&gt;"",CommitmentsTable[[#This Row],[Date Assigned if different from entry date]]+60,IF(CommitmentsTable[[#This Row],[Date record entered]]&lt;&gt;"",CommitmentsTable[[#This Row],[Date record entered]]+60,""))</f>
        <v/>
      </c>
      <c r="M1262" s="214"/>
      <c r="N1262" s="214"/>
      <c r="O1262" s="236"/>
      <c r="P1262" s="214"/>
      <c r="Q1262" s="214"/>
      <c r="R1262" s="214"/>
      <c r="S1262" s="238" t="str">
        <f>IF(CommitmentsTable[[#This Row],[Commitment / deliverable]]="","",IF(CommitmentsTable[[#This Row],[Revised due]]&lt;&gt;"",CommitmentsTable[[#This Row],[Revised due]],CommitmentsTable[[#This Row],[Original due]]))</f>
        <v/>
      </c>
      <c r="T1262" s="237" t="str">
        <f>IF(OR(CommitmentsTable[[#This Row],[Commitment / deliverable]]="",CommitmentsTable[[#This Row],[Owner]]=""),"",IF(CommitmentsTable[[#This Row],[Status2]]="","Open",CommitmentsTable[[#This Row],[Status2]]))</f>
        <v/>
      </c>
      <c r="U1262" s="237" t="str">
        <f t="shared" ca="1" si="19"/>
        <v/>
      </c>
      <c r="V1262" s="233"/>
      <c r="W1262" s="63" t="s">
        <v>2164</v>
      </c>
    </row>
    <row r="1263" spans="1:23" ht="26">
      <c r="A1263" s="213" t="str">
        <f>IF(OR(CommitmentsTable[[#This Row],[Commitment / deliverable]]="",CommitmentsTable[[#This Row],[Immutable Key]]=""),"",SUBSTITUTE(CommitmentsTable[[#This Row],[Immutable Key]],"-K-","-"))</f>
        <v/>
      </c>
      <c r="B1263" s="233"/>
      <c r="C1263" s="233"/>
      <c r="D1263" s="213"/>
      <c r="E1263" s="230"/>
      <c r="F1263" s="213"/>
      <c r="G1263" s="245" t="str">
        <f ca="1">IF(CommitmentsTable[[#This Row],[Commitment / deliverable]]="","",IF(CommitmentsTable[[#This Row],[Date record entered]]="",TODAY(),CommitmentsTable[[#This Row],[Date record entered]]))</f>
        <v/>
      </c>
      <c r="H1263" s="245"/>
      <c r="I1263" s="245" t="str">
        <f ca="1">IF(CommitmentsTable[[#This Row],[Date Assigned if different from entry date]]&lt;&gt;"",CommitmentsTable[[#This Row],[Date Assigned if different from entry date]]+90,IF(CommitmentsTable[[#This Row],[Date record entered]]&lt;&gt;"",CommitmentsTable[[#This Row],[Date record entered]]+90,""))</f>
        <v/>
      </c>
      <c r="J1263" s="245" t="str">
        <f ca="1">IF(CommitmentsTable[[#This Row],[Date Assigned if different from entry date]]&lt;&gt;"",CommitmentsTable[[#This Row],[Date Assigned if different from entry date]]+30,IF(CommitmentsTable[[#This Row],[Date record entered]]&lt;&gt;"",CommitmentsTable[[#This Row],[Date record entered]]+30,""))</f>
        <v/>
      </c>
      <c r="K1263" s="245"/>
      <c r="L1263" s="245" t="str">
        <f ca="1">IF(CommitmentsTable[[#This Row],[Date Assigned if different from entry date]]&lt;&gt;"",CommitmentsTable[[#This Row],[Date Assigned if different from entry date]]+60,IF(CommitmentsTable[[#This Row],[Date record entered]]&lt;&gt;"",CommitmentsTable[[#This Row],[Date record entered]]+60,""))</f>
        <v/>
      </c>
      <c r="M1263" s="214"/>
      <c r="N1263" s="214"/>
      <c r="O1263" s="236"/>
      <c r="P1263" s="214"/>
      <c r="Q1263" s="214"/>
      <c r="R1263" s="214"/>
      <c r="S1263" s="238" t="str">
        <f>IF(CommitmentsTable[[#This Row],[Commitment / deliverable]]="","",IF(CommitmentsTable[[#This Row],[Revised due]]&lt;&gt;"",CommitmentsTable[[#This Row],[Revised due]],CommitmentsTable[[#This Row],[Original due]]))</f>
        <v/>
      </c>
      <c r="T1263" s="237" t="str">
        <f>IF(OR(CommitmentsTable[[#This Row],[Commitment / deliverable]]="",CommitmentsTable[[#This Row],[Owner]]=""),"",IF(CommitmentsTable[[#This Row],[Status2]]="","Open",CommitmentsTable[[#This Row],[Status2]]))</f>
        <v/>
      </c>
      <c r="U1263" s="237" t="str">
        <f t="shared" ca="1" si="19"/>
        <v/>
      </c>
      <c r="V1263" s="233"/>
      <c r="W1263" s="63" t="s">
        <v>2165</v>
      </c>
    </row>
    <row r="1264" spans="1:23" ht="26">
      <c r="A1264" s="213" t="str">
        <f>IF(OR(CommitmentsTable[[#This Row],[Commitment / deliverable]]="",CommitmentsTable[[#This Row],[Immutable Key]]=""),"",SUBSTITUTE(CommitmentsTable[[#This Row],[Immutable Key]],"-K-","-"))</f>
        <v/>
      </c>
      <c r="B1264" s="233"/>
      <c r="C1264" s="233"/>
      <c r="D1264" s="213"/>
      <c r="E1264" s="230"/>
      <c r="F1264" s="213"/>
      <c r="G1264" s="245" t="str">
        <f ca="1">IF(CommitmentsTable[[#This Row],[Commitment / deliverable]]="","",IF(CommitmentsTable[[#This Row],[Date record entered]]="",TODAY(),CommitmentsTable[[#This Row],[Date record entered]]))</f>
        <v/>
      </c>
      <c r="H1264" s="245"/>
      <c r="I1264" s="245" t="str">
        <f ca="1">IF(CommitmentsTable[[#This Row],[Date Assigned if different from entry date]]&lt;&gt;"",CommitmentsTable[[#This Row],[Date Assigned if different from entry date]]+90,IF(CommitmentsTable[[#This Row],[Date record entered]]&lt;&gt;"",CommitmentsTable[[#This Row],[Date record entered]]+90,""))</f>
        <v/>
      </c>
      <c r="J1264" s="245" t="str">
        <f ca="1">IF(CommitmentsTable[[#This Row],[Date Assigned if different from entry date]]&lt;&gt;"",CommitmentsTable[[#This Row],[Date Assigned if different from entry date]]+30,IF(CommitmentsTable[[#This Row],[Date record entered]]&lt;&gt;"",CommitmentsTable[[#This Row],[Date record entered]]+30,""))</f>
        <v/>
      </c>
      <c r="K1264" s="245"/>
      <c r="L1264" s="245" t="str">
        <f ca="1">IF(CommitmentsTable[[#This Row],[Date Assigned if different from entry date]]&lt;&gt;"",CommitmentsTable[[#This Row],[Date Assigned if different from entry date]]+60,IF(CommitmentsTable[[#This Row],[Date record entered]]&lt;&gt;"",CommitmentsTable[[#This Row],[Date record entered]]+60,""))</f>
        <v/>
      </c>
      <c r="M1264" s="214"/>
      <c r="N1264" s="214"/>
      <c r="O1264" s="236"/>
      <c r="P1264" s="214"/>
      <c r="Q1264" s="214"/>
      <c r="R1264" s="214"/>
      <c r="S1264" s="238" t="str">
        <f>IF(CommitmentsTable[[#This Row],[Commitment / deliverable]]="","",IF(CommitmentsTable[[#This Row],[Revised due]]&lt;&gt;"",CommitmentsTable[[#This Row],[Revised due]],CommitmentsTable[[#This Row],[Original due]]))</f>
        <v/>
      </c>
      <c r="T1264" s="237" t="str">
        <f>IF(OR(CommitmentsTable[[#This Row],[Commitment / deliverable]]="",CommitmentsTable[[#This Row],[Owner]]=""),"",IF(CommitmentsTable[[#This Row],[Status2]]="","Open",CommitmentsTable[[#This Row],[Status2]]))</f>
        <v/>
      </c>
      <c r="U1264" s="237" t="str">
        <f t="shared" ca="1" si="19"/>
        <v/>
      </c>
      <c r="V1264" s="233"/>
      <c r="W1264" s="63" t="s">
        <v>2166</v>
      </c>
    </row>
    <row r="1265" spans="1:23" ht="26">
      <c r="A1265" s="213" t="str">
        <f>IF(OR(CommitmentsTable[[#This Row],[Commitment / deliverable]]="",CommitmentsTable[[#This Row],[Immutable Key]]=""),"",SUBSTITUTE(CommitmentsTable[[#This Row],[Immutable Key]],"-K-","-"))</f>
        <v/>
      </c>
      <c r="B1265" s="233"/>
      <c r="C1265" s="233"/>
      <c r="D1265" s="213"/>
      <c r="E1265" s="230"/>
      <c r="F1265" s="213"/>
      <c r="G1265" s="245" t="str">
        <f ca="1">IF(CommitmentsTable[[#This Row],[Commitment / deliverable]]="","",IF(CommitmentsTable[[#This Row],[Date record entered]]="",TODAY(),CommitmentsTable[[#This Row],[Date record entered]]))</f>
        <v/>
      </c>
      <c r="H1265" s="245"/>
      <c r="I1265" s="245" t="str">
        <f ca="1">IF(CommitmentsTable[[#This Row],[Date Assigned if different from entry date]]&lt;&gt;"",CommitmentsTable[[#This Row],[Date Assigned if different from entry date]]+90,IF(CommitmentsTable[[#This Row],[Date record entered]]&lt;&gt;"",CommitmentsTable[[#This Row],[Date record entered]]+90,""))</f>
        <v/>
      </c>
      <c r="J1265" s="245" t="str">
        <f ca="1">IF(CommitmentsTable[[#This Row],[Date Assigned if different from entry date]]&lt;&gt;"",CommitmentsTable[[#This Row],[Date Assigned if different from entry date]]+30,IF(CommitmentsTable[[#This Row],[Date record entered]]&lt;&gt;"",CommitmentsTable[[#This Row],[Date record entered]]+30,""))</f>
        <v/>
      </c>
      <c r="K1265" s="245"/>
      <c r="L1265" s="245" t="str">
        <f ca="1">IF(CommitmentsTable[[#This Row],[Date Assigned if different from entry date]]&lt;&gt;"",CommitmentsTable[[#This Row],[Date Assigned if different from entry date]]+60,IF(CommitmentsTable[[#This Row],[Date record entered]]&lt;&gt;"",CommitmentsTable[[#This Row],[Date record entered]]+60,""))</f>
        <v/>
      </c>
      <c r="M1265" s="214"/>
      <c r="N1265" s="214"/>
      <c r="O1265" s="236"/>
      <c r="P1265" s="214"/>
      <c r="Q1265" s="214"/>
      <c r="R1265" s="214"/>
      <c r="S1265" s="238" t="str">
        <f>IF(CommitmentsTable[[#This Row],[Commitment / deliverable]]="","",IF(CommitmentsTable[[#This Row],[Revised due]]&lt;&gt;"",CommitmentsTable[[#This Row],[Revised due]],CommitmentsTable[[#This Row],[Original due]]))</f>
        <v/>
      </c>
      <c r="T1265" s="237" t="str">
        <f>IF(OR(CommitmentsTable[[#This Row],[Commitment / deliverable]]="",CommitmentsTable[[#This Row],[Owner]]=""),"",IF(CommitmentsTable[[#This Row],[Status2]]="","Open",CommitmentsTable[[#This Row],[Status2]]))</f>
        <v/>
      </c>
      <c r="U1265" s="237" t="str">
        <f t="shared" ca="1" si="19"/>
        <v/>
      </c>
      <c r="V1265" s="233"/>
      <c r="W1265" s="63" t="s">
        <v>2167</v>
      </c>
    </row>
    <row r="1266" spans="1:23" ht="26">
      <c r="A1266" s="213" t="str">
        <f>IF(OR(CommitmentsTable[[#This Row],[Commitment / deliverable]]="",CommitmentsTable[[#This Row],[Immutable Key]]=""),"",SUBSTITUTE(CommitmentsTable[[#This Row],[Immutable Key]],"-K-","-"))</f>
        <v/>
      </c>
      <c r="B1266" s="233"/>
      <c r="C1266" s="233"/>
      <c r="D1266" s="213"/>
      <c r="E1266" s="230"/>
      <c r="F1266" s="213"/>
      <c r="G1266" s="245" t="str">
        <f ca="1">IF(CommitmentsTable[[#This Row],[Commitment / deliverable]]="","",IF(CommitmentsTable[[#This Row],[Date record entered]]="",TODAY(),CommitmentsTable[[#This Row],[Date record entered]]))</f>
        <v/>
      </c>
      <c r="H1266" s="245"/>
      <c r="I1266" s="245" t="str">
        <f ca="1">IF(CommitmentsTable[[#This Row],[Date Assigned if different from entry date]]&lt;&gt;"",CommitmentsTable[[#This Row],[Date Assigned if different from entry date]]+90,IF(CommitmentsTable[[#This Row],[Date record entered]]&lt;&gt;"",CommitmentsTable[[#This Row],[Date record entered]]+90,""))</f>
        <v/>
      </c>
      <c r="J1266" s="245" t="str">
        <f ca="1">IF(CommitmentsTable[[#This Row],[Date Assigned if different from entry date]]&lt;&gt;"",CommitmentsTable[[#This Row],[Date Assigned if different from entry date]]+30,IF(CommitmentsTable[[#This Row],[Date record entered]]&lt;&gt;"",CommitmentsTable[[#This Row],[Date record entered]]+30,""))</f>
        <v/>
      </c>
      <c r="K1266" s="245"/>
      <c r="L1266" s="245" t="str">
        <f ca="1">IF(CommitmentsTable[[#This Row],[Date Assigned if different from entry date]]&lt;&gt;"",CommitmentsTable[[#This Row],[Date Assigned if different from entry date]]+60,IF(CommitmentsTable[[#This Row],[Date record entered]]&lt;&gt;"",CommitmentsTable[[#This Row],[Date record entered]]+60,""))</f>
        <v/>
      </c>
      <c r="M1266" s="214"/>
      <c r="N1266" s="214"/>
      <c r="O1266" s="236"/>
      <c r="P1266" s="214"/>
      <c r="Q1266" s="214"/>
      <c r="R1266" s="214"/>
      <c r="S1266" s="238" t="str">
        <f>IF(CommitmentsTable[[#This Row],[Commitment / deliverable]]="","",IF(CommitmentsTable[[#This Row],[Revised due]]&lt;&gt;"",CommitmentsTable[[#This Row],[Revised due]],CommitmentsTable[[#This Row],[Original due]]))</f>
        <v/>
      </c>
      <c r="T1266" s="237" t="str">
        <f>IF(OR(CommitmentsTable[[#This Row],[Commitment / deliverable]]="",CommitmentsTable[[#This Row],[Owner]]=""),"",IF(CommitmentsTable[[#This Row],[Status2]]="","Open",CommitmentsTable[[#This Row],[Status2]]))</f>
        <v/>
      </c>
      <c r="U1266" s="237" t="str">
        <f t="shared" ca="1" si="19"/>
        <v/>
      </c>
      <c r="V1266" s="233"/>
      <c r="W1266" s="63" t="s">
        <v>2168</v>
      </c>
    </row>
    <row r="1267" spans="1:23" ht="26">
      <c r="A1267" s="213" t="str">
        <f>IF(OR(CommitmentsTable[[#This Row],[Commitment / deliverable]]="",CommitmentsTable[[#This Row],[Immutable Key]]=""),"",SUBSTITUTE(CommitmentsTable[[#This Row],[Immutable Key]],"-K-","-"))</f>
        <v/>
      </c>
      <c r="B1267" s="233"/>
      <c r="C1267" s="233"/>
      <c r="D1267" s="213"/>
      <c r="E1267" s="230"/>
      <c r="F1267" s="213"/>
      <c r="G1267" s="245" t="str">
        <f ca="1">IF(CommitmentsTable[[#This Row],[Commitment / deliverable]]="","",IF(CommitmentsTable[[#This Row],[Date record entered]]="",TODAY(),CommitmentsTable[[#This Row],[Date record entered]]))</f>
        <v/>
      </c>
      <c r="H1267" s="245"/>
      <c r="I1267" s="245" t="str">
        <f ca="1">IF(CommitmentsTable[[#This Row],[Date Assigned if different from entry date]]&lt;&gt;"",CommitmentsTable[[#This Row],[Date Assigned if different from entry date]]+90,IF(CommitmentsTable[[#This Row],[Date record entered]]&lt;&gt;"",CommitmentsTable[[#This Row],[Date record entered]]+90,""))</f>
        <v/>
      </c>
      <c r="J1267" s="245" t="str">
        <f ca="1">IF(CommitmentsTable[[#This Row],[Date Assigned if different from entry date]]&lt;&gt;"",CommitmentsTable[[#This Row],[Date Assigned if different from entry date]]+30,IF(CommitmentsTable[[#This Row],[Date record entered]]&lt;&gt;"",CommitmentsTable[[#This Row],[Date record entered]]+30,""))</f>
        <v/>
      </c>
      <c r="K1267" s="245"/>
      <c r="L1267" s="245" t="str">
        <f ca="1">IF(CommitmentsTable[[#This Row],[Date Assigned if different from entry date]]&lt;&gt;"",CommitmentsTable[[#This Row],[Date Assigned if different from entry date]]+60,IF(CommitmentsTable[[#This Row],[Date record entered]]&lt;&gt;"",CommitmentsTable[[#This Row],[Date record entered]]+60,""))</f>
        <v/>
      </c>
      <c r="M1267" s="214"/>
      <c r="N1267" s="214"/>
      <c r="O1267" s="236"/>
      <c r="P1267" s="214"/>
      <c r="Q1267" s="214"/>
      <c r="R1267" s="214"/>
      <c r="S1267" s="238" t="str">
        <f>IF(CommitmentsTable[[#This Row],[Commitment / deliverable]]="","",IF(CommitmentsTable[[#This Row],[Revised due]]&lt;&gt;"",CommitmentsTable[[#This Row],[Revised due]],CommitmentsTable[[#This Row],[Original due]]))</f>
        <v/>
      </c>
      <c r="T1267" s="237" t="str">
        <f>IF(OR(CommitmentsTable[[#This Row],[Commitment / deliverable]]="",CommitmentsTable[[#This Row],[Owner]]=""),"",IF(CommitmentsTable[[#This Row],[Status2]]="","Open",CommitmentsTable[[#This Row],[Status2]]))</f>
        <v/>
      </c>
      <c r="U1267" s="237" t="str">
        <f t="shared" ca="1" si="19"/>
        <v/>
      </c>
      <c r="V1267" s="233"/>
      <c r="W1267" s="63" t="s">
        <v>2169</v>
      </c>
    </row>
    <row r="1268" spans="1:23" ht="26">
      <c r="A1268" s="213" t="str">
        <f>IF(OR(CommitmentsTable[[#This Row],[Commitment / deliverable]]="",CommitmentsTable[[#This Row],[Immutable Key]]=""),"",SUBSTITUTE(CommitmentsTable[[#This Row],[Immutable Key]],"-K-","-"))</f>
        <v/>
      </c>
      <c r="B1268" s="233"/>
      <c r="C1268" s="233"/>
      <c r="D1268" s="213"/>
      <c r="E1268" s="230"/>
      <c r="F1268" s="213"/>
      <c r="G1268" s="245" t="str">
        <f ca="1">IF(CommitmentsTable[[#This Row],[Commitment / deliverable]]="","",IF(CommitmentsTable[[#This Row],[Date record entered]]="",TODAY(),CommitmentsTable[[#This Row],[Date record entered]]))</f>
        <v/>
      </c>
      <c r="H1268" s="245"/>
      <c r="I1268" s="245" t="str">
        <f ca="1">IF(CommitmentsTable[[#This Row],[Date Assigned if different from entry date]]&lt;&gt;"",CommitmentsTable[[#This Row],[Date Assigned if different from entry date]]+90,IF(CommitmentsTable[[#This Row],[Date record entered]]&lt;&gt;"",CommitmentsTable[[#This Row],[Date record entered]]+90,""))</f>
        <v/>
      </c>
      <c r="J1268" s="245" t="str">
        <f ca="1">IF(CommitmentsTable[[#This Row],[Date Assigned if different from entry date]]&lt;&gt;"",CommitmentsTable[[#This Row],[Date Assigned if different from entry date]]+30,IF(CommitmentsTable[[#This Row],[Date record entered]]&lt;&gt;"",CommitmentsTable[[#This Row],[Date record entered]]+30,""))</f>
        <v/>
      </c>
      <c r="K1268" s="245"/>
      <c r="L1268" s="245" t="str">
        <f ca="1">IF(CommitmentsTable[[#This Row],[Date Assigned if different from entry date]]&lt;&gt;"",CommitmentsTable[[#This Row],[Date Assigned if different from entry date]]+60,IF(CommitmentsTable[[#This Row],[Date record entered]]&lt;&gt;"",CommitmentsTable[[#This Row],[Date record entered]]+60,""))</f>
        <v/>
      </c>
      <c r="M1268" s="214"/>
      <c r="N1268" s="214"/>
      <c r="O1268" s="236"/>
      <c r="P1268" s="214"/>
      <c r="Q1268" s="214"/>
      <c r="R1268" s="214"/>
      <c r="S1268" s="238" t="str">
        <f>IF(CommitmentsTable[[#This Row],[Commitment / deliverable]]="","",IF(CommitmentsTable[[#This Row],[Revised due]]&lt;&gt;"",CommitmentsTable[[#This Row],[Revised due]],CommitmentsTable[[#This Row],[Original due]]))</f>
        <v/>
      </c>
      <c r="T1268" s="237" t="str">
        <f>IF(OR(CommitmentsTable[[#This Row],[Commitment / deliverable]]="",CommitmentsTable[[#This Row],[Owner]]=""),"",IF(CommitmentsTable[[#This Row],[Status2]]="","Open",CommitmentsTable[[#This Row],[Status2]]))</f>
        <v/>
      </c>
      <c r="U1268" s="237" t="str">
        <f t="shared" ca="1" si="19"/>
        <v/>
      </c>
      <c r="V1268" s="233"/>
      <c r="W1268" s="63" t="s">
        <v>2170</v>
      </c>
    </row>
    <row r="1269" spans="1:23" ht="26">
      <c r="A1269" s="213" t="str">
        <f>IF(OR(CommitmentsTable[[#This Row],[Commitment / deliverable]]="",CommitmentsTable[[#This Row],[Immutable Key]]=""),"",SUBSTITUTE(CommitmentsTable[[#This Row],[Immutable Key]],"-K-","-"))</f>
        <v/>
      </c>
      <c r="B1269" s="233"/>
      <c r="C1269" s="233"/>
      <c r="D1269" s="213"/>
      <c r="E1269" s="230"/>
      <c r="F1269" s="213"/>
      <c r="G1269" s="245" t="str">
        <f ca="1">IF(CommitmentsTable[[#This Row],[Commitment / deliverable]]="","",IF(CommitmentsTable[[#This Row],[Date record entered]]="",TODAY(),CommitmentsTable[[#This Row],[Date record entered]]))</f>
        <v/>
      </c>
      <c r="H1269" s="245"/>
      <c r="I1269" s="245" t="str">
        <f ca="1">IF(CommitmentsTable[[#This Row],[Date Assigned if different from entry date]]&lt;&gt;"",CommitmentsTable[[#This Row],[Date Assigned if different from entry date]]+90,IF(CommitmentsTable[[#This Row],[Date record entered]]&lt;&gt;"",CommitmentsTable[[#This Row],[Date record entered]]+90,""))</f>
        <v/>
      </c>
      <c r="J1269" s="245" t="str">
        <f ca="1">IF(CommitmentsTable[[#This Row],[Date Assigned if different from entry date]]&lt;&gt;"",CommitmentsTable[[#This Row],[Date Assigned if different from entry date]]+30,IF(CommitmentsTable[[#This Row],[Date record entered]]&lt;&gt;"",CommitmentsTable[[#This Row],[Date record entered]]+30,""))</f>
        <v/>
      </c>
      <c r="K1269" s="245"/>
      <c r="L1269" s="245" t="str">
        <f ca="1">IF(CommitmentsTable[[#This Row],[Date Assigned if different from entry date]]&lt;&gt;"",CommitmentsTable[[#This Row],[Date Assigned if different from entry date]]+60,IF(CommitmentsTable[[#This Row],[Date record entered]]&lt;&gt;"",CommitmentsTable[[#This Row],[Date record entered]]+60,""))</f>
        <v/>
      </c>
      <c r="M1269" s="214"/>
      <c r="N1269" s="214"/>
      <c r="O1269" s="236"/>
      <c r="P1269" s="214"/>
      <c r="Q1269" s="214"/>
      <c r="R1269" s="214"/>
      <c r="S1269" s="238" t="str">
        <f>IF(CommitmentsTable[[#This Row],[Commitment / deliverable]]="","",IF(CommitmentsTable[[#This Row],[Revised due]]&lt;&gt;"",CommitmentsTable[[#This Row],[Revised due]],CommitmentsTable[[#This Row],[Original due]]))</f>
        <v/>
      </c>
      <c r="T1269" s="237" t="str">
        <f>IF(OR(CommitmentsTable[[#This Row],[Commitment / deliverable]]="",CommitmentsTable[[#This Row],[Owner]]=""),"",IF(CommitmentsTable[[#This Row],[Status2]]="","Open",CommitmentsTable[[#This Row],[Status2]]))</f>
        <v/>
      </c>
      <c r="U1269" s="237" t="str">
        <f t="shared" ca="1" si="19"/>
        <v/>
      </c>
      <c r="V1269" s="233"/>
      <c r="W1269" s="63" t="s">
        <v>2171</v>
      </c>
    </row>
    <row r="1270" spans="1:23" ht="26">
      <c r="A1270" s="213" t="str">
        <f>IF(OR(CommitmentsTable[[#This Row],[Commitment / deliverable]]="",CommitmentsTable[[#This Row],[Immutable Key]]=""),"",SUBSTITUTE(CommitmentsTable[[#This Row],[Immutable Key]],"-K-","-"))</f>
        <v/>
      </c>
      <c r="B1270" s="233"/>
      <c r="C1270" s="233"/>
      <c r="D1270" s="213"/>
      <c r="E1270" s="230"/>
      <c r="F1270" s="213"/>
      <c r="G1270" s="245" t="str">
        <f ca="1">IF(CommitmentsTable[[#This Row],[Commitment / deliverable]]="","",IF(CommitmentsTable[[#This Row],[Date record entered]]="",TODAY(),CommitmentsTable[[#This Row],[Date record entered]]))</f>
        <v/>
      </c>
      <c r="H1270" s="245"/>
      <c r="I1270" s="245" t="str">
        <f ca="1">IF(CommitmentsTable[[#This Row],[Date Assigned if different from entry date]]&lt;&gt;"",CommitmentsTable[[#This Row],[Date Assigned if different from entry date]]+90,IF(CommitmentsTable[[#This Row],[Date record entered]]&lt;&gt;"",CommitmentsTable[[#This Row],[Date record entered]]+90,""))</f>
        <v/>
      </c>
      <c r="J1270" s="245" t="str">
        <f ca="1">IF(CommitmentsTable[[#This Row],[Date Assigned if different from entry date]]&lt;&gt;"",CommitmentsTable[[#This Row],[Date Assigned if different from entry date]]+30,IF(CommitmentsTable[[#This Row],[Date record entered]]&lt;&gt;"",CommitmentsTable[[#This Row],[Date record entered]]+30,""))</f>
        <v/>
      </c>
      <c r="K1270" s="245"/>
      <c r="L1270" s="245" t="str">
        <f ca="1">IF(CommitmentsTable[[#This Row],[Date Assigned if different from entry date]]&lt;&gt;"",CommitmentsTable[[#This Row],[Date Assigned if different from entry date]]+60,IF(CommitmentsTable[[#This Row],[Date record entered]]&lt;&gt;"",CommitmentsTable[[#This Row],[Date record entered]]+60,""))</f>
        <v/>
      </c>
      <c r="M1270" s="214"/>
      <c r="N1270" s="214"/>
      <c r="O1270" s="236"/>
      <c r="P1270" s="214"/>
      <c r="Q1270" s="214"/>
      <c r="R1270" s="214"/>
      <c r="S1270" s="238" t="str">
        <f>IF(CommitmentsTable[[#This Row],[Commitment / deliverable]]="","",IF(CommitmentsTable[[#This Row],[Revised due]]&lt;&gt;"",CommitmentsTable[[#This Row],[Revised due]],CommitmentsTable[[#This Row],[Original due]]))</f>
        <v/>
      </c>
      <c r="T1270" s="237" t="str">
        <f>IF(OR(CommitmentsTable[[#This Row],[Commitment / deliverable]]="",CommitmentsTable[[#This Row],[Owner]]=""),"",IF(CommitmentsTable[[#This Row],[Status2]]="","Open",CommitmentsTable[[#This Row],[Status2]]))</f>
        <v/>
      </c>
      <c r="U1270" s="237" t="str">
        <f t="shared" ca="1" si="19"/>
        <v/>
      </c>
      <c r="V1270" s="233"/>
      <c r="W1270" s="63" t="s">
        <v>2172</v>
      </c>
    </row>
    <row r="1271" spans="1:23" ht="26">
      <c r="A1271" s="213" t="str">
        <f>IF(OR(CommitmentsTable[[#This Row],[Commitment / deliverable]]="",CommitmentsTable[[#This Row],[Immutable Key]]=""),"",SUBSTITUTE(CommitmentsTable[[#This Row],[Immutable Key]],"-K-","-"))</f>
        <v/>
      </c>
      <c r="B1271" s="233"/>
      <c r="C1271" s="233"/>
      <c r="D1271" s="213"/>
      <c r="E1271" s="230"/>
      <c r="F1271" s="213"/>
      <c r="G1271" s="245" t="str">
        <f ca="1">IF(CommitmentsTable[[#This Row],[Commitment / deliverable]]="","",IF(CommitmentsTable[[#This Row],[Date record entered]]="",TODAY(),CommitmentsTable[[#This Row],[Date record entered]]))</f>
        <v/>
      </c>
      <c r="H1271" s="245"/>
      <c r="I1271" s="245" t="str">
        <f ca="1">IF(CommitmentsTable[[#This Row],[Date Assigned if different from entry date]]&lt;&gt;"",CommitmentsTable[[#This Row],[Date Assigned if different from entry date]]+90,IF(CommitmentsTable[[#This Row],[Date record entered]]&lt;&gt;"",CommitmentsTable[[#This Row],[Date record entered]]+90,""))</f>
        <v/>
      </c>
      <c r="J1271" s="245" t="str">
        <f ca="1">IF(CommitmentsTable[[#This Row],[Date Assigned if different from entry date]]&lt;&gt;"",CommitmentsTable[[#This Row],[Date Assigned if different from entry date]]+30,IF(CommitmentsTable[[#This Row],[Date record entered]]&lt;&gt;"",CommitmentsTable[[#This Row],[Date record entered]]+30,""))</f>
        <v/>
      </c>
      <c r="K1271" s="245"/>
      <c r="L1271" s="245" t="str">
        <f ca="1">IF(CommitmentsTable[[#This Row],[Date Assigned if different from entry date]]&lt;&gt;"",CommitmentsTable[[#This Row],[Date Assigned if different from entry date]]+60,IF(CommitmentsTable[[#This Row],[Date record entered]]&lt;&gt;"",CommitmentsTable[[#This Row],[Date record entered]]+60,""))</f>
        <v/>
      </c>
      <c r="M1271" s="214"/>
      <c r="N1271" s="214"/>
      <c r="O1271" s="236"/>
      <c r="P1271" s="214"/>
      <c r="Q1271" s="214"/>
      <c r="R1271" s="214"/>
      <c r="S1271" s="238" t="str">
        <f>IF(CommitmentsTable[[#This Row],[Commitment / deliverable]]="","",IF(CommitmentsTable[[#This Row],[Revised due]]&lt;&gt;"",CommitmentsTable[[#This Row],[Revised due]],CommitmentsTable[[#This Row],[Original due]]))</f>
        <v/>
      </c>
      <c r="T1271" s="237" t="str">
        <f>IF(OR(CommitmentsTable[[#This Row],[Commitment / deliverable]]="",CommitmentsTable[[#This Row],[Owner]]=""),"",IF(CommitmentsTable[[#This Row],[Status2]]="","Open",CommitmentsTable[[#This Row],[Status2]]))</f>
        <v/>
      </c>
      <c r="U1271" s="237" t="str">
        <f t="shared" ca="1" si="19"/>
        <v/>
      </c>
      <c r="V1271" s="233"/>
      <c r="W1271" s="63" t="s">
        <v>2173</v>
      </c>
    </row>
    <row r="1272" spans="1:23" ht="26">
      <c r="A1272" s="213" t="str">
        <f>IF(OR(CommitmentsTable[[#This Row],[Commitment / deliverable]]="",CommitmentsTable[[#This Row],[Immutable Key]]=""),"",SUBSTITUTE(CommitmentsTable[[#This Row],[Immutable Key]],"-K-","-"))</f>
        <v/>
      </c>
      <c r="B1272" s="233"/>
      <c r="C1272" s="233"/>
      <c r="D1272" s="213"/>
      <c r="E1272" s="230"/>
      <c r="F1272" s="213"/>
      <c r="G1272" s="245" t="str">
        <f ca="1">IF(CommitmentsTable[[#This Row],[Commitment / deliverable]]="","",IF(CommitmentsTable[[#This Row],[Date record entered]]="",TODAY(),CommitmentsTable[[#This Row],[Date record entered]]))</f>
        <v/>
      </c>
      <c r="H1272" s="245"/>
      <c r="I1272" s="245" t="str">
        <f ca="1">IF(CommitmentsTable[[#This Row],[Date Assigned if different from entry date]]&lt;&gt;"",CommitmentsTable[[#This Row],[Date Assigned if different from entry date]]+90,IF(CommitmentsTable[[#This Row],[Date record entered]]&lt;&gt;"",CommitmentsTable[[#This Row],[Date record entered]]+90,""))</f>
        <v/>
      </c>
      <c r="J1272" s="245" t="str">
        <f ca="1">IF(CommitmentsTable[[#This Row],[Date Assigned if different from entry date]]&lt;&gt;"",CommitmentsTable[[#This Row],[Date Assigned if different from entry date]]+30,IF(CommitmentsTable[[#This Row],[Date record entered]]&lt;&gt;"",CommitmentsTable[[#This Row],[Date record entered]]+30,""))</f>
        <v/>
      </c>
      <c r="K1272" s="245"/>
      <c r="L1272" s="245" t="str">
        <f ca="1">IF(CommitmentsTable[[#This Row],[Date Assigned if different from entry date]]&lt;&gt;"",CommitmentsTable[[#This Row],[Date Assigned if different from entry date]]+60,IF(CommitmentsTable[[#This Row],[Date record entered]]&lt;&gt;"",CommitmentsTable[[#This Row],[Date record entered]]+60,""))</f>
        <v/>
      </c>
      <c r="M1272" s="214"/>
      <c r="N1272" s="214"/>
      <c r="O1272" s="236"/>
      <c r="P1272" s="214"/>
      <c r="Q1272" s="214"/>
      <c r="R1272" s="214"/>
      <c r="S1272" s="238" t="str">
        <f>IF(CommitmentsTable[[#This Row],[Commitment / deliverable]]="","",IF(CommitmentsTable[[#This Row],[Revised due]]&lt;&gt;"",CommitmentsTable[[#This Row],[Revised due]],CommitmentsTable[[#This Row],[Original due]]))</f>
        <v/>
      </c>
      <c r="T1272" s="237" t="str">
        <f>IF(OR(CommitmentsTable[[#This Row],[Commitment / deliverable]]="",CommitmentsTable[[#This Row],[Owner]]=""),"",IF(CommitmentsTable[[#This Row],[Status2]]="","Open",CommitmentsTable[[#This Row],[Status2]]))</f>
        <v/>
      </c>
      <c r="U1272" s="237" t="str">
        <f t="shared" ca="1" si="19"/>
        <v/>
      </c>
      <c r="V1272" s="233"/>
      <c r="W1272" s="63" t="s">
        <v>2174</v>
      </c>
    </row>
    <row r="1273" spans="1:23" ht="26">
      <c r="A1273" s="213" t="str">
        <f>IF(OR(CommitmentsTable[[#This Row],[Commitment / deliverable]]="",CommitmentsTable[[#This Row],[Immutable Key]]=""),"",SUBSTITUTE(CommitmentsTable[[#This Row],[Immutable Key]],"-K-","-"))</f>
        <v/>
      </c>
      <c r="B1273" s="233"/>
      <c r="C1273" s="233"/>
      <c r="D1273" s="213"/>
      <c r="E1273" s="230"/>
      <c r="F1273" s="213"/>
      <c r="G1273" s="245" t="str">
        <f ca="1">IF(CommitmentsTable[[#This Row],[Commitment / deliverable]]="","",IF(CommitmentsTable[[#This Row],[Date record entered]]="",TODAY(),CommitmentsTable[[#This Row],[Date record entered]]))</f>
        <v/>
      </c>
      <c r="H1273" s="245"/>
      <c r="I1273" s="245" t="str">
        <f ca="1">IF(CommitmentsTable[[#This Row],[Date Assigned if different from entry date]]&lt;&gt;"",CommitmentsTable[[#This Row],[Date Assigned if different from entry date]]+90,IF(CommitmentsTable[[#This Row],[Date record entered]]&lt;&gt;"",CommitmentsTable[[#This Row],[Date record entered]]+90,""))</f>
        <v/>
      </c>
      <c r="J1273" s="245" t="str">
        <f ca="1">IF(CommitmentsTable[[#This Row],[Date Assigned if different from entry date]]&lt;&gt;"",CommitmentsTable[[#This Row],[Date Assigned if different from entry date]]+30,IF(CommitmentsTable[[#This Row],[Date record entered]]&lt;&gt;"",CommitmentsTable[[#This Row],[Date record entered]]+30,""))</f>
        <v/>
      </c>
      <c r="K1273" s="245"/>
      <c r="L1273" s="245" t="str">
        <f ca="1">IF(CommitmentsTable[[#This Row],[Date Assigned if different from entry date]]&lt;&gt;"",CommitmentsTable[[#This Row],[Date Assigned if different from entry date]]+60,IF(CommitmentsTable[[#This Row],[Date record entered]]&lt;&gt;"",CommitmentsTable[[#This Row],[Date record entered]]+60,""))</f>
        <v/>
      </c>
      <c r="M1273" s="214"/>
      <c r="N1273" s="214"/>
      <c r="O1273" s="236"/>
      <c r="P1273" s="214"/>
      <c r="Q1273" s="214"/>
      <c r="R1273" s="214"/>
      <c r="S1273" s="238" t="str">
        <f>IF(CommitmentsTable[[#This Row],[Commitment / deliverable]]="","",IF(CommitmentsTable[[#This Row],[Revised due]]&lt;&gt;"",CommitmentsTable[[#This Row],[Revised due]],CommitmentsTable[[#This Row],[Original due]]))</f>
        <v/>
      </c>
      <c r="T1273" s="237" t="str">
        <f>IF(OR(CommitmentsTable[[#This Row],[Commitment / deliverable]]="",CommitmentsTable[[#This Row],[Owner]]=""),"",IF(CommitmentsTable[[#This Row],[Status2]]="","Open",CommitmentsTable[[#This Row],[Status2]]))</f>
        <v/>
      </c>
      <c r="U1273" s="237" t="str">
        <f t="shared" ca="1" si="19"/>
        <v/>
      </c>
      <c r="V1273" s="233"/>
      <c r="W1273" s="63" t="s">
        <v>2175</v>
      </c>
    </row>
    <row r="1274" spans="1:23" ht="26">
      <c r="A1274" s="213" t="str">
        <f>IF(OR(CommitmentsTable[[#This Row],[Commitment / deliverable]]="",CommitmentsTable[[#This Row],[Immutable Key]]=""),"",SUBSTITUTE(CommitmentsTable[[#This Row],[Immutable Key]],"-K-","-"))</f>
        <v/>
      </c>
      <c r="B1274" s="233"/>
      <c r="C1274" s="233"/>
      <c r="D1274" s="213"/>
      <c r="E1274" s="230"/>
      <c r="F1274" s="213"/>
      <c r="G1274" s="245" t="str">
        <f ca="1">IF(CommitmentsTable[[#This Row],[Commitment / deliverable]]="","",IF(CommitmentsTable[[#This Row],[Date record entered]]="",TODAY(),CommitmentsTable[[#This Row],[Date record entered]]))</f>
        <v/>
      </c>
      <c r="H1274" s="245"/>
      <c r="I1274" s="245" t="str">
        <f ca="1">IF(CommitmentsTable[[#This Row],[Date Assigned if different from entry date]]&lt;&gt;"",CommitmentsTable[[#This Row],[Date Assigned if different from entry date]]+90,IF(CommitmentsTable[[#This Row],[Date record entered]]&lt;&gt;"",CommitmentsTable[[#This Row],[Date record entered]]+90,""))</f>
        <v/>
      </c>
      <c r="J1274" s="245" t="str">
        <f ca="1">IF(CommitmentsTable[[#This Row],[Date Assigned if different from entry date]]&lt;&gt;"",CommitmentsTable[[#This Row],[Date Assigned if different from entry date]]+30,IF(CommitmentsTable[[#This Row],[Date record entered]]&lt;&gt;"",CommitmentsTable[[#This Row],[Date record entered]]+30,""))</f>
        <v/>
      </c>
      <c r="K1274" s="245"/>
      <c r="L1274" s="245" t="str">
        <f ca="1">IF(CommitmentsTable[[#This Row],[Date Assigned if different from entry date]]&lt;&gt;"",CommitmentsTable[[#This Row],[Date Assigned if different from entry date]]+60,IF(CommitmentsTable[[#This Row],[Date record entered]]&lt;&gt;"",CommitmentsTable[[#This Row],[Date record entered]]+60,""))</f>
        <v/>
      </c>
      <c r="M1274" s="214"/>
      <c r="N1274" s="214"/>
      <c r="O1274" s="236"/>
      <c r="P1274" s="214"/>
      <c r="Q1274" s="214"/>
      <c r="R1274" s="214"/>
      <c r="S1274" s="238" t="str">
        <f>IF(CommitmentsTable[[#This Row],[Commitment / deliverable]]="","",IF(CommitmentsTable[[#This Row],[Revised due]]&lt;&gt;"",CommitmentsTable[[#This Row],[Revised due]],CommitmentsTable[[#This Row],[Original due]]))</f>
        <v/>
      </c>
      <c r="T1274" s="237" t="str">
        <f>IF(OR(CommitmentsTable[[#This Row],[Commitment / deliverable]]="",CommitmentsTable[[#This Row],[Owner]]=""),"",IF(CommitmentsTable[[#This Row],[Status2]]="","Open",CommitmentsTable[[#This Row],[Status2]]))</f>
        <v/>
      </c>
      <c r="U1274" s="237" t="str">
        <f t="shared" ca="1" si="19"/>
        <v/>
      </c>
      <c r="V1274" s="233"/>
      <c r="W1274" s="63" t="s">
        <v>2176</v>
      </c>
    </row>
    <row r="1275" spans="1:23" ht="26">
      <c r="A1275" s="213" t="str">
        <f>IF(OR(CommitmentsTable[[#This Row],[Commitment / deliverable]]="",CommitmentsTable[[#This Row],[Immutable Key]]=""),"",SUBSTITUTE(CommitmentsTable[[#This Row],[Immutable Key]],"-K-","-"))</f>
        <v/>
      </c>
      <c r="B1275" s="233"/>
      <c r="C1275" s="233"/>
      <c r="D1275" s="213"/>
      <c r="E1275" s="230"/>
      <c r="F1275" s="213"/>
      <c r="G1275" s="245" t="str">
        <f ca="1">IF(CommitmentsTable[[#This Row],[Commitment / deliverable]]="","",IF(CommitmentsTable[[#This Row],[Date record entered]]="",TODAY(),CommitmentsTable[[#This Row],[Date record entered]]))</f>
        <v/>
      </c>
      <c r="H1275" s="245"/>
      <c r="I1275" s="245" t="str">
        <f ca="1">IF(CommitmentsTable[[#This Row],[Date Assigned if different from entry date]]&lt;&gt;"",CommitmentsTable[[#This Row],[Date Assigned if different from entry date]]+90,IF(CommitmentsTable[[#This Row],[Date record entered]]&lt;&gt;"",CommitmentsTable[[#This Row],[Date record entered]]+90,""))</f>
        <v/>
      </c>
      <c r="J1275" s="245" t="str">
        <f ca="1">IF(CommitmentsTable[[#This Row],[Date Assigned if different from entry date]]&lt;&gt;"",CommitmentsTable[[#This Row],[Date Assigned if different from entry date]]+30,IF(CommitmentsTable[[#This Row],[Date record entered]]&lt;&gt;"",CommitmentsTable[[#This Row],[Date record entered]]+30,""))</f>
        <v/>
      </c>
      <c r="K1275" s="245"/>
      <c r="L1275" s="245" t="str">
        <f ca="1">IF(CommitmentsTable[[#This Row],[Date Assigned if different from entry date]]&lt;&gt;"",CommitmentsTable[[#This Row],[Date Assigned if different from entry date]]+60,IF(CommitmentsTable[[#This Row],[Date record entered]]&lt;&gt;"",CommitmentsTable[[#This Row],[Date record entered]]+60,""))</f>
        <v/>
      </c>
      <c r="M1275" s="214"/>
      <c r="N1275" s="214"/>
      <c r="O1275" s="236"/>
      <c r="P1275" s="214"/>
      <c r="Q1275" s="214"/>
      <c r="R1275" s="214"/>
      <c r="S1275" s="238" t="str">
        <f>IF(CommitmentsTable[[#This Row],[Commitment / deliverable]]="","",IF(CommitmentsTable[[#This Row],[Revised due]]&lt;&gt;"",CommitmentsTable[[#This Row],[Revised due]],CommitmentsTable[[#This Row],[Original due]]))</f>
        <v/>
      </c>
      <c r="T1275" s="237" t="str">
        <f>IF(OR(CommitmentsTable[[#This Row],[Commitment / deliverable]]="",CommitmentsTable[[#This Row],[Owner]]=""),"",IF(CommitmentsTable[[#This Row],[Status2]]="","Open",CommitmentsTable[[#This Row],[Status2]]))</f>
        <v/>
      </c>
      <c r="U1275" s="237" t="str">
        <f t="shared" ca="1" si="19"/>
        <v/>
      </c>
      <c r="V1275" s="233"/>
      <c r="W1275" s="63" t="s">
        <v>2177</v>
      </c>
    </row>
    <row r="1276" spans="1:23" ht="26">
      <c r="A1276" s="213" t="str">
        <f>IF(OR(CommitmentsTable[[#This Row],[Commitment / deliverable]]="",CommitmentsTable[[#This Row],[Immutable Key]]=""),"",SUBSTITUTE(CommitmentsTable[[#This Row],[Immutable Key]],"-K-","-"))</f>
        <v/>
      </c>
      <c r="B1276" s="233"/>
      <c r="C1276" s="233"/>
      <c r="D1276" s="213"/>
      <c r="E1276" s="230"/>
      <c r="F1276" s="213"/>
      <c r="G1276" s="245" t="str">
        <f ca="1">IF(CommitmentsTable[[#This Row],[Commitment / deliverable]]="","",IF(CommitmentsTable[[#This Row],[Date record entered]]="",TODAY(),CommitmentsTable[[#This Row],[Date record entered]]))</f>
        <v/>
      </c>
      <c r="H1276" s="245"/>
      <c r="I1276" s="245" t="str">
        <f ca="1">IF(CommitmentsTable[[#This Row],[Date Assigned if different from entry date]]&lt;&gt;"",CommitmentsTable[[#This Row],[Date Assigned if different from entry date]]+90,IF(CommitmentsTable[[#This Row],[Date record entered]]&lt;&gt;"",CommitmentsTable[[#This Row],[Date record entered]]+90,""))</f>
        <v/>
      </c>
      <c r="J1276" s="245" t="str">
        <f ca="1">IF(CommitmentsTable[[#This Row],[Date Assigned if different from entry date]]&lt;&gt;"",CommitmentsTable[[#This Row],[Date Assigned if different from entry date]]+30,IF(CommitmentsTable[[#This Row],[Date record entered]]&lt;&gt;"",CommitmentsTable[[#This Row],[Date record entered]]+30,""))</f>
        <v/>
      </c>
      <c r="K1276" s="245"/>
      <c r="L1276" s="245" t="str">
        <f ca="1">IF(CommitmentsTable[[#This Row],[Date Assigned if different from entry date]]&lt;&gt;"",CommitmentsTable[[#This Row],[Date Assigned if different from entry date]]+60,IF(CommitmentsTable[[#This Row],[Date record entered]]&lt;&gt;"",CommitmentsTable[[#This Row],[Date record entered]]+60,""))</f>
        <v/>
      </c>
      <c r="M1276" s="214"/>
      <c r="N1276" s="214"/>
      <c r="O1276" s="236"/>
      <c r="P1276" s="214"/>
      <c r="Q1276" s="214"/>
      <c r="R1276" s="214"/>
      <c r="S1276" s="238" t="str">
        <f>IF(CommitmentsTable[[#This Row],[Commitment / deliverable]]="","",IF(CommitmentsTable[[#This Row],[Revised due]]&lt;&gt;"",CommitmentsTable[[#This Row],[Revised due]],CommitmentsTable[[#This Row],[Original due]]))</f>
        <v/>
      </c>
      <c r="T1276" s="237" t="str">
        <f>IF(OR(CommitmentsTable[[#This Row],[Commitment / deliverable]]="",CommitmentsTable[[#This Row],[Owner]]=""),"",IF(CommitmentsTable[[#This Row],[Status2]]="","Open",CommitmentsTable[[#This Row],[Status2]]))</f>
        <v/>
      </c>
      <c r="U1276" s="237" t="str">
        <f t="shared" ca="1" si="19"/>
        <v/>
      </c>
      <c r="V1276" s="233"/>
      <c r="W1276" s="63" t="s">
        <v>2178</v>
      </c>
    </row>
    <row r="1277" spans="1:23" ht="26">
      <c r="A1277" s="213" t="str">
        <f>IF(OR(CommitmentsTable[[#This Row],[Commitment / deliverable]]="",CommitmentsTable[[#This Row],[Immutable Key]]=""),"",SUBSTITUTE(CommitmentsTable[[#This Row],[Immutable Key]],"-K-","-"))</f>
        <v/>
      </c>
      <c r="B1277" s="233"/>
      <c r="C1277" s="233"/>
      <c r="D1277" s="213"/>
      <c r="E1277" s="230"/>
      <c r="F1277" s="213"/>
      <c r="G1277" s="245" t="str">
        <f ca="1">IF(CommitmentsTable[[#This Row],[Commitment / deliverable]]="","",IF(CommitmentsTable[[#This Row],[Date record entered]]="",TODAY(),CommitmentsTable[[#This Row],[Date record entered]]))</f>
        <v/>
      </c>
      <c r="H1277" s="245"/>
      <c r="I1277" s="245" t="str">
        <f ca="1">IF(CommitmentsTable[[#This Row],[Date Assigned if different from entry date]]&lt;&gt;"",CommitmentsTable[[#This Row],[Date Assigned if different from entry date]]+90,IF(CommitmentsTable[[#This Row],[Date record entered]]&lt;&gt;"",CommitmentsTable[[#This Row],[Date record entered]]+90,""))</f>
        <v/>
      </c>
      <c r="J1277" s="245" t="str">
        <f ca="1">IF(CommitmentsTable[[#This Row],[Date Assigned if different from entry date]]&lt;&gt;"",CommitmentsTable[[#This Row],[Date Assigned if different from entry date]]+30,IF(CommitmentsTable[[#This Row],[Date record entered]]&lt;&gt;"",CommitmentsTable[[#This Row],[Date record entered]]+30,""))</f>
        <v/>
      </c>
      <c r="K1277" s="245"/>
      <c r="L1277" s="245" t="str">
        <f ca="1">IF(CommitmentsTable[[#This Row],[Date Assigned if different from entry date]]&lt;&gt;"",CommitmentsTable[[#This Row],[Date Assigned if different from entry date]]+60,IF(CommitmentsTable[[#This Row],[Date record entered]]&lt;&gt;"",CommitmentsTable[[#This Row],[Date record entered]]+60,""))</f>
        <v/>
      </c>
      <c r="M1277" s="214"/>
      <c r="N1277" s="214"/>
      <c r="O1277" s="236"/>
      <c r="P1277" s="214"/>
      <c r="Q1277" s="214"/>
      <c r="R1277" s="214"/>
      <c r="S1277" s="238" t="str">
        <f>IF(CommitmentsTable[[#This Row],[Commitment / deliverable]]="","",IF(CommitmentsTable[[#This Row],[Revised due]]&lt;&gt;"",CommitmentsTable[[#This Row],[Revised due]],CommitmentsTable[[#This Row],[Original due]]))</f>
        <v/>
      </c>
      <c r="T1277" s="237" t="str">
        <f>IF(OR(CommitmentsTable[[#This Row],[Commitment / deliverable]]="",CommitmentsTable[[#This Row],[Owner]]=""),"",IF(CommitmentsTable[[#This Row],[Status2]]="","Open",CommitmentsTable[[#This Row],[Status2]]))</f>
        <v/>
      </c>
      <c r="U1277" s="237" t="str">
        <f t="shared" ca="1" si="19"/>
        <v/>
      </c>
      <c r="V1277" s="233"/>
      <c r="W1277" s="63" t="s">
        <v>2179</v>
      </c>
    </row>
    <row r="1278" spans="1:23" ht="26">
      <c r="A1278" s="213" t="str">
        <f>IF(OR(CommitmentsTable[[#This Row],[Commitment / deliverable]]="",CommitmentsTable[[#This Row],[Immutable Key]]=""),"",SUBSTITUTE(CommitmentsTable[[#This Row],[Immutable Key]],"-K-","-"))</f>
        <v/>
      </c>
      <c r="B1278" s="233"/>
      <c r="C1278" s="233"/>
      <c r="D1278" s="213"/>
      <c r="E1278" s="230"/>
      <c r="F1278" s="213"/>
      <c r="G1278" s="245" t="str">
        <f ca="1">IF(CommitmentsTable[[#This Row],[Commitment / deliverable]]="","",IF(CommitmentsTable[[#This Row],[Date record entered]]="",TODAY(),CommitmentsTable[[#This Row],[Date record entered]]))</f>
        <v/>
      </c>
      <c r="H1278" s="245"/>
      <c r="I1278" s="245" t="str">
        <f ca="1">IF(CommitmentsTable[[#This Row],[Date Assigned if different from entry date]]&lt;&gt;"",CommitmentsTable[[#This Row],[Date Assigned if different from entry date]]+90,IF(CommitmentsTable[[#This Row],[Date record entered]]&lt;&gt;"",CommitmentsTable[[#This Row],[Date record entered]]+90,""))</f>
        <v/>
      </c>
      <c r="J1278" s="245" t="str">
        <f ca="1">IF(CommitmentsTable[[#This Row],[Date Assigned if different from entry date]]&lt;&gt;"",CommitmentsTable[[#This Row],[Date Assigned if different from entry date]]+30,IF(CommitmentsTable[[#This Row],[Date record entered]]&lt;&gt;"",CommitmentsTable[[#This Row],[Date record entered]]+30,""))</f>
        <v/>
      </c>
      <c r="K1278" s="245"/>
      <c r="L1278" s="245" t="str">
        <f ca="1">IF(CommitmentsTable[[#This Row],[Date Assigned if different from entry date]]&lt;&gt;"",CommitmentsTable[[#This Row],[Date Assigned if different from entry date]]+60,IF(CommitmentsTable[[#This Row],[Date record entered]]&lt;&gt;"",CommitmentsTable[[#This Row],[Date record entered]]+60,""))</f>
        <v/>
      </c>
      <c r="M1278" s="214"/>
      <c r="N1278" s="214"/>
      <c r="O1278" s="236"/>
      <c r="P1278" s="214"/>
      <c r="Q1278" s="214"/>
      <c r="R1278" s="214"/>
      <c r="S1278" s="238" t="str">
        <f>IF(CommitmentsTable[[#This Row],[Commitment / deliverable]]="","",IF(CommitmentsTable[[#This Row],[Revised due]]&lt;&gt;"",CommitmentsTable[[#This Row],[Revised due]],CommitmentsTable[[#This Row],[Original due]]))</f>
        <v/>
      </c>
      <c r="T1278" s="237" t="str">
        <f>IF(OR(CommitmentsTable[[#This Row],[Commitment / deliverable]]="",CommitmentsTable[[#This Row],[Owner]]=""),"",IF(CommitmentsTable[[#This Row],[Status2]]="","Open",CommitmentsTable[[#This Row],[Status2]]))</f>
        <v/>
      </c>
      <c r="U1278" s="237" t="str">
        <f t="shared" ca="1" si="19"/>
        <v/>
      </c>
      <c r="V1278" s="233"/>
      <c r="W1278" s="63" t="s">
        <v>2180</v>
      </c>
    </row>
    <row r="1279" spans="1:23" ht="26">
      <c r="A1279" s="213" t="str">
        <f>IF(OR(CommitmentsTable[[#This Row],[Commitment / deliverable]]="",CommitmentsTable[[#This Row],[Immutable Key]]=""),"",SUBSTITUTE(CommitmentsTable[[#This Row],[Immutable Key]],"-K-","-"))</f>
        <v/>
      </c>
      <c r="B1279" s="233"/>
      <c r="C1279" s="233"/>
      <c r="D1279" s="213"/>
      <c r="E1279" s="230"/>
      <c r="F1279" s="213"/>
      <c r="G1279" s="245" t="str">
        <f ca="1">IF(CommitmentsTable[[#This Row],[Commitment / deliverable]]="","",IF(CommitmentsTable[[#This Row],[Date record entered]]="",TODAY(),CommitmentsTable[[#This Row],[Date record entered]]))</f>
        <v/>
      </c>
      <c r="H1279" s="245"/>
      <c r="I1279" s="245" t="str">
        <f ca="1">IF(CommitmentsTable[[#This Row],[Date Assigned if different from entry date]]&lt;&gt;"",CommitmentsTable[[#This Row],[Date Assigned if different from entry date]]+90,IF(CommitmentsTable[[#This Row],[Date record entered]]&lt;&gt;"",CommitmentsTable[[#This Row],[Date record entered]]+90,""))</f>
        <v/>
      </c>
      <c r="J1279" s="245" t="str">
        <f ca="1">IF(CommitmentsTable[[#This Row],[Date Assigned if different from entry date]]&lt;&gt;"",CommitmentsTable[[#This Row],[Date Assigned if different from entry date]]+30,IF(CommitmentsTable[[#This Row],[Date record entered]]&lt;&gt;"",CommitmentsTable[[#This Row],[Date record entered]]+30,""))</f>
        <v/>
      </c>
      <c r="K1279" s="245"/>
      <c r="L1279" s="245" t="str">
        <f ca="1">IF(CommitmentsTable[[#This Row],[Date Assigned if different from entry date]]&lt;&gt;"",CommitmentsTable[[#This Row],[Date Assigned if different from entry date]]+60,IF(CommitmentsTable[[#This Row],[Date record entered]]&lt;&gt;"",CommitmentsTable[[#This Row],[Date record entered]]+60,""))</f>
        <v/>
      </c>
      <c r="M1279" s="214"/>
      <c r="N1279" s="214"/>
      <c r="O1279" s="236"/>
      <c r="P1279" s="214"/>
      <c r="Q1279" s="214"/>
      <c r="R1279" s="214"/>
      <c r="S1279" s="238" t="str">
        <f>IF(CommitmentsTable[[#This Row],[Commitment / deliverable]]="","",IF(CommitmentsTable[[#This Row],[Revised due]]&lt;&gt;"",CommitmentsTable[[#This Row],[Revised due]],CommitmentsTable[[#This Row],[Original due]]))</f>
        <v/>
      </c>
      <c r="T1279" s="237" t="str">
        <f>IF(OR(CommitmentsTable[[#This Row],[Commitment / deliverable]]="",CommitmentsTable[[#This Row],[Owner]]=""),"",IF(CommitmentsTable[[#This Row],[Status2]]="","Open",CommitmentsTable[[#This Row],[Status2]]))</f>
        <v/>
      </c>
      <c r="U1279" s="237" t="str">
        <f t="shared" ca="1" si="19"/>
        <v/>
      </c>
      <c r="V1279" s="233"/>
      <c r="W1279" s="63" t="s">
        <v>2181</v>
      </c>
    </row>
    <row r="1280" spans="1:23" ht="26">
      <c r="A1280" s="213" t="str">
        <f>IF(OR(CommitmentsTable[[#This Row],[Commitment / deliverable]]="",CommitmentsTable[[#This Row],[Immutable Key]]=""),"",SUBSTITUTE(CommitmentsTable[[#This Row],[Immutable Key]],"-K-","-"))</f>
        <v/>
      </c>
      <c r="B1280" s="233"/>
      <c r="C1280" s="233"/>
      <c r="D1280" s="213"/>
      <c r="E1280" s="230"/>
      <c r="F1280" s="213"/>
      <c r="G1280" s="245" t="str">
        <f ca="1">IF(CommitmentsTable[[#This Row],[Commitment / deliverable]]="","",IF(CommitmentsTable[[#This Row],[Date record entered]]="",TODAY(),CommitmentsTable[[#This Row],[Date record entered]]))</f>
        <v/>
      </c>
      <c r="H1280" s="245"/>
      <c r="I1280" s="245" t="str">
        <f ca="1">IF(CommitmentsTable[[#This Row],[Date Assigned if different from entry date]]&lt;&gt;"",CommitmentsTable[[#This Row],[Date Assigned if different from entry date]]+90,IF(CommitmentsTable[[#This Row],[Date record entered]]&lt;&gt;"",CommitmentsTable[[#This Row],[Date record entered]]+90,""))</f>
        <v/>
      </c>
      <c r="J1280" s="245" t="str">
        <f ca="1">IF(CommitmentsTable[[#This Row],[Date Assigned if different from entry date]]&lt;&gt;"",CommitmentsTable[[#This Row],[Date Assigned if different from entry date]]+30,IF(CommitmentsTable[[#This Row],[Date record entered]]&lt;&gt;"",CommitmentsTable[[#This Row],[Date record entered]]+30,""))</f>
        <v/>
      </c>
      <c r="K1280" s="245"/>
      <c r="L1280" s="245" t="str">
        <f ca="1">IF(CommitmentsTable[[#This Row],[Date Assigned if different from entry date]]&lt;&gt;"",CommitmentsTable[[#This Row],[Date Assigned if different from entry date]]+60,IF(CommitmentsTable[[#This Row],[Date record entered]]&lt;&gt;"",CommitmentsTable[[#This Row],[Date record entered]]+60,""))</f>
        <v/>
      </c>
      <c r="M1280" s="214"/>
      <c r="N1280" s="214"/>
      <c r="O1280" s="236"/>
      <c r="P1280" s="214"/>
      <c r="Q1280" s="214"/>
      <c r="R1280" s="214"/>
      <c r="S1280" s="238" t="str">
        <f>IF(CommitmentsTable[[#This Row],[Commitment / deliverable]]="","",IF(CommitmentsTable[[#This Row],[Revised due]]&lt;&gt;"",CommitmentsTable[[#This Row],[Revised due]],CommitmentsTable[[#This Row],[Original due]]))</f>
        <v/>
      </c>
      <c r="T1280" s="237" t="str">
        <f>IF(OR(CommitmentsTable[[#This Row],[Commitment / deliverable]]="",CommitmentsTable[[#This Row],[Owner]]=""),"",IF(CommitmentsTable[[#This Row],[Status2]]="","Open",CommitmentsTable[[#This Row],[Status2]]))</f>
        <v/>
      </c>
      <c r="U1280" s="237" t="str">
        <f t="shared" ca="1" si="19"/>
        <v/>
      </c>
      <c r="V1280" s="233"/>
      <c r="W1280" s="63" t="s">
        <v>2182</v>
      </c>
    </row>
    <row r="1281" spans="1:23" ht="26">
      <c r="A1281" s="213" t="str">
        <f>IF(OR(CommitmentsTable[[#This Row],[Commitment / deliverable]]="",CommitmentsTable[[#This Row],[Immutable Key]]=""),"",SUBSTITUTE(CommitmentsTable[[#This Row],[Immutable Key]],"-K-","-"))</f>
        <v/>
      </c>
      <c r="B1281" s="233"/>
      <c r="C1281" s="233"/>
      <c r="D1281" s="213"/>
      <c r="E1281" s="230"/>
      <c r="F1281" s="213"/>
      <c r="G1281" s="245" t="str">
        <f ca="1">IF(CommitmentsTable[[#This Row],[Commitment / deliverable]]="","",IF(CommitmentsTable[[#This Row],[Date record entered]]="",TODAY(),CommitmentsTable[[#This Row],[Date record entered]]))</f>
        <v/>
      </c>
      <c r="H1281" s="245"/>
      <c r="I1281" s="245" t="str">
        <f ca="1">IF(CommitmentsTable[[#This Row],[Date Assigned if different from entry date]]&lt;&gt;"",CommitmentsTable[[#This Row],[Date Assigned if different from entry date]]+90,IF(CommitmentsTable[[#This Row],[Date record entered]]&lt;&gt;"",CommitmentsTable[[#This Row],[Date record entered]]+90,""))</f>
        <v/>
      </c>
      <c r="J1281" s="245" t="str">
        <f ca="1">IF(CommitmentsTable[[#This Row],[Date Assigned if different from entry date]]&lt;&gt;"",CommitmentsTable[[#This Row],[Date Assigned if different from entry date]]+30,IF(CommitmentsTable[[#This Row],[Date record entered]]&lt;&gt;"",CommitmentsTable[[#This Row],[Date record entered]]+30,""))</f>
        <v/>
      </c>
      <c r="K1281" s="245"/>
      <c r="L1281" s="245" t="str">
        <f ca="1">IF(CommitmentsTable[[#This Row],[Date Assigned if different from entry date]]&lt;&gt;"",CommitmentsTable[[#This Row],[Date Assigned if different from entry date]]+60,IF(CommitmentsTable[[#This Row],[Date record entered]]&lt;&gt;"",CommitmentsTable[[#This Row],[Date record entered]]+60,""))</f>
        <v/>
      </c>
      <c r="M1281" s="214"/>
      <c r="N1281" s="214"/>
      <c r="O1281" s="236"/>
      <c r="P1281" s="214"/>
      <c r="Q1281" s="214"/>
      <c r="R1281" s="214"/>
      <c r="S1281" s="238" t="str">
        <f>IF(CommitmentsTable[[#This Row],[Commitment / deliverable]]="","",IF(CommitmentsTable[[#This Row],[Revised due]]&lt;&gt;"",CommitmentsTable[[#This Row],[Revised due]],CommitmentsTable[[#This Row],[Original due]]))</f>
        <v/>
      </c>
      <c r="T1281" s="237" t="str">
        <f>IF(OR(CommitmentsTable[[#This Row],[Commitment / deliverable]]="",CommitmentsTable[[#This Row],[Owner]]=""),"",IF(CommitmentsTable[[#This Row],[Status2]]="","Open",CommitmentsTable[[#This Row],[Status2]]))</f>
        <v/>
      </c>
      <c r="U1281" s="237" t="str">
        <f t="shared" ca="1" si="19"/>
        <v/>
      </c>
      <c r="V1281" s="233"/>
      <c r="W1281" s="63" t="s">
        <v>2183</v>
      </c>
    </row>
    <row r="1282" spans="1:23" ht="26">
      <c r="A1282" s="213" t="str">
        <f>IF(OR(CommitmentsTable[[#This Row],[Commitment / deliverable]]="",CommitmentsTable[[#This Row],[Immutable Key]]=""),"",SUBSTITUTE(CommitmentsTable[[#This Row],[Immutable Key]],"-K-","-"))</f>
        <v/>
      </c>
      <c r="B1282" s="233"/>
      <c r="C1282" s="233"/>
      <c r="D1282" s="213"/>
      <c r="E1282" s="230"/>
      <c r="F1282" s="213"/>
      <c r="G1282" s="245" t="str">
        <f ca="1">IF(CommitmentsTable[[#This Row],[Commitment / deliverable]]="","",IF(CommitmentsTable[[#This Row],[Date record entered]]="",TODAY(),CommitmentsTable[[#This Row],[Date record entered]]))</f>
        <v/>
      </c>
      <c r="H1282" s="245"/>
      <c r="I1282" s="245" t="str">
        <f ca="1">IF(CommitmentsTable[[#This Row],[Date Assigned if different from entry date]]&lt;&gt;"",CommitmentsTable[[#This Row],[Date Assigned if different from entry date]]+90,IF(CommitmentsTable[[#This Row],[Date record entered]]&lt;&gt;"",CommitmentsTable[[#This Row],[Date record entered]]+90,""))</f>
        <v/>
      </c>
      <c r="J1282" s="245" t="str">
        <f ca="1">IF(CommitmentsTable[[#This Row],[Date Assigned if different from entry date]]&lt;&gt;"",CommitmentsTable[[#This Row],[Date Assigned if different from entry date]]+30,IF(CommitmentsTable[[#This Row],[Date record entered]]&lt;&gt;"",CommitmentsTable[[#This Row],[Date record entered]]+30,""))</f>
        <v/>
      </c>
      <c r="K1282" s="245"/>
      <c r="L1282" s="245" t="str">
        <f ca="1">IF(CommitmentsTable[[#This Row],[Date Assigned if different from entry date]]&lt;&gt;"",CommitmentsTable[[#This Row],[Date Assigned if different from entry date]]+60,IF(CommitmentsTable[[#This Row],[Date record entered]]&lt;&gt;"",CommitmentsTable[[#This Row],[Date record entered]]+60,""))</f>
        <v/>
      </c>
      <c r="M1282" s="214"/>
      <c r="N1282" s="214"/>
      <c r="O1282" s="236"/>
      <c r="P1282" s="214"/>
      <c r="Q1282" s="214"/>
      <c r="R1282" s="214"/>
      <c r="S1282" s="238" t="str">
        <f>IF(CommitmentsTable[[#This Row],[Commitment / deliverable]]="","",IF(CommitmentsTable[[#This Row],[Revised due]]&lt;&gt;"",CommitmentsTable[[#This Row],[Revised due]],CommitmentsTable[[#This Row],[Original due]]))</f>
        <v/>
      </c>
      <c r="T1282" s="237" t="str">
        <f>IF(OR(CommitmentsTable[[#This Row],[Commitment / deliverable]]="",CommitmentsTable[[#This Row],[Owner]]=""),"",IF(CommitmentsTable[[#This Row],[Status2]]="","Open",CommitmentsTable[[#This Row],[Status2]]))</f>
        <v/>
      </c>
      <c r="U1282" s="237" t="str">
        <f t="shared" ca="1" si="19"/>
        <v/>
      </c>
      <c r="V1282" s="233"/>
      <c r="W1282" s="63" t="s">
        <v>2184</v>
      </c>
    </row>
    <row r="1283" spans="1:23" ht="26">
      <c r="A1283" s="213" t="str">
        <f>IF(OR(CommitmentsTable[[#This Row],[Commitment / deliverable]]="",CommitmentsTable[[#This Row],[Immutable Key]]=""),"",SUBSTITUTE(CommitmentsTable[[#This Row],[Immutable Key]],"-K-","-"))</f>
        <v/>
      </c>
      <c r="B1283" s="233"/>
      <c r="C1283" s="233"/>
      <c r="D1283" s="213"/>
      <c r="E1283" s="230"/>
      <c r="F1283" s="213"/>
      <c r="G1283" s="245" t="str">
        <f ca="1">IF(CommitmentsTable[[#This Row],[Commitment / deliverable]]="","",IF(CommitmentsTable[[#This Row],[Date record entered]]="",TODAY(),CommitmentsTable[[#This Row],[Date record entered]]))</f>
        <v/>
      </c>
      <c r="H1283" s="245"/>
      <c r="I1283" s="245" t="str">
        <f ca="1">IF(CommitmentsTable[[#This Row],[Date Assigned if different from entry date]]&lt;&gt;"",CommitmentsTable[[#This Row],[Date Assigned if different from entry date]]+90,IF(CommitmentsTable[[#This Row],[Date record entered]]&lt;&gt;"",CommitmentsTable[[#This Row],[Date record entered]]+90,""))</f>
        <v/>
      </c>
      <c r="J1283" s="245" t="str">
        <f ca="1">IF(CommitmentsTable[[#This Row],[Date Assigned if different from entry date]]&lt;&gt;"",CommitmentsTable[[#This Row],[Date Assigned if different from entry date]]+30,IF(CommitmentsTable[[#This Row],[Date record entered]]&lt;&gt;"",CommitmentsTable[[#This Row],[Date record entered]]+30,""))</f>
        <v/>
      </c>
      <c r="K1283" s="245"/>
      <c r="L1283" s="245" t="str">
        <f ca="1">IF(CommitmentsTable[[#This Row],[Date Assigned if different from entry date]]&lt;&gt;"",CommitmentsTable[[#This Row],[Date Assigned if different from entry date]]+60,IF(CommitmentsTable[[#This Row],[Date record entered]]&lt;&gt;"",CommitmentsTable[[#This Row],[Date record entered]]+60,""))</f>
        <v/>
      </c>
      <c r="M1283" s="214"/>
      <c r="N1283" s="214"/>
      <c r="O1283" s="236"/>
      <c r="P1283" s="214"/>
      <c r="Q1283" s="214"/>
      <c r="R1283" s="214"/>
      <c r="S1283" s="238" t="str">
        <f>IF(CommitmentsTable[[#This Row],[Commitment / deliverable]]="","",IF(CommitmentsTable[[#This Row],[Revised due]]&lt;&gt;"",CommitmentsTable[[#This Row],[Revised due]],CommitmentsTable[[#This Row],[Original due]]))</f>
        <v/>
      </c>
      <c r="T1283" s="237" t="str">
        <f>IF(OR(CommitmentsTable[[#This Row],[Commitment / deliverable]]="",CommitmentsTable[[#This Row],[Owner]]=""),"",IF(CommitmentsTable[[#This Row],[Status2]]="","Open",CommitmentsTable[[#This Row],[Status2]]))</f>
        <v/>
      </c>
      <c r="U1283" s="237" t="str">
        <f t="shared" ca="1" si="19"/>
        <v/>
      </c>
      <c r="V1283" s="233"/>
      <c r="W1283" s="63" t="s">
        <v>2185</v>
      </c>
    </row>
    <row r="1284" spans="1:23" ht="26">
      <c r="A1284" s="213" t="str">
        <f>IF(OR(CommitmentsTable[[#This Row],[Commitment / deliverable]]="",CommitmentsTable[[#This Row],[Immutable Key]]=""),"",SUBSTITUTE(CommitmentsTable[[#This Row],[Immutable Key]],"-K-","-"))</f>
        <v/>
      </c>
      <c r="B1284" s="233"/>
      <c r="C1284" s="233"/>
      <c r="D1284" s="213"/>
      <c r="E1284" s="230"/>
      <c r="F1284" s="213"/>
      <c r="G1284" s="245" t="str">
        <f ca="1">IF(CommitmentsTable[[#This Row],[Commitment / deliverable]]="","",IF(CommitmentsTable[[#This Row],[Date record entered]]="",TODAY(),CommitmentsTable[[#This Row],[Date record entered]]))</f>
        <v/>
      </c>
      <c r="H1284" s="245"/>
      <c r="I1284" s="245" t="str">
        <f ca="1">IF(CommitmentsTable[[#This Row],[Date Assigned if different from entry date]]&lt;&gt;"",CommitmentsTable[[#This Row],[Date Assigned if different from entry date]]+90,IF(CommitmentsTable[[#This Row],[Date record entered]]&lt;&gt;"",CommitmentsTable[[#This Row],[Date record entered]]+90,""))</f>
        <v/>
      </c>
      <c r="J1284" s="245" t="str">
        <f ca="1">IF(CommitmentsTable[[#This Row],[Date Assigned if different from entry date]]&lt;&gt;"",CommitmentsTable[[#This Row],[Date Assigned if different from entry date]]+30,IF(CommitmentsTable[[#This Row],[Date record entered]]&lt;&gt;"",CommitmentsTable[[#This Row],[Date record entered]]+30,""))</f>
        <v/>
      </c>
      <c r="K1284" s="245"/>
      <c r="L1284" s="245" t="str">
        <f ca="1">IF(CommitmentsTable[[#This Row],[Date Assigned if different from entry date]]&lt;&gt;"",CommitmentsTable[[#This Row],[Date Assigned if different from entry date]]+60,IF(CommitmentsTable[[#This Row],[Date record entered]]&lt;&gt;"",CommitmentsTable[[#This Row],[Date record entered]]+60,""))</f>
        <v/>
      </c>
      <c r="M1284" s="214"/>
      <c r="N1284" s="214"/>
      <c r="O1284" s="236"/>
      <c r="P1284" s="214"/>
      <c r="Q1284" s="214"/>
      <c r="R1284" s="214"/>
      <c r="S1284" s="238" t="str">
        <f>IF(CommitmentsTable[[#This Row],[Commitment / deliverable]]="","",IF(CommitmentsTable[[#This Row],[Revised due]]&lt;&gt;"",CommitmentsTable[[#This Row],[Revised due]],CommitmentsTable[[#This Row],[Original due]]))</f>
        <v/>
      </c>
      <c r="T1284" s="237" t="str">
        <f>IF(OR(CommitmentsTable[[#This Row],[Commitment / deliverable]]="",CommitmentsTable[[#This Row],[Owner]]=""),"",IF(CommitmentsTable[[#This Row],[Status2]]="","Open",CommitmentsTable[[#This Row],[Status2]]))</f>
        <v/>
      </c>
      <c r="U1284" s="237" t="str">
        <f t="shared" ca="1" si="19"/>
        <v/>
      </c>
      <c r="V1284" s="233"/>
      <c r="W1284" s="63" t="s">
        <v>2186</v>
      </c>
    </row>
    <row r="1285" spans="1:23" ht="26">
      <c r="A1285" s="213" t="str">
        <f>IF(OR(CommitmentsTable[[#This Row],[Commitment / deliverable]]="",CommitmentsTable[[#This Row],[Immutable Key]]=""),"",SUBSTITUTE(CommitmentsTable[[#This Row],[Immutable Key]],"-K-","-"))</f>
        <v/>
      </c>
      <c r="B1285" s="233"/>
      <c r="C1285" s="233"/>
      <c r="D1285" s="213"/>
      <c r="E1285" s="230"/>
      <c r="F1285" s="213"/>
      <c r="G1285" s="245" t="str">
        <f ca="1">IF(CommitmentsTable[[#This Row],[Commitment / deliverable]]="","",IF(CommitmentsTable[[#This Row],[Date record entered]]="",TODAY(),CommitmentsTable[[#This Row],[Date record entered]]))</f>
        <v/>
      </c>
      <c r="H1285" s="245"/>
      <c r="I1285" s="245" t="str">
        <f ca="1">IF(CommitmentsTable[[#This Row],[Date Assigned if different from entry date]]&lt;&gt;"",CommitmentsTable[[#This Row],[Date Assigned if different from entry date]]+90,IF(CommitmentsTable[[#This Row],[Date record entered]]&lt;&gt;"",CommitmentsTable[[#This Row],[Date record entered]]+90,""))</f>
        <v/>
      </c>
      <c r="J1285" s="245" t="str">
        <f ca="1">IF(CommitmentsTable[[#This Row],[Date Assigned if different from entry date]]&lt;&gt;"",CommitmentsTable[[#This Row],[Date Assigned if different from entry date]]+30,IF(CommitmentsTable[[#This Row],[Date record entered]]&lt;&gt;"",CommitmentsTable[[#This Row],[Date record entered]]+30,""))</f>
        <v/>
      </c>
      <c r="K1285" s="245"/>
      <c r="L1285" s="245" t="str">
        <f ca="1">IF(CommitmentsTable[[#This Row],[Date Assigned if different from entry date]]&lt;&gt;"",CommitmentsTable[[#This Row],[Date Assigned if different from entry date]]+60,IF(CommitmentsTable[[#This Row],[Date record entered]]&lt;&gt;"",CommitmentsTable[[#This Row],[Date record entered]]+60,""))</f>
        <v/>
      </c>
      <c r="M1285" s="214"/>
      <c r="N1285" s="214"/>
      <c r="O1285" s="236"/>
      <c r="P1285" s="214"/>
      <c r="Q1285" s="214"/>
      <c r="R1285" s="214"/>
      <c r="S1285" s="238" t="str">
        <f>IF(CommitmentsTable[[#This Row],[Commitment / deliverable]]="","",IF(CommitmentsTable[[#This Row],[Revised due]]&lt;&gt;"",CommitmentsTable[[#This Row],[Revised due]],CommitmentsTable[[#This Row],[Original due]]))</f>
        <v/>
      </c>
      <c r="T1285" s="237" t="str">
        <f>IF(OR(CommitmentsTable[[#This Row],[Commitment / deliverable]]="",CommitmentsTable[[#This Row],[Owner]]=""),"",IF(CommitmentsTable[[#This Row],[Status2]]="","Open",CommitmentsTable[[#This Row],[Status2]]))</f>
        <v/>
      </c>
      <c r="U1285" s="237" t="str">
        <f t="shared" ca="1" si="19"/>
        <v/>
      </c>
      <c r="V1285" s="233"/>
      <c r="W1285" s="63" t="s">
        <v>2187</v>
      </c>
    </row>
    <row r="1286" spans="1:23" ht="26">
      <c r="A1286" s="213" t="str">
        <f>IF(OR(CommitmentsTable[[#This Row],[Commitment / deliverable]]="",CommitmentsTable[[#This Row],[Immutable Key]]=""),"",SUBSTITUTE(CommitmentsTable[[#This Row],[Immutable Key]],"-K-","-"))</f>
        <v/>
      </c>
      <c r="B1286" s="233"/>
      <c r="C1286" s="233"/>
      <c r="D1286" s="213"/>
      <c r="E1286" s="230"/>
      <c r="F1286" s="213"/>
      <c r="G1286" s="245" t="str">
        <f ca="1">IF(CommitmentsTable[[#This Row],[Commitment / deliverable]]="","",IF(CommitmentsTable[[#This Row],[Date record entered]]="",TODAY(),CommitmentsTable[[#This Row],[Date record entered]]))</f>
        <v/>
      </c>
      <c r="H1286" s="245"/>
      <c r="I1286" s="245" t="str">
        <f ca="1">IF(CommitmentsTable[[#This Row],[Date Assigned if different from entry date]]&lt;&gt;"",CommitmentsTable[[#This Row],[Date Assigned if different from entry date]]+90,IF(CommitmentsTable[[#This Row],[Date record entered]]&lt;&gt;"",CommitmentsTable[[#This Row],[Date record entered]]+90,""))</f>
        <v/>
      </c>
      <c r="J1286" s="245" t="str">
        <f ca="1">IF(CommitmentsTable[[#This Row],[Date Assigned if different from entry date]]&lt;&gt;"",CommitmentsTable[[#This Row],[Date Assigned if different from entry date]]+30,IF(CommitmentsTable[[#This Row],[Date record entered]]&lt;&gt;"",CommitmentsTable[[#This Row],[Date record entered]]+30,""))</f>
        <v/>
      </c>
      <c r="K1286" s="245"/>
      <c r="L1286" s="245" t="str">
        <f ca="1">IF(CommitmentsTable[[#This Row],[Date Assigned if different from entry date]]&lt;&gt;"",CommitmentsTable[[#This Row],[Date Assigned if different from entry date]]+60,IF(CommitmentsTable[[#This Row],[Date record entered]]&lt;&gt;"",CommitmentsTable[[#This Row],[Date record entered]]+60,""))</f>
        <v/>
      </c>
      <c r="M1286" s="214"/>
      <c r="N1286" s="214"/>
      <c r="O1286" s="236"/>
      <c r="P1286" s="214"/>
      <c r="Q1286" s="214"/>
      <c r="R1286" s="214"/>
      <c r="S1286" s="238" t="str">
        <f>IF(CommitmentsTable[[#This Row],[Commitment / deliverable]]="","",IF(CommitmentsTable[[#This Row],[Revised due]]&lt;&gt;"",CommitmentsTable[[#This Row],[Revised due]],CommitmentsTable[[#This Row],[Original due]]))</f>
        <v/>
      </c>
      <c r="T1286" s="237" t="str">
        <f>IF(OR(CommitmentsTable[[#This Row],[Commitment / deliverable]]="",CommitmentsTable[[#This Row],[Owner]]=""),"",IF(CommitmentsTable[[#This Row],[Status2]]="","Open",CommitmentsTable[[#This Row],[Status2]]))</f>
        <v/>
      </c>
      <c r="U1286" s="237" t="str">
        <f t="shared" ca="1" si="19"/>
        <v/>
      </c>
      <c r="V1286" s="233"/>
      <c r="W1286" s="63" t="s">
        <v>2188</v>
      </c>
    </row>
    <row r="1287" spans="1:23" ht="26">
      <c r="A1287" s="213" t="str">
        <f>IF(OR(CommitmentsTable[[#This Row],[Commitment / deliverable]]="",CommitmentsTable[[#This Row],[Immutable Key]]=""),"",SUBSTITUTE(CommitmentsTable[[#This Row],[Immutable Key]],"-K-","-"))</f>
        <v/>
      </c>
      <c r="B1287" s="233"/>
      <c r="C1287" s="233"/>
      <c r="D1287" s="213"/>
      <c r="E1287" s="230"/>
      <c r="F1287" s="213"/>
      <c r="G1287" s="245" t="str">
        <f ca="1">IF(CommitmentsTable[[#This Row],[Commitment / deliverable]]="","",IF(CommitmentsTable[[#This Row],[Date record entered]]="",TODAY(),CommitmentsTable[[#This Row],[Date record entered]]))</f>
        <v/>
      </c>
      <c r="H1287" s="245"/>
      <c r="I1287" s="245" t="str">
        <f ca="1">IF(CommitmentsTable[[#This Row],[Date Assigned if different from entry date]]&lt;&gt;"",CommitmentsTable[[#This Row],[Date Assigned if different from entry date]]+90,IF(CommitmentsTable[[#This Row],[Date record entered]]&lt;&gt;"",CommitmentsTable[[#This Row],[Date record entered]]+90,""))</f>
        <v/>
      </c>
      <c r="J1287" s="245" t="str">
        <f ca="1">IF(CommitmentsTable[[#This Row],[Date Assigned if different from entry date]]&lt;&gt;"",CommitmentsTable[[#This Row],[Date Assigned if different from entry date]]+30,IF(CommitmentsTable[[#This Row],[Date record entered]]&lt;&gt;"",CommitmentsTable[[#This Row],[Date record entered]]+30,""))</f>
        <v/>
      </c>
      <c r="K1287" s="245"/>
      <c r="L1287" s="245" t="str">
        <f ca="1">IF(CommitmentsTable[[#This Row],[Date Assigned if different from entry date]]&lt;&gt;"",CommitmentsTable[[#This Row],[Date Assigned if different from entry date]]+60,IF(CommitmentsTable[[#This Row],[Date record entered]]&lt;&gt;"",CommitmentsTable[[#This Row],[Date record entered]]+60,""))</f>
        <v/>
      </c>
      <c r="M1287" s="214"/>
      <c r="N1287" s="214"/>
      <c r="O1287" s="236"/>
      <c r="P1287" s="214"/>
      <c r="Q1287" s="214"/>
      <c r="R1287" s="214"/>
      <c r="S1287" s="238" t="str">
        <f>IF(CommitmentsTable[[#This Row],[Commitment / deliverable]]="","",IF(CommitmentsTable[[#This Row],[Revised due]]&lt;&gt;"",CommitmentsTable[[#This Row],[Revised due]],CommitmentsTable[[#This Row],[Original due]]))</f>
        <v/>
      </c>
      <c r="T1287" s="237" t="str">
        <f>IF(OR(CommitmentsTable[[#This Row],[Commitment / deliverable]]="",CommitmentsTable[[#This Row],[Owner]]=""),"",IF(CommitmentsTable[[#This Row],[Status2]]="","Open",CommitmentsTable[[#This Row],[Status2]]))</f>
        <v/>
      </c>
      <c r="U1287" s="237" t="str">
        <f t="shared" ca="1" si="19"/>
        <v/>
      </c>
      <c r="V1287" s="233"/>
      <c r="W1287" s="63" t="s">
        <v>2189</v>
      </c>
    </row>
    <row r="1288" spans="1:23" ht="26">
      <c r="A1288" s="213" t="str">
        <f>IF(OR(CommitmentsTable[[#This Row],[Commitment / deliverable]]="",CommitmentsTable[[#This Row],[Immutable Key]]=""),"",SUBSTITUTE(CommitmentsTable[[#This Row],[Immutable Key]],"-K-","-"))</f>
        <v/>
      </c>
      <c r="B1288" s="233"/>
      <c r="C1288" s="233"/>
      <c r="D1288" s="213"/>
      <c r="E1288" s="230"/>
      <c r="F1288" s="213"/>
      <c r="G1288" s="245" t="str">
        <f ca="1">IF(CommitmentsTable[[#This Row],[Commitment / deliverable]]="","",IF(CommitmentsTable[[#This Row],[Date record entered]]="",TODAY(),CommitmentsTable[[#This Row],[Date record entered]]))</f>
        <v/>
      </c>
      <c r="H1288" s="245"/>
      <c r="I1288" s="245" t="str">
        <f ca="1">IF(CommitmentsTable[[#This Row],[Date Assigned if different from entry date]]&lt;&gt;"",CommitmentsTable[[#This Row],[Date Assigned if different from entry date]]+90,IF(CommitmentsTable[[#This Row],[Date record entered]]&lt;&gt;"",CommitmentsTable[[#This Row],[Date record entered]]+90,""))</f>
        <v/>
      </c>
      <c r="J1288" s="245" t="str">
        <f ca="1">IF(CommitmentsTable[[#This Row],[Date Assigned if different from entry date]]&lt;&gt;"",CommitmentsTable[[#This Row],[Date Assigned if different from entry date]]+30,IF(CommitmentsTable[[#This Row],[Date record entered]]&lt;&gt;"",CommitmentsTable[[#This Row],[Date record entered]]+30,""))</f>
        <v/>
      </c>
      <c r="K1288" s="245"/>
      <c r="L1288" s="245" t="str">
        <f ca="1">IF(CommitmentsTable[[#This Row],[Date Assigned if different from entry date]]&lt;&gt;"",CommitmentsTable[[#This Row],[Date Assigned if different from entry date]]+60,IF(CommitmentsTable[[#This Row],[Date record entered]]&lt;&gt;"",CommitmentsTable[[#This Row],[Date record entered]]+60,""))</f>
        <v/>
      </c>
      <c r="M1288" s="214"/>
      <c r="N1288" s="214"/>
      <c r="O1288" s="236"/>
      <c r="P1288" s="214"/>
      <c r="Q1288" s="214"/>
      <c r="R1288" s="214"/>
      <c r="S1288" s="238" t="str">
        <f>IF(CommitmentsTable[[#This Row],[Commitment / deliverable]]="","",IF(CommitmentsTable[[#This Row],[Revised due]]&lt;&gt;"",CommitmentsTable[[#This Row],[Revised due]],CommitmentsTable[[#This Row],[Original due]]))</f>
        <v/>
      </c>
      <c r="T1288" s="237" t="str">
        <f>IF(OR(CommitmentsTable[[#This Row],[Commitment / deliverable]]="",CommitmentsTable[[#This Row],[Owner]]=""),"",IF(CommitmentsTable[[#This Row],[Status2]]="","Open",CommitmentsTable[[#This Row],[Status2]]))</f>
        <v/>
      </c>
      <c r="U1288" s="237" t="str">
        <f t="shared" ca="1" si="19"/>
        <v/>
      </c>
      <c r="V1288" s="233"/>
      <c r="W1288" s="63" t="s">
        <v>2190</v>
      </c>
    </row>
    <row r="1289" spans="1:23" ht="26">
      <c r="A1289" s="213" t="str">
        <f>IF(OR(CommitmentsTable[[#This Row],[Commitment / deliverable]]="",CommitmentsTable[[#This Row],[Immutable Key]]=""),"",SUBSTITUTE(CommitmentsTable[[#This Row],[Immutable Key]],"-K-","-"))</f>
        <v/>
      </c>
      <c r="B1289" s="233"/>
      <c r="C1289" s="233"/>
      <c r="D1289" s="213"/>
      <c r="E1289" s="230"/>
      <c r="F1289" s="213"/>
      <c r="G1289" s="245" t="str">
        <f ca="1">IF(CommitmentsTable[[#This Row],[Commitment / deliverable]]="","",IF(CommitmentsTable[[#This Row],[Date record entered]]="",TODAY(),CommitmentsTable[[#This Row],[Date record entered]]))</f>
        <v/>
      </c>
      <c r="H1289" s="245"/>
      <c r="I1289" s="245" t="str">
        <f ca="1">IF(CommitmentsTable[[#This Row],[Date Assigned if different from entry date]]&lt;&gt;"",CommitmentsTable[[#This Row],[Date Assigned if different from entry date]]+90,IF(CommitmentsTable[[#This Row],[Date record entered]]&lt;&gt;"",CommitmentsTable[[#This Row],[Date record entered]]+90,""))</f>
        <v/>
      </c>
      <c r="J1289" s="245" t="str">
        <f ca="1">IF(CommitmentsTable[[#This Row],[Date Assigned if different from entry date]]&lt;&gt;"",CommitmentsTable[[#This Row],[Date Assigned if different from entry date]]+30,IF(CommitmentsTable[[#This Row],[Date record entered]]&lt;&gt;"",CommitmentsTable[[#This Row],[Date record entered]]+30,""))</f>
        <v/>
      </c>
      <c r="K1289" s="245"/>
      <c r="L1289" s="245" t="str">
        <f ca="1">IF(CommitmentsTable[[#This Row],[Date Assigned if different from entry date]]&lt;&gt;"",CommitmentsTable[[#This Row],[Date Assigned if different from entry date]]+60,IF(CommitmentsTable[[#This Row],[Date record entered]]&lt;&gt;"",CommitmentsTable[[#This Row],[Date record entered]]+60,""))</f>
        <v/>
      </c>
      <c r="M1289" s="214"/>
      <c r="N1289" s="214"/>
      <c r="O1289" s="236"/>
      <c r="P1289" s="214"/>
      <c r="Q1289" s="214"/>
      <c r="R1289" s="214"/>
      <c r="S1289" s="238" t="str">
        <f>IF(CommitmentsTable[[#This Row],[Commitment / deliverable]]="","",IF(CommitmentsTable[[#This Row],[Revised due]]&lt;&gt;"",CommitmentsTable[[#This Row],[Revised due]],CommitmentsTable[[#This Row],[Original due]]))</f>
        <v/>
      </c>
      <c r="T1289" s="237" t="str">
        <f>IF(OR(CommitmentsTable[[#This Row],[Commitment / deliverable]]="",CommitmentsTable[[#This Row],[Owner]]=""),"",IF(CommitmentsTable[[#This Row],[Status2]]="","Open",CommitmentsTable[[#This Row],[Status2]]))</f>
        <v/>
      </c>
      <c r="U1289" s="237" t="str">
        <f t="shared" ca="1" si="19"/>
        <v/>
      </c>
      <c r="V1289" s="233"/>
      <c r="W1289" s="63" t="s">
        <v>2191</v>
      </c>
    </row>
    <row r="1290" spans="1:23" ht="26">
      <c r="A1290" s="213" t="str">
        <f>IF(OR(CommitmentsTable[[#This Row],[Commitment / deliverable]]="",CommitmentsTable[[#This Row],[Immutable Key]]=""),"",SUBSTITUTE(CommitmentsTable[[#This Row],[Immutable Key]],"-K-","-"))</f>
        <v/>
      </c>
      <c r="B1290" s="233"/>
      <c r="C1290" s="233"/>
      <c r="D1290" s="213"/>
      <c r="E1290" s="230"/>
      <c r="F1290" s="213"/>
      <c r="G1290" s="245" t="str">
        <f ca="1">IF(CommitmentsTable[[#This Row],[Commitment / deliverable]]="","",IF(CommitmentsTable[[#This Row],[Date record entered]]="",TODAY(),CommitmentsTable[[#This Row],[Date record entered]]))</f>
        <v/>
      </c>
      <c r="H1290" s="245"/>
      <c r="I1290" s="245" t="str">
        <f ca="1">IF(CommitmentsTable[[#This Row],[Date Assigned if different from entry date]]&lt;&gt;"",CommitmentsTable[[#This Row],[Date Assigned if different from entry date]]+90,IF(CommitmentsTable[[#This Row],[Date record entered]]&lt;&gt;"",CommitmentsTable[[#This Row],[Date record entered]]+90,""))</f>
        <v/>
      </c>
      <c r="J1290" s="245" t="str">
        <f ca="1">IF(CommitmentsTable[[#This Row],[Date Assigned if different from entry date]]&lt;&gt;"",CommitmentsTable[[#This Row],[Date Assigned if different from entry date]]+30,IF(CommitmentsTable[[#This Row],[Date record entered]]&lt;&gt;"",CommitmentsTable[[#This Row],[Date record entered]]+30,""))</f>
        <v/>
      </c>
      <c r="K1290" s="245"/>
      <c r="L1290" s="245" t="str">
        <f ca="1">IF(CommitmentsTable[[#This Row],[Date Assigned if different from entry date]]&lt;&gt;"",CommitmentsTable[[#This Row],[Date Assigned if different from entry date]]+60,IF(CommitmentsTable[[#This Row],[Date record entered]]&lt;&gt;"",CommitmentsTable[[#This Row],[Date record entered]]+60,""))</f>
        <v/>
      </c>
      <c r="M1290" s="214"/>
      <c r="N1290" s="214"/>
      <c r="O1290" s="236"/>
      <c r="P1290" s="214"/>
      <c r="Q1290" s="214"/>
      <c r="R1290" s="214"/>
      <c r="S1290" s="238" t="str">
        <f>IF(CommitmentsTable[[#This Row],[Commitment / deliverable]]="","",IF(CommitmentsTable[[#This Row],[Revised due]]&lt;&gt;"",CommitmentsTable[[#This Row],[Revised due]],CommitmentsTable[[#This Row],[Original due]]))</f>
        <v/>
      </c>
      <c r="T1290" s="237" t="str">
        <f>IF(OR(CommitmentsTable[[#This Row],[Commitment / deliverable]]="",CommitmentsTable[[#This Row],[Owner]]=""),"",IF(CommitmentsTable[[#This Row],[Status2]]="","Open",CommitmentsTable[[#This Row],[Status2]]))</f>
        <v/>
      </c>
      <c r="U1290" s="237" t="str">
        <f t="shared" ca="1" si="19"/>
        <v/>
      </c>
      <c r="V1290" s="233"/>
      <c r="W1290" s="63" t="s">
        <v>2192</v>
      </c>
    </row>
    <row r="1291" spans="1:23" ht="26">
      <c r="A1291" s="213" t="str">
        <f>IF(OR(CommitmentsTable[[#This Row],[Commitment / deliverable]]="",CommitmentsTable[[#This Row],[Immutable Key]]=""),"",SUBSTITUTE(CommitmentsTable[[#This Row],[Immutable Key]],"-K-","-"))</f>
        <v/>
      </c>
      <c r="B1291" s="233"/>
      <c r="C1291" s="233"/>
      <c r="D1291" s="213"/>
      <c r="E1291" s="230"/>
      <c r="F1291" s="213"/>
      <c r="G1291" s="245" t="str">
        <f ca="1">IF(CommitmentsTable[[#This Row],[Commitment / deliverable]]="","",IF(CommitmentsTable[[#This Row],[Date record entered]]="",TODAY(),CommitmentsTable[[#This Row],[Date record entered]]))</f>
        <v/>
      </c>
      <c r="H1291" s="245"/>
      <c r="I1291" s="245" t="str">
        <f ca="1">IF(CommitmentsTable[[#This Row],[Date Assigned if different from entry date]]&lt;&gt;"",CommitmentsTable[[#This Row],[Date Assigned if different from entry date]]+90,IF(CommitmentsTable[[#This Row],[Date record entered]]&lt;&gt;"",CommitmentsTable[[#This Row],[Date record entered]]+90,""))</f>
        <v/>
      </c>
      <c r="J1291" s="245" t="str">
        <f ca="1">IF(CommitmentsTable[[#This Row],[Date Assigned if different from entry date]]&lt;&gt;"",CommitmentsTable[[#This Row],[Date Assigned if different from entry date]]+30,IF(CommitmentsTable[[#This Row],[Date record entered]]&lt;&gt;"",CommitmentsTable[[#This Row],[Date record entered]]+30,""))</f>
        <v/>
      </c>
      <c r="K1291" s="245"/>
      <c r="L1291" s="245" t="str">
        <f ca="1">IF(CommitmentsTable[[#This Row],[Date Assigned if different from entry date]]&lt;&gt;"",CommitmentsTable[[#This Row],[Date Assigned if different from entry date]]+60,IF(CommitmentsTable[[#This Row],[Date record entered]]&lt;&gt;"",CommitmentsTable[[#This Row],[Date record entered]]+60,""))</f>
        <v/>
      </c>
      <c r="M1291" s="214"/>
      <c r="N1291" s="214"/>
      <c r="O1291" s="236"/>
      <c r="P1291" s="214"/>
      <c r="Q1291" s="214"/>
      <c r="R1291" s="214"/>
      <c r="S1291" s="238" t="str">
        <f>IF(CommitmentsTable[[#This Row],[Commitment / deliverable]]="","",IF(CommitmentsTable[[#This Row],[Revised due]]&lt;&gt;"",CommitmentsTable[[#This Row],[Revised due]],CommitmentsTable[[#This Row],[Original due]]))</f>
        <v/>
      </c>
      <c r="T1291" s="237" t="str">
        <f>IF(OR(CommitmentsTable[[#This Row],[Commitment / deliverable]]="",CommitmentsTable[[#This Row],[Owner]]=""),"",IF(CommitmentsTable[[#This Row],[Status2]]="","Open",CommitmentsTable[[#This Row],[Status2]]))</f>
        <v/>
      </c>
      <c r="U1291" s="237" t="str">
        <f t="shared" ca="1" si="19"/>
        <v/>
      </c>
      <c r="V1291" s="233"/>
      <c r="W1291" s="63" t="s">
        <v>2193</v>
      </c>
    </row>
    <row r="1292" spans="1:23" ht="26">
      <c r="A1292" s="213" t="str">
        <f>IF(OR(CommitmentsTable[[#This Row],[Commitment / deliverable]]="",CommitmentsTable[[#This Row],[Immutable Key]]=""),"",SUBSTITUTE(CommitmentsTable[[#This Row],[Immutable Key]],"-K-","-"))</f>
        <v/>
      </c>
      <c r="B1292" s="233"/>
      <c r="C1292" s="233"/>
      <c r="D1292" s="213"/>
      <c r="E1292" s="230"/>
      <c r="F1292" s="213"/>
      <c r="G1292" s="245" t="str">
        <f ca="1">IF(CommitmentsTable[[#This Row],[Commitment / deliverable]]="","",IF(CommitmentsTable[[#This Row],[Date record entered]]="",TODAY(),CommitmentsTable[[#This Row],[Date record entered]]))</f>
        <v/>
      </c>
      <c r="H1292" s="245"/>
      <c r="I1292" s="245" t="str">
        <f ca="1">IF(CommitmentsTable[[#This Row],[Date Assigned if different from entry date]]&lt;&gt;"",CommitmentsTable[[#This Row],[Date Assigned if different from entry date]]+90,IF(CommitmentsTable[[#This Row],[Date record entered]]&lt;&gt;"",CommitmentsTable[[#This Row],[Date record entered]]+90,""))</f>
        <v/>
      </c>
      <c r="J1292" s="245" t="str">
        <f ca="1">IF(CommitmentsTable[[#This Row],[Date Assigned if different from entry date]]&lt;&gt;"",CommitmentsTable[[#This Row],[Date Assigned if different from entry date]]+30,IF(CommitmentsTable[[#This Row],[Date record entered]]&lt;&gt;"",CommitmentsTable[[#This Row],[Date record entered]]+30,""))</f>
        <v/>
      </c>
      <c r="K1292" s="245"/>
      <c r="L1292" s="245" t="str">
        <f ca="1">IF(CommitmentsTable[[#This Row],[Date Assigned if different from entry date]]&lt;&gt;"",CommitmentsTable[[#This Row],[Date Assigned if different from entry date]]+60,IF(CommitmentsTable[[#This Row],[Date record entered]]&lt;&gt;"",CommitmentsTable[[#This Row],[Date record entered]]+60,""))</f>
        <v/>
      </c>
      <c r="M1292" s="214"/>
      <c r="N1292" s="214"/>
      <c r="O1292" s="236"/>
      <c r="P1292" s="214"/>
      <c r="Q1292" s="214"/>
      <c r="R1292" s="214"/>
      <c r="S1292" s="238" t="str">
        <f>IF(CommitmentsTable[[#This Row],[Commitment / deliverable]]="","",IF(CommitmentsTable[[#This Row],[Revised due]]&lt;&gt;"",CommitmentsTable[[#This Row],[Revised due]],CommitmentsTable[[#This Row],[Original due]]))</f>
        <v/>
      </c>
      <c r="T1292" s="237" t="str">
        <f>IF(OR(CommitmentsTable[[#This Row],[Commitment / deliverable]]="",CommitmentsTable[[#This Row],[Owner]]=""),"",IF(CommitmentsTable[[#This Row],[Status2]]="","Open",CommitmentsTable[[#This Row],[Status2]]))</f>
        <v/>
      </c>
      <c r="U1292" s="237" t="str">
        <f t="shared" ca="1" si="19"/>
        <v/>
      </c>
      <c r="V1292" s="233"/>
      <c r="W1292" s="63" t="s">
        <v>2194</v>
      </c>
    </row>
    <row r="1293" spans="1:23" ht="26">
      <c r="A1293" s="213" t="str">
        <f>IF(OR(CommitmentsTable[[#This Row],[Commitment / deliverable]]="",CommitmentsTable[[#This Row],[Immutable Key]]=""),"",SUBSTITUTE(CommitmentsTable[[#This Row],[Immutable Key]],"-K-","-"))</f>
        <v/>
      </c>
      <c r="B1293" s="233"/>
      <c r="C1293" s="233"/>
      <c r="D1293" s="213"/>
      <c r="E1293" s="230"/>
      <c r="F1293" s="213"/>
      <c r="G1293" s="245" t="str">
        <f ca="1">IF(CommitmentsTable[[#This Row],[Commitment / deliverable]]="","",IF(CommitmentsTable[[#This Row],[Date record entered]]="",TODAY(),CommitmentsTable[[#This Row],[Date record entered]]))</f>
        <v/>
      </c>
      <c r="H1293" s="245"/>
      <c r="I1293" s="245" t="str">
        <f ca="1">IF(CommitmentsTable[[#This Row],[Date Assigned if different from entry date]]&lt;&gt;"",CommitmentsTable[[#This Row],[Date Assigned if different from entry date]]+90,IF(CommitmentsTable[[#This Row],[Date record entered]]&lt;&gt;"",CommitmentsTable[[#This Row],[Date record entered]]+90,""))</f>
        <v/>
      </c>
      <c r="J1293" s="245" t="str">
        <f ca="1">IF(CommitmentsTable[[#This Row],[Date Assigned if different from entry date]]&lt;&gt;"",CommitmentsTable[[#This Row],[Date Assigned if different from entry date]]+30,IF(CommitmentsTable[[#This Row],[Date record entered]]&lt;&gt;"",CommitmentsTable[[#This Row],[Date record entered]]+30,""))</f>
        <v/>
      </c>
      <c r="K1293" s="245"/>
      <c r="L1293" s="245" t="str">
        <f ca="1">IF(CommitmentsTable[[#This Row],[Date Assigned if different from entry date]]&lt;&gt;"",CommitmentsTable[[#This Row],[Date Assigned if different from entry date]]+60,IF(CommitmentsTable[[#This Row],[Date record entered]]&lt;&gt;"",CommitmentsTable[[#This Row],[Date record entered]]+60,""))</f>
        <v/>
      </c>
      <c r="M1293" s="214"/>
      <c r="N1293" s="214"/>
      <c r="O1293" s="236"/>
      <c r="P1293" s="214"/>
      <c r="Q1293" s="214"/>
      <c r="R1293" s="214"/>
      <c r="S1293" s="238" t="str">
        <f>IF(CommitmentsTable[[#This Row],[Commitment / deliverable]]="","",IF(CommitmentsTable[[#This Row],[Revised due]]&lt;&gt;"",CommitmentsTable[[#This Row],[Revised due]],CommitmentsTable[[#This Row],[Original due]]))</f>
        <v/>
      </c>
      <c r="T1293" s="237" t="str">
        <f>IF(OR(CommitmentsTable[[#This Row],[Commitment / deliverable]]="",CommitmentsTable[[#This Row],[Owner]]=""),"",IF(CommitmentsTable[[#This Row],[Status2]]="","Open",CommitmentsTable[[#This Row],[Status2]]))</f>
        <v/>
      </c>
      <c r="U1293" s="237" t="str">
        <f t="shared" ref="U1293:U1356" ca="1" si="20">IF(B1293="","",IF(T1293="Closed","",IF(OR(T1293="Slipped",T1293="At risk",AND(S1293&lt;&gt;"",S1293&lt;TODAY())),"Slipped / at risk",IF(G1293=TODAY(),"New today",IF(S1293=TODAY()+1,"Due tomorrow","")))))</f>
        <v/>
      </c>
      <c r="V1293" s="233"/>
      <c r="W1293" s="63" t="s">
        <v>2195</v>
      </c>
    </row>
    <row r="1294" spans="1:23" ht="26">
      <c r="A1294" s="213" t="str">
        <f>IF(OR(CommitmentsTable[[#This Row],[Commitment / deliverable]]="",CommitmentsTable[[#This Row],[Immutable Key]]=""),"",SUBSTITUTE(CommitmentsTable[[#This Row],[Immutable Key]],"-K-","-"))</f>
        <v/>
      </c>
      <c r="B1294" s="233"/>
      <c r="C1294" s="233"/>
      <c r="D1294" s="213"/>
      <c r="E1294" s="230"/>
      <c r="F1294" s="213"/>
      <c r="G1294" s="245" t="str">
        <f ca="1">IF(CommitmentsTable[[#This Row],[Commitment / deliverable]]="","",IF(CommitmentsTable[[#This Row],[Date record entered]]="",TODAY(),CommitmentsTable[[#This Row],[Date record entered]]))</f>
        <v/>
      </c>
      <c r="H1294" s="245"/>
      <c r="I1294" s="245" t="str">
        <f ca="1">IF(CommitmentsTable[[#This Row],[Date Assigned if different from entry date]]&lt;&gt;"",CommitmentsTable[[#This Row],[Date Assigned if different from entry date]]+90,IF(CommitmentsTable[[#This Row],[Date record entered]]&lt;&gt;"",CommitmentsTable[[#This Row],[Date record entered]]+90,""))</f>
        <v/>
      </c>
      <c r="J1294" s="245" t="str">
        <f ca="1">IF(CommitmentsTable[[#This Row],[Date Assigned if different from entry date]]&lt;&gt;"",CommitmentsTable[[#This Row],[Date Assigned if different from entry date]]+30,IF(CommitmentsTable[[#This Row],[Date record entered]]&lt;&gt;"",CommitmentsTable[[#This Row],[Date record entered]]+30,""))</f>
        <v/>
      </c>
      <c r="K1294" s="245"/>
      <c r="L1294" s="245" t="str">
        <f ca="1">IF(CommitmentsTable[[#This Row],[Date Assigned if different from entry date]]&lt;&gt;"",CommitmentsTable[[#This Row],[Date Assigned if different from entry date]]+60,IF(CommitmentsTable[[#This Row],[Date record entered]]&lt;&gt;"",CommitmentsTable[[#This Row],[Date record entered]]+60,""))</f>
        <v/>
      </c>
      <c r="M1294" s="214"/>
      <c r="N1294" s="214"/>
      <c r="O1294" s="236"/>
      <c r="P1294" s="214"/>
      <c r="Q1294" s="214"/>
      <c r="R1294" s="214"/>
      <c r="S1294" s="238" t="str">
        <f>IF(CommitmentsTable[[#This Row],[Commitment / deliverable]]="","",IF(CommitmentsTable[[#This Row],[Revised due]]&lt;&gt;"",CommitmentsTable[[#This Row],[Revised due]],CommitmentsTable[[#This Row],[Original due]]))</f>
        <v/>
      </c>
      <c r="T1294" s="237" t="str">
        <f>IF(OR(CommitmentsTable[[#This Row],[Commitment / deliverable]]="",CommitmentsTable[[#This Row],[Owner]]=""),"",IF(CommitmentsTable[[#This Row],[Status2]]="","Open",CommitmentsTable[[#This Row],[Status2]]))</f>
        <v/>
      </c>
      <c r="U1294" s="237" t="str">
        <f t="shared" ca="1" si="20"/>
        <v/>
      </c>
      <c r="V1294" s="233"/>
      <c r="W1294" s="63" t="s">
        <v>2196</v>
      </c>
    </row>
    <row r="1295" spans="1:23" ht="26">
      <c r="A1295" s="213" t="str">
        <f>IF(OR(CommitmentsTable[[#This Row],[Commitment / deliverable]]="",CommitmentsTable[[#This Row],[Immutable Key]]=""),"",SUBSTITUTE(CommitmentsTable[[#This Row],[Immutable Key]],"-K-","-"))</f>
        <v/>
      </c>
      <c r="B1295" s="233"/>
      <c r="C1295" s="233"/>
      <c r="D1295" s="213"/>
      <c r="E1295" s="230"/>
      <c r="F1295" s="213"/>
      <c r="G1295" s="245" t="str">
        <f ca="1">IF(CommitmentsTable[[#This Row],[Commitment / deliverable]]="","",IF(CommitmentsTable[[#This Row],[Date record entered]]="",TODAY(),CommitmentsTable[[#This Row],[Date record entered]]))</f>
        <v/>
      </c>
      <c r="H1295" s="245"/>
      <c r="I1295" s="245" t="str">
        <f ca="1">IF(CommitmentsTable[[#This Row],[Date Assigned if different from entry date]]&lt;&gt;"",CommitmentsTable[[#This Row],[Date Assigned if different from entry date]]+90,IF(CommitmentsTable[[#This Row],[Date record entered]]&lt;&gt;"",CommitmentsTable[[#This Row],[Date record entered]]+90,""))</f>
        <v/>
      </c>
      <c r="J1295" s="245" t="str">
        <f ca="1">IF(CommitmentsTable[[#This Row],[Date Assigned if different from entry date]]&lt;&gt;"",CommitmentsTable[[#This Row],[Date Assigned if different from entry date]]+30,IF(CommitmentsTable[[#This Row],[Date record entered]]&lt;&gt;"",CommitmentsTable[[#This Row],[Date record entered]]+30,""))</f>
        <v/>
      </c>
      <c r="K1295" s="245"/>
      <c r="L1295" s="245" t="str">
        <f ca="1">IF(CommitmentsTable[[#This Row],[Date Assigned if different from entry date]]&lt;&gt;"",CommitmentsTable[[#This Row],[Date Assigned if different from entry date]]+60,IF(CommitmentsTable[[#This Row],[Date record entered]]&lt;&gt;"",CommitmentsTable[[#This Row],[Date record entered]]+60,""))</f>
        <v/>
      </c>
      <c r="M1295" s="214"/>
      <c r="N1295" s="214"/>
      <c r="O1295" s="236"/>
      <c r="P1295" s="214"/>
      <c r="Q1295" s="214"/>
      <c r="R1295" s="214"/>
      <c r="S1295" s="238" t="str">
        <f>IF(CommitmentsTable[[#This Row],[Commitment / deliverable]]="","",IF(CommitmentsTable[[#This Row],[Revised due]]&lt;&gt;"",CommitmentsTable[[#This Row],[Revised due]],CommitmentsTable[[#This Row],[Original due]]))</f>
        <v/>
      </c>
      <c r="T1295" s="237" t="str">
        <f>IF(OR(CommitmentsTable[[#This Row],[Commitment / deliverable]]="",CommitmentsTable[[#This Row],[Owner]]=""),"",IF(CommitmentsTable[[#This Row],[Status2]]="","Open",CommitmentsTable[[#This Row],[Status2]]))</f>
        <v/>
      </c>
      <c r="U1295" s="237" t="str">
        <f t="shared" ca="1" si="20"/>
        <v/>
      </c>
      <c r="V1295" s="233"/>
      <c r="W1295" s="63" t="s">
        <v>2197</v>
      </c>
    </row>
    <row r="1296" spans="1:23" ht="26">
      <c r="A1296" s="213" t="str">
        <f>IF(OR(CommitmentsTable[[#This Row],[Commitment / deliverable]]="",CommitmentsTable[[#This Row],[Immutable Key]]=""),"",SUBSTITUTE(CommitmentsTable[[#This Row],[Immutable Key]],"-K-","-"))</f>
        <v/>
      </c>
      <c r="B1296" s="233"/>
      <c r="C1296" s="233"/>
      <c r="D1296" s="213"/>
      <c r="E1296" s="230"/>
      <c r="F1296" s="213"/>
      <c r="G1296" s="245" t="str">
        <f ca="1">IF(CommitmentsTable[[#This Row],[Commitment / deliverable]]="","",IF(CommitmentsTable[[#This Row],[Date record entered]]="",TODAY(),CommitmentsTable[[#This Row],[Date record entered]]))</f>
        <v/>
      </c>
      <c r="H1296" s="245"/>
      <c r="I1296" s="245" t="str">
        <f ca="1">IF(CommitmentsTable[[#This Row],[Date Assigned if different from entry date]]&lt;&gt;"",CommitmentsTable[[#This Row],[Date Assigned if different from entry date]]+90,IF(CommitmentsTable[[#This Row],[Date record entered]]&lt;&gt;"",CommitmentsTable[[#This Row],[Date record entered]]+90,""))</f>
        <v/>
      </c>
      <c r="J1296" s="245" t="str">
        <f ca="1">IF(CommitmentsTable[[#This Row],[Date Assigned if different from entry date]]&lt;&gt;"",CommitmentsTable[[#This Row],[Date Assigned if different from entry date]]+30,IF(CommitmentsTable[[#This Row],[Date record entered]]&lt;&gt;"",CommitmentsTable[[#This Row],[Date record entered]]+30,""))</f>
        <v/>
      </c>
      <c r="K1296" s="245"/>
      <c r="L1296" s="245" t="str">
        <f ca="1">IF(CommitmentsTable[[#This Row],[Date Assigned if different from entry date]]&lt;&gt;"",CommitmentsTable[[#This Row],[Date Assigned if different from entry date]]+60,IF(CommitmentsTable[[#This Row],[Date record entered]]&lt;&gt;"",CommitmentsTable[[#This Row],[Date record entered]]+60,""))</f>
        <v/>
      </c>
      <c r="M1296" s="214"/>
      <c r="N1296" s="214"/>
      <c r="O1296" s="236"/>
      <c r="P1296" s="214"/>
      <c r="Q1296" s="214"/>
      <c r="R1296" s="214"/>
      <c r="S1296" s="238" t="str">
        <f>IF(CommitmentsTable[[#This Row],[Commitment / deliverable]]="","",IF(CommitmentsTable[[#This Row],[Revised due]]&lt;&gt;"",CommitmentsTable[[#This Row],[Revised due]],CommitmentsTable[[#This Row],[Original due]]))</f>
        <v/>
      </c>
      <c r="T1296" s="237" t="str">
        <f>IF(OR(CommitmentsTable[[#This Row],[Commitment / deliverable]]="",CommitmentsTable[[#This Row],[Owner]]=""),"",IF(CommitmentsTable[[#This Row],[Status2]]="","Open",CommitmentsTable[[#This Row],[Status2]]))</f>
        <v/>
      </c>
      <c r="U1296" s="237" t="str">
        <f t="shared" ca="1" si="20"/>
        <v/>
      </c>
      <c r="V1296" s="233"/>
      <c r="W1296" s="63" t="s">
        <v>2198</v>
      </c>
    </row>
    <row r="1297" spans="1:23" ht="26">
      <c r="A1297" s="213" t="str">
        <f>IF(OR(CommitmentsTable[[#This Row],[Commitment / deliverable]]="",CommitmentsTable[[#This Row],[Immutable Key]]=""),"",SUBSTITUTE(CommitmentsTable[[#This Row],[Immutable Key]],"-K-","-"))</f>
        <v/>
      </c>
      <c r="B1297" s="233"/>
      <c r="C1297" s="233"/>
      <c r="D1297" s="213"/>
      <c r="E1297" s="230"/>
      <c r="F1297" s="213"/>
      <c r="G1297" s="245" t="str">
        <f ca="1">IF(CommitmentsTable[[#This Row],[Commitment / deliverable]]="","",IF(CommitmentsTable[[#This Row],[Date record entered]]="",TODAY(),CommitmentsTable[[#This Row],[Date record entered]]))</f>
        <v/>
      </c>
      <c r="H1297" s="245"/>
      <c r="I1297" s="245" t="str">
        <f ca="1">IF(CommitmentsTable[[#This Row],[Date Assigned if different from entry date]]&lt;&gt;"",CommitmentsTable[[#This Row],[Date Assigned if different from entry date]]+90,IF(CommitmentsTable[[#This Row],[Date record entered]]&lt;&gt;"",CommitmentsTable[[#This Row],[Date record entered]]+90,""))</f>
        <v/>
      </c>
      <c r="J1297" s="245" t="str">
        <f ca="1">IF(CommitmentsTable[[#This Row],[Date Assigned if different from entry date]]&lt;&gt;"",CommitmentsTable[[#This Row],[Date Assigned if different from entry date]]+30,IF(CommitmentsTable[[#This Row],[Date record entered]]&lt;&gt;"",CommitmentsTable[[#This Row],[Date record entered]]+30,""))</f>
        <v/>
      </c>
      <c r="K1297" s="245"/>
      <c r="L1297" s="245" t="str">
        <f ca="1">IF(CommitmentsTable[[#This Row],[Date Assigned if different from entry date]]&lt;&gt;"",CommitmentsTable[[#This Row],[Date Assigned if different from entry date]]+60,IF(CommitmentsTable[[#This Row],[Date record entered]]&lt;&gt;"",CommitmentsTable[[#This Row],[Date record entered]]+60,""))</f>
        <v/>
      </c>
      <c r="M1297" s="214"/>
      <c r="N1297" s="214"/>
      <c r="O1297" s="236"/>
      <c r="P1297" s="214"/>
      <c r="Q1297" s="214"/>
      <c r="R1297" s="214"/>
      <c r="S1297" s="238" t="str">
        <f>IF(CommitmentsTable[[#This Row],[Commitment / deliverable]]="","",IF(CommitmentsTable[[#This Row],[Revised due]]&lt;&gt;"",CommitmentsTable[[#This Row],[Revised due]],CommitmentsTable[[#This Row],[Original due]]))</f>
        <v/>
      </c>
      <c r="T1297" s="237" t="str">
        <f>IF(OR(CommitmentsTable[[#This Row],[Commitment / deliverable]]="",CommitmentsTable[[#This Row],[Owner]]=""),"",IF(CommitmentsTable[[#This Row],[Status2]]="","Open",CommitmentsTable[[#This Row],[Status2]]))</f>
        <v/>
      </c>
      <c r="U1297" s="237" t="str">
        <f t="shared" ca="1" si="20"/>
        <v/>
      </c>
      <c r="V1297" s="233"/>
      <c r="W1297" s="63" t="s">
        <v>2199</v>
      </c>
    </row>
    <row r="1298" spans="1:23" ht="26">
      <c r="A1298" s="213" t="str">
        <f>IF(OR(CommitmentsTable[[#This Row],[Commitment / deliverable]]="",CommitmentsTable[[#This Row],[Immutable Key]]=""),"",SUBSTITUTE(CommitmentsTable[[#This Row],[Immutable Key]],"-K-","-"))</f>
        <v/>
      </c>
      <c r="B1298" s="233"/>
      <c r="C1298" s="233"/>
      <c r="D1298" s="213"/>
      <c r="E1298" s="230"/>
      <c r="F1298" s="213"/>
      <c r="G1298" s="245" t="str">
        <f ca="1">IF(CommitmentsTable[[#This Row],[Commitment / deliverable]]="","",IF(CommitmentsTable[[#This Row],[Date record entered]]="",TODAY(),CommitmentsTable[[#This Row],[Date record entered]]))</f>
        <v/>
      </c>
      <c r="H1298" s="245"/>
      <c r="I1298" s="245" t="str">
        <f ca="1">IF(CommitmentsTable[[#This Row],[Date Assigned if different from entry date]]&lt;&gt;"",CommitmentsTable[[#This Row],[Date Assigned if different from entry date]]+90,IF(CommitmentsTable[[#This Row],[Date record entered]]&lt;&gt;"",CommitmentsTable[[#This Row],[Date record entered]]+90,""))</f>
        <v/>
      </c>
      <c r="J1298" s="245" t="str">
        <f ca="1">IF(CommitmentsTable[[#This Row],[Date Assigned if different from entry date]]&lt;&gt;"",CommitmentsTable[[#This Row],[Date Assigned if different from entry date]]+30,IF(CommitmentsTable[[#This Row],[Date record entered]]&lt;&gt;"",CommitmentsTable[[#This Row],[Date record entered]]+30,""))</f>
        <v/>
      </c>
      <c r="K1298" s="245"/>
      <c r="L1298" s="245" t="str">
        <f ca="1">IF(CommitmentsTable[[#This Row],[Date Assigned if different from entry date]]&lt;&gt;"",CommitmentsTable[[#This Row],[Date Assigned if different from entry date]]+60,IF(CommitmentsTable[[#This Row],[Date record entered]]&lt;&gt;"",CommitmentsTable[[#This Row],[Date record entered]]+60,""))</f>
        <v/>
      </c>
      <c r="M1298" s="214"/>
      <c r="N1298" s="214"/>
      <c r="O1298" s="236"/>
      <c r="P1298" s="214"/>
      <c r="Q1298" s="214"/>
      <c r="R1298" s="214"/>
      <c r="S1298" s="238" t="str">
        <f>IF(CommitmentsTable[[#This Row],[Commitment / deliverable]]="","",IF(CommitmentsTable[[#This Row],[Revised due]]&lt;&gt;"",CommitmentsTable[[#This Row],[Revised due]],CommitmentsTable[[#This Row],[Original due]]))</f>
        <v/>
      </c>
      <c r="T1298" s="237" t="str">
        <f>IF(OR(CommitmentsTable[[#This Row],[Commitment / deliverable]]="",CommitmentsTable[[#This Row],[Owner]]=""),"",IF(CommitmentsTable[[#This Row],[Status2]]="","Open",CommitmentsTable[[#This Row],[Status2]]))</f>
        <v/>
      </c>
      <c r="U1298" s="237" t="str">
        <f t="shared" ca="1" si="20"/>
        <v/>
      </c>
      <c r="V1298" s="233"/>
      <c r="W1298" s="63" t="s">
        <v>2200</v>
      </c>
    </row>
    <row r="1299" spans="1:23" ht="26">
      <c r="A1299" s="213" t="str">
        <f>IF(OR(CommitmentsTable[[#This Row],[Commitment / deliverable]]="",CommitmentsTable[[#This Row],[Immutable Key]]=""),"",SUBSTITUTE(CommitmentsTable[[#This Row],[Immutable Key]],"-K-","-"))</f>
        <v/>
      </c>
      <c r="B1299" s="233"/>
      <c r="C1299" s="233"/>
      <c r="D1299" s="213"/>
      <c r="E1299" s="230"/>
      <c r="F1299" s="213"/>
      <c r="G1299" s="245" t="str">
        <f ca="1">IF(CommitmentsTable[[#This Row],[Commitment / deliverable]]="","",IF(CommitmentsTable[[#This Row],[Date record entered]]="",TODAY(),CommitmentsTable[[#This Row],[Date record entered]]))</f>
        <v/>
      </c>
      <c r="H1299" s="245"/>
      <c r="I1299" s="245" t="str">
        <f ca="1">IF(CommitmentsTable[[#This Row],[Date Assigned if different from entry date]]&lt;&gt;"",CommitmentsTable[[#This Row],[Date Assigned if different from entry date]]+90,IF(CommitmentsTable[[#This Row],[Date record entered]]&lt;&gt;"",CommitmentsTable[[#This Row],[Date record entered]]+90,""))</f>
        <v/>
      </c>
      <c r="J1299" s="245" t="str">
        <f ca="1">IF(CommitmentsTable[[#This Row],[Date Assigned if different from entry date]]&lt;&gt;"",CommitmentsTable[[#This Row],[Date Assigned if different from entry date]]+30,IF(CommitmentsTable[[#This Row],[Date record entered]]&lt;&gt;"",CommitmentsTable[[#This Row],[Date record entered]]+30,""))</f>
        <v/>
      </c>
      <c r="K1299" s="245"/>
      <c r="L1299" s="245" t="str">
        <f ca="1">IF(CommitmentsTable[[#This Row],[Date Assigned if different from entry date]]&lt;&gt;"",CommitmentsTable[[#This Row],[Date Assigned if different from entry date]]+60,IF(CommitmentsTable[[#This Row],[Date record entered]]&lt;&gt;"",CommitmentsTable[[#This Row],[Date record entered]]+60,""))</f>
        <v/>
      </c>
      <c r="M1299" s="214"/>
      <c r="N1299" s="214"/>
      <c r="O1299" s="236"/>
      <c r="P1299" s="214"/>
      <c r="Q1299" s="214"/>
      <c r="R1299" s="214"/>
      <c r="S1299" s="238" t="str">
        <f>IF(CommitmentsTable[[#This Row],[Commitment / deliverable]]="","",IF(CommitmentsTable[[#This Row],[Revised due]]&lt;&gt;"",CommitmentsTable[[#This Row],[Revised due]],CommitmentsTable[[#This Row],[Original due]]))</f>
        <v/>
      </c>
      <c r="T1299" s="237" t="str">
        <f>IF(OR(CommitmentsTable[[#This Row],[Commitment / deliverable]]="",CommitmentsTable[[#This Row],[Owner]]=""),"",IF(CommitmentsTable[[#This Row],[Status2]]="","Open",CommitmentsTable[[#This Row],[Status2]]))</f>
        <v/>
      </c>
      <c r="U1299" s="237" t="str">
        <f t="shared" ca="1" si="20"/>
        <v/>
      </c>
      <c r="V1299" s="233"/>
      <c r="W1299" s="63" t="s">
        <v>2201</v>
      </c>
    </row>
    <row r="1300" spans="1:23" ht="26">
      <c r="A1300" s="213" t="str">
        <f>IF(OR(CommitmentsTable[[#This Row],[Commitment / deliverable]]="",CommitmentsTable[[#This Row],[Immutable Key]]=""),"",SUBSTITUTE(CommitmentsTable[[#This Row],[Immutable Key]],"-K-","-"))</f>
        <v/>
      </c>
      <c r="B1300" s="233"/>
      <c r="C1300" s="233"/>
      <c r="D1300" s="213"/>
      <c r="E1300" s="230"/>
      <c r="F1300" s="213"/>
      <c r="G1300" s="245" t="str">
        <f ca="1">IF(CommitmentsTable[[#This Row],[Commitment / deliverable]]="","",IF(CommitmentsTable[[#This Row],[Date record entered]]="",TODAY(),CommitmentsTable[[#This Row],[Date record entered]]))</f>
        <v/>
      </c>
      <c r="H1300" s="245"/>
      <c r="I1300" s="245" t="str">
        <f ca="1">IF(CommitmentsTable[[#This Row],[Date Assigned if different from entry date]]&lt;&gt;"",CommitmentsTable[[#This Row],[Date Assigned if different from entry date]]+90,IF(CommitmentsTable[[#This Row],[Date record entered]]&lt;&gt;"",CommitmentsTable[[#This Row],[Date record entered]]+90,""))</f>
        <v/>
      </c>
      <c r="J1300" s="245" t="str">
        <f ca="1">IF(CommitmentsTable[[#This Row],[Date Assigned if different from entry date]]&lt;&gt;"",CommitmentsTable[[#This Row],[Date Assigned if different from entry date]]+30,IF(CommitmentsTable[[#This Row],[Date record entered]]&lt;&gt;"",CommitmentsTable[[#This Row],[Date record entered]]+30,""))</f>
        <v/>
      </c>
      <c r="K1300" s="245"/>
      <c r="L1300" s="245" t="str">
        <f ca="1">IF(CommitmentsTable[[#This Row],[Date Assigned if different from entry date]]&lt;&gt;"",CommitmentsTable[[#This Row],[Date Assigned if different from entry date]]+60,IF(CommitmentsTable[[#This Row],[Date record entered]]&lt;&gt;"",CommitmentsTable[[#This Row],[Date record entered]]+60,""))</f>
        <v/>
      </c>
      <c r="M1300" s="214"/>
      <c r="N1300" s="214"/>
      <c r="O1300" s="236"/>
      <c r="P1300" s="214"/>
      <c r="Q1300" s="214"/>
      <c r="R1300" s="214"/>
      <c r="S1300" s="238" t="str">
        <f>IF(CommitmentsTable[[#This Row],[Commitment / deliverable]]="","",IF(CommitmentsTable[[#This Row],[Revised due]]&lt;&gt;"",CommitmentsTable[[#This Row],[Revised due]],CommitmentsTable[[#This Row],[Original due]]))</f>
        <v/>
      </c>
      <c r="T1300" s="237" t="str">
        <f>IF(OR(CommitmentsTable[[#This Row],[Commitment / deliverable]]="",CommitmentsTable[[#This Row],[Owner]]=""),"",IF(CommitmentsTable[[#This Row],[Status2]]="","Open",CommitmentsTable[[#This Row],[Status2]]))</f>
        <v/>
      </c>
      <c r="U1300" s="237" t="str">
        <f t="shared" ca="1" si="20"/>
        <v/>
      </c>
      <c r="V1300" s="233"/>
      <c r="W1300" s="63" t="s">
        <v>2202</v>
      </c>
    </row>
    <row r="1301" spans="1:23" ht="26">
      <c r="A1301" s="213" t="str">
        <f>IF(OR(CommitmentsTable[[#This Row],[Commitment / deliverable]]="",CommitmentsTable[[#This Row],[Immutable Key]]=""),"",SUBSTITUTE(CommitmentsTable[[#This Row],[Immutable Key]],"-K-","-"))</f>
        <v/>
      </c>
      <c r="B1301" s="233"/>
      <c r="C1301" s="233"/>
      <c r="D1301" s="213"/>
      <c r="E1301" s="230"/>
      <c r="F1301" s="213"/>
      <c r="G1301" s="245" t="str">
        <f ca="1">IF(CommitmentsTable[[#This Row],[Commitment / deliverable]]="","",IF(CommitmentsTable[[#This Row],[Date record entered]]="",TODAY(),CommitmentsTable[[#This Row],[Date record entered]]))</f>
        <v/>
      </c>
      <c r="H1301" s="245"/>
      <c r="I1301" s="245" t="str">
        <f ca="1">IF(CommitmentsTable[[#This Row],[Date Assigned if different from entry date]]&lt;&gt;"",CommitmentsTable[[#This Row],[Date Assigned if different from entry date]]+90,IF(CommitmentsTable[[#This Row],[Date record entered]]&lt;&gt;"",CommitmentsTable[[#This Row],[Date record entered]]+90,""))</f>
        <v/>
      </c>
      <c r="J1301" s="245" t="str">
        <f ca="1">IF(CommitmentsTable[[#This Row],[Date Assigned if different from entry date]]&lt;&gt;"",CommitmentsTable[[#This Row],[Date Assigned if different from entry date]]+30,IF(CommitmentsTable[[#This Row],[Date record entered]]&lt;&gt;"",CommitmentsTable[[#This Row],[Date record entered]]+30,""))</f>
        <v/>
      </c>
      <c r="K1301" s="245"/>
      <c r="L1301" s="245" t="str">
        <f ca="1">IF(CommitmentsTable[[#This Row],[Date Assigned if different from entry date]]&lt;&gt;"",CommitmentsTable[[#This Row],[Date Assigned if different from entry date]]+60,IF(CommitmentsTable[[#This Row],[Date record entered]]&lt;&gt;"",CommitmentsTable[[#This Row],[Date record entered]]+60,""))</f>
        <v/>
      </c>
      <c r="M1301" s="214"/>
      <c r="N1301" s="214"/>
      <c r="O1301" s="236"/>
      <c r="P1301" s="214"/>
      <c r="Q1301" s="214"/>
      <c r="R1301" s="214"/>
      <c r="S1301" s="238" t="str">
        <f>IF(CommitmentsTable[[#This Row],[Commitment / deliverable]]="","",IF(CommitmentsTable[[#This Row],[Revised due]]&lt;&gt;"",CommitmentsTable[[#This Row],[Revised due]],CommitmentsTable[[#This Row],[Original due]]))</f>
        <v/>
      </c>
      <c r="T1301" s="237" t="str">
        <f>IF(OR(CommitmentsTable[[#This Row],[Commitment / deliverable]]="",CommitmentsTable[[#This Row],[Owner]]=""),"",IF(CommitmentsTable[[#This Row],[Status2]]="","Open",CommitmentsTable[[#This Row],[Status2]]))</f>
        <v/>
      </c>
      <c r="U1301" s="237" t="str">
        <f t="shared" ca="1" si="20"/>
        <v/>
      </c>
      <c r="V1301" s="233"/>
      <c r="W1301" s="63" t="s">
        <v>2203</v>
      </c>
    </row>
    <row r="1302" spans="1:23" ht="26">
      <c r="A1302" s="213" t="str">
        <f>IF(OR(CommitmentsTable[[#This Row],[Commitment / deliverable]]="",CommitmentsTable[[#This Row],[Immutable Key]]=""),"",SUBSTITUTE(CommitmentsTable[[#This Row],[Immutable Key]],"-K-","-"))</f>
        <v/>
      </c>
      <c r="B1302" s="233"/>
      <c r="C1302" s="233"/>
      <c r="D1302" s="213"/>
      <c r="E1302" s="230"/>
      <c r="F1302" s="213"/>
      <c r="G1302" s="245" t="str">
        <f ca="1">IF(CommitmentsTable[[#This Row],[Commitment / deliverable]]="","",IF(CommitmentsTable[[#This Row],[Date record entered]]="",TODAY(),CommitmentsTable[[#This Row],[Date record entered]]))</f>
        <v/>
      </c>
      <c r="H1302" s="245"/>
      <c r="I1302" s="245" t="str">
        <f ca="1">IF(CommitmentsTable[[#This Row],[Date Assigned if different from entry date]]&lt;&gt;"",CommitmentsTable[[#This Row],[Date Assigned if different from entry date]]+90,IF(CommitmentsTable[[#This Row],[Date record entered]]&lt;&gt;"",CommitmentsTable[[#This Row],[Date record entered]]+90,""))</f>
        <v/>
      </c>
      <c r="J1302" s="245" t="str">
        <f ca="1">IF(CommitmentsTable[[#This Row],[Date Assigned if different from entry date]]&lt;&gt;"",CommitmentsTable[[#This Row],[Date Assigned if different from entry date]]+30,IF(CommitmentsTable[[#This Row],[Date record entered]]&lt;&gt;"",CommitmentsTable[[#This Row],[Date record entered]]+30,""))</f>
        <v/>
      </c>
      <c r="K1302" s="245"/>
      <c r="L1302" s="245" t="str">
        <f ca="1">IF(CommitmentsTable[[#This Row],[Date Assigned if different from entry date]]&lt;&gt;"",CommitmentsTable[[#This Row],[Date Assigned if different from entry date]]+60,IF(CommitmentsTable[[#This Row],[Date record entered]]&lt;&gt;"",CommitmentsTable[[#This Row],[Date record entered]]+60,""))</f>
        <v/>
      </c>
      <c r="M1302" s="214"/>
      <c r="N1302" s="214"/>
      <c r="O1302" s="236"/>
      <c r="P1302" s="214"/>
      <c r="Q1302" s="214"/>
      <c r="R1302" s="214"/>
      <c r="S1302" s="238" t="str">
        <f>IF(CommitmentsTable[[#This Row],[Commitment / deliverable]]="","",IF(CommitmentsTable[[#This Row],[Revised due]]&lt;&gt;"",CommitmentsTable[[#This Row],[Revised due]],CommitmentsTable[[#This Row],[Original due]]))</f>
        <v/>
      </c>
      <c r="T1302" s="237" t="str">
        <f>IF(OR(CommitmentsTable[[#This Row],[Commitment / deliverable]]="",CommitmentsTable[[#This Row],[Owner]]=""),"",IF(CommitmentsTable[[#This Row],[Status2]]="","Open",CommitmentsTable[[#This Row],[Status2]]))</f>
        <v/>
      </c>
      <c r="U1302" s="237" t="str">
        <f t="shared" ca="1" si="20"/>
        <v/>
      </c>
      <c r="V1302" s="233"/>
      <c r="W1302" s="63" t="s">
        <v>2204</v>
      </c>
    </row>
    <row r="1303" spans="1:23" ht="26">
      <c r="A1303" s="213" t="str">
        <f>IF(OR(CommitmentsTable[[#This Row],[Commitment / deliverable]]="",CommitmentsTable[[#This Row],[Immutable Key]]=""),"",SUBSTITUTE(CommitmentsTable[[#This Row],[Immutable Key]],"-K-","-"))</f>
        <v/>
      </c>
      <c r="B1303" s="233"/>
      <c r="C1303" s="233"/>
      <c r="D1303" s="213"/>
      <c r="E1303" s="230"/>
      <c r="F1303" s="213"/>
      <c r="G1303" s="245" t="str">
        <f ca="1">IF(CommitmentsTable[[#This Row],[Commitment / deliverable]]="","",IF(CommitmentsTable[[#This Row],[Date record entered]]="",TODAY(),CommitmentsTable[[#This Row],[Date record entered]]))</f>
        <v/>
      </c>
      <c r="H1303" s="245"/>
      <c r="I1303" s="245" t="str">
        <f ca="1">IF(CommitmentsTable[[#This Row],[Date Assigned if different from entry date]]&lt;&gt;"",CommitmentsTable[[#This Row],[Date Assigned if different from entry date]]+90,IF(CommitmentsTable[[#This Row],[Date record entered]]&lt;&gt;"",CommitmentsTable[[#This Row],[Date record entered]]+90,""))</f>
        <v/>
      </c>
      <c r="J1303" s="245" t="str">
        <f ca="1">IF(CommitmentsTable[[#This Row],[Date Assigned if different from entry date]]&lt;&gt;"",CommitmentsTable[[#This Row],[Date Assigned if different from entry date]]+30,IF(CommitmentsTable[[#This Row],[Date record entered]]&lt;&gt;"",CommitmentsTable[[#This Row],[Date record entered]]+30,""))</f>
        <v/>
      </c>
      <c r="K1303" s="245"/>
      <c r="L1303" s="245" t="str">
        <f ca="1">IF(CommitmentsTable[[#This Row],[Date Assigned if different from entry date]]&lt;&gt;"",CommitmentsTable[[#This Row],[Date Assigned if different from entry date]]+60,IF(CommitmentsTable[[#This Row],[Date record entered]]&lt;&gt;"",CommitmentsTable[[#This Row],[Date record entered]]+60,""))</f>
        <v/>
      </c>
      <c r="M1303" s="214"/>
      <c r="N1303" s="214"/>
      <c r="O1303" s="236"/>
      <c r="P1303" s="214"/>
      <c r="Q1303" s="214"/>
      <c r="R1303" s="214"/>
      <c r="S1303" s="238" t="str">
        <f>IF(CommitmentsTable[[#This Row],[Commitment / deliverable]]="","",IF(CommitmentsTable[[#This Row],[Revised due]]&lt;&gt;"",CommitmentsTable[[#This Row],[Revised due]],CommitmentsTable[[#This Row],[Original due]]))</f>
        <v/>
      </c>
      <c r="T1303" s="237" t="str">
        <f>IF(OR(CommitmentsTable[[#This Row],[Commitment / deliverable]]="",CommitmentsTable[[#This Row],[Owner]]=""),"",IF(CommitmentsTable[[#This Row],[Status2]]="","Open",CommitmentsTable[[#This Row],[Status2]]))</f>
        <v/>
      </c>
      <c r="U1303" s="237" t="str">
        <f t="shared" ca="1" si="20"/>
        <v/>
      </c>
      <c r="V1303" s="233"/>
      <c r="W1303" s="63" t="s">
        <v>2205</v>
      </c>
    </row>
    <row r="1304" spans="1:23" ht="26">
      <c r="A1304" s="213" t="str">
        <f>IF(OR(CommitmentsTable[[#This Row],[Commitment / deliverable]]="",CommitmentsTable[[#This Row],[Immutable Key]]=""),"",SUBSTITUTE(CommitmentsTable[[#This Row],[Immutable Key]],"-K-","-"))</f>
        <v/>
      </c>
      <c r="B1304" s="233"/>
      <c r="C1304" s="233"/>
      <c r="D1304" s="213"/>
      <c r="E1304" s="230"/>
      <c r="F1304" s="213"/>
      <c r="G1304" s="245" t="str">
        <f ca="1">IF(CommitmentsTable[[#This Row],[Commitment / deliverable]]="","",IF(CommitmentsTable[[#This Row],[Date record entered]]="",TODAY(),CommitmentsTable[[#This Row],[Date record entered]]))</f>
        <v/>
      </c>
      <c r="H1304" s="245"/>
      <c r="I1304" s="245" t="str">
        <f ca="1">IF(CommitmentsTable[[#This Row],[Date Assigned if different from entry date]]&lt;&gt;"",CommitmentsTable[[#This Row],[Date Assigned if different from entry date]]+90,IF(CommitmentsTable[[#This Row],[Date record entered]]&lt;&gt;"",CommitmentsTable[[#This Row],[Date record entered]]+90,""))</f>
        <v/>
      </c>
      <c r="J1304" s="245" t="str">
        <f ca="1">IF(CommitmentsTable[[#This Row],[Date Assigned if different from entry date]]&lt;&gt;"",CommitmentsTable[[#This Row],[Date Assigned if different from entry date]]+30,IF(CommitmentsTable[[#This Row],[Date record entered]]&lt;&gt;"",CommitmentsTable[[#This Row],[Date record entered]]+30,""))</f>
        <v/>
      </c>
      <c r="K1304" s="245"/>
      <c r="L1304" s="245" t="str">
        <f ca="1">IF(CommitmentsTable[[#This Row],[Date Assigned if different from entry date]]&lt;&gt;"",CommitmentsTable[[#This Row],[Date Assigned if different from entry date]]+60,IF(CommitmentsTable[[#This Row],[Date record entered]]&lt;&gt;"",CommitmentsTable[[#This Row],[Date record entered]]+60,""))</f>
        <v/>
      </c>
      <c r="M1304" s="214"/>
      <c r="N1304" s="214"/>
      <c r="O1304" s="236"/>
      <c r="P1304" s="214"/>
      <c r="Q1304" s="214"/>
      <c r="R1304" s="214"/>
      <c r="S1304" s="238" t="str">
        <f>IF(CommitmentsTable[[#This Row],[Commitment / deliverable]]="","",IF(CommitmentsTable[[#This Row],[Revised due]]&lt;&gt;"",CommitmentsTable[[#This Row],[Revised due]],CommitmentsTable[[#This Row],[Original due]]))</f>
        <v/>
      </c>
      <c r="T1304" s="237" t="str">
        <f>IF(OR(CommitmentsTable[[#This Row],[Commitment / deliverable]]="",CommitmentsTable[[#This Row],[Owner]]=""),"",IF(CommitmentsTable[[#This Row],[Status2]]="","Open",CommitmentsTable[[#This Row],[Status2]]))</f>
        <v/>
      </c>
      <c r="U1304" s="237" t="str">
        <f t="shared" ca="1" si="20"/>
        <v/>
      </c>
      <c r="V1304" s="233"/>
      <c r="W1304" s="63" t="s">
        <v>2206</v>
      </c>
    </row>
    <row r="1305" spans="1:23" ht="26">
      <c r="A1305" s="213" t="str">
        <f>IF(OR(CommitmentsTable[[#This Row],[Commitment / deliverable]]="",CommitmentsTable[[#This Row],[Immutable Key]]=""),"",SUBSTITUTE(CommitmentsTable[[#This Row],[Immutable Key]],"-K-","-"))</f>
        <v/>
      </c>
      <c r="B1305" s="233"/>
      <c r="C1305" s="233"/>
      <c r="D1305" s="213"/>
      <c r="E1305" s="230"/>
      <c r="F1305" s="213"/>
      <c r="G1305" s="245" t="str">
        <f ca="1">IF(CommitmentsTable[[#This Row],[Commitment / deliverable]]="","",IF(CommitmentsTable[[#This Row],[Date record entered]]="",TODAY(),CommitmentsTable[[#This Row],[Date record entered]]))</f>
        <v/>
      </c>
      <c r="H1305" s="245"/>
      <c r="I1305" s="245" t="str">
        <f ca="1">IF(CommitmentsTable[[#This Row],[Date Assigned if different from entry date]]&lt;&gt;"",CommitmentsTable[[#This Row],[Date Assigned if different from entry date]]+90,IF(CommitmentsTable[[#This Row],[Date record entered]]&lt;&gt;"",CommitmentsTable[[#This Row],[Date record entered]]+90,""))</f>
        <v/>
      </c>
      <c r="J1305" s="245" t="str">
        <f ca="1">IF(CommitmentsTable[[#This Row],[Date Assigned if different from entry date]]&lt;&gt;"",CommitmentsTable[[#This Row],[Date Assigned if different from entry date]]+30,IF(CommitmentsTable[[#This Row],[Date record entered]]&lt;&gt;"",CommitmentsTable[[#This Row],[Date record entered]]+30,""))</f>
        <v/>
      </c>
      <c r="K1305" s="245"/>
      <c r="L1305" s="245" t="str">
        <f ca="1">IF(CommitmentsTable[[#This Row],[Date Assigned if different from entry date]]&lt;&gt;"",CommitmentsTable[[#This Row],[Date Assigned if different from entry date]]+60,IF(CommitmentsTable[[#This Row],[Date record entered]]&lt;&gt;"",CommitmentsTable[[#This Row],[Date record entered]]+60,""))</f>
        <v/>
      </c>
      <c r="M1305" s="214"/>
      <c r="N1305" s="214"/>
      <c r="O1305" s="236"/>
      <c r="P1305" s="214"/>
      <c r="Q1305" s="214"/>
      <c r="R1305" s="214"/>
      <c r="S1305" s="238" t="str">
        <f>IF(CommitmentsTable[[#This Row],[Commitment / deliverable]]="","",IF(CommitmentsTable[[#This Row],[Revised due]]&lt;&gt;"",CommitmentsTable[[#This Row],[Revised due]],CommitmentsTable[[#This Row],[Original due]]))</f>
        <v/>
      </c>
      <c r="T1305" s="237" t="str">
        <f>IF(OR(CommitmentsTable[[#This Row],[Commitment / deliverable]]="",CommitmentsTable[[#This Row],[Owner]]=""),"",IF(CommitmentsTable[[#This Row],[Status2]]="","Open",CommitmentsTable[[#This Row],[Status2]]))</f>
        <v/>
      </c>
      <c r="U1305" s="237" t="str">
        <f t="shared" ca="1" si="20"/>
        <v/>
      </c>
      <c r="V1305" s="233"/>
      <c r="W1305" s="63" t="s">
        <v>2207</v>
      </c>
    </row>
    <row r="1306" spans="1:23" ht="26">
      <c r="A1306" s="213" t="str">
        <f>IF(OR(CommitmentsTable[[#This Row],[Commitment / deliverable]]="",CommitmentsTable[[#This Row],[Immutable Key]]=""),"",SUBSTITUTE(CommitmentsTable[[#This Row],[Immutable Key]],"-K-","-"))</f>
        <v/>
      </c>
      <c r="B1306" s="233"/>
      <c r="C1306" s="233"/>
      <c r="D1306" s="213"/>
      <c r="E1306" s="230"/>
      <c r="F1306" s="213"/>
      <c r="G1306" s="245" t="str">
        <f ca="1">IF(CommitmentsTable[[#This Row],[Commitment / deliverable]]="","",IF(CommitmentsTable[[#This Row],[Date record entered]]="",TODAY(),CommitmentsTable[[#This Row],[Date record entered]]))</f>
        <v/>
      </c>
      <c r="H1306" s="245"/>
      <c r="I1306" s="245" t="str">
        <f ca="1">IF(CommitmentsTable[[#This Row],[Date Assigned if different from entry date]]&lt;&gt;"",CommitmentsTable[[#This Row],[Date Assigned if different from entry date]]+90,IF(CommitmentsTable[[#This Row],[Date record entered]]&lt;&gt;"",CommitmentsTable[[#This Row],[Date record entered]]+90,""))</f>
        <v/>
      </c>
      <c r="J1306" s="245" t="str">
        <f ca="1">IF(CommitmentsTable[[#This Row],[Date Assigned if different from entry date]]&lt;&gt;"",CommitmentsTable[[#This Row],[Date Assigned if different from entry date]]+30,IF(CommitmentsTable[[#This Row],[Date record entered]]&lt;&gt;"",CommitmentsTable[[#This Row],[Date record entered]]+30,""))</f>
        <v/>
      </c>
      <c r="K1306" s="245"/>
      <c r="L1306" s="245" t="str">
        <f ca="1">IF(CommitmentsTable[[#This Row],[Date Assigned if different from entry date]]&lt;&gt;"",CommitmentsTable[[#This Row],[Date Assigned if different from entry date]]+60,IF(CommitmentsTable[[#This Row],[Date record entered]]&lt;&gt;"",CommitmentsTable[[#This Row],[Date record entered]]+60,""))</f>
        <v/>
      </c>
      <c r="M1306" s="214"/>
      <c r="N1306" s="214"/>
      <c r="O1306" s="236"/>
      <c r="P1306" s="214"/>
      <c r="Q1306" s="214"/>
      <c r="R1306" s="214"/>
      <c r="S1306" s="238" t="str">
        <f>IF(CommitmentsTable[[#This Row],[Commitment / deliverable]]="","",IF(CommitmentsTable[[#This Row],[Revised due]]&lt;&gt;"",CommitmentsTable[[#This Row],[Revised due]],CommitmentsTable[[#This Row],[Original due]]))</f>
        <v/>
      </c>
      <c r="T1306" s="237" t="str">
        <f>IF(OR(CommitmentsTable[[#This Row],[Commitment / deliverable]]="",CommitmentsTable[[#This Row],[Owner]]=""),"",IF(CommitmentsTable[[#This Row],[Status2]]="","Open",CommitmentsTable[[#This Row],[Status2]]))</f>
        <v/>
      </c>
      <c r="U1306" s="237" t="str">
        <f t="shared" ca="1" si="20"/>
        <v/>
      </c>
      <c r="V1306" s="233"/>
      <c r="W1306" s="63" t="s">
        <v>2208</v>
      </c>
    </row>
    <row r="1307" spans="1:23" ht="26">
      <c r="A1307" s="213" t="str">
        <f>IF(OR(CommitmentsTable[[#This Row],[Commitment / deliverable]]="",CommitmentsTable[[#This Row],[Immutable Key]]=""),"",SUBSTITUTE(CommitmentsTable[[#This Row],[Immutable Key]],"-K-","-"))</f>
        <v/>
      </c>
      <c r="B1307" s="233"/>
      <c r="C1307" s="233"/>
      <c r="D1307" s="213"/>
      <c r="E1307" s="230"/>
      <c r="F1307" s="213"/>
      <c r="G1307" s="245" t="str">
        <f ca="1">IF(CommitmentsTable[[#This Row],[Commitment / deliverable]]="","",IF(CommitmentsTable[[#This Row],[Date record entered]]="",TODAY(),CommitmentsTable[[#This Row],[Date record entered]]))</f>
        <v/>
      </c>
      <c r="H1307" s="245"/>
      <c r="I1307" s="245" t="str">
        <f ca="1">IF(CommitmentsTable[[#This Row],[Date Assigned if different from entry date]]&lt;&gt;"",CommitmentsTable[[#This Row],[Date Assigned if different from entry date]]+90,IF(CommitmentsTable[[#This Row],[Date record entered]]&lt;&gt;"",CommitmentsTable[[#This Row],[Date record entered]]+90,""))</f>
        <v/>
      </c>
      <c r="J1307" s="245" t="str">
        <f ca="1">IF(CommitmentsTable[[#This Row],[Date Assigned if different from entry date]]&lt;&gt;"",CommitmentsTable[[#This Row],[Date Assigned if different from entry date]]+30,IF(CommitmentsTable[[#This Row],[Date record entered]]&lt;&gt;"",CommitmentsTable[[#This Row],[Date record entered]]+30,""))</f>
        <v/>
      </c>
      <c r="K1307" s="245"/>
      <c r="L1307" s="245" t="str">
        <f ca="1">IF(CommitmentsTable[[#This Row],[Date Assigned if different from entry date]]&lt;&gt;"",CommitmentsTable[[#This Row],[Date Assigned if different from entry date]]+60,IF(CommitmentsTable[[#This Row],[Date record entered]]&lt;&gt;"",CommitmentsTable[[#This Row],[Date record entered]]+60,""))</f>
        <v/>
      </c>
      <c r="M1307" s="214"/>
      <c r="N1307" s="214"/>
      <c r="O1307" s="236"/>
      <c r="P1307" s="214"/>
      <c r="Q1307" s="214"/>
      <c r="R1307" s="214"/>
      <c r="S1307" s="238" t="str">
        <f>IF(CommitmentsTable[[#This Row],[Commitment / deliverable]]="","",IF(CommitmentsTable[[#This Row],[Revised due]]&lt;&gt;"",CommitmentsTable[[#This Row],[Revised due]],CommitmentsTable[[#This Row],[Original due]]))</f>
        <v/>
      </c>
      <c r="T1307" s="237" t="str">
        <f>IF(OR(CommitmentsTable[[#This Row],[Commitment / deliverable]]="",CommitmentsTable[[#This Row],[Owner]]=""),"",IF(CommitmentsTable[[#This Row],[Status2]]="","Open",CommitmentsTable[[#This Row],[Status2]]))</f>
        <v/>
      </c>
      <c r="U1307" s="237" t="str">
        <f t="shared" ca="1" si="20"/>
        <v/>
      </c>
      <c r="V1307" s="233"/>
      <c r="W1307" s="63" t="s">
        <v>2209</v>
      </c>
    </row>
    <row r="1308" spans="1:23" ht="26">
      <c r="A1308" s="213" t="str">
        <f>IF(OR(CommitmentsTable[[#This Row],[Commitment / deliverable]]="",CommitmentsTable[[#This Row],[Immutable Key]]=""),"",SUBSTITUTE(CommitmentsTable[[#This Row],[Immutable Key]],"-K-","-"))</f>
        <v/>
      </c>
      <c r="B1308" s="233"/>
      <c r="C1308" s="233"/>
      <c r="D1308" s="213"/>
      <c r="E1308" s="230"/>
      <c r="F1308" s="213"/>
      <c r="G1308" s="245" t="str">
        <f ca="1">IF(CommitmentsTable[[#This Row],[Commitment / deliverable]]="","",IF(CommitmentsTable[[#This Row],[Date record entered]]="",TODAY(),CommitmentsTable[[#This Row],[Date record entered]]))</f>
        <v/>
      </c>
      <c r="H1308" s="245"/>
      <c r="I1308" s="245" t="str">
        <f ca="1">IF(CommitmentsTable[[#This Row],[Date Assigned if different from entry date]]&lt;&gt;"",CommitmentsTable[[#This Row],[Date Assigned if different from entry date]]+90,IF(CommitmentsTable[[#This Row],[Date record entered]]&lt;&gt;"",CommitmentsTable[[#This Row],[Date record entered]]+90,""))</f>
        <v/>
      </c>
      <c r="J1308" s="245" t="str">
        <f ca="1">IF(CommitmentsTable[[#This Row],[Date Assigned if different from entry date]]&lt;&gt;"",CommitmentsTable[[#This Row],[Date Assigned if different from entry date]]+30,IF(CommitmentsTable[[#This Row],[Date record entered]]&lt;&gt;"",CommitmentsTable[[#This Row],[Date record entered]]+30,""))</f>
        <v/>
      </c>
      <c r="K1308" s="245"/>
      <c r="L1308" s="245" t="str">
        <f ca="1">IF(CommitmentsTable[[#This Row],[Date Assigned if different from entry date]]&lt;&gt;"",CommitmentsTable[[#This Row],[Date Assigned if different from entry date]]+60,IF(CommitmentsTable[[#This Row],[Date record entered]]&lt;&gt;"",CommitmentsTable[[#This Row],[Date record entered]]+60,""))</f>
        <v/>
      </c>
      <c r="M1308" s="214"/>
      <c r="N1308" s="214"/>
      <c r="O1308" s="236"/>
      <c r="P1308" s="214"/>
      <c r="Q1308" s="214"/>
      <c r="R1308" s="214"/>
      <c r="S1308" s="238" t="str">
        <f>IF(CommitmentsTable[[#This Row],[Commitment / deliverable]]="","",IF(CommitmentsTable[[#This Row],[Revised due]]&lt;&gt;"",CommitmentsTable[[#This Row],[Revised due]],CommitmentsTable[[#This Row],[Original due]]))</f>
        <v/>
      </c>
      <c r="T1308" s="237" t="str">
        <f>IF(OR(CommitmentsTable[[#This Row],[Commitment / deliverable]]="",CommitmentsTable[[#This Row],[Owner]]=""),"",IF(CommitmentsTable[[#This Row],[Status2]]="","Open",CommitmentsTable[[#This Row],[Status2]]))</f>
        <v/>
      </c>
      <c r="U1308" s="237" t="str">
        <f t="shared" ca="1" si="20"/>
        <v/>
      </c>
      <c r="V1308" s="233"/>
      <c r="W1308" s="63" t="s">
        <v>2210</v>
      </c>
    </row>
    <row r="1309" spans="1:23" ht="26">
      <c r="A1309" s="213" t="str">
        <f>IF(OR(CommitmentsTable[[#This Row],[Commitment / deliverable]]="",CommitmentsTable[[#This Row],[Immutable Key]]=""),"",SUBSTITUTE(CommitmentsTable[[#This Row],[Immutable Key]],"-K-","-"))</f>
        <v/>
      </c>
      <c r="B1309" s="233"/>
      <c r="C1309" s="233"/>
      <c r="D1309" s="213"/>
      <c r="E1309" s="230"/>
      <c r="F1309" s="213"/>
      <c r="G1309" s="245" t="str">
        <f ca="1">IF(CommitmentsTable[[#This Row],[Commitment / deliverable]]="","",IF(CommitmentsTable[[#This Row],[Date record entered]]="",TODAY(),CommitmentsTable[[#This Row],[Date record entered]]))</f>
        <v/>
      </c>
      <c r="H1309" s="245"/>
      <c r="I1309" s="245" t="str">
        <f ca="1">IF(CommitmentsTable[[#This Row],[Date Assigned if different from entry date]]&lt;&gt;"",CommitmentsTable[[#This Row],[Date Assigned if different from entry date]]+90,IF(CommitmentsTable[[#This Row],[Date record entered]]&lt;&gt;"",CommitmentsTable[[#This Row],[Date record entered]]+90,""))</f>
        <v/>
      </c>
      <c r="J1309" s="245" t="str">
        <f ca="1">IF(CommitmentsTable[[#This Row],[Date Assigned if different from entry date]]&lt;&gt;"",CommitmentsTable[[#This Row],[Date Assigned if different from entry date]]+30,IF(CommitmentsTable[[#This Row],[Date record entered]]&lt;&gt;"",CommitmentsTable[[#This Row],[Date record entered]]+30,""))</f>
        <v/>
      </c>
      <c r="K1309" s="245"/>
      <c r="L1309" s="245" t="str">
        <f ca="1">IF(CommitmentsTable[[#This Row],[Date Assigned if different from entry date]]&lt;&gt;"",CommitmentsTable[[#This Row],[Date Assigned if different from entry date]]+60,IF(CommitmentsTable[[#This Row],[Date record entered]]&lt;&gt;"",CommitmentsTable[[#This Row],[Date record entered]]+60,""))</f>
        <v/>
      </c>
      <c r="M1309" s="214"/>
      <c r="N1309" s="214"/>
      <c r="O1309" s="236"/>
      <c r="P1309" s="214"/>
      <c r="Q1309" s="214"/>
      <c r="R1309" s="214"/>
      <c r="S1309" s="238" t="str">
        <f>IF(CommitmentsTable[[#This Row],[Commitment / deliverable]]="","",IF(CommitmentsTable[[#This Row],[Revised due]]&lt;&gt;"",CommitmentsTable[[#This Row],[Revised due]],CommitmentsTable[[#This Row],[Original due]]))</f>
        <v/>
      </c>
      <c r="T1309" s="237" t="str">
        <f>IF(OR(CommitmentsTable[[#This Row],[Commitment / deliverable]]="",CommitmentsTable[[#This Row],[Owner]]=""),"",IF(CommitmentsTable[[#This Row],[Status2]]="","Open",CommitmentsTable[[#This Row],[Status2]]))</f>
        <v/>
      </c>
      <c r="U1309" s="237" t="str">
        <f t="shared" ca="1" si="20"/>
        <v/>
      </c>
      <c r="V1309" s="233"/>
      <c r="W1309" s="63" t="s">
        <v>2211</v>
      </c>
    </row>
    <row r="1310" spans="1:23" ht="26">
      <c r="A1310" s="213" t="str">
        <f>IF(OR(CommitmentsTable[[#This Row],[Commitment / deliverable]]="",CommitmentsTable[[#This Row],[Immutable Key]]=""),"",SUBSTITUTE(CommitmentsTable[[#This Row],[Immutable Key]],"-K-","-"))</f>
        <v/>
      </c>
      <c r="B1310" s="233"/>
      <c r="C1310" s="233"/>
      <c r="D1310" s="213"/>
      <c r="E1310" s="230"/>
      <c r="F1310" s="213"/>
      <c r="G1310" s="245" t="str">
        <f ca="1">IF(CommitmentsTable[[#This Row],[Commitment / deliverable]]="","",IF(CommitmentsTable[[#This Row],[Date record entered]]="",TODAY(),CommitmentsTable[[#This Row],[Date record entered]]))</f>
        <v/>
      </c>
      <c r="H1310" s="245"/>
      <c r="I1310" s="245" t="str">
        <f ca="1">IF(CommitmentsTable[[#This Row],[Date Assigned if different from entry date]]&lt;&gt;"",CommitmentsTable[[#This Row],[Date Assigned if different from entry date]]+90,IF(CommitmentsTable[[#This Row],[Date record entered]]&lt;&gt;"",CommitmentsTable[[#This Row],[Date record entered]]+90,""))</f>
        <v/>
      </c>
      <c r="J1310" s="245" t="str">
        <f ca="1">IF(CommitmentsTable[[#This Row],[Date Assigned if different from entry date]]&lt;&gt;"",CommitmentsTable[[#This Row],[Date Assigned if different from entry date]]+30,IF(CommitmentsTable[[#This Row],[Date record entered]]&lt;&gt;"",CommitmentsTable[[#This Row],[Date record entered]]+30,""))</f>
        <v/>
      </c>
      <c r="K1310" s="245"/>
      <c r="L1310" s="245" t="str">
        <f ca="1">IF(CommitmentsTable[[#This Row],[Date Assigned if different from entry date]]&lt;&gt;"",CommitmentsTable[[#This Row],[Date Assigned if different from entry date]]+60,IF(CommitmentsTable[[#This Row],[Date record entered]]&lt;&gt;"",CommitmentsTable[[#This Row],[Date record entered]]+60,""))</f>
        <v/>
      </c>
      <c r="M1310" s="214"/>
      <c r="N1310" s="214"/>
      <c r="O1310" s="236"/>
      <c r="P1310" s="214"/>
      <c r="Q1310" s="214"/>
      <c r="R1310" s="214"/>
      <c r="S1310" s="238" t="str">
        <f>IF(CommitmentsTable[[#This Row],[Commitment / deliverable]]="","",IF(CommitmentsTable[[#This Row],[Revised due]]&lt;&gt;"",CommitmentsTable[[#This Row],[Revised due]],CommitmentsTable[[#This Row],[Original due]]))</f>
        <v/>
      </c>
      <c r="T1310" s="237" t="str">
        <f>IF(OR(CommitmentsTable[[#This Row],[Commitment / deliverable]]="",CommitmentsTable[[#This Row],[Owner]]=""),"",IF(CommitmentsTable[[#This Row],[Status2]]="","Open",CommitmentsTable[[#This Row],[Status2]]))</f>
        <v/>
      </c>
      <c r="U1310" s="237" t="str">
        <f t="shared" ca="1" si="20"/>
        <v/>
      </c>
      <c r="V1310" s="233"/>
      <c r="W1310" s="63" t="s">
        <v>2212</v>
      </c>
    </row>
    <row r="1311" spans="1:23" ht="26">
      <c r="A1311" s="213" t="str">
        <f>IF(OR(CommitmentsTable[[#This Row],[Commitment / deliverable]]="",CommitmentsTable[[#This Row],[Immutable Key]]=""),"",SUBSTITUTE(CommitmentsTable[[#This Row],[Immutable Key]],"-K-","-"))</f>
        <v/>
      </c>
      <c r="B1311" s="233"/>
      <c r="C1311" s="233"/>
      <c r="D1311" s="213"/>
      <c r="E1311" s="230"/>
      <c r="F1311" s="213"/>
      <c r="G1311" s="245" t="str">
        <f ca="1">IF(CommitmentsTable[[#This Row],[Commitment / deliverable]]="","",IF(CommitmentsTable[[#This Row],[Date record entered]]="",TODAY(),CommitmentsTable[[#This Row],[Date record entered]]))</f>
        <v/>
      </c>
      <c r="H1311" s="245"/>
      <c r="I1311" s="245" t="str">
        <f ca="1">IF(CommitmentsTable[[#This Row],[Date Assigned if different from entry date]]&lt;&gt;"",CommitmentsTable[[#This Row],[Date Assigned if different from entry date]]+90,IF(CommitmentsTable[[#This Row],[Date record entered]]&lt;&gt;"",CommitmentsTable[[#This Row],[Date record entered]]+90,""))</f>
        <v/>
      </c>
      <c r="J1311" s="245" t="str">
        <f ca="1">IF(CommitmentsTable[[#This Row],[Date Assigned if different from entry date]]&lt;&gt;"",CommitmentsTable[[#This Row],[Date Assigned if different from entry date]]+30,IF(CommitmentsTable[[#This Row],[Date record entered]]&lt;&gt;"",CommitmentsTable[[#This Row],[Date record entered]]+30,""))</f>
        <v/>
      </c>
      <c r="K1311" s="245"/>
      <c r="L1311" s="245" t="str">
        <f ca="1">IF(CommitmentsTable[[#This Row],[Date Assigned if different from entry date]]&lt;&gt;"",CommitmentsTable[[#This Row],[Date Assigned if different from entry date]]+60,IF(CommitmentsTable[[#This Row],[Date record entered]]&lt;&gt;"",CommitmentsTable[[#This Row],[Date record entered]]+60,""))</f>
        <v/>
      </c>
      <c r="M1311" s="214"/>
      <c r="N1311" s="214"/>
      <c r="O1311" s="236"/>
      <c r="P1311" s="214"/>
      <c r="Q1311" s="214"/>
      <c r="R1311" s="214"/>
      <c r="S1311" s="238" t="str">
        <f>IF(CommitmentsTable[[#This Row],[Commitment / deliverable]]="","",IF(CommitmentsTable[[#This Row],[Revised due]]&lt;&gt;"",CommitmentsTable[[#This Row],[Revised due]],CommitmentsTable[[#This Row],[Original due]]))</f>
        <v/>
      </c>
      <c r="T1311" s="237" t="str">
        <f>IF(OR(CommitmentsTable[[#This Row],[Commitment / deliverable]]="",CommitmentsTable[[#This Row],[Owner]]=""),"",IF(CommitmentsTable[[#This Row],[Status2]]="","Open",CommitmentsTable[[#This Row],[Status2]]))</f>
        <v/>
      </c>
      <c r="U1311" s="237" t="str">
        <f t="shared" ca="1" si="20"/>
        <v/>
      </c>
      <c r="V1311" s="233"/>
      <c r="W1311" s="63" t="s">
        <v>2213</v>
      </c>
    </row>
    <row r="1312" spans="1:23" ht="26">
      <c r="A1312" s="213" t="str">
        <f>IF(OR(CommitmentsTable[[#This Row],[Commitment / deliverable]]="",CommitmentsTable[[#This Row],[Immutable Key]]=""),"",SUBSTITUTE(CommitmentsTable[[#This Row],[Immutable Key]],"-K-","-"))</f>
        <v/>
      </c>
      <c r="B1312" s="233"/>
      <c r="C1312" s="233"/>
      <c r="D1312" s="213"/>
      <c r="E1312" s="230"/>
      <c r="F1312" s="213"/>
      <c r="G1312" s="245" t="str">
        <f ca="1">IF(CommitmentsTable[[#This Row],[Commitment / deliverable]]="","",IF(CommitmentsTable[[#This Row],[Date record entered]]="",TODAY(),CommitmentsTable[[#This Row],[Date record entered]]))</f>
        <v/>
      </c>
      <c r="H1312" s="245"/>
      <c r="I1312" s="245" t="str">
        <f ca="1">IF(CommitmentsTable[[#This Row],[Date Assigned if different from entry date]]&lt;&gt;"",CommitmentsTable[[#This Row],[Date Assigned if different from entry date]]+90,IF(CommitmentsTable[[#This Row],[Date record entered]]&lt;&gt;"",CommitmentsTable[[#This Row],[Date record entered]]+90,""))</f>
        <v/>
      </c>
      <c r="J1312" s="245" t="str">
        <f ca="1">IF(CommitmentsTable[[#This Row],[Date Assigned if different from entry date]]&lt;&gt;"",CommitmentsTable[[#This Row],[Date Assigned if different from entry date]]+30,IF(CommitmentsTable[[#This Row],[Date record entered]]&lt;&gt;"",CommitmentsTable[[#This Row],[Date record entered]]+30,""))</f>
        <v/>
      </c>
      <c r="K1312" s="245"/>
      <c r="L1312" s="245" t="str">
        <f ca="1">IF(CommitmentsTable[[#This Row],[Date Assigned if different from entry date]]&lt;&gt;"",CommitmentsTable[[#This Row],[Date Assigned if different from entry date]]+60,IF(CommitmentsTable[[#This Row],[Date record entered]]&lt;&gt;"",CommitmentsTable[[#This Row],[Date record entered]]+60,""))</f>
        <v/>
      </c>
      <c r="M1312" s="214"/>
      <c r="N1312" s="214"/>
      <c r="O1312" s="236"/>
      <c r="P1312" s="214"/>
      <c r="Q1312" s="214"/>
      <c r="R1312" s="214"/>
      <c r="S1312" s="238" t="str">
        <f>IF(CommitmentsTable[[#This Row],[Commitment / deliverable]]="","",IF(CommitmentsTable[[#This Row],[Revised due]]&lt;&gt;"",CommitmentsTable[[#This Row],[Revised due]],CommitmentsTable[[#This Row],[Original due]]))</f>
        <v/>
      </c>
      <c r="T1312" s="237" t="str">
        <f>IF(OR(CommitmentsTable[[#This Row],[Commitment / deliverable]]="",CommitmentsTable[[#This Row],[Owner]]=""),"",IF(CommitmentsTable[[#This Row],[Status2]]="","Open",CommitmentsTable[[#This Row],[Status2]]))</f>
        <v/>
      </c>
      <c r="U1312" s="237" t="str">
        <f t="shared" ca="1" si="20"/>
        <v/>
      </c>
      <c r="V1312" s="233"/>
      <c r="W1312" s="63" t="s">
        <v>2214</v>
      </c>
    </row>
    <row r="1313" spans="1:23" ht="26">
      <c r="A1313" s="213" t="str">
        <f>IF(OR(CommitmentsTable[[#This Row],[Commitment / deliverable]]="",CommitmentsTable[[#This Row],[Immutable Key]]=""),"",SUBSTITUTE(CommitmentsTable[[#This Row],[Immutable Key]],"-K-","-"))</f>
        <v/>
      </c>
      <c r="B1313" s="233"/>
      <c r="C1313" s="233"/>
      <c r="D1313" s="213"/>
      <c r="E1313" s="230"/>
      <c r="F1313" s="213"/>
      <c r="G1313" s="245" t="str">
        <f ca="1">IF(CommitmentsTable[[#This Row],[Commitment / deliverable]]="","",IF(CommitmentsTable[[#This Row],[Date record entered]]="",TODAY(),CommitmentsTable[[#This Row],[Date record entered]]))</f>
        <v/>
      </c>
      <c r="H1313" s="245"/>
      <c r="I1313" s="245" t="str">
        <f ca="1">IF(CommitmentsTable[[#This Row],[Date Assigned if different from entry date]]&lt;&gt;"",CommitmentsTable[[#This Row],[Date Assigned if different from entry date]]+90,IF(CommitmentsTable[[#This Row],[Date record entered]]&lt;&gt;"",CommitmentsTable[[#This Row],[Date record entered]]+90,""))</f>
        <v/>
      </c>
      <c r="J1313" s="245" t="str">
        <f ca="1">IF(CommitmentsTable[[#This Row],[Date Assigned if different from entry date]]&lt;&gt;"",CommitmentsTable[[#This Row],[Date Assigned if different from entry date]]+30,IF(CommitmentsTable[[#This Row],[Date record entered]]&lt;&gt;"",CommitmentsTable[[#This Row],[Date record entered]]+30,""))</f>
        <v/>
      </c>
      <c r="K1313" s="245"/>
      <c r="L1313" s="245" t="str">
        <f ca="1">IF(CommitmentsTable[[#This Row],[Date Assigned if different from entry date]]&lt;&gt;"",CommitmentsTable[[#This Row],[Date Assigned if different from entry date]]+60,IF(CommitmentsTable[[#This Row],[Date record entered]]&lt;&gt;"",CommitmentsTable[[#This Row],[Date record entered]]+60,""))</f>
        <v/>
      </c>
      <c r="M1313" s="214"/>
      <c r="N1313" s="214"/>
      <c r="O1313" s="236"/>
      <c r="P1313" s="214"/>
      <c r="Q1313" s="214"/>
      <c r="R1313" s="214"/>
      <c r="S1313" s="238" t="str">
        <f>IF(CommitmentsTable[[#This Row],[Commitment / deliverable]]="","",IF(CommitmentsTable[[#This Row],[Revised due]]&lt;&gt;"",CommitmentsTable[[#This Row],[Revised due]],CommitmentsTable[[#This Row],[Original due]]))</f>
        <v/>
      </c>
      <c r="T1313" s="237" t="str">
        <f>IF(OR(CommitmentsTable[[#This Row],[Commitment / deliverable]]="",CommitmentsTable[[#This Row],[Owner]]=""),"",IF(CommitmentsTable[[#This Row],[Status2]]="","Open",CommitmentsTable[[#This Row],[Status2]]))</f>
        <v/>
      </c>
      <c r="U1313" s="237" t="str">
        <f t="shared" ca="1" si="20"/>
        <v/>
      </c>
      <c r="V1313" s="233"/>
      <c r="W1313" s="63" t="s">
        <v>2215</v>
      </c>
    </row>
    <row r="1314" spans="1:23" ht="26">
      <c r="A1314" s="213" t="str">
        <f>IF(OR(CommitmentsTable[[#This Row],[Commitment / deliverable]]="",CommitmentsTable[[#This Row],[Immutable Key]]=""),"",SUBSTITUTE(CommitmentsTable[[#This Row],[Immutable Key]],"-K-","-"))</f>
        <v/>
      </c>
      <c r="B1314" s="233"/>
      <c r="C1314" s="233"/>
      <c r="D1314" s="213"/>
      <c r="E1314" s="230"/>
      <c r="F1314" s="213"/>
      <c r="G1314" s="245" t="str">
        <f ca="1">IF(CommitmentsTable[[#This Row],[Commitment / deliverable]]="","",IF(CommitmentsTable[[#This Row],[Date record entered]]="",TODAY(),CommitmentsTable[[#This Row],[Date record entered]]))</f>
        <v/>
      </c>
      <c r="H1314" s="245"/>
      <c r="I1314" s="245" t="str">
        <f ca="1">IF(CommitmentsTable[[#This Row],[Date Assigned if different from entry date]]&lt;&gt;"",CommitmentsTable[[#This Row],[Date Assigned if different from entry date]]+90,IF(CommitmentsTable[[#This Row],[Date record entered]]&lt;&gt;"",CommitmentsTable[[#This Row],[Date record entered]]+90,""))</f>
        <v/>
      </c>
      <c r="J1314" s="245" t="str">
        <f ca="1">IF(CommitmentsTable[[#This Row],[Date Assigned if different from entry date]]&lt;&gt;"",CommitmentsTable[[#This Row],[Date Assigned if different from entry date]]+30,IF(CommitmentsTable[[#This Row],[Date record entered]]&lt;&gt;"",CommitmentsTable[[#This Row],[Date record entered]]+30,""))</f>
        <v/>
      </c>
      <c r="K1314" s="245"/>
      <c r="L1314" s="245" t="str">
        <f ca="1">IF(CommitmentsTable[[#This Row],[Date Assigned if different from entry date]]&lt;&gt;"",CommitmentsTable[[#This Row],[Date Assigned if different from entry date]]+60,IF(CommitmentsTable[[#This Row],[Date record entered]]&lt;&gt;"",CommitmentsTable[[#This Row],[Date record entered]]+60,""))</f>
        <v/>
      </c>
      <c r="M1314" s="214"/>
      <c r="N1314" s="214"/>
      <c r="O1314" s="236"/>
      <c r="P1314" s="214"/>
      <c r="Q1314" s="214"/>
      <c r="R1314" s="214"/>
      <c r="S1314" s="238" t="str">
        <f>IF(CommitmentsTable[[#This Row],[Commitment / deliverable]]="","",IF(CommitmentsTable[[#This Row],[Revised due]]&lt;&gt;"",CommitmentsTable[[#This Row],[Revised due]],CommitmentsTable[[#This Row],[Original due]]))</f>
        <v/>
      </c>
      <c r="T1314" s="237" t="str">
        <f>IF(OR(CommitmentsTable[[#This Row],[Commitment / deliverable]]="",CommitmentsTable[[#This Row],[Owner]]=""),"",IF(CommitmentsTable[[#This Row],[Status2]]="","Open",CommitmentsTable[[#This Row],[Status2]]))</f>
        <v/>
      </c>
      <c r="U1314" s="237" t="str">
        <f t="shared" ca="1" si="20"/>
        <v/>
      </c>
      <c r="V1314" s="233"/>
      <c r="W1314" s="63" t="s">
        <v>2216</v>
      </c>
    </row>
    <row r="1315" spans="1:23" ht="26">
      <c r="A1315" s="213" t="str">
        <f>IF(OR(CommitmentsTable[[#This Row],[Commitment / deliverable]]="",CommitmentsTable[[#This Row],[Immutable Key]]=""),"",SUBSTITUTE(CommitmentsTable[[#This Row],[Immutable Key]],"-K-","-"))</f>
        <v/>
      </c>
      <c r="B1315" s="233"/>
      <c r="C1315" s="233"/>
      <c r="D1315" s="213"/>
      <c r="E1315" s="230"/>
      <c r="F1315" s="213"/>
      <c r="G1315" s="245" t="str">
        <f ca="1">IF(CommitmentsTable[[#This Row],[Commitment / deliverable]]="","",IF(CommitmentsTable[[#This Row],[Date record entered]]="",TODAY(),CommitmentsTable[[#This Row],[Date record entered]]))</f>
        <v/>
      </c>
      <c r="H1315" s="245"/>
      <c r="I1315" s="245" t="str">
        <f ca="1">IF(CommitmentsTable[[#This Row],[Date Assigned if different from entry date]]&lt;&gt;"",CommitmentsTable[[#This Row],[Date Assigned if different from entry date]]+90,IF(CommitmentsTable[[#This Row],[Date record entered]]&lt;&gt;"",CommitmentsTable[[#This Row],[Date record entered]]+90,""))</f>
        <v/>
      </c>
      <c r="J1315" s="245" t="str">
        <f ca="1">IF(CommitmentsTable[[#This Row],[Date Assigned if different from entry date]]&lt;&gt;"",CommitmentsTable[[#This Row],[Date Assigned if different from entry date]]+30,IF(CommitmentsTable[[#This Row],[Date record entered]]&lt;&gt;"",CommitmentsTable[[#This Row],[Date record entered]]+30,""))</f>
        <v/>
      </c>
      <c r="K1315" s="245"/>
      <c r="L1315" s="245" t="str">
        <f ca="1">IF(CommitmentsTable[[#This Row],[Date Assigned if different from entry date]]&lt;&gt;"",CommitmentsTable[[#This Row],[Date Assigned if different from entry date]]+60,IF(CommitmentsTable[[#This Row],[Date record entered]]&lt;&gt;"",CommitmentsTable[[#This Row],[Date record entered]]+60,""))</f>
        <v/>
      </c>
      <c r="M1315" s="214"/>
      <c r="N1315" s="214"/>
      <c r="O1315" s="236"/>
      <c r="P1315" s="214"/>
      <c r="Q1315" s="214"/>
      <c r="R1315" s="214"/>
      <c r="S1315" s="238" t="str">
        <f>IF(CommitmentsTable[[#This Row],[Commitment / deliverable]]="","",IF(CommitmentsTable[[#This Row],[Revised due]]&lt;&gt;"",CommitmentsTable[[#This Row],[Revised due]],CommitmentsTable[[#This Row],[Original due]]))</f>
        <v/>
      </c>
      <c r="T1315" s="237" t="str">
        <f>IF(OR(CommitmentsTable[[#This Row],[Commitment / deliverable]]="",CommitmentsTable[[#This Row],[Owner]]=""),"",IF(CommitmentsTable[[#This Row],[Status2]]="","Open",CommitmentsTable[[#This Row],[Status2]]))</f>
        <v/>
      </c>
      <c r="U1315" s="237" t="str">
        <f t="shared" ca="1" si="20"/>
        <v/>
      </c>
      <c r="V1315" s="233"/>
      <c r="W1315" s="63" t="s">
        <v>2217</v>
      </c>
    </row>
    <row r="1316" spans="1:23" ht="26">
      <c r="A1316" s="213" t="str">
        <f>IF(OR(CommitmentsTable[[#This Row],[Commitment / deliverable]]="",CommitmentsTable[[#This Row],[Immutable Key]]=""),"",SUBSTITUTE(CommitmentsTable[[#This Row],[Immutable Key]],"-K-","-"))</f>
        <v/>
      </c>
      <c r="B1316" s="233"/>
      <c r="C1316" s="233"/>
      <c r="D1316" s="213"/>
      <c r="E1316" s="230"/>
      <c r="F1316" s="213"/>
      <c r="G1316" s="245" t="str">
        <f ca="1">IF(CommitmentsTable[[#This Row],[Commitment / deliverable]]="","",IF(CommitmentsTable[[#This Row],[Date record entered]]="",TODAY(),CommitmentsTable[[#This Row],[Date record entered]]))</f>
        <v/>
      </c>
      <c r="H1316" s="245"/>
      <c r="I1316" s="245" t="str">
        <f ca="1">IF(CommitmentsTable[[#This Row],[Date Assigned if different from entry date]]&lt;&gt;"",CommitmentsTable[[#This Row],[Date Assigned if different from entry date]]+90,IF(CommitmentsTable[[#This Row],[Date record entered]]&lt;&gt;"",CommitmentsTable[[#This Row],[Date record entered]]+90,""))</f>
        <v/>
      </c>
      <c r="J1316" s="245" t="str">
        <f ca="1">IF(CommitmentsTable[[#This Row],[Date Assigned if different from entry date]]&lt;&gt;"",CommitmentsTable[[#This Row],[Date Assigned if different from entry date]]+30,IF(CommitmentsTable[[#This Row],[Date record entered]]&lt;&gt;"",CommitmentsTable[[#This Row],[Date record entered]]+30,""))</f>
        <v/>
      </c>
      <c r="K1316" s="245"/>
      <c r="L1316" s="245" t="str">
        <f ca="1">IF(CommitmentsTable[[#This Row],[Date Assigned if different from entry date]]&lt;&gt;"",CommitmentsTable[[#This Row],[Date Assigned if different from entry date]]+60,IF(CommitmentsTable[[#This Row],[Date record entered]]&lt;&gt;"",CommitmentsTable[[#This Row],[Date record entered]]+60,""))</f>
        <v/>
      </c>
      <c r="M1316" s="214"/>
      <c r="N1316" s="214"/>
      <c r="O1316" s="236"/>
      <c r="P1316" s="214"/>
      <c r="Q1316" s="214"/>
      <c r="R1316" s="214"/>
      <c r="S1316" s="238" t="str">
        <f>IF(CommitmentsTable[[#This Row],[Commitment / deliverable]]="","",IF(CommitmentsTable[[#This Row],[Revised due]]&lt;&gt;"",CommitmentsTable[[#This Row],[Revised due]],CommitmentsTable[[#This Row],[Original due]]))</f>
        <v/>
      </c>
      <c r="T1316" s="237" t="str">
        <f>IF(OR(CommitmentsTable[[#This Row],[Commitment / deliverable]]="",CommitmentsTable[[#This Row],[Owner]]=""),"",IF(CommitmentsTable[[#This Row],[Status2]]="","Open",CommitmentsTable[[#This Row],[Status2]]))</f>
        <v/>
      </c>
      <c r="U1316" s="237" t="str">
        <f t="shared" ca="1" si="20"/>
        <v/>
      </c>
      <c r="V1316" s="233"/>
      <c r="W1316" s="63" t="s">
        <v>2218</v>
      </c>
    </row>
    <row r="1317" spans="1:23" ht="26">
      <c r="A1317" s="213" t="str">
        <f>IF(OR(CommitmentsTable[[#This Row],[Commitment / deliverable]]="",CommitmentsTable[[#This Row],[Immutable Key]]=""),"",SUBSTITUTE(CommitmentsTable[[#This Row],[Immutable Key]],"-K-","-"))</f>
        <v/>
      </c>
      <c r="B1317" s="233"/>
      <c r="C1317" s="233"/>
      <c r="D1317" s="213"/>
      <c r="E1317" s="230"/>
      <c r="F1317" s="213"/>
      <c r="G1317" s="245" t="str">
        <f ca="1">IF(CommitmentsTable[[#This Row],[Commitment / deliverable]]="","",IF(CommitmentsTable[[#This Row],[Date record entered]]="",TODAY(),CommitmentsTable[[#This Row],[Date record entered]]))</f>
        <v/>
      </c>
      <c r="H1317" s="245"/>
      <c r="I1317" s="245" t="str">
        <f ca="1">IF(CommitmentsTable[[#This Row],[Date Assigned if different from entry date]]&lt;&gt;"",CommitmentsTable[[#This Row],[Date Assigned if different from entry date]]+90,IF(CommitmentsTable[[#This Row],[Date record entered]]&lt;&gt;"",CommitmentsTable[[#This Row],[Date record entered]]+90,""))</f>
        <v/>
      </c>
      <c r="J1317" s="245" t="str">
        <f ca="1">IF(CommitmentsTable[[#This Row],[Date Assigned if different from entry date]]&lt;&gt;"",CommitmentsTable[[#This Row],[Date Assigned if different from entry date]]+30,IF(CommitmentsTable[[#This Row],[Date record entered]]&lt;&gt;"",CommitmentsTable[[#This Row],[Date record entered]]+30,""))</f>
        <v/>
      </c>
      <c r="K1317" s="245"/>
      <c r="L1317" s="245" t="str">
        <f ca="1">IF(CommitmentsTable[[#This Row],[Date Assigned if different from entry date]]&lt;&gt;"",CommitmentsTable[[#This Row],[Date Assigned if different from entry date]]+60,IF(CommitmentsTable[[#This Row],[Date record entered]]&lt;&gt;"",CommitmentsTable[[#This Row],[Date record entered]]+60,""))</f>
        <v/>
      </c>
      <c r="M1317" s="214"/>
      <c r="N1317" s="214"/>
      <c r="O1317" s="236"/>
      <c r="P1317" s="214"/>
      <c r="Q1317" s="214"/>
      <c r="R1317" s="214"/>
      <c r="S1317" s="238" t="str">
        <f>IF(CommitmentsTable[[#This Row],[Commitment / deliverable]]="","",IF(CommitmentsTable[[#This Row],[Revised due]]&lt;&gt;"",CommitmentsTable[[#This Row],[Revised due]],CommitmentsTable[[#This Row],[Original due]]))</f>
        <v/>
      </c>
      <c r="T1317" s="237" t="str">
        <f>IF(OR(CommitmentsTable[[#This Row],[Commitment / deliverable]]="",CommitmentsTable[[#This Row],[Owner]]=""),"",IF(CommitmentsTable[[#This Row],[Status2]]="","Open",CommitmentsTable[[#This Row],[Status2]]))</f>
        <v/>
      </c>
      <c r="U1317" s="237" t="str">
        <f t="shared" ca="1" si="20"/>
        <v/>
      </c>
      <c r="V1317" s="233"/>
      <c r="W1317" s="63" t="s">
        <v>2219</v>
      </c>
    </row>
    <row r="1318" spans="1:23" ht="26">
      <c r="A1318" s="213" t="str">
        <f>IF(OR(CommitmentsTable[[#This Row],[Commitment / deliverable]]="",CommitmentsTable[[#This Row],[Immutable Key]]=""),"",SUBSTITUTE(CommitmentsTable[[#This Row],[Immutable Key]],"-K-","-"))</f>
        <v/>
      </c>
      <c r="B1318" s="233"/>
      <c r="C1318" s="233"/>
      <c r="D1318" s="213"/>
      <c r="E1318" s="230"/>
      <c r="F1318" s="213"/>
      <c r="G1318" s="245" t="str">
        <f ca="1">IF(CommitmentsTable[[#This Row],[Commitment / deliverable]]="","",IF(CommitmentsTable[[#This Row],[Date record entered]]="",TODAY(),CommitmentsTable[[#This Row],[Date record entered]]))</f>
        <v/>
      </c>
      <c r="H1318" s="245"/>
      <c r="I1318" s="245" t="str">
        <f ca="1">IF(CommitmentsTable[[#This Row],[Date Assigned if different from entry date]]&lt;&gt;"",CommitmentsTable[[#This Row],[Date Assigned if different from entry date]]+90,IF(CommitmentsTable[[#This Row],[Date record entered]]&lt;&gt;"",CommitmentsTable[[#This Row],[Date record entered]]+90,""))</f>
        <v/>
      </c>
      <c r="J1318" s="245" t="str">
        <f ca="1">IF(CommitmentsTable[[#This Row],[Date Assigned if different from entry date]]&lt;&gt;"",CommitmentsTable[[#This Row],[Date Assigned if different from entry date]]+30,IF(CommitmentsTable[[#This Row],[Date record entered]]&lt;&gt;"",CommitmentsTable[[#This Row],[Date record entered]]+30,""))</f>
        <v/>
      </c>
      <c r="K1318" s="245"/>
      <c r="L1318" s="245" t="str">
        <f ca="1">IF(CommitmentsTable[[#This Row],[Date Assigned if different from entry date]]&lt;&gt;"",CommitmentsTable[[#This Row],[Date Assigned if different from entry date]]+60,IF(CommitmentsTable[[#This Row],[Date record entered]]&lt;&gt;"",CommitmentsTable[[#This Row],[Date record entered]]+60,""))</f>
        <v/>
      </c>
      <c r="M1318" s="214"/>
      <c r="N1318" s="214"/>
      <c r="O1318" s="236"/>
      <c r="P1318" s="214"/>
      <c r="Q1318" s="214"/>
      <c r="R1318" s="214"/>
      <c r="S1318" s="238" t="str">
        <f>IF(CommitmentsTable[[#This Row],[Commitment / deliverable]]="","",IF(CommitmentsTable[[#This Row],[Revised due]]&lt;&gt;"",CommitmentsTable[[#This Row],[Revised due]],CommitmentsTable[[#This Row],[Original due]]))</f>
        <v/>
      </c>
      <c r="T1318" s="237" t="str">
        <f>IF(OR(CommitmentsTable[[#This Row],[Commitment / deliverable]]="",CommitmentsTable[[#This Row],[Owner]]=""),"",IF(CommitmentsTable[[#This Row],[Status2]]="","Open",CommitmentsTable[[#This Row],[Status2]]))</f>
        <v/>
      </c>
      <c r="U1318" s="237" t="str">
        <f t="shared" ca="1" si="20"/>
        <v/>
      </c>
      <c r="V1318" s="233"/>
      <c r="W1318" s="63" t="s">
        <v>2220</v>
      </c>
    </row>
    <row r="1319" spans="1:23" ht="26">
      <c r="A1319" s="213" t="str">
        <f>IF(OR(CommitmentsTable[[#This Row],[Commitment / deliverable]]="",CommitmentsTable[[#This Row],[Immutable Key]]=""),"",SUBSTITUTE(CommitmentsTable[[#This Row],[Immutable Key]],"-K-","-"))</f>
        <v/>
      </c>
      <c r="B1319" s="233"/>
      <c r="C1319" s="233"/>
      <c r="D1319" s="213"/>
      <c r="E1319" s="230"/>
      <c r="F1319" s="213"/>
      <c r="G1319" s="245" t="str">
        <f ca="1">IF(CommitmentsTable[[#This Row],[Commitment / deliverable]]="","",IF(CommitmentsTable[[#This Row],[Date record entered]]="",TODAY(),CommitmentsTable[[#This Row],[Date record entered]]))</f>
        <v/>
      </c>
      <c r="H1319" s="245"/>
      <c r="I1319" s="245" t="str">
        <f ca="1">IF(CommitmentsTable[[#This Row],[Date Assigned if different from entry date]]&lt;&gt;"",CommitmentsTable[[#This Row],[Date Assigned if different from entry date]]+90,IF(CommitmentsTable[[#This Row],[Date record entered]]&lt;&gt;"",CommitmentsTable[[#This Row],[Date record entered]]+90,""))</f>
        <v/>
      </c>
      <c r="J1319" s="245" t="str">
        <f ca="1">IF(CommitmentsTable[[#This Row],[Date Assigned if different from entry date]]&lt;&gt;"",CommitmentsTable[[#This Row],[Date Assigned if different from entry date]]+30,IF(CommitmentsTable[[#This Row],[Date record entered]]&lt;&gt;"",CommitmentsTable[[#This Row],[Date record entered]]+30,""))</f>
        <v/>
      </c>
      <c r="K1319" s="245"/>
      <c r="L1319" s="245" t="str">
        <f ca="1">IF(CommitmentsTable[[#This Row],[Date Assigned if different from entry date]]&lt;&gt;"",CommitmentsTable[[#This Row],[Date Assigned if different from entry date]]+60,IF(CommitmentsTable[[#This Row],[Date record entered]]&lt;&gt;"",CommitmentsTable[[#This Row],[Date record entered]]+60,""))</f>
        <v/>
      </c>
      <c r="M1319" s="214"/>
      <c r="N1319" s="214"/>
      <c r="O1319" s="236"/>
      <c r="P1319" s="214"/>
      <c r="Q1319" s="214"/>
      <c r="R1319" s="214"/>
      <c r="S1319" s="238" t="str">
        <f>IF(CommitmentsTable[[#This Row],[Commitment / deliverable]]="","",IF(CommitmentsTable[[#This Row],[Revised due]]&lt;&gt;"",CommitmentsTable[[#This Row],[Revised due]],CommitmentsTable[[#This Row],[Original due]]))</f>
        <v/>
      </c>
      <c r="T1319" s="237" t="str">
        <f>IF(OR(CommitmentsTable[[#This Row],[Commitment / deliverable]]="",CommitmentsTable[[#This Row],[Owner]]=""),"",IF(CommitmentsTable[[#This Row],[Status2]]="","Open",CommitmentsTable[[#This Row],[Status2]]))</f>
        <v/>
      </c>
      <c r="U1319" s="237" t="str">
        <f t="shared" ca="1" si="20"/>
        <v/>
      </c>
      <c r="V1319" s="233"/>
      <c r="W1319" s="63" t="s">
        <v>2221</v>
      </c>
    </row>
    <row r="1320" spans="1:23" ht="26">
      <c r="A1320" s="213" t="str">
        <f>IF(OR(CommitmentsTable[[#This Row],[Commitment / deliverable]]="",CommitmentsTable[[#This Row],[Immutable Key]]=""),"",SUBSTITUTE(CommitmentsTable[[#This Row],[Immutable Key]],"-K-","-"))</f>
        <v/>
      </c>
      <c r="B1320" s="233"/>
      <c r="C1320" s="233"/>
      <c r="D1320" s="213"/>
      <c r="E1320" s="230"/>
      <c r="F1320" s="213"/>
      <c r="G1320" s="245" t="str">
        <f ca="1">IF(CommitmentsTable[[#This Row],[Commitment / deliverable]]="","",IF(CommitmentsTable[[#This Row],[Date record entered]]="",TODAY(),CommitmentsTable[[#This Row],[Date record entered]]))</f>
        <v/>
      </c>
      <c r="H1320" s="245"/>
      <c r="I1320" s="245" t="str">
        <f ca="1">IF(CommitmentsTable[[#This Row],[Date Assigned if different from entry date]]&lt;&gt;"",CommitmentsTable[[#This Row],[Date Assigned if different from entry date]]+90,IF(CommitmentsTable[[#This Row],[Date record entered]]&lt;&gt;"",CommitmentsTable[[#This Row],[Date record entered]]+90,""))</f>
        <v/>
      </c>
      <c r="J1320" s="245" t="str">
        <f ca="1">IF(CommitmentsTable[[#This Row],[Date Assigned if different from entry date]]&lt;&gt;"",CommitmentsTable[[#This Row],[Date Assigned if different from entry date]]+30,IF(CommitmentsTable[[#This Row],[Date record entered]]&lt;&gt;"",CommitmentsTable[[#This Row],[Date record entered]]+30,""))</f>
        <v/>
      </c>
      <c r="K1320" s="245"/>
      <c r="L1320" s="245" t="str">
        <f ca="1">IF(CommitmentsTable[[#This Row],[Date Assigned if different from entry date]]&lt;&gt;"",CommitmentsTable[[#This Row],[Date Assigned if different from entry date]]+60,IF(CommitmentsTable[[#This Row],[Date record entered]]&lt;&gt;"",CommitmentsTable[[#This Row],[Date record entered]]+60,""))</f>
        <v/>
      </c>
      <c r="M1320" s="214"/>
      <c r="N1320" s="214"/>
      <c r="O1320" s="236"/>
      <c r="P1320" s="214"/>
      <c r="Q1320" s="214"/>
      <c r="R1320" s="214"/>
      <c r="S1320" s="238" t="str">
        <f>IF(CommitmentsTable[[#This Row],[Commitment / deliverable]]="","",IF(CommitmentsTable[[#This Row],[Revised due]]&lt;&gt;"",CommitmentsTable[[#This Row],[Revised due]],CommitmentsTable[[#This Row],[Original due]]))</f>
        <v/>
      </c>
      <c r="T1320" s="237" t="str">
        <f>IF(OR(CommitmentsTable[[#This Row],[Commitment / deliverable]]="",CommitmentsTable[[#This Row],[Owner]]=""),"",IF(CommitmentsTable[[#This Row],[Status2]]="","Open",CommitmentsTable[[#This Row],[Status2]]))</f>
        <v/>
      </c>
      <c r="U1320" s="237" t="str">
        <f t="shared" ca="1" si="20"/>
        <v/>
      </c>
      <c r="V1320" s="233"/>
      <c r="W1320" s="63" t="s">
        <v>2222</v>
      </c>
    </row>
    <row r="1321" spans="1:23" ht="26">
      <c r="A1321" s="213" t="str">
        <f>IF(OR(CommitmentsTable[[#This Row],[Commitment / deliverable]]="",CommitmentsTable[[#This Row],[Immutable Key]]=""),"",SUBSTITUTE(CommitmentsTable[[#This Row],[Immutable Key]],"-K-","-"))</f>
        <v/>
      </c>
      <c r="B1321" s="233"/>
      <c r="C1321" s="233"/>
      <c r="D1321" s="213"/>
      <c r="E1321" s="230"/>
      <c r="F1321" s="213"/>
      <c r="G1321" s="245" t="str">
        <f ca="1">IF(CommitmentsTable[[#This Row],[Commitment / deliverable]]="","",IF(CommitmentsTable[[#This Row],[Date record entered]]="",TODAY(),CommitmentsTable[[#This Row],[Date record entered]]))</f>
        <v/>
      </c>
      <c r="H1321" s="245"/>
      <c r="I1321" s="245" t="str">
        <f ca="1">IF(CommitmentsTable[[#This Row],[Date Assigned if different from entry date]]&lt;&gt;"",CommitmentsTable[[#This Row],[Date Assigned if different from entry date]]+90,IF(CommitmentsTable[[#This Row],[Date record entered]]&lt;&gt;"",CommitmentsTable[[#This Row],[Date record entered]]+90,""))</f>
        <v/>
      </c>
      <c r="J1321" s="245" t="str">
        <f ca="1">IF(CommitmentsTable[[#This Row],[Date Assigned if different from entry date]]&lt;&gt;"",CommitmentsTable[[#This Row],[Date Assigned if different from entry date]]+30,IF(CommitmentsTable[[#This Row],[Date record entered]]&lt;&gt;"",CommitmentsTable[[#This Row],[Date record entered]]+30,""))</f>
        <v/>
      </c>
      <c r="K1321" s="245"/>
      <c r="L1321" s="245" t="str">
        <f ca="1">IF(CommitmentsTable[[#This Row],[Date Assigned if different from entry date]]&lt;&gt;"",CommitmentsTable[[#This Row],[Date Assigned if different from entry date]]+60,IF(CommitmentsTable[[#This Row],[Date record entered]]&lt;&gt;"",CommitmentsTable[[#This Row],[Date record entered]]+60,""))</f>
        <v/>
      </c>
      <c r="M1321" s="214"/>
      <c r="N1321" s="214"/>
      <c r="O1321" s="236"/>
      <c r="P1321" s="214"/>
      <c r="Q1321" s="214"/>
      <c r="R1321" s="214"/>
      <c r="S1321" s="238" t="str">
        <f>IF(CommitmentsTable[[#This Row],[Commitment / deliverable]]="","",IF(CommitmentsTable[[#This Row],[Revised due]]&lt;&gt;"",CommitmentsTable[[#This Row],[Revised due]],CommitmentsTable[[#This Row],[Original due]]))</f>
        <v/>
      </c>
      <c r="T1321" s="237" t="str">
        <f>IF(OR(CommitmentsTable[[#This Row],[Commitment / deliverable]]="",CommitmentsTable[[#This Row],[Owner]]=""),"",IF(CommitmentsTable[[#This Row],[Status2]]="","Open",CommitmentsTable[[#This Row],[Status2]]))</f>
        <v/>
      </c>
      <c r="U1321" s="237" t="str">
        <f t="shared" ca="1" si="20"/>
        <v/>
      </c>
      <c r="V1321" s="233"/>
      <c r="W1321" s="63" t="s">
        <v>2223</v>
      </c>
    </row>
    <row r="1322" spans="1:23" ht="26">
      <c r="A1322" s="213" t="str">
        <f>IF(OR(CommitmentsTable[[#This Row],[Commitment / deliverable]]="",CommitmentsTable[[#This Row],[Immutable Key]]=""),"",SUBSTITUTE(CommitmentsTable[[#This Row],[Immutable Key]],"-K-","-"))</f>
        <v/>
      </c>
      <c r="B1322" s="233"/>
      <c r="C1322" s="233"/>
      <c r="D1322" s="213"/>
      <c r="E1322" s="230"/>
      <c r="F1322" s="213"/>
      <c r="G1322" s="245" t="str">
        <f ca="1">IF(CommitmentsTable[[#This Row],[Commitment / deliverable]]="","",IF(CommitmentsTable[[#This Row],[Date record entered]]="",TODAY(),CommitmentsTable[[#This Row],[Date record entered]]))</f>
        <v/>
      </c>
      <c r="H1322" s="245"/>
      <c r="I1322" s="245" t="str">
        <f ca="1">IF(CommitmentsTable[[#This Row],[Date Assigned if different from entry date]]&lt;&gt;"",CommitmentsTable[[#This Row],[Date Assigned if different from entry date]]+90,IF(CommitmentsTable[[#This Row],[Date record entered]]&lt;&gt;"",CommitmentsTable[[#This Row],[Date record entered]]+90,""))</f>
        <v/>
      </c>
      <c r="J1322" s="245" t="str">
        <f ca="1">IF(CommitmentsTable[[#This Row],[Date Assigned if different from entry date]]&lt;&gt;"",CommitmentsTable[[#This Row],[Date Assigned if different from entry date]]+30,IF(CommitmentsTable[[#This Row],[Date record entered]]&lt;&gt;"",CommitmentsTable[[#This Row],[Date record entered]]+30,""))</f>
        <v/>
      </c>
      <c r="K1322" s="245"/>
      <c r="L1322" s="245" t="str">
        <f ca="1">IF(CommitmentsTable[[#This Row],[Date Assigned if different from entry date]]&lt;&gt;"",CommitmentsTable[[#This Row],[Date Assigned if different from entry date]]+60,IF(CommitmentsTable[[#This Row],[Date record entered]]&lt;&gt;"",CommitmentsTable[[#This Row],[Date record entered]]+60,""))</f>
        <v/>
      </c>
      <c r="M1322" s="214"/>
      <c r="N1322" s="214"/>
      <c r="O1322" s="236"/>
      <c r="P1322" s="214"/>
      <c r="Q1322" s="214"/>
      <c r="R1322" s="214"/>
      <c r="S1322" s="238" t="str">
        <f>IF(CommitmentsTable[[#This Row],[Commitment / deliverable]]="","",IF(CommitmentsTable[[#This Row],[Revised due]]&lt;&gt;"",CommitmentsTable[[#This Row],[Revised due]],CommitmentsTable[[#This Row],[Original due]]))</f>
        <v/>
      </c>
      <c r="T1322" s="237" t="str">
        <f>IF(OR(CommitmentsTable[[#This Row],[Commitment / deliverable]]="",CommitmentsTable[[#This Row],[Owner]]=""),"",IF(CommitmentsTable[[#This Row],[Status2]]="","Open",CommitmentsTable[[#This Row],[Status2]]))</f>
        <v/>
      </c>
      <c r="U1322" s="237" t="str">
        <f t="shared" ca="1" si="20"/>
        <v/>
      </c>
      <c r="V1322" s="233"/>
      <c r="W1322" s="63" t="s">
        <v>2224</v>
      </c>
    </row>
    <row r="1323" spans="1:23" ht="26">
      <c r="A1323" s="213" t="str">
        <f>IF(OR(CommitmentsTable[[#This Row],[Commitment / deliverable]]="",CommitmentsTable[[#This Row],[Immutable Key]]=""),"",SUBSTITUTE(CommitmentsTable[[#This Row],[Immutable Key]],"-K-","-"))</f>
        <v/>
      </c>
      <c r="B1323" s="233"/>
      <c r="C1323" s="233"/>
      <c r="D1323" s="213"/>
      <c r="E1323" s="230"/>
      <c r="F1323" s="213"/>
      <c r="G1323" s="245" t="str">
        <f ca="1">IF(CommitmentsTable[[#This Row],[Commitment / deliverable]]="","",IF(CommitmentsTable[[#This Row],[Date record entered]]="",TODAY(),CommitmentsTable[[#This Row],[Date record entered]]))</f>
        <v/>
      </c>
      <c r="H1323" s="245"/>
      <c r="I1323" s="245" t="str">
        <f ca="1">IF(CommitmentsTable[[#This Row],[Date Assigned if different from entry date]]&lt;&gt;"",CommitmentsTable[[#This Row],[Date Assigned if different from entry date]]+90,IF(CommitmentsTable[[#This Row],[Date record entered]]&lt;&gt;"",CommitmentsTable[[#This Row],[Date record entered]]+90,""))</f>
        <v/>
      </c>
      <c r="J1323" s="245" t="str">
        <f ca="1">IF(CommitmentsTable[[#This Row],[Date Assigned if different from entry date]]&lt;&gt;"",CommitmentsTable[[#This Row],[Date Assigned if different from entry date]]+30,IF(CommitmentsTable[[#This Row],[Date record entered]]&lt;&gt;"",CommitmentsTable[[#This Row],[Date record entered]]+30,""))</f>
        <v/>
      </c>
      <c r="K1323" s="245"/>
      <c r="L1323" s="245" t="str">
        <f ca="1">IF(CommitmentsTable[[#This Row],[Date Assigned if different from entry date]]&lt;&gt;"",CommitmentsTable[[#This Row],[Date Assigned if different from entry date]]+60,IF(CommitmentsTable[[#This Row],[Date record entered]]&lt;&gt;"",CommitmentsTable[[#This Row],[Date record entered]]+60,""))</f>
        <v/>
      </c>
      <c r="M1323" s="214"/>
      <c r="N1323" s="214"/>
      <c r="O1323" s="236"/>
      <c r="P1323" s="214"/>
      <c r="Q1323" s="214"/>
      <c r="R1323" s="214"/>
      <c r="S1323" s="238" t="str">
        <f>IF(CommitmentsTable[[#This Row],[Commitment / deliverable]]="","",IF(CommitmentsTable[[#This Row],[Revised due]]&lt;&gt;"",CommitmentsTable[[#This Row],[Revised due]],CommitmentsTable[[#This Row],[Original due]]))</f>
        <v/>
      </c>
      <c r="T1323" s="237" t="str">
        <f>IF(OR(CommitmentsTable[[#This Row],[Commitment / deliverable]]="",CommitmentsTable[[#This Row],[Owner]]=""),"",IF(CommitmentsTable[[#This Row],[Status2]]="","Open",CommitmentsTable[[#This Row],[Status2]]))</f>
        <v/>
      </c>
      <c r="U1323" s="237" t="str">
        <f t="shared" ca="1" si="20"/>
        <v/>
      </c>
      <c r="V1323" s="233"/>
      <c r="W1323" s="63" t="s">
        <v>2225</v>
      </c>
    </row>
    <row r="1324" spans="1:23" ht="26">
      <c r="A1324" s="213" t="str">
        <f>IF(OR(CommitmentsTable[[#This Row],[Commitment / deliverable]]="",CommitmentsTable[[#This Row],[Immutable Key]]=""),"",SUBSTITUTE(CommitmentsTable[[#This Row],[Immutable Key]],"-K-","-"))</f>
        <v/>
      </c>
      <c r="B1324" s="233"/>
      <c r="C1324" s="233"/>
      <c r="D1324" s="213"/>
      <c r="E1324" s="230"/>
      <c r="F1324" s="213"/>
      <c r="G1324" s="245" t="str">
        <f ca="1">IF(CommitmentsTable[[#This Row],[Commitment / deliverable]]="","",IF(CommitmentsTable[[#This Row],[Date record entered]]="",TODAY(),CommitmentsTable[[#This Row],[Date record entered]]))</f>
        <v/>
      </c>
      <c r="H1324" s="245"/>
      <c r="I1324" s="245" t="str">
        <f ca="1">IF(CommitmentsTable[[#This Row],[Date Assigned if different from entry date]]&lt;&gt;"",CommitmentsTable[[#This Row],[Date Assigned if different from entry date]]+90,IF(CommitmentsTable[[#This Row],[Date record entered]]&lt;&gt;"",CommitmentsTable[[#This Row],[Date record entered]]+90,""))</f>
        <v/>
      </c>
      <c r="J1324" s="245" t="str">
        <f ca="1">IF(CommitmentsTable[[#This Row],[Date Assigned if different from entry date]]&lt;&gt;"",CommitmentsTable[[#This Row],[Date Assigned if different from entry date]]+30,IF(CommitmentsTable[[#This Row],[Date record entered]]&lt;&gt;"",CommitmentsTable[[#This Row],[Date record entered]]+30,""))</f>
        <v/>
      </c>
      <c r="K1324" s="245"/>
      <c r="L1324" s="245" t="str">
        <f ca="1">IF(CommitmentsTable[[#This Row],[Date Assigned if different from entry date]]&lt;&gt;"",CommitmentsTable[[#This Row],[Date Assigned if different from entry date]]+60,IF(CommitmentsTable[[#This Row],[Date record entered]]&lt;&gt;"",CommitmentsTable[[#This Row],[Date record entered]]+60,""))</f>
        <v/>
      </c>
      <c r="M1324" s="214"/>
      <c r="N1324" s="214"/>
      <c r="O1324" s="236"/>
      <c r="P1324" s="214"/>
      <c r="Q1324" s="214"/>
      <c r="R1324" s="214"/>
      <c r="S1324" s="238" t="str">
        <f>IF(CommitmentsTable[[#This Row],[Commitment / deliverable]]="","",IF(CommitmentsTable[[#This Row],[Revised due]]&lt;&gt;"",CommitmentsTable[[#This Row],[Revised due]],CommitmentsTable[[#This Row],[Original due]]))</f>
        <v/>
      </c>
      <c r="T1324" s="237" t="str">
        <f>IF(OR(CommitmentsTable[[#This Row],[Commitment / deliverable]]="",CommitmentsTable[[#This Row],[Owner]]=""),"",IF(CommitmentsTable[[#This Row],[Status2]]="","Open",CommitmentsTable[[#This Row],[Status2]]))</f>
        <v/>
      </c>
      <c r="U1324" s="237" t="str">
        <f t="shared" ca="1" si="20"/>
        <v/>
      </c>
      <c r="V1324" s="233"/>
      <c r="W1324" s="63" t="s">
        <v>2226</v>
      </c>
    </row>
    <row r="1325" spans="1:23" ht="26">
      <c r="A1325" s="213" t="str">
        <f>IF(OR(CommitmentsTable[[#This Row],[Commitment / deliverable]]="",CommitmentsTable[[#This Row],[Immutable Key]]=""),"",SUBSTITUTE(CommitmentsTable[[#This Row],[Immutable Key]],"-K-","-"))</f>
        <v/>
      </c>
      <c r="B1325" s="233"/>
      <c r="C1325" s="233"/>
      <c r="D1325" s="213"/>
      <c r="E1325" s="230"/>
      <c r="F1325" s="213"/>
      <c r="G1325" s="245" t="str">
        <f ca="1">IF(CommitmentsTable[[#This Row],[Commitment / deliverable]]="","",IF(CommitmentsTable[[#This Row],[Date record entered]]="",TODAY(),CommitmentsTable[[#This Row],[Date record entered]]))</f>
        <v/>
      </c>
      <c r="H1325" s="245"/>
      <c r="I1325" s="245" t="str">
        <f ca="1">IF(CommitmentsTable[[#This Row],[Date Assigned if different from entry date]]&lt;&gt;"",CommitmentsTable[[#This Row],[Date Assigned if different from entry date]]+90,IF(CommitmentsTable[[#This Row],[Date record entered]]&lt;&gt;"",CommitmentsTable[[#This Row],[Date record entered]]+90,""))</f>
        <v/>
      </c>
      <c r="J1325" s="245" t="str">
        <f ca="1">IF(CommitmentsTable[[#This Row],[Date Assigned if different from entry date]]&lt;&gt;"",CommitmentsTable[[#This Row],[Date Assigned if different from entry date]]+30,IF(CommitmentsTable[[#This Row],[Date record entered]]&lt;&gt;"",CommitmentsTable[[#This Row],[Date record entered]]+30,""))</f>
        <v/>
      </c>
      <c r="K1325" s="245"/>
      <c r="L1325" s="245" t="str">
        <f ca="1">IF(CommitmentsTable[[#This Row],[Date Assigned if different from entry date]]&lt;&gt;"",CommitmentsTable[[#This Row],[Date Assigned if different from entry date]]+60,IF(CommitmentsTable[[#This Row],[Date record entered]]&lt;&gt;"",CommitmentsTable[[#This Row],[Date record entered]]+60,""))</f>
        <v/>
      </c>
      <c r="M1325" s="214"/>
      <c r="N1325" s="214"/>
      <c r="O1325" s="236"/>
      <c r="P1325" s="214"/>
      <c r="Q1325" s="214"/>
      <c r="R1325" s="214"/>
      <c r="S1325" s="238" t="str">
        <f>IF(CommitmentsTable[[#This Row],[Commitment / deliverable]]="","",IF(CommitmentsTable[[#This Row],[Revised due]]&lt;&gt;"",CommitmentsTable[[#This Row],[Revised due]],CommitmentsTable[[#This Row],[Original due]]))</f>
        <v/>
      </c>
      <c r="T1325" s="237" t="str">
        <f>IF(OR(CommitmentsTable[[#This Row],[Commitment / deliverable]]="",CommitmentsTable[[#This Row],[Owner]]=""),"",IF(CommitmentsTable[[#This Row],[Status2]]="","Open",CommitmentsTable[[#This Row],[Status2]]))</f>
        <v/>
      </c>
      <c r="U1325" s="237" t="str">
        <f t="shared" ca="1" si="20"/>
        <v/>
      </c>
      <c r="V1325" s="233"/>
      <c r="W1325" s="63" t="s">
        <v>2227</v>
      </c>
    </row>
    <row r="1326" spans="1:23" ht="26">
      <c r="A1326" s="213" t="str">
        <f>IF(OR(CommitmentsTable[[#This Row],[Commitment / deliverable]]="",CommitmentsTable[[#This Row],[Immutable Key]]=""),"",SUBSTITUTE(CommitmentsTable[[#This Row],[Immutable Key]],"-K-","-"))</f>
        <v/>
      </c>
      <c r="B1326" s="233"/>
      <c r="C1326" s="233"/>
      <c r="D1326" s="213"/>
      <c r="E1326" s="230"/>
      <c r="F1326" s="213"/>
      <c r="G1326" s="245" t="str">
        <f ca="1">IF(CommitmentsTable[[#This Row],[Commitment / deliverable]]="","",IF(CommitmentsTable[[#This Row],[Date record entered]]="",TODAY(),CommitmentsTable[[#This Row],[Date record entered]]))</f>
        <v/>
      </c>
      <c r="H1326" s="245"/>
      <c r="I1326" s="245" t="str">
        <f ca="1">IF(CommitmentsTable[[#This Row],[Date Assigned if different from entry date]]&lt;&gt;"",CommitmentsTable[[#This Row],[Date Assigned if different from entry date]]+90,IF(CommitmentsTable[[#This Row],[Date record entered]]&lt;&gt;"",CommitmentsTable[[#This Row],[Date record entered]]+90,""))</f>
        <v/>
      </c>
      <c r="J1326" s="245" t="str">
        <f ca="1">IF(CommitmentsTable[[#This Row],[Date Assigned if different from entry date]]&lt;&gt;"",CommitmentsTable[[#This Row],[Date Assigned if different from entry date]]+30,IF(CommitmentsTable[[#This Row],[Date record entered]]&lt;&gt;"",CommitmentsTable[[#This Row],[Date record entered]]+30,""))</f>
        <v/>
      </c>
      <c r="K1326" s="245"/>
      <c r="L1326" s="245" t="str">
        <f ca="1">IF(CommitmentsTable[[#This Row],[Date Assigned if different from entry date]]&lt;&gt;"",CommitmentsTable[[#This Row],[Date Assigned if different from entry date]]+60,IF(CommitmentsTable[[#This Row],[Date record entered]]&lt;&gt;"",CommitmentsTable[[#This Row],[Date record entered]]+60,""))</f>
        <v/>
      </c>
      <c r="M1326" s="214"/>
      <c r="N1326" s="214"/>
      <c r="O1326" s="236"/>
      <c r="P1326" s="214"/>
      <c r="Q1326" s="214"/>
      <c r="R1326" s="214"/>
      <c r="S1326" s="238" t="str">
        <f>IF(CommitmentsTable[[#This Row],[Commitment / deliverable]]="","",IF(CommitmentsTable[[#This Row],[Revised due]]&lt;&gt;"",CommitmentsTable[[#This Row],[Revised due]],CommitmentsTable[[#This Row],[Original due]]))</f>
        <v/>
      </c>
      <c r="T1326" s="237" t="str">
        <f>IF(OR(CommitmentsTable[[#This Row],[Commitment / deliverable]]="",CommitmentsTable[[#This Row],[Owner]]=""),"",IF(CommitmentsTable[[#This Row],[Status2]]="","Open",CommitmentsTable[[#This Row],[Status2]]))</f>
        <v/>
      </c>
      <c r="U1326" s="237" t="str">
        <f t="shared" ca="1" si="20"/>
        <v/>
      </c>
      <c r="V1326" s="233"/>
      <c r="W1326" s="63" t="s">
        <v>2228</v>
      </c>
    </row>
    <row r="1327" spans="1:23" ht="26">
      <c r="A1327" s="213" t="str">
        <f>IF(OR(CommitmentsTable[[#This Row],[Commitment / deliverable]]="",CommitmentsTable[[#This Row],[Immutable Key]]=""),"",SUBSTITUTE(CommitmentsTable[[#This Row],[Immutable Key]],"-K-","-"))</f>
        <v/>
      </c>
      <c r="B1327" s="233"/>
      <c r="C1327" s="233"/>
      <c r="D1327" s="213"/>
      <c r="E1327" s="230"/>
      <c r="F1327" s="213"/>
      <c r="G1327" s="245" t="str">
        <f ca="1">IF(CommitmentsTable[[#This Row],[Commitment / deliverable]]="","",IF(CommitmentsTable[[#This Row],[Date record entered]]="",TODAY(),CommitmentsTable[[#This Row],[Date record entered]]))</f>
        <v/>
      </c>
      <c r="H1327" s="245"/>
      <c r="I1327" s="245" t="str">
        <f ca="1">IF(CommitmentsTable[[#This Row],[Date Assigned if different from entry date]]&lt;&gt;"",CommitmentsTable[[#This Row],[Date Assigned if different from entry date]]+90,IF(CommitmentsTable[[#This Row],[Date record entered]]&lt;&gt;"",CommitmentsTable[[#This Row],[Date record entered]]+90,""))</f>
        <v/>
      </c>
      <c r="J1327" s="245" t="str">
        <f ca="1">IF(CommitmentsTable[[#This Row],[Date Assigned if different from entry date]]&lt;&gt;"",CommitmentsTable[[#This Row],[Date Assigned if different from entry date]]+30,IF(CommitmentsTable[[#This Row],[Date record entered]]&lt;&gt;"",CommitmentsTable[[#This Row],[Date record entered]]+30,""))</f>
        <v/>
      </c>
      <c r="K1327" s="245"/>
      <c r="L1327" s="245" t="str">
        <f ca="1">IF(CommitmentsTable[[#This Row],[Date Assigned if different from entry date]]&lt;&gt;"",CommitmentsTable[[#This Row],[Date Assigned if different from entry date]]+60,IF(CommitmentsTable[[#This Row],[Date record entered]]&lt;&gt;"",CommitmentsTable[[#This Row],[Date record entered]]+60,""))</f>
        <v/>
      </c>
      <c r="M1327" s="214"/>
      <c r="N1327" s="214"/>
      <c r="O1327" s="236"/>
      <c r="P1327" s="214"/>
      <c r="Q1327" s="214"/>
      <c r="R1327" s="214"/>
      <c r="S1327" s="238" t="str">
        <f>IF(CommitmentsTable[[#This Row],[Commitment / deliverable]]="","",IF(CommitmentsTable[[#This Row],[Revised due]]&lt;&gt;"",CommitmentsTable[[#This Row],[Revised due]],CommitmentsTable[[#This Row],[Original due]]))</f>
        <v/>
      </c>
      <c r="T1327" s="237" t="str">
        <f>IF(OR(CommitmentsTable[[#This Row],[Commitment / deliverable]]="",CommitmentsTable[[#This Row],[Owner]]=""),"",IF(CommitmentsTable[[#This Row],[Status2]]="","Open",CommitmentsTable[[#This Row],[Status2]]))</f>
        <v/>
      </c>
      <c r="U1327" s="237" t="str">
        <f t="shared" ca="1" si="20"/>
        <v/>
      </c>
      <c r="V1327" s="233"/>
      <c r="W1327" s="63" t="s">
        <v>2229</v>
      </c>
    </row>
    <row r="1328" spans="1:23" ht="26">
      <c r="A1328" s="213" t="str">
        <f>IF(OR(CommitmentsTable[[#This Row],[Commitment / deliverable]]="",CommitmentsTable[[#This Row],[Immutable Key]]=""),"",SUBSTITUTE(CommitmentsTable[[#This Row],[Immutable Key]],"-K-","-"))</f>
        <v/>
      </c>
      <c r="B1328" s="233"/>
      <c r="C1328" s="233"/>
      <c r="D1328" s="213"/>
      <c r="E1328" s="230"/>
      <c r="F1328" s="213"/>
      <c r="G1328" s="245" t="str">
        <f ca="1">IF(CommitmentsTable[[#This Row],[Commitment / deliverable]]="","",IF(CommitmentsTable[[#This Row],[Date record entered]]="",TODAY(),CommitmentsTable[[#This Row],[Date record entered]]))</f>
        <v/>
      </c>
      <c r="H1328" s="245"/>
      <c r="I1328" s="245" t="str">
        <f ca="1">IF(CommitmentsTable[[#This Row],[Date Assigned if different from entry date]]&lt;&gt;"",CommitmentsTable[[#This Row],[Date Assigned if different from entry date]]+90,IF(CommitmentsTable[[#This Row],[Date record entered]]&lt;&gt;"",CommitmentsTable[[#This Row],[Date record entered]]+90,""))</f>
        <v/>
      </c>
      <c r="J1328" s="245" t="str">
        <f ca="1">IF(CommitmentsTable[[#This Row],[Date Assigned if different from entry date]]&lt;&gt;"",CommitmentsTable[[#This Row],[Date Assigned if different from entry date]]+30,IF(CommitmentsTable[[#This Row],[Date record entered]]&lt;&gt;"",CommitmentsTable[[#This Row],[Date record entered]]+30,""))</f>
        <v/>
      </c>
      <c r="K1328" s="245"/>
      <c r="L1328" s="245" t="str">
        <f ca="1">IF(CommitmentsTable[[#This Row],[Date Assigned if different from entry date]]&lt;&gt;"",CommitmentsTable[[#This Row],[Date Assigned if different from entry date]]+60,IF(CommitmentsTable[[#This Row],[Date record entered]]&lt;&gt;"",CommitmentsTable[[#This Row],[Date record entered]]+60,""))</f>
        <v/>
      </c>
      <c r="M1328" s="214"/>
      <c r="N1328" s="214"/>
      <c r="O1328" s="236"/>
      <c r="P1328" s="214"/>
      <c r="Q1328" s="214"/>
      <c r="R1328" s="214"/>
      <c r="S1328" s="238" t="str">
        <f>IF(CommitmentsTable[[#This Row],[Commitment / deliverable]]="","",IF(CommitmentsTable[[#This Row],[Revised due]]&lt;&gt;"",CommitmentsTable[[#This Row],[Revised due]],CommitmentsTable[[#This Row],[Original due]]))</f>
        <v/>
      </c>
      <c r="T1328" s="237" t="str">
        <f>IF(OR(CommitmentsTable[[#This Row],[Commitment / deliverable]]="",CommitmentsTable[[#This Row],[Owner]]=""),"",IF(CommitmentsTable[[#This Row],[Status2]]="","Open",CommitmentsTable[[#This Row],[Status2]]))</f>
        <v/>
      </c>
      <c r="U1328" s="237" t="str">
        <f t="shared" ca="1" si="20"/>
        <v/>
      </c>
      <c r="V1328" s="233"/>
      <c r="W1328" s="63" t="s">
        <v>2230</v>
      </c>
    </row>
    <row r="1329" spans="1:23" ht="26">
      <c r="A1329" s="213" t="str">
        <f>IF(OR(CommitmentsTable[[#This Row],[Commitment / deliverable]]="",CommitmentsTable[[#This Row],[Immutable Key]]=""),"",SUBSTITUTE(CommitmentsTable[[#This Row],[Immutable Key]],"-K-","-"))</f>
        <v/>
      </c>
      <c r="B1329" s="233"/>
      <c r="C1329" s="233"/>
      <c r="D1329" s="213"/>
      <c r="E1329" s="230"/>
      <c r="F1329" s="213"/>
      <c r="G1329" s="245" t="str">
        <f ca="1">IF(CommitmentsTable[[#This Row],[Commitment / deliverable]]="","",IF(CommitmentsTable[[#This Row],[Date record entered]]="",TODAY(),CommitmentsTable[[#This Row],[Date record entered]]))</f>
        <v/>
      </c>
      <c r="H1329" s="245"/>
      <c r="I1329" s="245" t="str">
        <f ca="1">IF(CommitmentsTable[[#This Row],[Date Assigned if different from entry date]]&lt;&gt;"",CommitmentsTable[[#This Row],[Date Assigned if different from entry date]]+90,IF(CommitmentsTable[[#This Row],[Date record entered]]&lt;&gt;"",CommitmentsTable[[#This Row],[Date record entered]]+90,""))</f>
        <v/>
      </c>
      <c r="J1329" s="245" t="str">
        <f ca="1">IF(CommitmentsTable[[#This Row],[Date Assigned if different from entry date]]&lt;&gt;"",CommitmentsTable[[#This Row],[Date Assigned if different from entry date]]+30,IF(CommitmentsTable[[#This Row],[Date record entered]]&lt;&gt;"",CommitmentsTable[[#This Row],[Date record entered]]+30,""))</f>
        <v/>
      </c>
      <c r="K1329" s="245"/>
      <c r="L1329" s="245" t="str">
        <f ca="1">IF(CommitmentsTable[[#This Row],[Date Assigned if different from entry date]]&lt;&gt;"",CommitmentsTable[[#This Row],[Date Assigned if different from entry date]]+60,IF(CommitmentsTable[[#This Row],[Date record entered]]&lt;&gt;"",CommitmentsTable[[#This Row],[Date record entered]]+60,""))</f>
        <v/>
      </c>
      <c r="M1329" s="214"/>
      <c r="N1329" s="214"/>
      <c r="O1329" s="236"/>
      <c r="P1329" s="214"/>
      <c r="Q1329" s="214"/>
      <c r="R1329" s="214"/>
      <c r="S1329" s="238" t="str">
        <f>IF(CommitmentsTable[[#This Row],[Commitment / deliverable]]="","",IF(CommitmentsTable[[#This Row],[Revised due]]&lt;&gt;"",CommitmentsTable[[#This Row],[Revised due]],CommitmentsTable[[#This Row],[Original due]]))</f>
        <v/>
      </c>
      <c r="T1329" s="237" t="str">
        <f>IF(OR(CommitmentsTable[[#This Row],[Commitment / deliverable]]="",CommitmentsTable[[#This Row],[Owner]]=""),"",IF(CommitmentsTable[[#This Row],[Status2]]="","Open",CommitmentsTable[[#This Row],[Status2]]))</f>
        <v/>
      </c>
      <c r="U1329" s="237" t="str">
        <f t="shared" ca="1" si="20"/>
        <v/>
      </c>
      <c r="V1329" s="233"/>
      <c r="W1329" s="63" t="s">
        <v>2231</v>
      </c>
    </row>
    <row r="1330" spans="1:23" ht="26">
      <c r="A1330" s="213" t="str">
        <f>IF(OR(CommitmentsTable[[#This Row],[Commitment / deliverable]]="",CommitmentsTable[[#This Row],[Immutable Key]]=""),"",SUBSTITUTE(CommitmentsTable[[#This Row],[Immutable Key]],"-K-","-"))</f>
        <v/>
      </c>
      <c r="B1330" s="233"/>
      <c r="C1330" s="233"/>
      <c r="D1330" s="213"/>
      <c r="E1330" s="230"/>
      <c r="F1330" s="213"/>
      <c r="G1330" s="245" t="str">
        <f ca="1">IF(CommitmentsTable[[#This Row],[Commitment / deliverable]]="","",IF(CommitmentsTable[[#This Row],[Date record entered]]="",TODAY(),CommitmentsTable[[#This Row],[Date record entered]]))</f>
        <v/>
      </c>
      <c r="H1330" s="245"/>
      <c r="I1330" s="245" t="str">
        <f ca="1">IF(CommitmentsTable[[#This Row],[Date Assigned if different from entry date]]&lt;&gt;"",CommitmentsTable[[#This Row],[Date Assigned if different from entry date]]+90,IF(CommitmentsTable[[#This Row],[Date record entered]]&lt;&gt;"",CommitmentsTable[[#This Row],[Date record entered]]+90,""))</f>
        <v/>
      </c>
      <c r="J1330" s="245" t="str">
        <f ca="1">IF(CommitmentsTable[[#This Row],[Date Assigned if different from entry date]]&lt;&gt;"",CommitmentsTable[[#This Row],[Date Assigned if different from entry date]]+30,IF(CommitmentsTable[[#This Row],[Date record entered]]&lt;&gt;"",CommitmentsTable[[#This Row],[Date record entered]]+30,""))</f>
        <v/>
      </c>
      <c r="K1330" s="245"/>
      <c r="L1330" s="245" t="str">
        <f ca="1">IF(CommitmentsTable[[#This Row],[Date Assigned if different from entry date]]&lt;&gt;"",CommitmentsTable[[#This Row],[Date Assigned if different from entry date]]+60,IF(CommitmentsTable[[#This Row],[Date record entered]]&lt;&gt;"",CommitmentsTable[[#This Row],[Date record entered]]+60,""))</f>
        <v/>
      </c>
      <c r="M1330" s="214"/>
      <c r="N1330" s="214"/>
      <c r="O1330" s="236"/>
      <c r="P1330" s="214"/>
      <c r="Q1330" s="214"/>
      <c r="R1330" s="214"/>
      <c r="S1330" s="238" t="str">
        <f>IF(CommitmentsTable[[#This Row],[Commitment / deliverable]]="","",IF(CommitmentsTable[[#This Row],[Revised due]]&lt;&gt;"",CommitmentsTable[[#This Row],[Revised due]],CommitmentsTable[[#This Row],[Original due]]))</f>
        <v/>
      </c>
      <c r="T1330" s="237" t="str">
        <f>IF(OR(CommitmentsTable[[#This Row],[Commitment / deliverable]]="",CommitmentsTable[[#This Row],[Owner]]=""),"",IF(CommitmentsTable[[#This Row],[Status2]]="","Open",CommitmentsTable[[#This Row],[Status2]]))</f>
        <v/>
      </c>
      <c r="U1330" s="237" t="str">
        <f t="shared" ca="1" si="20"/>
        <v/>
      </c>
      <c r="V1330" s="233"/>
      <c r="W1330" s="63" t="s">
        <v>2232</v>
      </c>
    </row>
    <row r="1331" spans="1:23" ht="26">
      <c r="A1331" s="213" t="str">
        <f>IF(OR(CommitmentsTable[[#This Row],[Commitment / deliverable]]="",CommitmentsTable[[#This Row],[Immutable Key]]=""),"",SUBSTITUTE(CommitmentsTable[[#This Row],[Immutable Key]],"-K-","-"))</f>
        <v/>
      </c>
      <c r="B1331" s="233"/>
      <c r="C1331" s="233"/>
      <c r="D1331" s="213"/>
      <c r="E1331" s="230"/>
      <c r="F1331" s="213"/>
      <c r="G1331" s="245" t="str">
        <f ca="1">IF(CommitmentsTable[[#This Row],[Commitment / deliverable]]="","",IF(CommitmentsTable[[#This Row],[Date record entered]]="",TODAY(),CommitmentsTable[[#This Row],[Date record entered]]))</f>
        <v/>
      </c>
      <c r="H1331" s="245"/>
      <c r="I1331" s="245" t="str">
        <f ca="1">IF(CommitmentsTable[[#This Row],[Date Assigned if different from entry date]]&lt;&gt;"",CommitmentsTable[[#This Row],[Date Assigned if different from entry date]]+90,IF(CommitmentsTable[[#This Row],[Date record entered]]&lt;&gt;"",CommitmentsTable[[#This Row],[Date record entered]]+90,""))</f>
        <v/>
      </c>
      <c r="J1331" s="245" t="str">
        <f ca="1">IF(CommitmentsTable[[#This Row],[Date Assigned if different from entry date]]&lt;&gt;"",CommitmentsTable[[#This Row],[Date Assigned if different from entry date]]+30,IF(CommitmentsTable[[#This Row],[Date record entered]]&lt;&gt;"",CommitmentsTable[[#This Row],[Date record entered]]+30,""))</f>
        <v/>
      </c>
      <c r="K1331" s="245"/>
      <c r="L1331" s="245" t="str">
        <f ca="1">IF(CommitmentsTable[[#This Row],[Date Assigned if different from entry date]]&lt;&gt;"",CommitmentsTable[[#This Row],[Date Assigned if different from entry date]]+60,IF(CommitmentsTable[[#This Row],[Date record entered]]&lt;&gt;"",CommitmentsTable[[#This Row],[Date record entered]]+60,""))</f>
        <v/>
      </c>
      <c r="M1331" s="214"/>
      <c r="N1331" s="214"/>
      <c r="O1331" s="236"/>
      <c r="P1331" s="214"/>
      <c r="Q1331" s="214"/>
      <c r="R1331" s="214"/>
      <c r="S1331" s="238" t="str">
        <f>IF(CommitmentsTable[[#This Row],[Commitment / deliverable]]="","",IF(CommitmentsTable[[#This Row],[Revised due]]&lt;&gt;"",CommitmentsTable[[#This Row],[Revised due]],CommitmentsTable[[#This Row],[Original due]]))</f>
        <v/>
      </c>
      <c r="T1331" s="237" t="str">
        <f>IF(OR(CommitmentsTable[[#This Row],[Commitment / deliverable]]="",CommitmentsTable[[#This Row],[Owner]]=""),"",IF(CommitmentsTable[[#This Row],[Status2]]="","Open",CommitmentsTable[[#This Row],[Status2]]))</f>
        <v/>
      </c>
      <c r="U1331" s="237" t="str">
        <f t="shared" ca="1" si="20"/>
        <v/>
      </c>
      <c r="V1331" s="233"/>
      <c r="W1331" s="63" t="s">
        <v>2233</v>
      </c>
    </row>
    <row r="1332" spans="1:23" ht="26">
      <c r="A1332" s="213" t="str">
        <f>IF(OR(CommitmentsTable[[#This Row],[Commitment / deliverable]]="",CommitmentsTable[[#This Row],[Immutable Key]]=""),"",SUBSTITUTE(CommitmentsTable[[#This Row],[Immutable Key]],"-K-","-"))</f>
        <v/>
      </c>
      <c r="B1332" s="233"/>
      <c r="C1332" s="233"/>
      <c r="D1332" s="213"/>
      <c r="E1332" s="230"/>
      <c r="F1332" s="213"/>
      <c r="G1332" s="245" t="str">
        <f ca="1">IF(CommitmentsTable[[#This Row],[Commitment / deliverable]]="","",IF(CommitmentsTable[[#This Row],[Date record entered]]="",TODAY(),CommitmentsTable[[#This Row],[Date record entered]]))</f>
        <v/>
      </c>
      <c r="H1332" s="245"/>
      <c r="I1332" s="245" t="str">
        <f ca="1">IF(CommitmentsTable[[#This Row],[Date Assigned if different from entry date]]&lt;&gt;"",CommitmentsTable[[#This Row],[Date Assigned if different from entry date]]+90,IF(CommitmentsTable[[#This Row],[Date record entered]]&lt;&gt;"",CommitmentsTable[[#This Row],[Date record entered]]+90,""))</f>
        <v/>
      </c>
      <c r="J1332" s="245" t="str">
        <f ca="1">IF(CommitmentsTable[[#This Row],[Date Assigned if different from entry date]]&lt;&gt;"",CommitmentsTable[[#This Row],[Date Assigned if different from entry date]]+30,IF(CommitmentsTable[[#This Row],[Date record entered]]&lt;&gt;"",CommitmentsTable[[#This Row],[Date record entered]]+30,""))</f>
        <v/>
      </c>
      <c r="K1332" s="245"/>
      <c r="L1332" s="245" t="str">
        <f ca="1">IF(CommitmentsTable[[#This Row],[Date Assigned if different from entry date]]&lt;&gt;"",CommitmentsTable[[#This Row],[Date Assigned if different from entry date]]+60,IF(CommitmentsTable[[#This Row],[Date record entered]]&lt;&gt;"",CommitmentsTable[[#This Row],[Date record entered]]+60,""))</f>
        <v/>
      </c>
      <c r="M1332" s="214"/>
      <c r="N1332" s="214"/>
      <c r="O1332" s="236"/>
      <c r="P1332" s="214"/>
      <c r="Q1332" s="214"/>
      <c r="R1332" s="214"/>
      <c r="S1332" s="238" t="str">
        <f>IF(CommitmentsTable[[#This Row],[Commitment / deliverable]]="","",IF(CommitmentsTable[[#This Row],[Revised due]]&lt;&gt;"",CommitmentsTable[[#This Row],[Revised due]],CommitmentsTable[[#This Row],[Original due]]))</f>
        <v/>
      </c>
      <c r="T1332" s="237" t="str">
        <f>IF(OR(CommitmentsTable[[#This Row],[Commitment / deliverable]]="",CommitmentsTable[[#This Row],[Owner]]=""),"",IF(CommitmentsTable[[#This Row],[Status2]]="","Open",CommitmentsTable[[#This Row],[Status2]]))</f>
        <v/>
      </c>
      <c r="U1332" s="237" t="str">
        <f t="shared" ca="1" si="20"/>
        <v/>
      </c>
      <c r="V1332" s="233"/>
      <c r="W1332" s="63" t="s">
        <v>2234</v>
      </c>
    </row>
    <row r="1333" spans="1:23" ht="26">
      <c r="A1333" s="213" t="str">
        <f>IF(OR(CommitmentsTable[[#This Row],[Commitment / deliverable]]="",CommitmentsTable[[#This Row],[Immutable Key]]=""),"",SUBSTITUTE(CommitmentsTable[[#This Row],[Immutable Key]],"-K-","-"))</f>
        <v/>
      </c>
      <c r="B1333" s="233"/>
      <c r="C1333" s="233"/>
      <c r="D1333" s="213"/>
      <c r="E1333" s="230"/>
      <c r="F1333" s="213"/>
      <c r="G1333" s="245" t="str">
        <f ca="1">IF(CommitmentsTable[[#This Row],[Commitment / deliverable]]="","",IF(CommitmentsTable[[#This Row],[Date record entered]]="",TODAY(),CommitmentsTable[[#This Row],[Date record entered]]))</f>
        <v/>
      </c>
      <c r="H1333" s="245"/>
      <c r="I1333" s="245" t="str">
        <f ca="1">IF(CommitmentsTable[[#This Row],[Date Assigned if different from entry date]]&lt;&gt;"",CommitmentsTable[[#This Row],[Date Assigned if different from entry date]]+90,IF(CommitmentsTable[[#This Row],[Date record entered]]&lt;&gt;"",CommitmentsTable[[#This Row],[Date record entered]]+90,""))</f>
        <v/>
      </c>
      <c r="J1333" s="245" t="str">
        <f ca="1">IF(CommitmentsTable[[#This Row],[Date Assigned if different from entry date]]&lt;&gt;"",CommitmentsTable[[#This Row],[Date Assigned if different from entry date]]+30,IF(CommitmentsTable[[#This Row],[Date record entered]]&lt;&gt;"",CommitmentsTable[[#This Row],[Date record entered]]+30,""))</f>
        <v/>
      </c>
      <c r="K1333" s="245"/>
      <c r="L1333" s="245" t="str">
        <f ca="1">IF(CommitmentsTable[[#This Row],[Date Assigned if different from entry date]]&lt;&gt;"",CommitmentsTable[[#This Row],[Date Assigned if different from entry date]]+60,IF(CommitmentsTable[[#This Row],[Date record entered]]&lt;&gt;"",CommitmentsTable[[#This Row],[Date record entered]]+60,""))</f>
        <v/>
      </c>
      <c r="M1333" s="214"/>
      <c r="N1333" s="214"/>
      <c r="O1333" s="236"/>
      <c r="P1333" s="214"/>
      <c r="Q1333" s="214"/>
      <c r="R1333" s="214"/>
      <c r="S1333" s="238" t="str">
        <f>IF(CommitmentsTable[[#This Row],[Commitment / deliverable]]="","",IF(CommitmentsTable[[#This Row],[Revised due]]&lt;&gt;"",CommitmentsTable[[#This Row],[Revised due]],CommitmentsTable[[#This Row],[Original due]]))</f>
        <v/>
      </c>
      <c r="T1333" s="237" t="str">
        <f>IF(OR(CommitmentsTable[[#This Row],[Commitment / deliverable]]="",CommitmentsTable[[#This Row],[Owner]]=""),"",IF(CommitmentsTable[[#This Row],[Status2]]="","Open",CommitmentsTable[[#This Row],[Status2]]))</f>
        <v/>
      </c>
      <c r="U1333" s="237" t="str">
        <f t="shared" ca="1" si="20"/>
        <v/>
      </c>
      <c r="V1333" s="233"/>
      <c r="W1333" s="63" t="s">
        <v>2235</v>
      </c>
    </row>
    <row r="1334" spans="1:23" ht="26">
      <c r="A1334" s="213" t="str">
        <f>IF(OR(CommitmentsTable[[#This Row],[Commitment / deliverable]]="",CommitmentsTable[[#This Row],[Immutable Key]]=""),"",SUBSTITUTE(CommitmentsTable[[#This Row],[Immutable Key]],"-K-","-"))</f>
        <v/>
      </c>
      <c r="B1334" s="233"/>
      <c r="C1334" s="233"/>
      <c r="D1334" s="213"/>
      <c r="E1334" s="230"/>
      <c r="F1334" s="213"/>
      <c r="G1334" s="245" t="str">
        <f ca="1">IF(CommitmentsTable[[#This Row],[Commitment / deliverable]]="","",IF(CommitmentsTable[[#This Row],[Date record entered]]="",TODAY(),CommitmentsTable[[#This Row],[Date record entered]]))</f>
        <v/>
      </c>
      <c r="H1334" s="245"/>
      <c r="I1334" s="245" t="str">
        <f ca="1">IF(CommitmentsTable[[#This Row],[Date Assigned if different from entry date]]&lt;&gt;"",CommitmentsTable[[#This Row],[Date Assigned if different from entry date]]+90,IF(CommitmentsTable[[#This Row],[Date record entered]]&lt;&gt;"",CommitmentsTable[[#This Row],[Date record entered]]+90,""))</f>
        <v/>
      </c>
      <c r="J1334" s="245" t="str">
        <f ca="1">IF(CommitmentsTable[[#This Row],[Date Assigned if different from entry date]]&lt;&gt;"",CommitmentsTable[[#This Row],[Date Assigned if different from entry date]]+30,IF(CommitmentsTable[[#This Row],[Date record entered]]&lt;&gt;"",CommitmentsTable[[#This Row],[Date record entered]]+30,""))</f>
        <v/>
      </c>
      <c r="K1334" s="245"/>
      <c r="L1334" s="245" t="str">
        <f ca="1">IF(CommitmentsTable[[#This Row],[Date Assigned if different from entry date]]&lt;&gt;"",CommitmentsTable[[#This Row],[Date Assigned if different from entry date]]+60,IF(CommitmentsTable[[#This Row],[Date record entered]]&lt;&gt;"",CommitmentsTable[[#This Row],[Date record entered]]+60,""))</f>
        <v/>
      </c>
      <c r="M1334" s="214"/>
      <c r="N1334" s="214"/>
      <c r="O1334" s="236"/>
      <c r="P1334" s="214"/>
      <c r="Q1334" s="214"/>
      <c r="R1334" s="214"/>
      <c r="S1334" s="238" t="str">
        <f>IF(CommitmentsTable[[#This Row],[Commitment / deliverable]]="","",IF(CommitmentsTable[[#This Row],[Revised due]]&lt;&gt;"",CommitmentsTable[[#This Row],[Revised due]],CommitmentsTable[[#This Row],[Original due]]))</f>
        <v/>
      </c>
      <c r="T1334" s="237" t="str">
        <f>IF(OR(CommitmentsTable[[#This Row],[Commitment / deliverable]]="",CommitmentsTable[[#This Row],[Owner]]=""),"",IF(CommitmentsTable[[#This Row],[Status2]]="","Open",CommitmentsTable[[#This Row],[Status2]]))</f>
        <v/>
      </c>
      <c r="U1334" s="237" t="str">
        <f t="shared" ca="1" si="20"/>
        <v/>
      </c>
      <c r="V1334" s="233"/>
      <c r="W1334" s="63" t="s">
        <v>2236</v>
      </c>
    </row>
    <row r="1335" spans="1:23" ht="26">
      <c r="A1335" s="213" t="str">
        <f>IF(OR(CommitmentsTable[[#This Row],[Commitment / deliverable]]="",CommitmentsTable[[#This Row],[Immutable Key]]=""),"",SUBSTITUTE(CommitmentsTable[[#This Row],[Immutable Key]],"-K-","-"))</f>
        <v/>
      </c>
      <c r="B1335" s="233"/>
      <c r="C1335" s="233"/>
      <c r="D1335" s="213"/>
      <c r="E1335" s="230"/>
      <c r="F1335" s="213"/>
      <c r="G1335" s="245" t="str">
        <f ca="1">IF(CommitmentsTable[[#This Row],[Commitment / deliverable]]="","",IF(CommitmentsTable[[#This Row],[Date record entered]]="",TODAY(),CommitmentsTable[[#This Row],[Date record entered]]))</f>
        <v/>
      </c>
      <c r="H1335" s="245"/>
      <c r="I1335" s="245" t="str">
        <f ca="1">IF(CommitmentsTable[[#This Row],[Date Assigned if different from entry date]]&lt;&gt;"",CommitmentsTable[[#This Row],[Date Assigned if different from entry date]]+90,IF(CommitmentsTable[[#This Row],[Date record entered]]&lt;&gt;"",CommitmentsTable[[#This Row],[Date record entered]]+90,""))</f>
        <v/>
      </c>
      <c r="J1335" s="245" t="str">
        <f ca="1">IF(CommitmentsTable[[#This Row],[Date Assigned if different from entry date]]&lt;&gt;"",CommitmentsTable[[#This Row],[Date Assigned if different from entry date]]+30,IF(CommitmentsTable[[#This Row],[Date record entered]]&lt;&gt;"",CommitmentsTable[[#This Row],[Date record entered]]+30,""))</f>
        <v/>
      </c>
      <c r="K1335" s="245"/>
      <c r="L1335" s="245" t="str">
        <f ca="1">IF(CommitmentsTable[[#This Row],[Date Assigned if different from entry date]]&lt;&gt;"",CommitmentsTable[[#This Row],[Date Assigned if different from entry date]]+60,IF(CommitmentsTable[[#This Row],[Date record entered]]&lt;&gt;"",CommitmentsTable[[#This Row],[Date record entered]]+60,""))</f>
        <v/>
      </c>
      <c r="M1335" s="214"/>
      <c r="N1335" s="214"/>
      <c r="O1335" s="236"/>
      <c r="P1335" s="214"/>
      <c r="Q1335" s="214"/>
      <c r="R1335" s="214"/>
      <c r="S1335" s="238" t="str">
        <f>IF(CommitmentsTable[[#This Row],[Commitment / deliverable]]="","",IF(CommitmentsTable[[#This Row],[Revised due]]&lt;&gt;"",CommitmentsTable[[#This Row],[Revised due]],CommitmentsTable[[#This Row],[Original due]]))</f>
        <v/>
      </c>
      <c r="T1335" s="237" t="str">
        <f>IF(OR(CommitmentsTable[[#This Row],[Commitment / deliverable]]="",CommitmentsTable[[#This Row],[Owner]]=""),"",IF(CommitmentsTable[[#This Row],[Status2]]="","Open",CommitmentsTable[[#This Row],[Status2]]))</f>
        <v/>
      </c>
      <c r="U1335" s="237" t="str">
        <f t="shared" ca="1" si="20"/>
        <v/>
      </c>
      <c r="V1335" s="233"/>
      <c r="W1335" s="63" t="s">
        <v>2237</v>
      </c>
    </row>
    <row r="1336" spans="1:23" ht="26">
      <c r="A1336" s="213" t="str">
        <f>IF(OR(CommitmentsTable[[#This Row],[Commitment / deliverable]]="",CommitmentsTable[[#This Row],[Immutable Key]]=""),"",SUBSTITUTE(CommitmentsTable[[#This Row],[Immutable Key]],"-K-","-"))</f>
        <v/>
      </c>
      <c r="B1336" s="233"/>
      <c r="C1336" s="233"/>
      <c r="D1336" s="213"/>
      <c r="E1336" s="230"/>
      <c r="F1336" s="213"/>
      <c r="G1336" s="245" t="str">
        <f ca="1">IF(CommitmentsTable[[#This Row],[Commitment / deliverable]]="","",IF(CommitmentsTable[[#This Row],[Date record entered]]="",TODAY(),CommitmentsTable[[#This Row],[Date record entered]]))</f>
        <v/>
      </c>
      <c r="H1336" s="245"/>
      <c r="I1336" s="245" t="str">
        <f ca="1">IF(CommitmentsTable[[#This Row],[Date Assigned if different from entry date]]&lt;&gt;"",CommitmentsTable[[#This Row],[Date Assigned if different from entry date]]+90,IF(CommitmentsTable[[#This Row],[Date record entered]]&lt;&gt;"",CommitmentsTable[[#This Row],[Date record entered]]+90,""))</f>
        <v/>
      </c>
      <c r="J1336" s="245" t="str">
        <f ca="1">IF(CommitmentsTable[[#This Row],[Date Assigned if different from entry date]]&lt;&gt;"",CommitmentsTable[[#This Row],[Date Assigned if different from entry date]]+30,IF(CommitmentsTable[[#This Row],[Date record entered]]&lt;&gt;"",CommitmentsTable[[#This Row],[Date record entered]]+30,""))</f>
        <v/>
      </c>
      <c r="K1336" s="245"/>
      <c r="L1336" s="245" t="str">
        <f ca="1">IF(CommitmentsTable[[#This Row],[Date Assigned if different from entry date]]&lt;&gt;"",CommitmentsTable[[#This Row],[Date Assigned if different from entry date]]+60,IF(CommitmentsTable[[#This Row],[Date record entered]]&lt;&gt;"",CommitmentsTable[[#This Row],[Date record entered]]+60,""))</f>
        <v/>
      </c>
      <c r="M1336" s="214"/>
      <c r="N1336" s="214"/>
      <c r="O1336" s="236"/>
      <c r="P1336" s="214"/>
      <c r="Q1336" s="214"/>
      <c r="R1336" s="214"/>
      <c r="S1336" s="238" t="str">
        <f>IF(CommitmentsTable[[#This Row],[Commitment / deliverable]]="","",IF(CommitmentsTable[[#This Row],[Revised due]]&lt;&gt;"",CommitmentsTable[[#This Row],[Revised due]],CommitmentsTable[[#This Row],[Original due]]))</f>
        <v/>
      </c>
      <c r="T1336" s="237" t="str">
        <f>IF(OR(CommitmentsTable[[#This Row],[Commitment / deliverable]]="",CommitmentsTable[[#This Row],[Owner]]=""),"",IF(CommitmentsTable[[#This Row],[Status2]]="","Open",CommitmentsTable[[#This Row],[Status2]]))</f>
        <v/>
      </c>
      <c r="U1336" s="237" t="str">
        <f t="shared" ca="1" si="20"/>
        <v/>
      </c>
      <c r="V1336" s="233"/>
      <c r="W1336" s="63" t="s">
        <v>2238</v>
      </c>
    </row>
    <row r="1337" spans="1:23" ht="26">
      <c r="A1337" s="213" t="str">
        <f>IF(OR(CommitmentsTable[[#This Row],[Commitment / deliverable]]="",CommitmentsTable[[#This Row],[Immutable Key]]=""),"",SUBSTITUTE(CommitmentsTable[[#This Row],[Immutable Key]],"-K-","-"))</f>
        <v/>
      </c>
      <c r="B1337" s="233"/>
      <c r="C1337" s="233"/>
      <c r="D1337" s="213"/>
      <c r="E1337" s="230"/>
      <c r="F1337" s="213"/>
      <c r="G1337" s="245" t="str">
        <f ca="1">IF(CommitmentsTable[[#This Row],[Commitment / deliverable]]="","",IF(CommitmentsTable[[#This Row],[Date record entered]]="",TODAY(),CommitmentsTable[[#This Row],[Date record entered]]))</f>
        <v/>
      </c>
      <c r="H1337" s="245"/>
      <c r="I1337" s="245" t="str">
        <f ca="1">IF(CommitmentsTable[[#This Row],[Date Assigned if different from entry date]]&lt;&gt;"",CommitmentsTable[[#This Row],[Date Assigned if different from entry date]]+90,IF(CommitmentsTable[[#This Row],[Date record entered]]&lt;&gt;"",CommitmentsTable[[#This Row],[Date record entered]]+90,""))</f>
        <v/>
      </c>
      <c r="J1337" s="245" t="str">
        <f ca="1">IF(CommitmentsTable[[#This Row],[Date Assigned if different from entry date]]&lt;&gt;"",CommitmentsTable[[#This Row],[Date Assigned if different from entry date]]+30,IF(CommitmentsTable[[#This Row],[Date record entered]]&lt;&gt;"",CommitmentsTable[[#This Row],[Date record entered]]+30,""))</f>
        <v/>
      </c>
      <c r="K1337" s="245"/>
      <c r="L1337" s="245" t="str">
        <f ca="1">IF(CommitmentsTable[[#This Row],[Date Assigned if different from entry date]]&lt;&gt;"",CommitmentsTable[[#This Row],[Date Assigned if different from entry date]]+60,IF(CommitmentsTable[[#This Row],[Date record entered]]&lt;&gt;"",CommitmentsTable[[#This Row],[Date record entered]]+60,""))</f>
        <v/>
      </c>
      <c r="M1337" s="214"/>
      <c r="N1337" s="214"/>
      <c r="O1337" s="236"/>
      <c r="P1337" s="214"/>
      <c r="Q1337" s="214"/>
      <c r="R1337" s="214"/>
      <c r="S1337" s="238" t="str">
        <f>IF(CommitmentsTable[[#This Row],[Commitment / deliverable]]="","",IF(CommitmentsTable[[#This Row],[Revised due]]&lt;&gt;"",CommitmentsTable[[#This Row],[Revised due]],CommitmentsTable[[#This Row],[Original due]]))</f>
        <v/>
      </c>
      <c r="T1337" s="237" t="str">
        <f>IF(OR(CommitmentsTable[[#This Row],[Commitment / deliverable]]="",CommitmentsTable[[#This Row],[Owner]]=""),"",IF(CommitmentsTable[[#This Row],[Status2]]="","Open",CommitmentsTable[[#This Row],[Status2]]))</f>
        <v/>
      </c>
      <c r="U1337" s="237" t="str">
        <f t="shared" ca="1" si="20"/>
        <v/>
      </c>
      <c r="V1337" s="233"/>
      <c r="W1337" s="63" t="s">
        <v>2239</v>
      </c>
    </row>
    <row r="1338" spans="1:23" ht="26">
      <c r="A1338" s="213" t="str">
        <f>IF(OR(CommitmentsTable[[#This Row],[Commitment / deliverable]]="",CommitmentsTable[[#This Row],[Immutable Key]]=""),"",SUBSTITUTE(CommitmentsTable[[#This Row],[Immutable Key]],"-K-","-"))</f>
        <v/>
      </c>
      <c r="B1338" s="233"/>
      <c r="C1338" s="233"/>
      <c r="D1338" s="213"/>
      <c r="E1338" s="230"/>
      <c r="F1338" s="213"/>
      <c r="G1338" s="245" t="str">
        <f ca="1">IF(CommitmentsTable[[#This Row],[Commitment / deliverable]]="","",IF(CommitmentsTable[[#This Row],[Date record entered]]="",TODAY(),CommitmentsTable[[#This Row],[Date record entered]]))</f>
        <v/>
      </c>
      <c r="H1338" s="245"/>
      <c r="I1338" s="245" t="str">
        <f ca="1">IF(CommitmentsTable[[#This Row],[Date Assigned if different from entry date]]&lt;&gt;"",CommitmentsTable[[#This Row],[Date Assigned if different from entry date]]+90,IF(CommitmentsTable[[#This Row],[Date record entered]]&lt;&gt;"",CommitmentsTable[[#This Row],[Date record entered]]+90,""))</f>
        <v/>
      </c>
      <c r="J1338" s="245" t="str">
        <f ca="1">IF(CommitmentsTable[[#This Row],[Date Assigned if different from entry date]]&lt;&gt;"",CommitmentsTable[[#This Row],[Date Assigned if different from entry date]]+30,IF(CommitmentsTable[[#This Row],[Date record entered]]&lt;&gt;"",CommitmentsTable[[#This Row],[Date record entered]]+30,""))</f>
        <v/>
      </c>
      <c r="K1338" s="245"/>
      <c r="L1338" s="245" t="str">
        <f ca="1">IF(CommitmentsTable[[#This Row],[Date Assigned if different from entry date]]&lt;&gt;"",CommitmentsTable[[#This Row],[Date Assigned if different from entry date]]+60,IF(CommitmentsTable[[#This Row],[Date record entered]]&lt;&gt;"",CommitmentsTable[[#This Row],[Date record entered]]+60,""))</f>
        <v/>
      </c>
      <c r="M1338" s="214"/>
      <c r="N1338" s="214"/>
      <c r="O1338" s="236"/>
      <c r="P1338" s="214"/>
      <c r="Q1338" s="214"/>
      <c r="R1338" s="214"/>
      <c r="S1338" s="238" t="str">
        <f>IF(CommitmentsTable[[#This Row],[Commitment / deliverable]]="","",IF(CommitmentsTable[[#This Row],[Revised due]]&lt;&gt;"",CommitmentsTable[[#This Row],[Revised due]],CommitmentsTable[[#This Row],[Original due]]))</f>
        <v/>
      </c>
      <c r="T1338" s="237" t="str">
        <f>IF(OR(CommitmentsTable[[#This Row],[Commitment / deliverable]]="",CommitmentsTable[[#This Row],[Owner]]=""),"",IF(CommitmentsTable[[#This Row],[Status2]]="","Open",CommitmentsTable[[#This Row],[Status2]]))</f>
        <v/>
      </c>
      <c r="U1338" s="237" t="str">
        <f t="shared" ca="1" si="20"/>
        <v/>
      </c>
      <c r="V1338" s="233"/>
      <c r="W1338" s="63" t="s">
        <v>2240</v>
      </c>
    </row>
    <row r="1339" spans="1:23" ht="26">
      <c r="A1339" s="213" t="str">
        <f>IF(OR(CommitmentsTable[[#This Row],[Commitment / deliverable]]="",CommitmentsTable[[#This Row],[Immutable Key]]=""),"",SUBSTITUTE(CommitmentsTable[[#This Row],[Immutable Key]],"-K-","-"))</f>
        <v/>
      </c>
      <c r="B1339" s="233"/>
      <c r="C1339" s="233"/>
      <c r="D1339" s="213"/>
      <c r="E1339" s="230"/>
      <c r="F1339" s="213"/>
      <c r="G1339" s="245" t="str">
        <f ca="1">IF(CommitmentsTable[[#This Row],[Commitment / deliverable]]="","",IF(CommitmentsTable[[#This Row],[Date record entered]]="",TODAY(),CommitmentsTable[[#This Row],[Date record entered]]))</f>
        <v/>
      </c>
      <c r="H1339" s="245"/>
      <c r="I1339" s="245" t="str">
        <f ca="1">IF(CommitmentsTable[[#This Row],[Date Assigned if different from entry date]]&lt;&gt;"",CommitmentsTable[[#This Row],[Date Assigned if different from entry date]]+90,IF(CommitmentsTable[[#This Row],[Date record entered]]&lt;&gt;"",CommitmentsTable[[#This Row],[Date record entered]]+90,""))</f>
        <v/>
      </c>
      <c r="J1339" s="245" t="str">
        <f ca="1">IF(CommitmentsTable[[#This Row],[Date Assigned if different from entry date]]&lt;&gt;"",CommitmentsTable[[#This Row],[Date Assigned if different from entry date]]+30,IF(CommitmentsTable[[#This Row],[Date record entered]]&lt;&gt;"",CommitmentsTable[[#This Row],[Date record entered]]+30,""))</f>
        <v/>
      </c>
      <c r="K1339" s="245"/>
      <c r="L1339" s="245" t="str">
        <f ca="1">IF(CommitmentsTable[[#This Row],[Date Assigned if different from entry date]]&lt;&gt;"",CommitmentsTable[[#This Row],[Date Assigned if different from entry date]]+60,IF(CommitmentsTable[[#This Row],[Date record entered]]&lt;&gt;"",CommitmentsTable[[#This Row],[Date record entered]]+60,""))</f>
        <v/>
      </c>
      <c r="M1339" s="214"/>
      <c r="N1339" s="214"/>
      <c r="O1339" s="236"/>
      <c r="P1339" s="214"/>
      <c r="Q1339" s="214"/>
      <c r="R1339" s="214"/>
      <c r="S1339" s="238" t="str">
        <f>IF(CommitmentsTable[[#This Row],[Commitment / deliverable]]="","",IF(CommitmentsTable[[#This Row],[Revised due]]&lt;&gt;"",CommitmentsTable[[#This Row],[Revised due]],CommitmentsTable[[#This Row],[Original due]]))</f>
        <v/>
      </c>
      <c r="T1339" s="237" t="str">
        <f>IF(OR(CommitmentsTable[[#This Row],[Commitment / deliverable]]="",CommitmentsTable[[#This Row],[Owner]]=""),"",IF(CommitmentsTable[[#This Row],[Status2]]="","Open",CommitmentsTable[[#This Row],[Status2]]))</f>
        <v/>
      </c>
      <c r="U1339" s="237" t="str">
        <f t="shared" ca="1" si="20"/>
        <v/>
      </c>
      <c r="V1339" s="233"/>
      <c r="W1339" s="63" t="s">
        <v>2241</v>
      </c>
    </row>
    <row r="1340" spans="1:23" ht="26">
      <c r="A1340" s="213" t="str">
        <f>IF(OR(CommitmentsTable[[#This Row],[Commitment / deliverable]]="",CommitmentsTable[[#This Row],[Immutable Key]]=""),"",SUBSTITUTE(CommitmentsTable[[#This Row],[Immutable Key]],"-K-","-"))</f>
        <v/>
      </c>
      <c r="B1340" s="233"/>
      <c r="C1340" s="233"/>
      <c r="D1340" s="213"/>
      <c r="E1340" s="230"/>
      <c r="F1340" s="213"/>
      <c r="G1340" s="245" t="str">
        <f ca="1">IF(CommitmentsTable[[#This Row],[Commitment / deliverable]]="","",IF(CommitmentsTable[[#This Row],[Date record entered]]="",TODAY(),CommitmentsTable[[#This Row],[Date record entered]]))</f>
        <v/>
      </c>
      <c r="H1340" s="245"/>
      <c r="I1340" s="245" t="str">
        <f ca="1">IF(CommitmentsTable[[#This Row],[Date Assigned if different from entry date]]&lt;&gt;"",CommitmentsTable[[#This Row],[Date Assigned if different from entry date]]+90,IF(CommitmentsTable[[#This Row],[Date record entered]]&lt;&gt;"",CommitmentsTable[[#This Row],[Date record entered]]+90,""))</f>
        <v/>
      </c>
      <c r="J1340" s="245" t="str">
        <f ca="1">IF(CommitmentsTable[[#This Row],[Date Assigned if different from entry date]]&lt;&gt;"",CommitmentsTable[[#This Row],[Date Assigned if different from entry date]]+30,IF(CommitmentsTable[[#This Row],[Date record entered]]&lt;&gt;"",CommitmentsTable[[#This Row],[Date record entered]]+30,""))</f>
        <v/>
      </c>
      <c r="K1340" s="245"/>
      <c r="L1340" s="245" t="str">
        <f ca="1">IF(CommitmentsTable[[#This Row],[Date Assigned if different from entry date]]&lt;&gt;"",CommitmentsTable[[#This Row],[Date Assigned if different from entry date]]+60,IF(CommitmentsTable[[#This Row],[Date record entered]]&lt;&gt;"",CommitmentsTable[[#This Row],[Date record entered]]+60,""))</f>
        <v/>
      </c>
      <c r="M1340" s="214"/>
      <c r="N1340" s="214"/>
      <c r="O1340" s="236"/>
      <c r="P1340" s="214"/>
      <c r="Q1340" s="214"/>
      <c r="R1340" s="214"/>
      <c r="S1340" s="238" t="str">
        <f>IF(CommitmentsTable[[#This Row],[Commitment / deliverable]]="","",IF(CommitmentsTable[[#This Row],[Revised due]]&lt;&gt;"",CommitmentsTable[[#This Row],[Revised due]],CommitmentsTable[[#This Row],[Original due]]))</f>
        <v/>
      </c>
      <c r="T1340" s="237" t="str">
        <f>IF(OR(CommitmentsTable[[#This Row],[Commitment / deliverable]]="",CommitmentsTable[[#This Row],[Owner]]=""),"",IF(CommitmentsTable[[#This Row],[Status2]]="","Open",CommitmentsTable[[#This Row],[Status2]]))</f>
        <v/>
      </c>
      <c r="U1340" s="237" t="str">
        <f t="shared" ca="1" si="20"/>
        <v/>
      </c>
      <c r="V1340" s="233"/>
      <c r="W1340" s="63" t="s">
        <v>2242</v>
      </c>
    </row>
    <row r="1341" spans="1:23" ht="26">
      <c r="A1341" s="213" t="str">
        <f>IF(OR(CommitmentsTable[[#This Row],[Commitment / deliverable]]="",CommitmentsTable[[#This Row],[Immutable Key]]=""),"",SUBSTITUTE(CommitmentsTable[[#This Row],[Immutable Key]],"-K-","-"))</f>
        <v/>
      </c>
      <c r="B1341" s="233"/>
      <c r="C1341" s="233"/>
      <c r="D1341" s="213"/>
      <c r="E1341" s="230"/>
      <c r="F1341" s="213"/>
      <c r="G1341" s="245" t="str">
        <f ca="1">IF(CommitmentsTable[[#This Row],[Commitment / deliverable]]="","",IF(CommitmentsTable[[#This Row],[Date record entered]]="",TODAY(),CommitmentsTable[[#This Row],[Date record entered]]))</f>
        <v/>
      </c>
      <c r="H1341" s="245"/>
      <c r="I1341" s="245" t="str">
        <f ca="1">IF(CommitmentsTable[[#This Row],[Date Assigned if different from entry date]]&lt;&gt;"",CommitmentsTable[[#This Row],[Date Assigned if different from entry date]]+90,IF(CommitmentsTable[[#This Row],[Date record entered]]&lt;&gt;"",CommitmentsTable[[#This Row],[Date record entered]]+90,""))</f>
        <v/>
      </c>
      <c r="J1341" s="245" t="str">
        <f ca="1">IF(CommitmentsTable[[#This Row],[Date Assigned if different from entry date]]&lt;&gt;"",CommitmentsTable[[#This Row],[Date Assigned if different from entry date]]+30,IF(CommitmentsTable[[#This Row],[Date record entered]]&lt;&gt;"",CommitmentsTable[[#This Row],[Date record entered]]+30,""))</f>
        <v/>
      </c>
      <c r="K1341" s="245"/>
      <c r="L1341" s="245" t="str">
        <f ca="1">IF(CommitmentsTable[[#This Row],[Date Assigned if different from entry date]]&lt;&gt;"",CommitmentsTable[[#This Row],[Date Assigned if different from entry date]]+60,IF(CommitmentsTable[[#This Row],[Date record entered]]&lt;&gt;"",CommitmentsTable[[#This Row],[Date record entered]]+60,""))</f>
        <v/>
      </c>
      <c r="M1341" s="214"/>
      <c r="N1341" s="214"/>
      <c r="O1341" s="236"/>
      <c r="P1341" s="214"/>
      <c r="Q1341" s="214"/>
      <c r="R1341" s="214"/>
      <c r="S1341" s="238" t="str">
        <f>IF(CommitmentsTable[[#This Row],[Commitment / deliverable]]="","",IF(CommitmentsTable[[#This Row],[Revised due]]&lt;&gt;"",CommitmentsTable[[#This Row],[Revised due]],CommitmentsTable[[#This Row],[Original due]]))</f>
        <v/>
      </c>
      <c r="T1341" s="237" t="str">
        <f>IF(OR(CommitmentsTable[[#This Row],[Commitment / deliverable]]="",CommitmentsTable[[#This Row],[Owner]]=""),"",IF(CommitmentsTable[[#This Row],[Status2]]="","Open",CommitmentsTable[[#This Row],[Status2]]))</f>
        <v/>
      </c>
      <c r="U1341" s="237" t="str">
        <f t="shared" ca="1" si="20"/>
        <v/>
      </c>
      <c r="V1341" s="233"/>
      <c r="W1341" s="63" t="s">
        <v>2243</v>
      </c>
    </row>
    <row r="1342" spans="1:23" ht="26">
      <c r="A1342" s="213" t="str">
        <f>IF(OR(CommitmentsTable[[#This Row],[Commitment / deliverable]]="",CommitmentsTable[[#This Row],[Immutable Key]]=""),"",SUBSTITUTE(CommitmentsTable[[#This Row],[Immutable Key]],"-K-","-"))</f>
        <v/>
      </c>
      <c r="B1342" s="233"/>
      <c r="C1342" s="233"/>
      <c r="D1342" s="213"/>
      <c r="E1342" s="230"/>
      <c r="F1342" s="213"/>
      <c r="G1342" s="245" t="str">
        <f ca="1">IF(CommitmentsTable[[#This Row],[Commitment / deliverable]]="","",IF(CommitmentsTable[[#This Row],[Date record entered]]="",TODAY(),CommitmentsTable[[#This Row],[Date record entered]]))</f>
        <v/>
      </c>
      <c r="H1342" s="245"/>
      <c r="I1342" s="245" t="str">
        <f ca="1">IF(CommitmentsTable[[#This Row],[Date Assigned if different from entry date]]&lt;&gt;"",CommitmentsTable[[#This Row],[Date Assigned if different from entry date]]+90,IF(CommitmentsTable[[#This Row],[Date record entered]]&lt;&gt;"",CommitmentsTable[[#This Row],[Date record entered]]+90,""))</f>
        <v/>
      </c>
      <c r="J1342" s="245" t="str">
        <f ca="1">IF(CommitmentsTable[[#This Row],[Date Assigned if different from entry date]]&lt;&gt;"",CommitmentsTable[[#This Row],[Date Assigned if different from entry date]]+30,IF(CommitmentsTable[[#This Row],[Date record entered]]&lt;&gt;"",CommitmentsTable[[#This Row],[Date record entered]]+30,""))</f>
        <v/>
      </c>
      <c r="K1342" s="245"/>
      <c r="L1342" s="245" t="str">
        <f ca="1">IF(CommitmentsTable[[#This Row],[Date Assigned if different from entry date]]&lt;&gt;"",CommitmentsTable[[#This Row],[Date Assigned if different from entry date]]+60,IF(CommitmentsTable[[#This Row],[Date record entered]]&lt;&gt;"",CommitmentsTable[[#This Row],[Date record entered]]+60,""))</f>
        <v/>
      </c>
      <c r="M1342" s="214"/>
      <c r="N1342" s="214"/>
      <c r="O1342" s="236"/>
      <c r="P1342" s="214"/>
      <c r="Q1342" s="214"/>
      <c r="R1342" s="214"/>
      <c r="S1342" s="238" t="str">
        <f>IF(CommitmentsTable[[#This Row],[Commitment / deliverable]]="","",IF(CommitmentsTable[[#This Row],[Revised due]]&lt;&gt;"",CommitmentsTable[[#This Row],[Revised due]],CommitmentsTable[[#This Row],[Original due]]))</f>
        <v/>
      </c>
      <c r="T1342" s="237" t="str">
        <f>IF(OR(CommitmentsTable[[#This Row],[Commitment / deliverable]]="",CommitmentsTable[[#This Row],[Owner]]=""),"",IF(CommitmentsTable[[#This Row],[Status2]]="","Open",CommitmentsTable[[#This Row],[Status2]]))</f>
        <v/>
      </c>
      <c r="U1342" s="237" t="str">
        <f t="shared" ca="1" si="20"/>
        <v/>
      </c>
      <c r="V1342" s="233"/>
      <c r="W1342" s="63" t="s">
        <v>2244</v>
      </c>
    </row>
    <row r="1343" spans="1:23" ht="26">
      <c r="A1343" s="213" t="str">
        <f>IF(OR(CommitmentsTable[[#This Row],[Commitment / deliverable]]="",CommitmentsTable[[#This Row],[Immutable Key]]=""),"",SUBSTITUTE(CommitmentsTable[[#This Row],[Immutable Key]],"-K-","-"))</f>
        <v/>
      </c>
      <c r="B1343" s="233"/>
      <c r="C1343" s="233"/>
      <c r="D1343" s="213"/>
      <c r="E1343" s="230"/>
      <c r="F1343" s="213"/>
      <c r="G1343" s="245" t="str">
        <f ca="1">IF(CommitmentsTable[[#This Row],[Commitment / deliverable]]="","",IF(CommitmentsTable[[#This Row],[Date record entered]]="",TODAY(),CommitmentsTable[[#This Row],[Date record entered]]))</f>
        <v/>
      </c>
      <c r="H1343" s="245"/>
      <c r="I1343" s="245" t="str">
        <f ca="1">IF(CommitmentsTable[[#This Row],[Date Assigned if different from entry date]]&lt;&gt;"",CommitmentsTable[[#This Row],[Date Assigned if different from entry date]]+90,IF(CommitmentsTable[[#This Row],[Date record entered]]&lt;&gt;"",CommitmentsTable[[#This Row],[Date record entered]]+90,""))</f>
        <v/>
      </c>
      <c r="J1343" s="245" t="str">
        <f ca="1">IF(CommitmentsTable[[#This Row],[Date Assigned if different from entry date]]&lt;&gt;"",CommitmentsTable[[#This Row],[Date Assigned if different from entry date]]+30,IF(CommitmentsTable[[#This Row],[Date record entered]]&lt;&gt;"",CommitmentsTable[[#This Row],[Date record entered]]+30,""))</f>
        <v/>
      </c>
      <c r="K1343" s="245"/>
      <c r="L1343" s="245" t="str">
        <f ca="1">IF(CommitmentsTable[[#This Row],[Date Assigned if different from entry date]]&lt;&gt;"",CommitmentsTable[[#This Row],[Date Assigned if different from entry date]]+60,IF(CommitmentsTable[[#This Row],[Date record entered]]&lt;&gt;"",CommitmentsTable[[#This Row],[Date record entered]]+60,""))</f>
        <v/>
      </c>
      <c r="M1343" s="214"/>
      <c r="N1343" s="214"/>
      <c r="O1343" s="236"/>
      <c r="P1343" s="214"/>
      <c r="Q1343" s="214"/>
      <c r="R1343" s="214"/>
      <c r="S1343" s="238" t="str">
        <f>IF(CommitmentsTable[[#This Row],[Commitment / deliverable]]="","",IF(CommitmentsTable[[#This Row],[Revised due]]&lt;&gt;"",CommitmentsTable[[#This Row],[Revised due]],CommitmentsTable[[#This Row],[Original due]]))</f>
        <v/>
      </c>
      <c r="T1343" s="237" t="str">
        <f>IF(OR(CommitmentsTable[[#This Row],[Commitment / deliverable]]="",CommitmentsTable[[#This Row],[Owner]]=""),"",IF(CommitmentsTable[[#This Row],[Status2]]="","Open",CommitmentsTable[[#This Row],[Status2]]))</f>
        <v/>
      </c>
      <c r="U1343" s="237" t="str">
        <f t="shared" ca="1" si="20"/>
        <v/>
      </c>
      <c r="V1343" s="233"/>
      <c r="W1343" s="63" t="s">
        <v>2245</v>
      </c>
    </row>
    <row r="1344" spans="1:23" ht="26">
      <c r="A1344" s="213" t="str">
        <f>IF(OR(CommitmentsTable[[#This Row],[Commitment / deliverable]]="",CommitmentsTable[[#This Row],[Immutable Key]]=""),"",SUBSTITUTE(CommitmentsTable[[#This Row],[Immutable Key]],"-K-","-"))</f>
        <v/>
      </c>
      <c r="B1344" s="233"/>
      <c r="C1344" s="233"/>
      <c r="D1344" s="213"/>
      <c r="E1344" s="230"/>
      <c r="F1344" s="213"/>
      <c r="G1344" s="245" t="str">
        <f ca="1">IF(CommitmentsTable[[#This Row],[Commitment / deliverable]]="","",IF(CommitmentsTable[[#This Row],[Date record entered]]="",TODAY(),CommitmentsTable[[#This Row],[Date record entered]]))</f>
        <v/>
      </c>
      <c r="H1344" s="245"/>
      <c r="I1344" s="245" t="str">
        <f ca="1">IF(CommitmentsTable[[#This Row],[Date Assigned if different from entry date]]&lt;&gt;"",CommitmentsTable[[#This Row],[Date Assigned if different from entry date]]+90,IF(CommitmentsTable[[#This Row],[Date record entered]]&lt;&gt;"",CommitmentsTable[[#This Row],[Date record entered]]+90,""))</f>
        <v/>
      </c>
      <c r="J1344" s="245" t="str">
        <f ca="1">IF(CommitmentsTable[[#This Row],[Date Assigned if different from entry date]]&lt;&gt;"",CommitmentsTable[[#This Row],[Date Assigned if different from entry date]]+30,IF(CommitmentsTable[[#This Row],[Date record entered]]&lt;&gt;"",CommitmentsTable[[#This Row],[Date record entered]]+30,""))</f>
        <v/>
      </c>
      <c r="K1344" s="245"/>
      <c r="L1344" s="245" t="str">
        <f ca="1">IF(CommitmentsTable[[#This Row],[Date Assigned if different from entry date]]&lt;&gt;"",CommitmentsTable[[#This Row],[Date Assigned if different from entry date]]+60,IF(CommitmentsTable[[#This Row],[Date record entered]]&lt;&gt;"",CommitmentsTable[[#This Row],[Date record entered]]+60,""))</f>
        <v/>
      </c>
      <c r="M1344" s="214"/>
      <c r="N1344" s="214"/>
      <c r="O1344" s="236"/>
      <c r="P1344" s="214"/>
      <c r="Q1344" s="214"/>
      <c r="R1344" s="214"/>
      <c r="S1344" s="238" t="str">
        <f>IF(CommitmentsTable[[#This Row],[Commitment / deliverable]]="","",IF(CommitmentsTable[[#This Row],[Revised due]]&lt;&gt;"",CommitmentsTable[[#This Row],[Revised due]],CommitmentsTable[[#This Row],[Original due]]))</f>
        <v/>
      </c>
      <c r="T1344" s="237" t="str">
        <f>IF(OR(CommitmentsTable[[#This Row],[Commitment / deliverable]]="",CommitmentsTable[[#This Row],[Owner]]=""),"",IF(CommitmentsTable[[#This Row],[Status2]]="","Open",CommitmentsTable[[#This Row],[Status2]]))</f>
        <v/>
      </c>
      <c r="U1344" s="237" t="str">
        <f t="shared" ca="1" si="20"/>
        <v/>
      </c>
      <c r="V1344" s="233"/>
      <c r="W1344" s="63" t="s">
        <v>2246</v>
      </c>
    </row>
    <row r="1345" spans="1:23" ht="26">
      <c r="A1345" s="213" t="str">
        <f>IF(OR(CommitmentsTable[[#This Row],[Commitment / deliverable]]="",CommitmentsTable[[#This Row],[Immutable Key]]=""),"",SUBSTITUTE(CommitmentsTable[[#This Row],[Immutable Key]],"-K-","-"))</f>
        <v/>
      </c>
      <c r="B1345" s="233"/>
      <c r="C1345" s="233"/>
      <c r="D1345" s="213"/>
      <c r="E1345" s="230"/>
      <c r="F1345" s="213"/>
      <c r="G1345" s="245" t="str">
        <f ca="1">IF(CommitmentsTable[[#This Row],[Commitment / deliverable]]="","",IF(CommitmentsTable[[#This Row],[Date record entered]]="",TODAY(),CommitmentsTable[[#This Row],[Date record entered]]))</f>
        <v/>
      </c>
      <c r="H1345" s="245"/>
      <c r="I1345" s="245" t="str">
        <f ca="1">IF(CommitmentsTable[[#This Row],[Date Assigned if different from entry date]]&lt;&gt;"",CommitmentsTable[[#This Row],[Date Assigned if different from entry date]]+90,IF(CommitmentsTable[[#This Row],[Date record entered]]&lt;&gt;"",CommitmentsTable[[#This Row],[Date record entered]]+90,""))</f>
        <v/>
      </c>
      <c r="J1345" s="245" t="str">
        <f ca="1">IF(CommitmentsTable[[#This Row],[Date Assigned if different from entry date]]&lt;&gt;"",CommitmentsTable[[#This Row],[Date Assigned if different from entry date]]+30,IF(CommitmentsTable[[#This Row],[Date record entered]]&lt;&gt;"",CommitmentsTable[[#This Row],[Date record entered]]+30,""))</f>
        <v/>
      </c>
      <c r="K1345" s="245"/>
      <c r="L1345" s="245" t="str">
        <f ca="1">IF(CommitmentsTable[[#This Row],[Date Assigned if different from entry date]]&lt;&gt;"",CommitmentsTable[[#This Row],[Date Assigned if different from entry date]]+60,IF(CommitmentsTable[[#This Row],[Date record entered]]&lt;&gt;"",CommitmentsTable[[#This Row],[Date record entered]]+60,""))</f>
        <v/>
      </c>
      <c r="M1345" s="214"/>
      <c r="N1345" s="214"/>
      <c r="O1345" s="236"/>
      <c r="P1345" s="214"/>
      <c r="Q1345" s="214"/>
      <c r="R1345" s="214"/>
      <c r="S1345" s="238" t="str">
        <f>IF(CommitmentsTable[[#This Row],[Commitment / deliverable]]="","",IF(CommitmentsTable[[#This Row],[Revised due]]&lt;&gt;"",CommitmentsTable[[#This Row],[Revised due]],CommitmentsTable[[#This Row],[Original due]]))</f>
        <v/>
      </c>
      <c r="T1345" s="237" t="str">
        <f>IF(OR(CommitmentsTable[[#This Row],[Commitment / deliverable]]="",CommitmentsTable[[#This Row],[Owner]]=""),"",IF(CommitmentsTable[[#This Row],[Status2]]="","Open",CommitmentsTable[[#This Row],[Status2]]))</f>
        <v/>
      </c>
      <c r="U1345" s="237" t="str">
        <f t="shared" ca="1" si="20"/>
        <v/>
      </c>
      <c r="V1345" s="233"/>
      <c r="W1345" s="63" t="s">
        <v>2247</v>
      </c>
    </row>
    <row r="1346" spans="1:23" ht="26">
      <c r="A1346" s="213" t="str">
        <f>IF(OR(CommitmentsTable[[#This Row],[Commitment / deliverable]]="",CommitmentsTable[[#This Row],[Immutable Key]]=""),"",SUBSTITUTE(CommitmentsTable[[#This Row],[Immutable Key]],"-K-","-"))</f>
        <v/>
      </c>
      <c r="B1346" s="233"/>
      <c r="C1346" s="233"/>
      <c r="D1346" s="213"/>
      <c r="E1346" s="230"/>
      <c r="F1346" s="213"/>
      <c r="G1346" s="245" t="str">
        <f ca="1">IF(CommitmentsTable[[#This Row],[Commitment / deliverable]]="","",IF(CommitmentsTable[[#This Row],[Date record entered]]="",TODAY(),CommitmentsTable[[#This Row],[Date record entered]]))</f>
        <v/>
      </c>
      <c r="H1346" s="245"/>
      <c r="I1346" s="245" t="str">
        <f ca="1">IF(CommitmentsTable[[#This Row],[Date Assigned if different from entry date]]&lt;&gt;"",CommitmentsTable[[#This Row],[Date Assigned if different from entry date]]+90,IF(CommitmentsTable[[#This Row],[Date record entered]]&lt;&gt;"",CommitmentsTable[[#This Row],[Date record entered]]+90,""))</f>
        <v/>
      </c>
      <c r="J1346" s="245" t="str">
        <f ca="1">IF(CommitmentsTable[[#This Row],[Date Assigned if different from entry date]]&lt;&gt;"",CommitmentsTable[[#This Row],[Date Assigned if different from entry date]]+30,IF(CommitmentsTable[[#This Row],[Date record entered]]&lt;&gt;"",CommitmentsTable[[#This Row],[Date record entered]]+30,""))</f>
        <v/>
      </c>
      <c r="K1346" s="245"/>
      <c r="L1346" s="245" t="str">
        <f ca="1">IF(CommitmentsTable[[#This Row],[Date Assigned if different from entry date]]&lt;&gt;"",CommitmentsTable[[#This Row],[Date Assigned if different from entry date]]+60,IF(CommitmentsTable[[#This Row],[Date record entered]]&lt;&gt;"",CommitmentsTable[[#This Row],[Date record entered]]+60,""))</f>
        <v/>
      </c>
      <c r="M1346" s="214"/>
      <c r="N1346" s="214"/>
      <c r="O1346" s="236"/>
      <c r="P1346" s="214"/>
      <c r="Q1346" s="214"/>
      <c r="R1346" s="214"/>
      <c r="S1346" s="238" t="str">
        <f>IF(CommitmentsTable[[#This Row],[Commitment / deliverable]]="","",IF(CommitmentsTable[[#This Row],[Revised due]]&lt;&gt;"",CommitmentsTable[[#This Row],[Revised due]],CommitmentsTable[[#This Row],[Original due]]))</f>
        <v/>
      </c>
      <c r="T1346" s="237" t="str">
        <f>IF(OR(CommitmentsTable[[#This Row],[Commitment / deliverable]]="",CommitmentsTable[[#This Row],[Owner]]=""),"",IF(CommitmentsTable[[#This Row],[Status2]]="","Open",CommitmentsTable[[#This Row],[Status2]]))</f>
        <v/>
      </c>
      <c r="U1346" s="237" t="str">
        <f t="shared" ca="1" si="20"/>
        <v/>
      </c>
      <c r="V1346" s="233"/>
      <c r="W1346" s="63" t="s">
        <v>2248</v>
      </c>
    </row>
    <row r="1347" spans="1:23" ht="26">
      <c r="A1347" s="213" t="str">
        <f>IF(OR(CommitmentsTable[[#This Row],[Commitment / deliverable]]="",CommitmentsTable[[#This Row],[Immutable Key]]=""),"",SUBSTITUTE(CommitmentsTable[[#This Row],[Immutable Key]],"-K-","-"))</f>
        <v/>
      </c>
      <c r="B1347" s="233"/>
      <c r="C1347" s="233"/>
      <c r="D1347" s="213"/>
      <c r="E1347" s="230"/>
      <c r="F1347" s="213"/>
      <c r="G1347" s="245" t="str">
        <f ca="1">IF(CommitmentsTable[[#This Row],[Commitment / deliverable]]="","",IF(CommitmentsTable[[#This Row],[Date record entered]]="",TODAY(),CommitmentsTable[[#This Row],[Date record entered]]))</f>
        <v/>
      </c>
      <c r="H1347" s="245"/>
      <c r="I1347" s="245" t="str">
        <f ca="1">IF(CommitmentsTable[[#This Row],[Date Assigned if different from entry date]]&lt;&gt;"",CommitmentsTable[[#This Row],[Date Assigned if different from entry date]]+90,IF(CommitmentsTable[[#This Row],[Date record entered]]&lt;&gt;"",CommitmentsTable[[#This Row],[Date record entered]]+90,""))</f>
        <v/>
      </c>
      <c r="J1347" s="245" t="str">
        <f ca="1">IF(CommitmentsTable[[#This Row],[Date Assigned if different from entry date]]&lt;&gt;"",CommitmentsTable[[#This Row],[Date Assigned if different from entry date]]+30,IF(CommitmentsTable[[#This Row],[Date record entered]]&lt;&gt;"",CommitmentsTable[[#This Row],[Date record entered]]+30,""))</f>
        <v/>
      </c>
      <c r="K1347" s="245"/>
      <c r="L1347" s="245" t="str">
        <f ca="1">IF(CommitmentsTable[[#This Row],[Date Assigned if different from entry date]]&lt;&gt;"",CommitmentsTable[[#This Row],[Date Assigned if different from entry date]]+60,IF(CommitmentsTable[[#This Row],[Date record entered]]&lt;&gt;"",CommitmentsTable[[#This Row],[Date record entered]]+60,""))</f>
        <v/>
      </c>
      <c r="M1347" s="214"/>
      <c r="N1347" s="214"/>
      <c r="O1347" s="236"/>
      <c r="P1347" s="214"/>
      <c r="Q1347" s="214"/>
      <c r="R1347" s="214"/>
      <c r="S1347" s="238" t="str">
        <f>IF(CommitmentsTable[[#This Row],[Commitment / deliverable]]="","",IF(CommitmentsTable[[#This Row],[Revised due]]&lt;&gt;"",CommitmentsTable[[#This Row],[Revised due]],CommitmentsTable[[#This Row],[Original due]]))</f>
        <v/>
      </c>
      <c r="T1347" s="237" t="str">
        <f>IF(OR(CommitmentsTable[[#This Row],[Commitment / deliverable]]="",CommitmentsTable[[#This Row],[Owner]]=""),"",IF(CommitmentsTable[[#This Row],[Status2]]="","Open",CommitmentsTable[[#This Row],[Status2]]))</f>
        <v/>
      </c>
      <c r="U1347" s="237" t="str">
        <f t="shared" ca="1" si="20"/>
        <v/>
      </c>
      <c r="V1347" s="233"/>
      <c r="W1347" s="63" t="s">
        <v>2249</v>
      </c>
    </row>
    <row r="1348" spans="1:23" ht="26">
      <c r="A1348" s="213" t="str">
        <f>IF(OR(CommitmentsTable[[#This Row],[Commitment / deliverable]]="",CommitmentsTable[[#This Row],[Immutable Key]]=""),"",SUBSTITUTE(CommitmentsTable[[#This Row],[Immutable Key]],"-K-","-"))</f>
        <v/>
      </c>
      <c r="B1348" s="233"/>
      <c r="C1348" s="233"/>
      <c r="D1348" s="213"/>
      <c r="E1348" s="230"/>
      <c r="F1348" s="213"/>
      <c r="G1348" s="245" t="str">
        <f ca="1">IF(CommitmentsTable[[#This Row],[Commitment / deliverable]]="","",IF(CommitmentsTable[[#This Row],[Date record entered]]="",TODAY(),CommitmentsTable[[#This Row],[Date record entered]]))</f>
        <v/>
      </c>
      <c r="H1348" s="245"/>
      <c r="I1348" s="245" t="str">
        <f ca="1">IF(CommitmentsTable[[#This Row],[Date Assigned if different from entry date]]&lt;&gt;"",CommitmentsTable[[#This Row],[Date Assigned if different from entry date]]+90,IF(CommitmentsTable[[#This Row],[Date record entered]]&lt;&gt;"",CommitmentsTable[[#This Row],[Date record entered]]+90,""))</f>
        <v/>
      </c>
      <c r="J1348" s="245" t="str">
        <f ca="1">IF(CommitmentsTable[[#This Row],[Date Assigned if different from entry date]]&lt;&gt;"",CommitmentsTable[[#This Row],[Date Assigned if different from entry date]]+30,IF(CommitmentsTable[[#This Row],[Date record entered]]&lt;&gt;"",CommitmentsTable[[#This Row],[Date record entered]]+30,""))</f>
        <v/>
      </c>
      <c r="K1348" s="245"/>
      <c r="L1348" s="245" t="str">
        <f ca="1">IF(CommitmentsTable[[#This Row],[Date Assigned if different from entry date]]&lt;&gt;"",CommitmentsTable[[#This Row],[Date Assigned if different from entry date]]+60,IF(CommitmentsTable[[#This Row],[Date record entered]]&lt;&gt;"",CommitmentsTable[[#This Row],[Date record entered]]+60,""))</f>
        <v/>
      </c>
      <c r="M1348" s="214"/>
      <c r="N1348" s="214"/>
      <c r="O1348" s="236"/>
      <c r="P1348" s="214"/>
      <c r="Q1348" s="214"/>
      <c r="R1348" s="214"/>
      <c r="S1348" s="238" t="str">
        <f>IF(CommitmentsTable[[#This Row],[Commitment / deliverable]]="","",IF(CommitmentsTable[[#This Row],[Revised due]]&lt;&gt;"",CommitmentsTable[[#This Row],[Revised due]],CommitmentsTable[[#This Row],[Original due]]))</f>
        <v/>
      </c>
      <c r="T1348" s="237" t="str">
        <f>IF(OR(CommitmentsTable[[#This Row],[Commitment / deliverable]]="",CommitmentsTable[[#This Row],[Owner]]=""),"",IF(CommitmentsTable[[#This Row],[Status2]]="","Open",CommitmentsTable[[#This Row],[Status2]]))</f>
        <v/>
      </c>
      <c r="U1348" s="237" t="str">
        <f t="shared" ca="1" si="20"/>
        <v/>
      </c>
      <c r="V1348" s="233"/>
      <c r="W1348" s="63" t="s">
        <v>2250</v>
      </c>
    </row>
    <row r="1349" spans="1:23" ht="26">
      <c r="A1349" s="213" t="str">
        <f>IF(OR(CommitmentsTable[[#This Row],[Commitment / deliverable]]="",CommitmentsTable[[#This Row],[Immutable Key]]=""),"",SUBSTITUTE(CommitmentsTable[[#This Row],[Immutable Key]],"-K-","-"))</f>
        <v/>
      </c>
      <c r="B1349" s="233"/>
      <c r="C1349" s="233"/>
      <c r="D1349" s="213"/>
      <c r="E1349" s="230"/>
      <c r="F1349" s="213"/>
      <c r="G1349" s="245" t="str">
        <f ca="1">IF(CommitmentsTable[[#This Row],[Commitment / deliverable]]="","",IF(CommitmentsTable[[#This Row],[Date record entered]]="",TODAY(),CommitmentsTable[[#This Row],[Date record entered]]))</f>
        <v/>
      </c>
      <c r="H1349" s="245"/>
      <c r="I1349" s="245" t="str">
        <f ca="1">IF(CommitmentsTable[[#This Row],[Date Assigned if different from entry date]]&lt;&gt;"",CommitmentsTable[[#This Row],[Date Assigned if different from entry date]]+90,IF(CommitmentsTable[[#This Row],[Date record entered]]&lt;&gt;"",CommitmentsTable[[#This Row],[Date record entered]]+90,""))</f>
        <v/>
      </c>
      <c r="J1349" s="245" t="str">
        <f ca="1">IF(CommitmentsTable[[#This Row],[Date Assigned if different from entry date]]&lt;&gt;"",CommitmentsTable[[#This Row],[Date Assigned if different from entry date]]+30,IF(CommitmentsTable[[#This Row],[Date record entered]]&lt;&gt;"",CommitmentsTable[[#This Row],[Date record entered]]+30,""))</f>
        <v/>
      </c>
      <c r="K1349" s="245"/>
      <c r="L1349" s="245" t="str">
        <f ca="1">IF(CommitmentsTable[[#This Row],[Date Assigned if different from entry date]]&lt;&gt;"",CommitmentsTable[[#This Row],[Date Assigned if different from entry date]]+60,IF(CommitmentsTable[[#This Row],[Date record entered]]&lt;&gt;"",CommitmentsTable[[#This Row],[Date record entered]]+60,""))</f>
        <v/>
      </c>
      <c r="M1349" s="214"/>
      <c r="N1349" s="214"/>
      <c r="O1349" s="236"/>
      <c r="P1349" s="214"/>
      <c r="Q1349" s="214"/>
      <c r="R1349" s="214"/>
      <c r="S1349" s="238" t="str">
        <f>IF(CommitmentsTable[[#This Row],[Commitment / deliverable]]="","",IF(CommitmentsTable[[#This Row],[Revised due]]&lt;&gt;"",CommitmentsTable[[#This Row],[Revised due]],CommitmentsTable[[#This Row],[Original due]]))</f>
        <v/>
      </c>
      <c r="T1349" s="237" t="str">
        <f>IF(OR(CommitmentsTable[[#This Row],[Commitment / deliverable]]="",CommitmentsTable[[#This Row],[Owner]]=""),"",IF(CommitmentsTable[[#This Row],[Status2]]="","Open",CommitmentsTable[[#This Row],[Status2]]))</f>
        <v/>
      </c>
      <c r="U1349" s="237" t="str">
        <f t="shared" ca="1" si="20"/>
        <v/>
      </c>
      <c r="V1349" s="233"/>
      <c r="W1349" s="63" t="s">
        <v>2251</v>
      </c>
    </row>
    <row r="1350" spans="1:23" ht="26">
      <c r="A1350" s="213" t="str">
        <f>IF(OR(CommitmentsTable[[#This Row],[Commitment / deliverable]]="",CommitmentsTable[[#This Row],[Immutable Key]]=""),"",SUBSTITUTE(CommitmentsTable[[#This Row],[Immutable Key]],"-K-","-"))</f>
        <v/>
      </c>
      <c r="B1350" s="233"/>
      <c r="C1350" s="233"/>
      <c r="D1350" s="213"/>
      <c r="E1350" s="230"/>
      <c r="F1350" s="213"/>
      <c r="G1350" s="245" t="str">
        <f ca="1">IF(CommitmentsTable[[#This Row],[Commitment / deliverable]]="","",IF(CommitmentsTable[[#This Row],[Date record entered]]="",TODAY(),CommitmentsTable[[#This Row],[Date record entered]]))</f>
        <v/>
      </c>
      <c r="H1350" s="245"/>
      <c r="I1350" s="245" t="str">
        <f ca="1">IF(CommitmentsTable[[#This Row],[Date Assigned if different from entry date]]&lt;&gt;"",CommitmentsTable[[#This Row],[Date Assigned if different from entry date]]+90,IF(CommitmentsTable[[#This Row],[Date record entered]]&lt;&gt;"",CommitmentsTable[[#This Row],[Date record entered]]+90,""))</f>
        <v/>
      </c>
      <c r="J1350" s="245" t="str">
        <f ca="1">IF(CommitmentsTable[[#This Row],[Date Assigned if different from entry date]]&lt;&gt;"",CommitmentsTable[[#This Row],[Date Assigned if different from entry date]]+30,IF(CommitmentsTable[[#This Row],[Date record entered]]&lt;&gt;"",CommitmentsTable[[#This Row],[Date record entered]]+30,""))</f>
        <v/>
      </c>
      <c r="K1350" s="245"/>
      <c r="L1350" s="245" t="str">
        <f ca="1">IF(CommitmentsTable[[#This Row],[Date Assigned if different from entry date]]&lt;&gt;"",CommitmentsTable[[#This Row],[Date Assigned if different from entry date]]+60,IF(CommitmentsTable[[#This Row],[Date record entered]]&lt;&gt;"",CommitmentsTable[[#This Row],[Date record entered]]+60,""))</f>
        <v/>
      </c>
      <c r="M1350" s="214"/>
      <c r="N1350" s="214"/>
      <c r="O1350" s="236"/>
      <c r="P1350" s="214"/>
      <c r="Q1350" s="214"/>
      <c r="R1350" s="214"/>
      <c r="S1350" s="238" t="str">
        <f>IF(CommitmentsTable[[#This Row],[Commitment / deliverable]]="","",IF(CommitmentsTable[[#This Row],[Revised due]]&lt;&gt;"",CommitmentsTable[[#This Row],[Revised due]],CommitmentsTable[[#This Row],[Original due]]))</f>
        <v/>
      </c>
      <c r="T1350" s="237" t="str">
        <f>IF(OR(CommitmentsTable[[#This Row],[Commitment / deliverable]]="",CommitmentsTable[[#This Row],[Owner]]=""),"",IF(CommitmentsTable[[#This Row],[Status2]]="","Open",CommitmentsTable[[#This Row],[Status2]]))</f>
        <v/>
      </c>
      <c r="U1350" s="237" t="str">
        <f t="shared" ca="1" si="20"/>
        <v/>
      </c>
      <c r="V1350" s="233"/>
      <c r="W1350" s="63" t="s">
        <v>2252</v>
      </c>
    </row>
    <row r="1351" spans="1:23" ht="26">
      <c r="A1351" s="213" t="str">
        <f>IF(OR(CommitmentsTable[[#This Row],[Commitment / deliverable]]="",CommitmentsTable[[#This Row],[Immutable Key]]=""),"",SUBSTITUTE(CommitmentsTable[[#This Row],[Immutable Key]],"-K-","-"))</f>
        <v/>
      </c>
      <c r="B1351" s="233"/>
      <c r="C1351" s="233"/>
      <c r="D1351" s="213"/>
      <c r="E1351" s="230"/>
      <c r="F1351" s="213"/>
      <c r="G1351" s="245" t="str">
        <f ca="1">IF(CommitmentsTable[[#This Row],[Commitment / deliverable]]="","",IF(CommitmentsTable[[#This Row],[Date record entered]]="",TODAY(),CommitmentsTable[[#This Row],[Date record entered]]))</f>
        <v/>
      </c>
      <c r="H1351" s="245"/>
      <c r="I1351" s="245" t="str">
        <f ca="1">IF(CommitmentsTable[[#This Row],[Date Assigned if different from entry date]]&lt;&gt;"",CommitmentsTable[[#This Row],[Date Assigned if different from entry date]]+90,IF(CommitmentsTable[[#This Row],[Date record entered]]&lt;&gt;"",CommitmentsTable[[#This Row],[Date record entered]]+90,""))</f>
        <v/>
      </c>
      <c r="J1351" s="245" t="str">
        <f ca="1">IF(CommitmentsTable[[#This Row],[Date Assigned if different from entry date]]&lt;&gt;"",CommitmentsTable[[#This Row],[Date Assigned if different from entry date]]+30,IF(CommitmentsTable[[#This Row],[Date record entered]]&lt;&gt;"",CommitmentsTable[[#This Row],[Date record entered]]+30,""))</f>
        <v/>
      </c>
      <c r="K1351" s="245"/>
      <c r="L1351" s="245" t="str">
        <f ca="1">IF(CommitmentsTable[[#This Row],[Date Assigned if different from entry date]]&lt;&gt;"",CommitmentsTable[[#This Row],[Date Assigned if different from entry date]]+60,IF(CommitmentsTable[[#This Row],[Date record entered]]&lt;&gt;"",CommitmentsTable[[#This Row],[Date record entered]]+60,""))</f>
        <v/>
      </c>
      <c r="M1351" s="214"/>
      <c r="N1351" s="214"/>
      <c r="O1351" s="236"/>
      <c r="P1351" s="214"/>
      <c r="Q1351" s="214"/>
      <c r="R1351" s="214"/>
      <c r="S1351" s="238" t="str">
        <f>IF(CommitmentsTable[[#This Row],[Commitment / deliverable]]="","",IF(CommitmentsTable[[#This Row],[Revised due]]&lt;&gt;"",CommitmentsTable[[#This Row],[Revised due]],CommitmentsTable[[#This Row],[Original due]]))</f>
        <v/>
      </c>
      <c r="T1351" s="237" t="str">
        <f>IF(OR(CommitmentsTable[[#This Row],[Commitment / deliverable]]="",CommitmentsTable[[#This Row],[Owner]]=""),"",IF(CommitmentsTable[[#This Row],[Status2]]="","Open",CommitmentsTable[[#This Row],[Status2]]))</f>
        <v/>
      </c>
      <c r="U1351" s="237" t="str">
        <f t="shared" ca="1" si="20"/>
        <v/>
      </c>
      <c r="V1351" s="233"/>
      <c r="W1351" s="63" t="s">
        <v>2253</v>
      </c>
    </row>
    <row r="1352" spans="1:23" ht="26">
      <c r="A1352" s="213" t="str">
        <f>IF(OR(CommitmentsTable[[#This Row],[Commitment / deliverable]]="",CommitmentsTable[[#This Row],[Immutable Key]]=""),"",SUBSTITUTE(CommitmentsTable[[#This Row],[Immutable Key]],"-K-","-"))</f>
        <v/>
      </c>
      <c r="B1352" s="233"/>
      <c r="C1352" s="233"/>
      <c r="D1352" s="213"/>
      <c r="E1352" s="230"/>
      <c r="F1352" s="213"/>
      <c r="G1352" s="245" t="str">
        <f ca="1">IF(CommitmentsTable[[#This Row],[Commitment / deliverable]]="","",IF(CommitmentsTable[[#This Row],[Date record entered]]="",TODAY(),CommitmentsTable[[#This Row],[Date record entered]]))</f>
        <v/>
      </c>
      <c r="H1352" s="245"/>
      <c r="I1352" s="245" t="str">
        <f ca="1">IF(CommitmentsTable[[#This Row],[Date Assigned if different from entry date]]&lt;&gt;"",CommitmentsTable[[#This Row],[Date Assigned if different from entry date]]+90,IF(CommitmentsTable[[#This Row],[Date record entered]]&lt;&gt;"",CommitmentsTable[[#This Row],[Date record entered]]+90,""))</f>
        <v/>
      </c>
      <c r="J1352" s="245" t="str">
        <f ca="1">IF(CommitmentsTable[[#This Row],[Date Assigned if different from entry date]]&lt;&gt;"",CommitmentsTable[[#This Row],[Date Assigned if different from entry date]]+30,IF(CommitmentsTable[[#This Row],[Date record entered]]&lt;&gt;"",CommitmentsTable[[#This Row],[Date record entered]]+30,""))</f>
        <v/>
      </c>
      <c r="K1352" s="245"/>
      <c r="L1352" s="245" t="str">
        <f ca="1">IF(CommitmentsTable[[#This Row],[Date Assigned if different from entry date]]&lt;&gt;"",CommitmentsTable[[#This Row],[Date Assigned if different from entry date]]+60,IF(CommitmentsTable[[#This Row],[Date record entered]]&lt;&gt;"",CommitmentsTable[[#This Row],[Date record entered]]+60,""))</f>
        <v/>
      </c>
      <c r="M1352" s="214"/>
      <c r="N1352" s="214"/>
      <c r="O1352" s="236"/>
      <c r="P1352" s="214"/>
      <c r="Q1352" s="214"/>
      <c r="R1352" s="214"/>
      <c r="S1352" s="238" t="str">
        <f>IF(CommitmentsTable[[#This Row],[Commitment / deliverable]]="","",IF(CommitmentsTable[[#This Row],[Revised due]]&lt;&gt;"",CommitmentsTable[[#This Row],[Revised due]],CommitmentsTable[[#This Row],[Original due]]))</f>
        <v/>
      </c>
      <c r="T1352" s="237" t="str">
        <f>IF(OR(CommitmentsTable[[#This Row],[Commitment / deliverable]]="",CommitmentsTable[[#This Row],[Owner]]=""),"",IF(CommitmentsTable[[#This Row],[Status2]]="","Open",CommitmentsTable[[#This Row],[Status2]]))</f>
        <v/>
      </c>
      <c r="U1352" s="237" t="str">
        <f t="shared" ca="1" si="20"/>
        <v/>
      </c>
      <c r="V1352" s="233"/>
      <c r="W1352" s="63" t="s">
        <v>2254</v>
      </c>
    </row>
    <row r="1353" spans="1:23" ht="26">
      <c r="A1353" s="213" t="str">
        <f>IF(OR(CommitmentsTable[[#This Row],[Commitment / deliverable]]="",CommitmentsTable[[#This Row],[Immutable Key]]=""),"",SUBSTITUTE(CommitmentsTable[[#This Row],[Immutable Key]],"-K-","-"))</f>
        <v/>
      </c>
      <c r="B1353" s="233"/>
      <c r="C1353" s="233"/>
      <c r="D1353" s="213"/>
      <c r="E1353" s="230"/>
      <c r="F1353" s="213"/>
      <c r="G1353" s="245" t="str">
        <f ca="1">IF(CommitmentsTable[[#This Row],[Commitment / deliverable]]="","",IF(CommitmentsTable[[#This Row],[Date record entered]]="",TODAY(),CommitmentsTable[[#This Row],[Date record entered]]))</f>
        <v/>
      </c>
      <c r="H1353" s="245"/>
      <c r="I1353" s="245" t="str">
        <f ca="1">IF(CommitmentsTable[[#This Row],[Date Assigned if different from entry date]]&lt;&gt;"",CommitmentsTable[[#This Row],[Date Assigned if different from entry date]]+90,IF(CommitmentsTable[[#This Row],[Date record entered]]&lt;&gt;"",CommitmentsTable[[#This Row],[Date record entered]]+90,""))</f>
        <v/>
      </c>
      <c r="J1353" s="245" t="str">
        <f ca="1">IF(CommitmentsTable[[#This Row],[Date Assigned if different from entry date]]&lt;&gt;"",CommitmentsTable[[#This Row],[Date Assigned if different from entry date]]+30,IF(CommitmentsTable[[#This Row],[Date record entered]]&lt;&gt;"",CommitmentsTable[[#This Row],[Date record entered]]+30,""))</f>
        <v/>
      </c>
      <c r="K1353" s="245"/>
      <c r="L1353" s="245" t="str">
        <f ca="1">IF(CommitmentsTable[[#This Row],[Date Assigned if different from entry date]]&lt;&gt;"",CommitmentsTable[[#This Row],[Date Assigned if different from entry date]]+60,IF(CommitmentsTable[[#This Row],[Date record entered]]&lt;&gt;"",CommitmentsTable[[#This Row],[Date record entered]]+60,""))</f>
        <v/>
      </c>
      <c r="M1353" s="214"/>
      <c r="N1353" s="214"/>
      <c r="O1353" s="236"/>
      <c r="P1353" s="214"/>
      <c r="Q1353" s="214"/>
      <c r="R1353" s="214"/>
      <c r="S1353" s="238" t="str">
        <f>IF(CommitmentsTable[[#This Row],[Commitment / deliverable]]="","",IF(CommitmentsTable[[#This Row],[Revised due]]&lt;&gt;"",CommitmentsTable[[#This Row],[Revised due]],CommitmentsTable[[#This Row],[Original due]]))</f>
        <v/>
      </c>
      <c r="T1353" s="237" t="str">
        <f>IF(OR(CommitmentsTable[[#This Row],[Commitment / deliverable]]="",CommitmentsTable[[#This Row],[Owner]]=""),"",IF(CommitmentsTable[[#This Row],[Status2]]="","Open",CommitmentsTable[[#This Row],[Status2]]))</f>
        <v/>
      </c>
      <c r="U1353" s="237" t="str">
        <f t="shared" ca="1" si="20"/>
        <v/>
      </c>
      <c r="V1353" s="233"/>
      <c r="W1353" s="63" t="s">
        <v>2255</v>
      </c>
    </row>
    <row r="1354" spans="1:23" ht="26">
      <c r="A1354" s="213" t="str">
        <f>IF(OR(CommitmentsTable[[#This Row],[Commitment / deliverable]]="",CommitmentsTable[[#This Row],[Immutable Key]]=""),"",SUBSTITUTE(CommitmentsTable[[#This Row],[Immutable Key]],"-K-","-"))</f>
        <v/>
      </c>
      <c r="B1354" s="233"/>
      <c r="C1354" s="233"/>
      <c r="D1354" s="213"/>
      <c r="E1354" s="230"/>
      <c r="F1354" s="213"/>
      <c r="G1354" s="245" t="str">
        <f ca="1">IF(CommitmentsTable[[#This Row],[Commitment / deliverable]]="","",IF(CommitmentsTable[[#This Row],[Date record entered]]="",TODAY(),CommitmentsTable[[#This Row],[Date record entered]]))</f>
        <v/>
      </c>
      <c r="H1354" s="245"/>
      <c r="I1354" s="245" t="str">
        <f ca="1">IF(CommitmentsTable[[#This Row],[Date Assigned if different from entry date]]&lt;&gt;"",CommitmentsTable[[#This Row],[Date Assigned if different from entry date]]+90,IF(CommitmentsTable[[#This Row],[Date record entered]]&lt;&gt;"",CommitmentsTable[[#This Row],[Date record entered]]+90,""))</f>
        <v/>
      </c>
      <c r="J1354" s="245" t="str">
        <f ca="1">IF(CommitmentsTable[[#This Row],[Date Assigned if different from entry date]]&lt;&gt;"",CommitmentsTable[[#This Row],[Date Assigned if different from entry date]]+30,IF(CommitmentsTable[[#This Row],[Date record entered]]&lt;&gt;"",CommitmentsTable[[#This Row],[Date record entered]]+30,""))</f>
        <v/>
      </c>
      <c r="K1354" s="245"/>
      <c r="L1354" s="245" t="str">
        <f ca="1">IF(CommitmentsTable[[#This Row],[Date Assigned if different from entry date]]&lt;&gt;"",CommitmentsTable[[#This Row],[Date Assigned if different from entry date]]+60,IF(CommitmentsTable[[#This Row],[Date record entered]]&lt;&gt;"",CommitmentsTable[[#This Row],[Date record entered]]+60,""))</f>
        <v/>
      </c>
      <c r="M1354" s="214"/>
      <c r="N1354" s="214"/>
      <c r="O1354" s="236"/>
      <c r="P1354" s="214"/>
      <c r="Q1354" s="214"/>
      <c r="R1354" s="214"/>
      <c r="S1354" s="238" t="str">
        <f>IF(CommitmentsTable[[#This Row],[Commitment / deliverable]]="","",IF(CommitmentsTable[[#This Row],[Revised due]]&lt;&gt;"",CommitmentsTable[[#This Row],[Revised due]],CommitmentsTable[[#This Row],[Original due]]))</f>
        <v/>
      </c>
      <c r="T1354" s="237" t="str">
        <f>IF(OR(CommitmentsTable[[#This Row],[Commitment / deliverable]]="",CommitmentsTable[[#This Row],[Owner]]=""),"",IF(CommitmentsTable[[#This Row],[Status2]]="","Open",CommitmentsTable[[#This Row],[Status2]]))</f>
        <v/>
      </c>
      <c r="U1354" s="237" t="str">
        <f t="shared" ca="1" si="20"/>
        <v/>
      </c>
      <c r="V1354" s="233"/>
      <c r="W1354" s="63" t="s">
        <v>2256</v>
      </c>
    </row>
    <row r="1355" spans="1:23" ht="26">
      <c r="A1355" s="213" t="str">
        <f>IF(OR(CommitmentsTable[[#This Row],[Commitment / deliverable]]="",CommitmentsTable[[#This Row],[Immutable Key]]=""),"",SUBSTITUTE(CommitmentsTable[[#This Row],[Immutable Key]],"-K-","-"))</f>
        <v/>
      </c>
      <c r="B1355" s="233"/>
      <c r="C1355" s="233"/>
      <c r="D1355" s="213"/>
      <c r="E1355" s="230"/>
      <c r="F1355" s="213"/>
      <c r="G1355" s="245" t="str">
        <f ca="1">IF(CommitmentsTable[[#This Row],[Commitment / deliverable]]="","",IF(CommitmentsTable[[#This Row],[Date record entered]]="",TODAY(),CommitmentsTable[[#This Row],[Date record entered]]))</f>
        <v/>
      </c>
      <c r="H1355" s="245"/>
      <c r="I1355" s="245" t="str">
        <f ca="1">IF(CommitmentsTable[[#This Row],[Date Assigned if different from entry date]]&lt;&gt;"",CommitmentsTable[[#This Row],[Date Assigned if different from entry date]]+90,IF(CommitmentsTable[[#This Row],[Date record entered]]&lt;&gt;"",CommitmentsTable[[#This Row],[Date record entered]]+90,""))</f>
        <v/>
      </c>
      <c r="J1355" s="245" t="str">
        <f ca="1">IF(CommitmentsTable[[#This Row],[Date Assigned if different from entry date]]&lt;&gt;"",CommitmentsTable[[#This Row],[Date Assigned if different from entry date]]+30,IF(CommitmentsTable[[#This Row],[Date record entered]]&lt;&gt;"",CommitmentsTable[[#This Row],[Date record entered]]+30,""))</f>
        <v/>
      </c>
      <c r="K1355" s="245"/>
      <c r="L1355" s="245" t="str">
        <f ca="1">IF(CommitmentsTable[[#This Row],[Date Assigned if different from entry date]]&lt;&gt;"",CommitmentsTable[[#This Row],[Date Assigned if different from entry date]]+60,IF(CommitmentsTable[[#This Row],[Date record entered]]&lt;&gt;"",CommitmentsTable[[#This Row],[Date record entered]]+60,""))</f>
        <v/>
      </c>
      <c r="M1355" s="214"/>
      <c r="N1355" s="214"/>
      <c r="O1355" s="236"/>
      <c r="P1355" s="214"/>
      <c r="Q1355" s="214"/>
      <c r="R1355" s="214"/>
      <c r="S1355" s="238" t="str">
        <f>IF(CommitmentsTable[[#This Row],[Commitment / deliverable]]="","",IF(CommitmentsTable[[#This Row],[Revised due]]&lt;&gt;"",CommitmentsTable[[#This Row],[Revised due]],CommitmentsTable[[#This Row],[Original due]]))</f>
        <v/>
      </c>
      <c r="T1355" s="237" t="str">
        <f>IF(OR(CommitmentsTable[[#This Row],[Commitment / deliverable]]="",CommitmentsTable[[#This Row],[Owner]]=""),"",IF(CommitmentsTable[[#This Row],[Status2]]="","Open",CommitmentsTable[[#This Row],[Status2]]))</f>
        <v/>
      </c>
      <c r="U1355" s="237" t="str">
        <f t="shared" ca="1" si="20"/>
        <v/>
      </c>
      <c r="V1355" s="233"/>
      <c r="W1355" s="63" t="s">
        <v>2257</v>
      </c>
    </row>
    <row r="1356" spans="1:23" ht="26">
      <c r="A1356" s="213" t="str">
        <f>IF(OR(CommitmentsTable[[#This Row],[Commitment / deliverable]]="",CommitmentsTable[[#This Row],[Immutable Key]]=""),"",SUBSTITUTE(CommitmentsTable[[#This Row],[Immutable Key]],"-K-","-"))</f>
        <v/>
      </c>
      <c r="B1356" s="233"/>
      <c r="C1356" s="233"/>
      <c r="D1356" s="213"/>
      <c r="E1356" s="230"/>
      <c r="F1356" s="213"/>
      <c r="G1356" s="245" t="str">
        <f ca="1">IF(CommitmentsTable[[#This Row],[Commitment / deliverable]]="","",IF(CommitmentsTable[[#This Row],[Date record entered]]="",TODAY(),CommitmentsTable[[#This Row],[Date record entered]]))</f>
        <v/>
      </c>
      <c r="H1356" s="245"/>
      <c r="I1356" s="245" t="str">
        <f ca="1">IF(CommitmentsTable[[#This Row],[Date Assigned if different from entry date]]&lt;&gt;"",CommitmentsTable[[#This Row],[Date Assigned if different from entry date]]+90,IF(CommitmentsTable[[#This Row],[Date record entered]]&lt;&gt;"",CommitmentsTable[[#This Row],[Date record entered]]+90,""))</f>
        <v/>
      </c>
      <c r="J1356" s="245" t="str">
        <f ca="1">IF(CommitmentsTable[[#This Row],[Date Assigned if different from entry date]]&lt;&gt;"",CommitmentsTable[[#This Row],[Date Assigned if different from entry date]]+30,IF(CommitmentsTable[[#This Row],[Date record entered]]&lt;&gt;"",CommitmentsTable[[#This Row],[Date record entered]]+30,""))</f>
        <v/>
      </c>
      <c r="K1356" s="245"/>
      <c r="L1356" s="245" t="str">
        <f ca="1">IF(CommitmentsTable[[#This Row],[Date Assigned if different from entry date]]&lt;&gt;"",CommitmentsTable[[#This Row],[Date Assigned if different from entry date]]+60,IF(CommitmentsTable[[#This Row],[Date record entered]]&lt;&gt;"",CommitmentsTable[[#This Row],[Date record entered]]+60,""))</f>
        <v/>
      </c>
      <c r="M1356" s="214"/>
      <c r="N1356" s="214"/>
      <c r="O1356" s="236"/>
      <c r="P1356" s="214"/>
      <c r="Q1356" s="214"/>
      <c r="R1356" s="214"/>
      <c r="S1356" s="238" t="str">
        <f>IF(CommitmentsTable[[#This Row],[Commitment / deliverable]]="","",IF(CommitmentsTable[[#This Row],[Revised due]]&lt;&gt;"",CommitmentsTable[[#This Row],[Revised due]],CommitmentsTable[[#This Row],[Original due]]))</f>
        <v/>
      </c>
      <c r="T1356" s="237" t="str">
        <f>IF(OR(CommitmentsTable[[#This Row],[Commitment / deliverable]]="",CommitmentsTable[[#This Row],[Owner]]=""),"",IF(CommitmentsTable[[#This Row],[Status2]]="","Open",CommitmentsTable[[#This Row],[Status2]]))</f>
        <v/>
      </c>
      <c r="U1356" s="237" t="str">
        <f t="shared" ca="1" si="20"/>
        <v/>
      </c>
      <c r="V1356" s="233"/>
      <c r="W1356" s="63" t="s">
        <v>2258</v>
      </c>
    </row>
    <row r="1357" spans="1:23" ht="26">
      <c r="A1357" s="213" t="str">
        <f>IF(OR(CommitmentsTable[[#This Row],[Commitment / deliverable]]="",CommitmentsTable[[#This Row],[Immutable Key]]=""),"",SUBSTITUTE(CommitmentsTable[[#This Row],[Immutable Key]],"-K-","-"))</f>
        <v/>
      </c>
      <c r="B1357" s="233"/>
      <c r="C1357" s="233"/>
      <c r="D1357" s="213"/>
      <c r="E1357" s="230"/>
      <c r="F1357" s="213"/>
      <c r="G1357" s="245" t="str">
        <f ca="1">IF(CommitmentsTable[[#This Row],[Commitment / deliverable]]="","",IF(CommitmentsTable[[#This Row],[Date record entered]]="",TODAY(),CommitmentsTable[[#This Row],[Date record entered]]))</f>
        <v/>
      </c>
      <c r="H1357" s="245"/>
      <c r="I1357" s="245" t="str">
        <f ca="1">IF(CommitmentsTable[[#This Row],[Date Assigned if different from entry date]]&lt;&gt;"",CommitmentsTable[[#This Row],[Date Assigned if different from entry date]]+90,IF(CommitmentsTable[[#This Row],[Date record entered]]&lt;&gt;"",CommitmentsTable[[#This Row],[Date record entered]]+90,""))</f>
        <v/>
      </c>
      <c r="J1357" s="245" t="str">
        <f ca="1">IF(CommitmentsTable[[#This Row],[Date Assigned if different from entry date]]&lt;&gt;"",CommitmentsTable[[#This Row],[Date Assigned if different from entry date]]+30,IF(CommitmentsTable[[#This Row],[Date record entered]]&lt;&gt;"",CommitmentsTable[[#This Row],[Date record entered]]+30,""))</f>
        <v/>
      </c>
      <c r="K1357" s="245"/>
      <c r="L1357" s="245" t="str">
        <f ca="1">IF(CommitmentsTable[[#This Row],[Date Assigned if different from entry date]]&lt;&gt;"",CommitmentsTable[[#This Row],[Date Assigned if different from entry date]]+60,IF(CommitmentsTable[[#This Row],[Date record entered]]&lt;&gt;"",CommitmentsTable[[#This Row],[Date record entered]]+60,""))</f>
        <v/>
      </c>
      <c r="M1357" s="214"/>
      <c r="N1357" s="214"/>
      <c r="O1357" s="236"/>
      <c r="P1357" s="214"/>
      <c r="Q1357" s="214"/>
      <c r="R1357" s="214"/>
      <c r="S1357" s="238" t="str">
        <f>IF(CommitmentsTable[[#This Row],[Commitment / deliverable]]="","",IF(CommitmentsTable[[#This Row],[Revised due]]&lt;&gt;"",CommitmentsTable[[#This Row],[Revised due]],CommitmentsTable[[#This Row],[Original due]]))</f>
        <v/>
      </c>
      <c r="T1357" s="237" t="str">
        <f>IF(OR(CommitmentsTable[[#This Row],[Commitment / deliverable]]="",CommitmentsTable[[#This Row],[Owner]]=""),"",IF(CommitmentsTable[[#This Row],[Status2]]="","Open",CommitmentsTable[[#This Row],[Status2]]))</f>
        <v/>
      </c>
      <c r="U1357" s="237" t="str">
        <f t="shared" ref="U1357:U1418" ca="1" si="21">IF(B1357="","",IF(T1357="Closed","",IF(OR(T1357="Slipped",T1357="At risk",AND(S1357&lt;&gt;"",S1357&lt;TODAY())),"Slipped / at risk",IF(G1357=TODAY(),"New today",IF(S1357=TODAY()+1,"Due tomorrow","")))))</f>
        <v/>
      </c>
      <c r="V1357" s="233"/>
      <c r="W1357" s="63" t="s">
        <v>2259</v>
      </c>
    </row>
    <row r="1358" spans="1:23" ht="26">
      <c r="A1358" s="213" t="str">
        <f>IF(OR(CommitmentsTable[[#This Row],[Commitment / deliverable]]="",CommitmentsTable[[#This Row],[Immutable Key]]=""),"",SUBSTITUTE(CommitmentsTable[[#This Row],[Immutable Key]],"-K-","-"))</f>
        <v/>
      </c>
      <c r="B1358" s="233"/>
      <c r="C1358" s="233"/>
      <c r="D1358" s="213"/>
      <c r="E1358" s="230"/>
      <c r="F1358" s="213"/>
      <c r="G1358" s="245" t="str">
        <f ca="1">IF(CommitmentsTable[[#This Row],[Commitment / deliverable]]="","",IF(CommitmentsTable[[#This Row],[Date record entered]]="",TODAY(),CommitmentsTable[[#This Row],[Date record entered]]))</f>
        <v/>
      </c>
      <c r="H1358" s="245"/>
      <c r="I1358" s="245" t="str">
        <f ca="1">IF(CommitmentsTable[[#This Row],[Date Assigned if different from entry date]]&lt;&gt;"",CommitmentsTable[[#This Row],[Date Assigned if different from entry date]]+90,IF(CommitmentsTable[[#This Row],[Date record entered]]&lt;&gt;"",CommitmentsTable[[#This Row],[Date record entered]]+90,""))</f>
        <v/>
      </c>
      <c r="J1358" s="245" t="str">
        <f ca="1">IF(CommitmentsTable[[#This Row],[Date Assigned if different from entry date]]&lt;&gt;"",CommitmentsTable[[#This Row],[Date Assigned if different from entry date]]+30,IF(CommitmentsTable[[#This Row],[Date record entered]]&lt;&gt;"",CommitmentsTable[[#This Row],[Date record entered]]+30,""))</f>
        <v/>
      </c>
      <c r="K1358" s="245"/>
      <c r="L1358" s="245" t="str">
        <f ca="1">IF(CommitmentsTable[[#This Row],[Date Assigned if different from entry date]]&lt;&gt;"",CommitmentsTable[[#This Row],[Date Assigned if different from entry date]]+60,IF(CommitmentsTable[[#This Row],[Date record entered]]&lt;&gt;"",CommitmentsTable[[#This Row],[Date record entered]]+60,""))</f>
        <v/>
      </c>
      <c r="M1358" s="214"/>
      <c r="N1358" s="214"/>
      <c r="O1358" s="236"/>
      <c r="P1358" s="214"/>
      <c r="Q1358" s="214"/>
      <c r="R1358" s="214"/>
      <c r="S1358" s="238" t="str">
        <f>IF(CommitmentsTable[[#This Row],[Commitment / deliverable]]="","",IF(CommitmentsTable[[#This Row],[Revised due]]&lt;&gt;"",CommitmentsTable[[#This Row],[Revised due]],CommitmentsTable[[#This Row],[Original due]]))</f>
        <v/>
      </c>
      <c r="T1358" s="237" t="str">
        <f>IF(OR(CommitmentsTable[[#This Row],[Commitment / deliverable]]="",CommitmentsTable[[#This Row],[Owner]]=""),"",IF(CommitmentsTable[[#This Row],[Status2]]="","Open",CommitmentsTable[[#This Row],[Status2]]))</f>
        <v/>
      </c>
      <c r="U1358" s="237" t="str">
        <f t="shared" ca="1" si="21"/>
        <v/>
      </c>
      <c r="V1358" s="233"/>
      <c r="W1358" s="63" t="s">
        <v>2260</v>
      </c>
    </row>
    <row r="1359" spans="1:23" ht="26">
      <c r="A1359" s="213" t="str">
        <f>IF(OR(CommitmentsTable[[#This Row],[Commitment / deliverable]]="",CommitmentsTable[[#This Row],[Immutable Key]]=""),"",SUBSTITUTE(CommitmentsTable[[#This Row],[Immutable Key]],"-K-","-"))</f>
        <v/>
      </c>
      <c r="B1359" s="233"/>
      <c r="C1359" s="233"/>
      <c r="D1359" s="213"/>
      <c r="E1359" s="230"/>
      <c r="F1359" s="213"/>
      <c r="G1359" s="245" t="str">
        <f ca="1">IF(CommitmentsTable[[#This Row],[Commitment / deliverable]]="","",IF(CommitmentsTable[[#This Row],[Date record entered]]="",TODAY(),CommitmentsTable[[#This Row],[Date record entered]]))</f>
        <v/>
      </c>
      <c r="H1359" s="245"/>
      <c r="I1359" s="245" t="str">
        <f ca="1">IF(CommitmentsTable[[#This Row],[Date Assigned if different from entry date]]&lt;&gt;"",CommitmentsTable[[#This Row],[Date Assigned if different from entry date]]+90,IF(CommitmentsTable[[#This Row],[Date record entered]]&lt;&gt;"",CommitmentsTable[[#This Row],[Date record entered]]+90,""))</f>
        <v/>
      </c>
      <c r="J1359" s="245" t="str">
        <f ca="1">IF(CommitmentsTable[[#This Row],[Date Assigned if different from entry date]]&lt;&gt;"",CommitmentsTable[[#This Row],[Date Assigned if different from entry date]]+30,IF(CommitmentsTable[[#This Row],[Date record entered]]&lt;&gt;"",CommitmentsTable[[#This Row],[Date record entered]]+30,""))</f>
        <v/>
      </c>
      <c r="K1359" s="245"/>
      <c r="L1359" s="245" t="str">
        <f ca="1">IF(CommitmentsTable[[#This Row],[Date Assigned if different from entry date]]&lt;&gt;"",CommitmentsTable[[#This Row],[Date Assigned if different from entry date]]+60,IF(CommitmentsTable[[#This Row],[Date record entered]]&lt;&gt;"",CommitmentsTable[[#This Row],[Date record entered]]+60,""))</f>
        <v/>
      </c>
      <c r="M1359" s="214"/>
      <c r="N1359" s="214"/>
      <c r="O1359" s="236"/>
      <c r="P1359" s="214"/>
      <c r="Q1359" s="214"/>
      <c r="R1359" s="214"/>
      <c r="S1359" s="238" t="str">
        <f>IF(CommitmentsTable[[#This Row],[Commitment / deliverable]]="","",IF(CommitmentsTable[[#This Row],[Revised due]]&lt;&gt;"",CommitmentsTable[[#This Row],[Revised due]],CommitmentsTable[[#This Row],[Original due]]))</f>
        <v/>
      </c>
      <c r="T1359" s="237" t="str">
        <f>IF(OR(CommitmentsTable[[#This Row],[Commitment / deliverable]]="",CommitmentsTable[[#This Row],[Owner]]=""),"",IF(CommitmentsTable[[#This Row],[Status2]]="","Open",CommitmentsTable[[#This Row],[Status2]]))</f>
        <v/>
      </c>
      <c r="U1359" s="237" t="str">
        <f t="shared" ca="1" si="21"/>
        <v/>
      </c>
      <c r="V1359" s="233"/>
      <c r="W1359" s="63" t="s">
        <v>2261</v>
      </c>
    </row>
    <row r="1360" spans="1:23" ht="26">
      <c r="A1360" s="213" t="str">
        <f>IF(OR(CommitmentsTable[[#This Row],[Commitment / deliverable]]="",CommitmentsTable[[#This Row],[Immutable Key]]=""),"",SUBSTITUTE(CommitmentsTable[[#This Row],[Immutable Key]],"-K-","-"))</f>
        <v/>
      </c>
      <c r="B1360" s="233"/>
      <c r="C1360" s="233"/>
      <c r="D1360" s="213"/>
      <c r="E1360" s="230"/>
      <c r="F1360" s="213"/>
      <c r="G1360" s="245" t="str">
        <f ca="1">IF(CommitmentsTable[[#This Row],[Commitment / deliverable]]="","",IF(CommitmentsTable[[#This Row],[Date record entered]]="",TODAY(),CommitmentsTable[[#This Row],[Date record entered]]))</f>
        <v/>
      </c>
      <c r="H1360" s="245"/>
      <c r="I1360" s="245" t="str">
        <f ca="1">IF(CommitmentsTable[[#This Row],[Date Assigned if different from entry date]]&lt;&gt;"",CommitmentsTable[[#This Row],[Date Assigned if different from entry date]]+90,IF(CommitmentsTable[[#This Row],[Date record entered]]&lt;&gt;"",CommitmentsTable[[#This Row],[Date record entered]]+90,""))</f>
        <v/>
      </c>
      <c r="J1360" s="245" t="str">
        <f ca="1">IF(CommitmentsTable[[#This Row],[Date Assigned if different from entry date]]&lt;&gt;"",CommitmentsTable[[#This Row],[Date Assigned if different from entry date]]+30,IF(CommitmentsTable[[#This Row],[Date record entered]]&lt;&gt;"",CommitmentsTable[[#This Row],[Date record entered]]+30,""))</f>
        <v/>
      </c>
      <c r="K1360" s="245"/>
      <c r="L1360" s="245" t="str">
        <f ca="1">IF(CommitmentsTable[[#This Row],[Date Assigned if different from entry date]]&lt;&gt;"",CommitmentsTable[[#This Row],[Date Assigned if different from entry date]]+60,IF(CommitmentsTable[[#This Row],[Date record entered]]&lt;&gt;"",CommitmentsTable[[#This Row],[Date record entered]]+60,""))</f>
        <v/>
      </c>
      <c r="M1360" s="214"/>
      <c r="N1360" s="214"/>
      <c r="O1360" s="236"/>
      <c r="P1360" s="214"/>
      <c r="Q1360" s="214"/>
      <c r="R1360" s="214"/>
      <c r="S1360" s="238" t="str">
        <f>IF(CommitmentsTable[[#This Row],[Commitment / deliverable]]="","",IF(CommitmentsTable[[#This Row],[Revised due]]&lt;&gt;"",CommitmentsTable[[#This Row],[Revised due]],CommitmentsTable[[#This Row],[Original due]]))</f>
        <v/>
      </c>
      <c r="T1360" s="237" t="str">
        <f>IF(OR(CommitmentsTable[[#This Row],[Commitment / deliverable]]="",CommitmentsTable[[#This Row],[Owner]]=""),"",IF(CommitmentsTable[[#This Row],[Status2]]="","Open",CommitmentsTable[[#This Row],[Status2]]))</f>
        <v/>
      </c>
      <c r="U1360" s="237" t="str">
        <f t="shared" ca="1" si="21"/>
        <v/>
      </c>
      <c r="V1360" s="233"/>
      <c r="W1360" s="63" t="s">
        <v>2262</v>
      </c>
    </row>
    <row r="1361" spans="1:23" ht="26">
      <c r="A1361" s="213" t="str">
        <f>IF(OR(CommitmentsTable[[#This Row],[Commitment / deliverable]]="",CommitmentsTable[[#This Row],[Immutable Key]]=""),"",SUBSTITUTE(CommitmentsTable[[#This Row],[Immutable Key]],"-K-","-"))</f>
        <v/>
      </c>
      <c r="B1361" s="233"/>
      <c r="C1361" s="233"/>
      <c r="D1361" s="213"/>
      <c r="E1361" s="230"/>
      <c r="F1361" s="213"/>
      <c r="G1361" s="245" t="str">
        <f ca="1">IF(CommitmentsTable[[#This Row],[Commitment / deliverable]]="","",IF(CommitmentsTable[[#This Row],[Date record entered]]="",TODAY(),CommitmentsTable[[#This Row],[Date record entered]]))</f>
        <v/>
      </c>
      <c r="H1361" s="245"/>
      <c r="I1361" s="245" t="str">
        <f ca="1">IF(CommitmentsTable[[#This Row],[Date Assigned if different from entry date]]&lt;&gt;"",CommitmentsTable[[#This Row],[Date Assigned if different from entry date]]+90,IF(CommitmentsTable[[#This Row],[Date record entered]]&lt;&gt;"",CommitmentsTable[[#This Row],[Date record entered]]+90,""))</f>
        <v/>
      </c>
      <c r="J1361" s="245" t="str">
        <f ca="1">IF(CommitmentsTable[[#This Row],[Date Assigned if different from entry date]]&lt;&gt;"",CommitmentsTable[[#This Row],[Date Assigned if different from entry date]]+30,IF(CommitmentsTable[[#This Row],[Date record entered]]&lt;&gt;"",CommitmentsTable[[#This Row],[Date record entered]]+30,""))</f>
        <v/>
      </c>
      <c r="K1361" s="245"/>
      <c r="L1361" s="245" t="str">
        <f ca="1">IF(CommitmentsTable[[#This Row],[Date Assigned if different from entry date]]&lt;&gt;"",CommitmentsTable[[#This Row],[Date Assigned if different from entry date]]+60,IF(CommitmentsTable[[#This Row],[Date record entered]]&lt;&gt;"",CommitmentsTable[[#This Row],[Date record entered]]+60,""))</f>
        <v/>
      </c>
      <c r="M1361" s="214"/>
      <c r="N1361" s="214"/>
      <c r="O1361" s="236"/>
      <c r="P1361" s="214"/>
      <c r="Q1361" s="214"/>
      <c r="R1361" s="214"/>
      <c r="S1361" s="238" t="str">
        <f>IF(CommitmentsTable[[#This Row],[Commitment / deliverable]]="","",IF(CommitmentsTable[[#This Row],[Revised due]]&lt;&gt;"",CommitmentsTable[[#This Row],[Revised due]],CommitmentsTable[[#This Row],[Original due]]))</f>
        <v/>
      </c>
      <c r="T1361" s="237" t="str">
        <f>IF(OR(CommitmentsTable[[#This Row],[Commitment / deliverable]]="",CommitmentsTable[[#This Row],[Owner]]=""),"",IF(CommitmentsTable[[#This Row],[Status2]]="","Open",CommitmentsTable[[#This Row],[Status2]]))</f>
        <v/>
      </c>
      <c r="U1361" s="237" t="str">
        <f t="shared" ca="1" si="21"/>
        <v/>
      </c>
      <c r="V1361" s="233"/>
      <c r="W1361" s="63" t="s">
        <v>2263</v>
      </c>
    </row>
    <row r="1362" spans="1:23" ht="26">
      <c r="A1362" s="213" t="str">
        <f>IF(OR(CommitmentsTable[[#This Row],[Commitment / deliverable]]="",CommitmentsTable[[#This Row],[Immutable Key]]=""),"",SUBSTITUTE(CommitmentsTable[[#This Row],[Immutable Key]],"-K-","-"))</f>
        <v/>
      </c>
      <c r="B1362" s="233"/>
      <c r="C1362" s="233"/>
      <c r="D1362" s="213"/>
      <c r="E1362" s="230"/>
      <c r="F1362" s="213"/>
      <c r="G1362" s="245" t="str">
        <f ca="1">IF(CommitmentsTable[[#This Row],[Commitment / deliverable]]="","",IF(CommitmentsTable[[#This Row],[Date record entered]]="",TODAY(),CommitmentsTable[[#This Row],[Date record entered]]))</f>
        <v/>
      </c>
      <c r="H1362" s="245"/>
      <c r="I1362" s="245" t="str">
        <f ca="1">IF(CommitmentsTable[[#This Row],[Date Assigned if different from entry date]]&lt;&gt;"",CommitmentsTable[[#This Row],[Date Assigned if different from entry date]]+90,IF(CommitmentsTable[[#This Row],[Date record entered]]&lt;&gt;"",CommitmentsTable[[#This Row],[Date record entered]]+90,""))</f>
        <v/>
      </c>
      <c r="J1362" s="245" t="str">
        <f ca="1">IF(CommitmentsTable[[#This Row],[Date Assigned if different from entry date]]&lt;&gt;"",CommitmentsTable[[#This Row],[Date Assigned if different from entry date]]+30,IF(CommitmentsTable[[#This Row],[Date record entered]]&lt;&gt;"",CommitmentsTable[[#This Row],[Date record entered]]+30,""))</f>
        <v/>
      </c>
      <c r="K1362" s="245"/>
      <c r="L1362" s="245" t="str">
        <f ca="1">IF(CommitmentsTable[[#This Row],[Date Assigned if different from entry date]]&lt;&gt;"",CommitmentsTable[[#This Row],[Date Assigned if different from entry date]]+60,IF(CommitmentsTable[[#This Row],[Date record entered]]&lt;&gt;"",CommitmentsTable[[#This Row],[Date record entered]]+60,""))</f>
        <v/>
      </c>
      <c r="M1362" s="214"/>
      <c r="N1362" s="214"/>
      <c r="O1362" s="236"/>
      <c r="P1362" s="214"/>
      <c r="Q1362" s="214"/>
      <c r="R1362" s="214"/>
      <c r="S1362" s="238" t="str">
        <f>IF(CommitmentsTable[[#This Row],[Commitment / deliverable]]="","",IF(CommitmentsTable[[#This Row],[Revised due]]&lt;&gt;"",CommitmentsTable[[#This Row],[Revised due]],CommitmentsTable[[#This Row],[Original due]]))</f>
        <v/>
      </c>
      <c r="T1362" s="237" t="str">
        <f>IF(OR(CommitmentsTable[[#This Row],[Commitment / deliverable]]="",CommitmentsTable[[#This Row],[Owner]]=""),"",IF(CommitmentsTable[[#This Row],[Status2]]="","Open",CommitmentsTable[[#This Row],[Status2]]))</f>
        <v/>
      </c>
      <c r="U1362" s="237" t="str">
        <f t="shared" ca="1" si="21"/>
        <v/>
      </c>
      <c r="V1362" s="233"/>
      <c r="W1362" s="63" t="s">
        <v>2264</v>
      </c>
    </row>
    <row r="1363" spans="1:23" ht="26">
      <c r="A1363" s="213" t="str">
        <f>IF(OR(CommitmentsTable[[#This Row],[Commitment / deliverable]]="",CommitmentsTable[[#This Row],[Immutable Key]]=""),"",SUBSTITUTE(CommitmentsTable[[#This Row],[Immutable Key]],"-K-","-"))</f>
        <v/>
      </c>
      <c r="B1363" s="233"/>
      <c r="C1363" s="233"/>
      <c r="D1363" s="213"/>
      <c r="E1363" s="230"/>
      <c r="F1363" s="213"/>
      <c r="G1363" s="245" t="str">
        <f ca="1">IF(CommitmentsTable[[#This Row],[Commitment / deliverable]]="","",IF(CommitmentsTable[[#This Row],[Date record entered]]="",TODAY(),CommitmentsTable[[#This Row],[Date record entered]]))</f>
        <v/>
      </c>
      <c r="H1363" s="245"/>
      <c r="I1363" s="245" t="str">
        <f ca="1">IF(CommitmentsTable[[#This Row],[Date Assigned if different from entry date]]&lt;&gt;"",CommitmentsTable[[#This Row],[Date Assigned if different from entry date]]+90,IF(CommitmentsTable[[#This Row],[Date record entered]]&lt;&gt;"",CommitmentsTable[[#This Row],[Date record entered]]+90,""))</f>
        <v/>
      </c>
      <c r="J1363" s="245" t="str">
        <f ca="1">IF(CommitmentsTable[[#This Row],[Date Assigned if different from entry date]]&lt;&gt;"",CommitmentsTable[[#This Row],[Date Assigned if different from entry date]]+30,IF(CommitmentsTable[[#This Row],[Date record entered]]&lt;&gt;"",CommitmentsTable[[#This Row],[Date record entered]]+30,""))</f>
        <v/>
      </c>
      <c r="K1363" s="245"/>
      <c r="L1363" s="245" t="str">
        <f ca="1">IF(CommitmentsTable[[#This Row],[Date Assigned if different from entry date]]&lt;&gt;"",CommitmentsTable[[#This Row],[Date Assigned if different from entry date]]+60,IF(CommitmentsTable[[#This Row],[Date record entered]]&lt;&gt;"",CommitmentsTable[[#This Row],[Date record entered]]+60,""))</f>
        <v/>
      </c>
      <c r="M1363" s="214"/>
      <c r="N1363" s="214"/>
      <c r="O1363" s="236"/>
      <c r="P1363" s="214"/>
      <c r="Q1363" s="214"/>
      <c r="R1363" s="214"/>
      <c r="S1363" s="238" t="str">
        <f>IF(CommitmentsTable[[#This Row],[Commitment / deliverable]]="","",IF(CommitmentsTable[[#This Row],[Revised due]]&lt;&gt;"",CommitmentsTable[[#This Row],[Revised due]],CommitmentsTable[[#This Row],[Original due]]))</f>
        <v/>
      </c>
      <c r="T1363" s="237" t="str">
        <f>IF(OR(CommitmentsTable[[#This Row],[Commitment / deliverable]]="",CommitmentsTable[[#This Row],[Owner]]=""),"",IF(CommitmentsTable[[#This Row],[Status2]]="","Open",CommitmentsTable[[#This Row],[Status2]]))</f>
        <v/>
      </c>
      <c r="U1363" s="237" t="str">
        <f t="shared" ca="1" si="21"/>
        <v/>
      </c>
      <c r="V1363" s="233"/>
      <c r="W1363" s="63" t="s">
        <v>2265</v>
      </c>
    </row>
    <row r="1364" spans="1:23" ht="26">
      <c r="A1364" s="213" t="str">
        <f>IF(OR(CommitmentsTable[[#This Row],[Commitment / deliverable]]="",CommitmentsTable[[#This Row],[Immutable Key]]=""),"",SUBSTITUTE(CommitmentsTable[[#This Row],[Immutable Key]],"-K-","-"))</f>
        <v/>
      </c>
      <c r="B1364" s="233"/>
      <c r="C1364" s="233"/>
      <c r="D1364" s="213"/>
      <c r="E1364" s="230"/>
      <c r="F1364" s="213"/>
      <c r="G1364" s="245" t="str">
        <f ca="1">IF(CommitmentsTable[[#This Row],[Commitment / deliverable]]="","",IF(CommitmentsTable[[#This Row],[Date record entered]]="",TODAY(),CommitmentsTable[[#This Row],[Date record entered]]))</f>
        <v/>
      </c>
      <c r="H1364" s="245"/>
      <c r="I1364" s="245" t="str">
        <f ca="1">IF(CommitmentsTable[[#This Row],[Date Assigned if different from entry date]]&lt;&gt;"",CommitmentsTable[[#This Row],[Date Assigned if different from entry date]]+90,IF(CommitmentsTable[[#This Row],[Date record entered]]&lt;&gt;"",CommitmentsTable[[#This Row],[Date record entered]]+90,""))</f>
        <v/>
      </c>
      <c r="J1364" s="245" t="str">
        <f ca="1">IF(CommitmentsTable[[#This Row],[Date Assigned if different from entry date]]&lt;&gt;"",CommitmentsTable[[#This Row],[Date Assigned if different from entry date]]+30,IF(CommitmentsTable[[#This Row],[Date record entered]]&lt;&gt;"",CommitmentsTable[[#This Row],[Date record entered]]+30,""))</f>
        <v/>
      </c>
      <c r="K1364" s="245"/>
      <c r="L1364" s="245" t="str">
        <f ca="1">IF(CommitmentsTable[[#This Row],[Date Assigned if different from entry date]]&lt;&gt;"",CommitmentsTable[[#This Row],[Date Assigned if different from entry date]]+60,IF(CommitmentsTable[[#This Row],[Date record entered]]&lt;&gt;"",CommitmentsTable[[#This Row],[Date record entered]]+60,""))</f>
        <v/>
      </c>
      <c r="M1364" s="214"/>
      <c r="N1364" s="214"/>
      <c r="O1364" s="236"/>
      <c r="P1364" s="214"/>
      <c r="Q1364" s="214"/>
      <c r="R1364" s="214"/>
      <c r="S1364" s="238" t="str">
        <f>IF(CommitmentsTable[[#This Row],[Commitment / deliverable]]="","",IF(CommitmentsTable[[#This Row],[Revised due]]&lt;&gt;"",CommitmentsTable[[#This Row],[Revised due]],CommitmentsTable[[#This Row],[Original due]]))</f>
        <v/>
      </c>
      <c r="T1364" s="237" t="str">
        <f>IF(OR(CommitmentsTable[[#This Row],[Commitment / deliverable]]="",CommitmentsTable[[#This Row],[Owner]]=""),"",IF(CommitmentsTable[[#This Row],[Status2]]="","Open",CommitmentsTable[[#This Row],[Status2]]))</f>
        <v/>
      </c>
      <c r="U1364" s="237" t="str">
        <f t="shared" ca="1" si="21"/>
        <v/>
      </c>
      <c r="V1364" s="233"/>
      <c r="W1364" s="63" t="s">
        <v>2266</v>
      </c>
    </row>
    <row r="1365" spans="1:23" ht="26">
      <c r="A1365" s="213" t="str">
        <f>IF(OR(CommitmentsTable[[#This Row],[Commitment / deliverable]]="",CommitmentsTable[[#This Row],[Immutable Key]]=""),"",SUBSTITUTE(CommitmentsTable[[#This Row],[Immutable Key]],"-K-","-"))</f>
        <v/>
      </c>
      <c r="B1365" s="233"/>
      <c r="C1365" s="233"/>
      <c r="D1365" s="213"/>
      <c r="E1365" s="230"/>
      <c r="F1365" s="213"/>
      <c r="G1365" s="245" t="str">
        <f ca="1">IF(CommitmentsTable[[#This Row],[Commitment / deliverable]]="","",IF(CommitmentsTable[[#This Row],[Date record entered]]="",TODAY(),CommitmentsTable[[#This Row],[Date record entered]]))</f>
        <v/>
      </c>
      <c r="H1365" s="245"/>
      <c r="I1365" s="245" t="str">
        <f ca="1">IF(CommitmentsTable[[#This Row],[Date Assigned if different from entry date]]&lt;&gt;"",CommitmentsTable[[#This Row],[Date Assigned if different from entry date]]+90,IF(CommitmentsTable[[#This Row],[Date record entered]]&lt;&gt;"",CommitmentsTable[[#This Row],[Date record entered]]+90,""))</f>
        <v/>
      </c>
      <c r="J1365" s="245" t="str">
        <f ca="1">IF(CommitmentsTable[[#This Row],[Date Assigned if different from entry date]]&lt;&gt;"",CommitmentsTable[[#This Row],[Date Assigned if different from entry date]]+30,IF(CommitmentsTable[[#This Row],[Date record entered]]&lt;&gt;"",CommitmentsTable[[#This Row],[Date record entered]]+30,""))</f>
        <v/>
      </c>
      <c r="K1365" s="245"/>
      <c r="L1365" s="245" t="str">
        <f ca="1">IF(CommitmentsTable[[#This Row],[Date Assigned if different from entry date]]&lt;&gt;"",CommitmentsTable[[#This Row],[Date Assigned if different from entry date]]+60,IF(CommitmentsTable[[#This Row],[Date record entered]]&lt;&gt;"",CommitmentsTable[[#This Row],[Date record entered]]+60,""))</f>
        <v/>
      </c>
      <c r="M1365" s="214"/>
      <c r="N1365" s="214"/>
      <c r="O1365" s="236"/>
      <c r="P1365" s="214"/>
      <c r="Q1365" s="214"/>
      <c r="R1365" s="214"/>
      <c r="S1365" s="238" t="str">
        <f>IF(CommitmentsTable[[#This Row],[Commitment / deliverable]]="","",IF(CommitmentsTable[[#This Row],[Revised due]]&lt;&gt;"",CommitmentsTable[[#This Row],[Revised due]],CommitmentsTable[[#This Row],[Original due]]))</f>
        <v/>
      </c>
      <c r="T1365" s="237" t="str">
        <f>IF(OR(CommitmentsTable[[#This Row],[Commitment / deliverable]]="",CommitmentsTable[[#This Row],[Owner]]=""),"",IF(CommitmentsTable[[#This Row],[Status2]]="","Open",CommitmentsTable[[#This Row],[Status2]]))</f>
        <v/>
      </c>
      <c r="U1365" s="237" t="str">
        <f t="shared" ca="1" si="21"/>
        <v/>
      </c>
      <c r="V1365" s="233"/>
      <c r="W1365" s="63" t="s">
        <v>2267</v>
      </c>
    </row>
    <row r="1366" spans="1:23" ht="26">
      <c r="A1366" s="213" t="str">
        <f>IF(OR(CommitmentsTable[[#This Row],[Commitment / deliverable]]="",CommitmentsTable[[#This Row],[Immutable Key]]=""),"",SUBSTITUTE(CommitmentsTable[[#This Row],[Immutable Key]],"-K-","-"))</f>
        <v/>
      </c>
      <c r="B1366" s="233"/>
      <c r="C1366" s="233"/>
      <c r="D1366" s="213"/>
      <c r="E1366" s="230"/>
      <c r="F1366" s="213"/>
      <c r="G1366" s="245" t="str">
        <f ca="1">IF(CommitmentsTable[[#This Row],[Commitment / deliverable]]="","",IF(CommitmentsTable[[#This Row],[Date record entered]]="",TODAY(),CommitmentsTable[[#This Row],[Date record entered]]))</f>
        <v/>
      </c>
      <c r="H1366" s="245"/>
      <c r="I1366" s="245" t="str">
        <f ca="1">IF(CommitmentsTable[[#This Row],[Date Assigned if different from entry date]]&lt;&gt;"",CommitmentsTable[[#This Row],[Date Assigned if different from entry date]]+90,IF(CommitmentsTable[[#This Row],[Date record entered]]&lt;&gt;"",CommitmentsTable[[#This Row],[Date record entered]]+90,""))</f>
        <v/>
      </c>
      <c r="J1366" s="245" t="str">
        <f ca="1">IF(CommitmentsTable[[#This Row],[Date Assigned if different from entry date]]&lt;&gt;"",CommitmentsTable[[#This Row],[Date Assigned if different from entry date]]+30,IF(CommitmentsTable[[#This Row],[Date record entered]]&lt;&gt;"",CommitmentsTable[[#This Row],[Date record entered]]+30,""))</f>
        <v/>
      </c>
      <c r="K1366" s="245"/>
      <c r="L1366" s="245" t="str">
        <f ca="1">IF(CommitmentsTable[[#This Row],[Date Assigned if different from entry date]]&lt;&gt;"",CommitmentsTable[[#This Row],[Date Assigned if different from entry date]]+60,IF(CommitmentsTable[[#This Row],[Date record entered]]&lt;&gt;"",CommitmentsTable[[#This Row],[Date record entered]]+60,""))</f>
        <v/>
      </c>
      <c r="M1366" s="214"/>
      <c r="N1366" s="214"/>
      <c r="O1366" s="236"/>
      <c r="P1366" s="214"/>
      <c r="Q1366" s="214"/>
      <c r="R1366" s="214"/>
      <c r="S1366" s="238" t="str">
        <f>IF(CommitmentsTable[[#This Row],[Commitment / deliverable]]="","",IF(CommitmentsTable[[#This Row],[Revised due]]&lt;&gt;"",CommitmentsTable[[#This Row],[Revised due]],CommitmentsTable[[#This Row],[Original due]]))</f>
        <v/>
      </c>
      <c r="T1366" s="237" t="str">
        <f>IF(OR(CommitmentsTable[[#This Row],[Commitment / deliverable]]="",CommitmentsTable[[#This Row],[Owner]]=""),"",IF(CommitmentsTable[[#This Row],[Status2]]="","Open",CommitmentsTable[[#This Row],[Status2]]))</f>
        <v/>
      </c>
      <c r="U1366" s="237" t="str">
        <f t="shared" ca="1" si="21"/>
        <v/>
      </c>
      <c r="V1366" s="233"/>
      <c r="W1366" s="63" t="s">
        <v>2268</v>
      </c>
    </row>
    <row r="1367" spans="1:23" ht="26">
      <c r="A1367" s="213" t="str">
        <f>IF(OR(CommitmentsTable[[#This Row],[Commitment / deliverable]]="",CommitmentsTable[[#This Row],[Immutable Key]]=""),"",SUBSTITUTE(CommitmentsTable[[#This Row],[Immutable Key]],"-K-","-"))</f>
        <v/>
      </c>
      <c r="B1367" s="233"/>
      <c r="C1367" s="233"/>
      <c r="D1367" s="213"/>
      <c r="E1367" s="230"/>
      <c r="F1367" s="213"/>
      <c r="G1367" s="245" t="str">
        <f ca="1">IF(CommitmentsTable[[#This Row],[Commitment / deliverable]]="","",IF(CommitmentsTable[[#This Row],[Date record entered]]="",TODAY(),CommitmentsTable[[#This Row],[Date record entered]]))</f>
        <v/>
      </c>
      <c r="H1367" s="245"/>
      <c r="I1367" s="245" t="str">
        <f ca="1">IF(CommitmentsTable[[#This Row],[Date Assigned if different from entry date]]&lt;&gt;"",CommitmentsTable[[#This Row],[Date Assigned if different from entry date]]+90,IF(CommitmentsTable[[#This Row],[Date record entered]]&lt;&gt;"",CommitmentsTable[[#This Row],[Date record entered]]+90,""))</f>
        <v/>
      </c>
      <c r="J1367" s="245" t="str">
        <f ca="1">IF(CommitmentsTable[[#This Row],[Date Assigned if different from entry date]]&lt;&gt;"",CommitmentsTable[[#This Row],[Date Assigned if different from entry date]]+30,IF(CommitmentsTable[[#This Row],[Date record entered]]&lt;&gt;"",CommitmentsTable[[#This Row],[Date record entered]]+30,""))</f>
        <v/>
      </c>
      <c r="K1367" s="245"/>
      <c r="L1367" s="245" t="str">
        <f ca="1">IF(CommitmentsTable[[#This Row],[Date Assigned if different from entry date]]&lt;&gt;"",CommitmentsTable[[#This Row],[Date Assigned if different from entry date]]+60,IF(CommitmentsTable[[#This Row],[Date record entered]]&lt;&gt;"",CommitmentsTable[[#This Row],[Date record entered]]+60,""))</f>
        <v/>
      </c>
      <c r="M1367" s="214"/>
      <c r="N1367" s="214"/>
      <c r="O1367" s="236"/>
      <c r="P1367" s="214"/>
      <c r="Q1367" s="214"/>
      <c r="R1367" s="214"/>
      <c r="S1367" s="238" t="str">
        <f>IF(CommitmentsTable[[#This Row],[Commitment / deliverable]]="","",IF(CommitmentsTable[[#This Row],[Revised due]]&lt;&gt;"",CommitmentsTable[[#This Row],[Revised due]],CommitmentsTable[[#This Row],[Original due]]))</f>
        <v/>
      </c>
      <c r="T1367" s="237" t="str">
        <f>IF(OR(CommitmentsTable[[#This Row],[Commitment / deliverable]]="",CommitmentsTable[[#This Row],[Owner]]=""),"",IF(CommitmentsTable[[#This Row],[Status2]]="","Open",CommitmentsTable[[#This Row],[Status2]]))</f>
        <v/>
      </c>
      <c r="U1367" s="237" t="str">
        <f t="shared" ca="1" si="21"/>
        <v/>
      </c>
      <c r="V1367" s="233"/>
      <c r="W1367" s="63" t="s">
        <v>2269</v>
      </c>
    </row>
    <row r="1368" spans="1:23" ht="26">
      <c r="A1368" s="213" t="str">
        <f>IF(OR(CommitmentsTable[[#This Row],[Commitment / deliverable]]="",CommitmentsTable[[#This Row],[Immutable Key]]=""),"",SUBSTITUTE(CommitmentsTable[[#This Row],[Immutable Key]],"-K-","-"))</f>
        <v/>
      </c>
      <c r="B1368" s="233"/>
      <c r="C1368" s="233"/>
      <c r="D1368" s="213"/>
      <c r="E1368" s="230"/>
      <c r="F1368" s="213"/>
      <c r="G1368" s="245" t="str">
        <f ca="1">IF(CommitmentsTable[[#This Row],[Commitment / deliverable]]="","",IF(CommitmentsTable[[#This Row],[Date record entered]]="",TODAY(),CommitmentsTable[[#This Row],[Date record entered]]))</f>
        <v/>
      </c>
      <c r="H1368" s="245"/>
      <c r="I1368" s="245" t="str">
        <f ca="1">IF(CommitmentsTable[[#This Row],[Date Assigned if different from entry date]]&lt;&gt;"",CommitmentsTable[[#This Row],[Date Assigned if different from entry date]]+90,IF(CommitmentsTable[[#This Row],[Date record entered]]&lt;&gt;"",CommitmentsTable[[#This Row],[Date record entered]]+90,""))</f>
        <v/>
      </c>
      <c r="J1368" s="245" t="str">
        <f ca="1">IF(CommitmentsTable[[#This Row],[Date Assigned if different from entry date]]&lt;&gt;"",CommitmentsTable[[#This Row],[Date Assigned if different from entry date]]+30,IF(CommitmentsTable[[#This Row],[Date record entered]]&lt;&gt;"",CommitmentsTable[[#This Row],[Date record entered]]+30,""))</f>
        <v/>
      </c>
      <c r="K1368" s="245"/>
      <c r="L1368" s="245" t="str">
        <f ca="1">IF(CommitmentsTable[[#This Row],[Date Assigned if different from entry date]]&lt;&gt;"",CommitmentsTable[[#This Row],[Date Assigned if different from entry date]]+60,IF(CommitmentsTable[[#This Row],[Date record entered]]&lt;&gt;"",CommitmentsTable[[#This Row],[Date record entered]]+60,""))</f>
        <v/>
      </c>
      <c r="M1368" s="214"/>
      <c r="N1368" s="214"/>
      <c r="O1368" s="236"/>
      <c r="P1368" s="214"/>
      <c r="Q1368" s="214"/>
      <c r="R1368" s="214"/>
      <c r="S1368" s="238" t="str">
        <f>IF(CommitmentsTable[[#This Row],[Commitment / deliverable]]="","",IF(CommitmentsTable[[#This Row],[Revised due]]&lt;&gt;"",CommitmentsTable[[#This Row],[Revised due]],CommitmentsTable[[#This Row],[Original due]]))</f>
        <v/>
      </c>
      <c r="T1368" s="237" t="str">
        <f>IF(OR(CommitmentsTable[[#This Row],[Commitment / deliverable]]="",CommitmentsTable[[#This Row],[Owner]]=""),"",IF(CommitmentsTable[[#This Row],[Status2]]="","Open",CommitmentsTable[[#This Row],[Status2]]))</f>
        <v/>
      </c>
      <c r="U1368" s="237" t="str">
        <f t="shared" ca="1" si="21"/>
        <v/>
      </c>
      <c r="V1368" s="233"/>
      <c r="W1368" s="63" t="s">
        <v>2270</v>
      </c>
    </row>
    <row r="1369" spans="1:23" ht="26">
      <c r="A1369" s="213" t="str">
        <f>IF(OR(CommitmentsTable[[#This Row],[Commitment / deliverable]]="",CommitmentsTable[[#This Row],[Immutable Key]]=""),"",SUBSTITUTE(CommitmentsTable[[#This Row],[Immutable Key]],"-K-","-"))</f>
        <v/>
      </c>
      <c r="B1369" s="233"/>
      <c r="C1369" s="233"/>
      <c r="D1369" s="213"/>
      <c r="E1369" s="230"/>
      <c r="F1369" s="213"/>
      <c r="G1369" s="245" t="str">
        <f ca="1">IF(CommitmentsTable[[#This Row],[Commitment / deliverable]]="","",IF(CommitmentsTable[[#This Row],[Date record entered]]="",TODAY(),CommitmentsTable[[#This Row],[Date record entered]]))</f>
        <v/>
      </c>
      <c r="H1369" s="245"/>
      <c r="I1369" s="245" t="str">
        <f ca="1">IF(CommitmentsTable[[#This Row],[Date Assigned if different from entry date]]&lt;&gt;"",CommitmentsTable[[#This Row],[Date Assigned if different from entry date]]+90,IF(CommitmentsTable[[#This Row],[Date record entered]]&lt;&gt;"",CommitmentsTable[[#This Row],[Date record entered]]+90,""))</f>
        <v/>
      </c>
      <c r="J1369" s="245" t="str">
        <f ca="1">IF(CommitmentsTable[[#This Row],[Date Assigned if different from entry date]]&lt;&gt;"",CommitmentsTable[[#This Row],[Date Assigned if different from entry date]]+30,IF(CommitmentsTable[[#This Row],[Date record entered]]&lt;&gt;"",CommitmentsTable[[#This Row],[Date record entered]]+30,""))</f>
        <v/>
      </c>
      <c r="K1369" s="245"/>
      <c r="L1369" s="245" t="str">
        <f ca="1">IF(CommitmentsTable[[#This Row],[Date Assigned if different from entry date]]&lt;&gt;"",CommitmentsTable[[#This Row],[Date Assigned if different from entry date]]+60,IF(CommitmentsTable[[#This Row],[Date record entered]]&lt;&gt;"",CommitmentsTable[[#This Row],[Date record entered]]+60,""))</f>
        <v/>
      </c>
      <c r="M1369" s="214"/>
      <c r="N1369" s="214"/>
      <c r="O1369" s="236"/>
      <c r="P1369" s="214"/>
      <c r="Q1369" s="214"/>
      <c r="R1369" s="214"/>
      <c r="S1369" s="238" t="str">
        <f>IF(CommitmentsTable[[#This Row],[Commitment / deliverable]]="","",IF(CommitmentsTable[[#This Row],[Revised due]]&lt;&gt;"",CommitmentsTable[[#This Row],[Revised due]],CommitmentsTable[[#This Row],[Original due]]))</f>
        <v/>
      </c>
      <c r="T1369" s="237" t="str">
        <f>IF(OR(CommitmentsTable[[#This Row],[Commitment / deliverable]]="",CommitmentsTable[[#This Row],[Owner]]=""),"",IF(CommitmentsTable[[#This Row],[Status2]]="","Open",CommitmentsTable[[#This Row],[Status2]]))</f>
        <v/>
      </c>
      <c r="U1369" s="237" t="str">
        <f t="shared" ca="1" si="21"/>
        <v/>
      </c>
      <c r="V1369" s="233"/>
      <c r="W1369" s="63" t="s">
        <v>2271</v>
      </c>
    </row>
    <row r="1370" spans="1:23" ht="26">
      <c r="A1370" s="213" t="str">
        <f>IF(OR(CommitmentsTable[[#This Row],[Commitment / deliverable]]="",CommitmentsTable[[#This Row],[Immutable Key]]=""),"",SUBSTITUTE(CommitmentsTable[[#This Row],[Immutable Key]],"-K-","-"))</f>
        <v/>
      </c>
      <c r="B1370" s="233"/>
      <c r="C1370" s="233"/>
      <c r="D1370" s="213"/>
      <c r="E1370" s="230"/>
      <c r="F1370" s="213"/>
      <c r="G1370" s="245" t="str">
        <f ca="1">IF(CommitmentsTable[[#This Row],[Commitment / deliverable]]="","",IF(CommitmentsTable[[#This Row],[Date record entered]]="",TODAY(),CommitmentsTable[[#This Row],[Date record entered]]))</f>
        <v/>
      </c>
      <c r="H1370" s="245"/>
      <c r="I1370" s="245" t="str">
        <f ca="1">IF(CommitmentsTable[[#This Row],[Date Assigned if different from entry date]]&lt;&gt;"",CommitmentsTable[[#This Row],[Date Assigned if different from entry date]]+90,IF(CommitmentsTable[[#This Row],[Date record entered]]&lt;&gt;"",CommitmentsTable[[#This Row],[Date record entered]]+90,""))</f>
        <v/>
      </c>
      <c r="J1370" s="245" t="str">
        <f ca="1">IF(CommitmentsTable[[#This Row],[Date Assigned if different from entry date]]&lt;&gt;"",CommitmentsTable[[#This Row],[Date Assigned if different from entry date]]+30,IF(CommitmentsTable[[#This Row],[Date record entered]]&lt;&gt;"",CommitmentsTable[[#This Row],[Date record entered]]+30,""))</f>
        <v/>
      </c>
      <c r="K1370" s="245"/>
      <c r="L1370" s="245" t="str">
        <f ca="1">IF(CommitmentsTable[[#This Row],[Date Assigned if different from entry date]]&lt;&gt;"",CommitmentsTable[[#This Row],[Date Assigned if different from entry date]]+60,IF(CommitmentsTable[[#This Row],[Date record entered]]&lt;&gt;"",CommitmentsTable[[#This Row],[Date record entered]]+60,""))</f>
        <v/>
      </c>
      <c r="M1370" s="214"/>
      <c r="N1370" s="214"/>
      <c r="O1370" s="236"/>
      <c r="P1370" s="214"/>
      <c r="Q1370" s="214"/>
      <c r="R1370" s="214"/>
      <c r="S1370" s="238" t="str">
        <f>IF(CommitmentsTable[[#This Row],[Commitment / deliverable]]="","",IF(CommitmentsTable[[#This Row],[Revised due]]&lt;&gt;"",CommitmentsTable[[#This Row],[Revised due]],CommitmentsTable[[#This Row],[Original due]]))</f>
        <v/>
      </c>
      <c r="T1370" s="237" t="str">
        <f>IF(OR(CommitmentsTable[[#This Row],[Commitment / deliverable]]="",CommitmentsTable[[#This Row],[Owner]]=""),"",IF(CommitmentsTable[[#This Row],[Status2]]="","Open",CommitmentsTable[[#This Row],[Status2]]))</f>
        <v/>
      </c>
      <c r="U1370" s="237" t="str">
        <f t="shared" ca="1" si="21"/>
        <v/>
      </c>
      <c r="V1370" s="233"/>
      <c r="W1370" s="63" t="s">
        <v>2272</v>
      </c>
    </row>
    <row r="1371" spans="1:23" ht="26">
      <c r="A1371" s="213" t="str">
        <f>IF(OR(CommitmentsTable[[#This Row],[Commitment / deliverable]]="",CommitmentsTable[[#This Row],[Immutable Key]]=""),"",SUBSTITUTE(CommitmentsTable[[#This Row],[Immutable Key]],"-K-","-"))</f>
        <v/>
      </c>
      <c r="B1371" s="233"/>
      <c r="C1371" s="233"/>
      <c r="D1371" s="213"/>
      <c r="E1371" s="230"/>
      <c r="F1371" s="213"/>
      <c r="G1371" s="245" t="str">
        <f ca="1">IF(CommitmentsTable[[#This Row],[Commitment / deliverable]]="","",IF(CommitmentsTable[[#This Row],[Date record entered]]="",TODAY(),CommitmentsTable[[#This Row],[Date record entered]]))</f>
        <v/>
      </c>
      <c r="H1371" s="245"/>
      <c r="I1371" s="245" t="str">
        <f ca="1">IF(CommitmentsTable[[#This Row],[Date Assigned if different from entry date]]&lt;&gt;"",CommitmentsTable[[#This Row],[Date Assigned if different from entry date]]+90,IF(CommitmentsTable[[#This Row],[Date record entered]]&lt;&gt;"",CommitmentsTable[[#This Row],[Date record entered]]+90,""))</f>
        <v/>
      </c>
      <c r="J1371" s="245" t="str">
        <f ca="1">IF(CommitmentsTable[[#This Row],[Date Assigned if different from entry date]]&lt;&gt;"",CommitmentsTable[[#This Row],[Date Assigned if different from entry date]]+30,IF(CommitmentsTable[[#This Row],[Date record entered]]&lt;&gt;"",CommitmentsTable[[#This Row],[Date record entered]]+30,""))</f>
        <v/>
      </c>
      <c r="K1371" s="245"/>
      <c r="L1371" s="245" t="str">
        <f ca="1">IF(CommitmentsTable[[#This Row],[Date Assigned if different from entry date]]&lt;&gt;"",CommitmentsTable[[#This Row],[Date Assigned if different from entry date]]+60,IF(CommitmentsTable[[#This Row],[Date record entered]]&lt;&gt;"",CommitmentsTable[[#This Row],[Date record entered]]+60,""))</f>
        <v/>
      </c>
      <c r="M1371" s="214"/>
      <c r="N1371" s="214"/>
      <c r="O1371" s="236"/>
      <c r="P1371" s="214"/>
      <c r="Q1371" s="214"/>
      <c r="R1371" s="214"/>
      <c r="S1371" s="238" t="str">
        <f>IF(CommitmentsTable[[#This Row],[Commitment / deliverable]]="","",IF(CommitmentsTable[[#This Row],[Revised due]]&lt;&gt;"",CommitmentsTable[[#This Row],[Revised due]],CommitmentsTable[[#This Row],[Original due]]))</f>
        <v/>
      </c>
      <c r="T1371" s="237" t="str">
        <f>IF(OR(CommitmentsTable[[#This Row],[Commitment / deliverable]]="",CommitmentsTable[[#This Row],[Owner]]=""),"",IF(CommitmentsTable[[#This Row],[Status2]]="","Open",CommitmentsTable[[#This Row],[Status2]]))</f>
        <v/>
      </c>
      <c r="U1371" s="237" t="str">
        <f t="shared" ca="1" si="21"/>
        <v/>
      </c>
      <c r="V1371" s="233"/>
      <c r="W1371" s="63" t="s">
        <v>2273</v>
      </c>
    </row>
    <row r="1372" spans="1:23" ht="26">
      <c r="A1372" s="213" t="str">
        <f>IF(OR(CommitmentsTable[[#This Row],[Commitment / deliverable]]="",CommitmentsTable[[#This Row],[Immutable Key]]=""),"",SUBSTITUTE(CommitmentsTable[[#This Row],[Immutable Key]],"-K-","-"))</f>
        <v/>
      </c>
      <c r="B1372" s="233"/>
      <c r="C1372" s="233"/>
      <c r="D1372" s="213"/>
      <c r="E1372" s="230"/>
      <c r="F1372" s="213"/>
      <c r="G1372" s="245" t="str">
        <f ca="1">IF(CommitmentsTable[[#This Row],[Commitment / deliverable]]="","",IF(CommitmentsTable[[#This Row],[Date record entered]]="",TODAY(),CommitmentsTable[[#This Row],[Date record entered]]))</f>
        <v/>
      </c>
      <c r="H1372" s="245"/>
      <c r="I1372" s="245" t="str">
        <f ca="1">IF(CommitmentsTable[[#This Row],[Date Assigned if different from entry date]]&lt;&gt;"",CommitmentsTable[[#This Row],[Date Assigned if different from entry date]]+90,IF(CommitmentsTable[[#This Row],[Date record entered]]&lt;&gt;"",CommitmentsTable[[#This Row],[Date record entered]]+90,""))</f>
        <v/>
      </c>
      <c r="J1372" s="245" t="str">
        <f ca="1">IF(CommitmentsTable[[#This Row],[Date Assigned if different from entry date]]&lt;&gt;"",CommitmentsTable[[#This Row],[Date Assigned if different from entry date]]+30,IF(CommitmentsTable[[#This Row],[Date record entered]]&lt;&gt;"",CommitmentsTable[[#This Row],[Date record entered]]+30,""))</f>
        <v/>
      </c>
      <c r="K1372" s="245"/>
      <c r="L1372" s="245" t="str">
        <f ca="1">IF(CommitmentsTable[[#This Row],[Date Assigned if different from entry date]]&lt;&gt;"",CommitmentsTable[[#This Row],[Date Assigned if different from entry date]]+60,IF(CommitmentsTable[[#This Row],[Date record entered]]&lt;&gt;"",CommitmentsTable[[#This Row],[Date record entered]]+60,""))</f>
        <v/>
      </c>
      <c r="M1372" s="214"/>
      <c r="N1372" s="214"/>
      <c r="O1372" s="236"/>
      <c r="P1372" s="214"/>
      <c r="Q1372" s="214"/>
      <c r="R1372" s="214"/>
      <c r="S1372" s="238" t="str">
        <f>IF(CommitmentsTable[[#This Row],[Commitment / deliverable]]="","",IF(CommitmentsTable[[#This Row],[Revised due]]&lt;&gt;"",CommitmentsTable[[#This Row],[Revised due]],CommitmentsTable[[#This Row],[Original due]]))</f>
        <v/>
      </c>
      <c r="T1372" s="237" t="str">
        <f>IF(OR(CommitmentsTable[[#This Row],[Commitment / deliverable]]="",CommitmentsTable[[#This Row],[Owner]]=""),"",IF(CommitmentsTable[[#This Row],[Status2]]="","Open",CommitmentsTable[[#This Row],[Status2]]))</f>
        <v/>
      </c>
      <c r="U1372" s="237" t="str">
        <f t="shared" ca="1" si="21"/>
        <v/>
      </c>
      <c r="V1372" s="233"/>
      <c r="W1372" s="63" t="s">
        <v>2274</v>
      </c>
    </row>
    <row r="1373" spans="1:23" ht="26">
      <c r="A1373" s="213" t="str">
        <f>IF(OR(CommitmentsTable[[#This Row],[Commitment / deliverable]]="",CommitmentsTable[[#This Row],[Immutable Key]]=""),"",SUBSTITUTE(CommitmentsTable[[#This Row],[Immutable Key]],"-K-","-"))</f>
        <v/>
      </c>
      <c r="B1373" s="233"/>
      <c r="C1373" s="233"/>
      <c r="D1373" s="213"/>
      <c r="E1373" s="230"/>
      <c r="F1373" s="213"/>
      <c r="G1373" s="245" t="str">
        <f ca="1">IF(CommitmentsTable[[#This Row],[Commitment / deliverable]]="","",IF(CommitmentsTable[[#This Row],[Date record entered]]="",TODAY(),CommitmentsTable[[#This Row],[Date record entered]]))</f>
        <v/>
      </c>
      <c r="H1373" s="245"/>
      <c r="I1373" s="245" t="str">
        <f ca="1">IF(CommitmentsTable[[#This Row],[Date Assigned if different from entry date]]&lt;&gt;"",CommitmentsTable[[#This Row],[Date Assigned if different from entry date]]+90,IF(CommitmentsTable[[#This Row],[Date record entered]]&lt;&gt;"",CommitmentsTable[[#This Row],[Date record entered]]+90,""))</f>
        <v/>
      </c>
      <c r="J1373" s="245" t="str">
        <f ca="1">IF(CommitmentsTable[[#This Row],[Date Assigned if different from entry date]]&lt;&gt;"",CommitmentsTable[[#This Row],[Date Assigned if different from entry date]]+30,IF(CommitmentsTable[[#This Row],[Date record entered]]&lt;&gt;"",CommitmentsTable[[#This Row],[Date record entered]]+30,""))</f>
        <v/>
      </c>
      <c r="K1373" s="245"/>
      <c r="L1373" s="245" t="str">
        <f ca="1">IF(CommitmentsTable[[#This Row],[Date Assigned if different from entry date]]&lt;&gt;"",CommitmentsTable[[#This Row],[Date Assigned if different from entry date]]+60,IF(CommitmentsTable[[#This Row],[Date record entered]]&lt;&gt;"",CommitmentsTable[[#This Row],[Date record entered]]+60,""))</f>
        <v/>
      </c>
      <c r="M1373" s="214"/>
      <c r="N1373" s="214"/>
      <c r="O1373" s="236"/>
      <c r="P1373" s="214"/>
      <c r="Q1373" s="214"/>
      <c r="R1373" s="214"/>
      <c r="S1373" s="238" t="str">
        <f>IF(CommitmentsTable[[#This Row],[Commitment / deliverable]]="","",IF(CommitmentsTable[[#This Row],[Revised due]]&lt;&gt;"",CommitmentsTable[[#This Row],[Revised due]],CommitmentsTable[[#This Row],[Original due]]))</f>
        <v/>
      </c>
      <c r="T1373" s="237" t="str">
        <f>IF(OR(CommitmentsTable[[#This Row],[Commitment / deliverable]]="",CommitmentsTable[[#This Row],[Owner]]=""),"",IF(CommitmentsTable[[#This Row],[Status2]]="","Open",CommitmentsTable[[#This Row],[Status2]]))</f>
        <v/>
      </c>
      <c r="U1373" s="237" t="str">
        <f t="shared" ca="1" si="21"/>
        <v/>
      </c>
      <c r="V1373" s="233"/>
      <c r="W1373" s="63" t="s">
        <v>2275</v>
      </c>
    </row>
    <row r="1374" spans="1:23" ht="26">
      <c r="A1374" s="213" t="str">
        <f>IF(OR(CommitmentsTable[[#This Row],[Commitment / deliverable]]="",CommitmentsTable[[#This Row],[Immutable Key]]=""),"",SUBSTITUTE(CommitmentsTable[[#This Row],[Immutable Key]],"-K-","-"))</f>
        <v/>
      </c>
      <c r="B1374" s="233"/>
      <c r="C1374" s="233"/>
      <c r="D1374" s="213"/>
      <c r="E1374" s="230"/>
      <c r="F1374" s="213"/>
      <c r="G1374" s="245" t="str">
        <f ca="1">IF(CommitmentsTable[[#This Row],[Commitment / deliverable]]="","",IF(CommitmentsTable[[#This Row],[Date record entered]]="",TODAY(),CommitmentsTable[[#This Row],[Date record entered]]))</f>
        <v/>
      </c>
      <c r="H1374" s="245"/>
      <c r="I1374" s="245" t="str">
        <f ca="1">IF(CommitmentsTable[[#This Row],[Date Assigned if different from entry date]]&lt;&gt;"",CommitmentsTable[[#This Row],[Date Assigned if different from entry date]]+90,IF(CommitmentsTable[[#This Row],[Date record entered]]&lt;&gt;"",CommitmentsTable[[#This Row],[Date record entered]]+90,""))</f>
        <v/>
      </c>
      <c r="J1374" s="245" t="str">
        <f ca="1">IF(CommitmentsTable[[#This Row],[Date Assigned if different from entry date]]&lt;&gt;"",CommitmentsTable[[#This Row],[Date Assigned if different from entry date]]+30,IF(CommitmentsTable[[#This Row],[Date record entered]]&lt;&gt;"",CommitmentsTable[[#This Row],[Date record entered]]+30,""))</f>
        <v/>
      </c>
      <c r="K1374" s="245"/>
      <c r="L1374" s="245" t="str">
        <f ca="1">IF(CommitmentsTable[[#This Row],[Date Assigned if different from entry date]]&lt;&gt;"",CommitmentsTable[[#This Row],[Date Assigned if different from entry date]]+60,IF(CommitmentsTable[[#This Row],[Date record entered]]&lt;&gt;"",CommitmentsTable[[#This Row],[Date record entered]]+60,""))</f>
        <v/>
      </c>
      <c r="M1374" s="214"/>
      <c r="N1374" s="214"/>
      <c r="O1374" s="236"/>
      <c r="P1374" s="214"/>
      <c r="Q1374" s="214"/>
      <c r="R1374" s="214"/>
      <c r="S1374" s="238" t="str">
        <f>IF(CommitmentsTable[[#This Row],[Commitment / deliverable]]="","",IF(CommitmentsTable[[#This Row],[Revised due]]&lt;&gt;"",CommitmentsTable[[#This Row],[Revised due]],CommitmentsTable[[#This Row],[Original due]]))</f>
        <v/>
      </c>
      <c r="T1374" s="237" t="str">
        <f>IF(OR(CommitmentsTable[[#This Row],[Commitment / deliverable]]="",CommitmentsTable[[#This Row],[Owner]]=""),"",IF(CommitmentsTable[[#This Row],[Status2]]="","Open",CommitmentsTable[[#This Row],[Status2]]))</f>
        <v/>
      </c>
      <c r="U1374" s="237" t="str">
        <f t="shared" ca="1" si="21"/>
        <v/>
      </c>
      <c r="V1374" s="233"/>
      <c r="W1374" s="63" t="s">
        <v>2276</v>
      </c>
    </row>
    <row r="1375" spans="1:23" ht="26">
      <c r="A1375" s="213" t="str">
        <f>IF(OR(CommitmentsTable[[#This Row],[Commitment / deliverable]]="",CommitmentsTable[[#This Row],[Immutable Key]]=""),"",SUBSTITUTE(CommitmentsTable[[#This Row],[Immutable Key]],"-K-","-"))</f>
        <v/>
      </c>
      <c r="B1375" s="233"/>
      <c r="C1375" s="233"/>
      <c r="D1375" s="213"/>
      <c r="E1375" s="230"/>
      <c r="F1375" s="213"/>
      <c r="G1375" s="245" t="str">
        <f ca="1">IF(CommitmentsTable[[#This Row],[Commitment / deliverable]]="","",IF(CommitmentsTable[[#This Row],[Date record entered]]="",TODAY(),CommitmentsTable[[#This Row],[Date record entered]]))</f>
        <v/>
      </c>
      <c r="H1375" s="245"/>
      <c r="I1375" s="245" t="str">
        <f ca="1">IF(CommitmentsTable[[#This Row],[Date Assigned if different from entry date]]&lt;&gt;"",CommitmentsTable[[#This Row],[Date Assigned if different from entry date]]+90,IF(CommitmentsTable[[#This Row],[Date record entered]]&lt;&gt;"",CommitmentsTable[[#This Row],[Date record entered]]+90,""))</f>
        <v/>
      </c>
      <c r="J1375" s="245" t="str">
        <f ca="1">IF(CommitmentsTable[[#This Row],[Date Assigned if different from entry date]]&lt;&gt;"",CommitmentsTable[[#This Row],[Date Assigned if different from entry date]]+30,IF(CommitmentsTable[[#This Row],[Date record entered]]&lt;&gt;"",CommitmentsTable[[#This Row],[Date record entered]]+30,""))</f>
        <v/>
      </c>
      <c r="K1375" s="245"/>
      <c r="L1375" s="245" t="str">
        <f ca="1">IF(CommitmentsTable[[#This Row],[Date Assigned if different from entry date]]&lt;&gt;"",CommitmentsTable[[#This Row],[Date Assigned if different from entry date]]+60,IF(CommitmentsTable[[#This Row],[Date record entered]]&lt;&gt;"",CommitmentsTable[[#This Row],[Date record entered]]+60,""))</f>
        <v/>
      </c>
      <c r="M1375" s="214"/>
      <c r="N1375" s="214"/>
      <c r="O1375" s="236"/>
      <c r="P1375" s="214"/>
      <c r="Q1375" s="214"/>
      <c r="R1375" s="214"/>
      <c r="S1375" s="238" t="str">
        <f>IF(CommitmentsTable[[#This Row],[Commitment / deliverable]]="","",IF(CommitmentsTable[[#This Row],[Revised due]]&lt;&gt;"",CommitmentsTable[[#This Row],[Revised due]],CommitmentsTable[[#This Row],[Original due]]))</f>
        <v/>
      </c>
      <c r="T1375" s="237" t="str">
        <f>IF(OR(CommitmentsTable[[#This Row],[Commitment / deliverable]]="",CommitmentsTable[[#This Row],[Owner]]=""),"",IF(CommitmentsTable[[#This Row],[Status2]]="","Open",CommitmentsTable[[#This Row],[Status2]]))</f>
        <v/>
      </c>
      <c r="U1375" s="237" t="str">
        <f t="shared" ca="1" si="21"/>
        <v/>
      </c>
      <c r="V1375" s="233"/>
      <c r="W1375" s="63" t="s">
        <v>2277</v>
      </c>
    </row>
    <row r="1376" spans="1:23" ht="26">
      <c r="A1376" s="213" t="str">
        <f>IF(OR(CommitmentsTable[[#This Row],[Commitment / deliverable]]="",CommitmentsTable[[#This Row],[Immutable Key]]=""),"",SUBSTITUTE(CommitmentsTable[[#This Row],[Immutable Key]],"-K-","-"))</f>
        <v/>
      </c>
      <c r="B1376" s="233"/>
      <c r="C1376" s="233"/>
      <c r="D1376" s="213"/>
      <c r="E1376" s="230"/>
      <c r="F1376" s="213"/>
      <c r="G1376" s="245" t="str">
        <f ca="1">IF(CommitmentsTable[[#This Row],[Commitment / deliverable]]="","",IF(CommitmentsTable[[#This Row],[Date record entered]]="",TODAY(),CommitmentsTable[[#This Row],[Date record entered]]))</f>
        <v/>
      </c>
      <c r="H1376" s="245"/>
      <c r="I1376" s="245" t="str">
        <f ca="1">IF(CommitmentsTable[[#This Row],[Date Assigned if different from entry date]]&lt;&gt;"",CommitmentsTable[[#This Row],[Date Assigned if different from entry date]]+90,IF(CommitmentsTable[[#This Row],[Date record entered]]&lt;&gt;"",CommitmentsTable[[#This Row],[Date record entered]]+90,""))</f>
        <v/>
      </c>
      <c r="J1376" s="245" t="str">
        <f ca="1">IF(CommitmentsTable[[#This Row],[Date Assigned if different from entry date]]&lt;&gt;"",CommitmentsTable[[#This Row],[Date Assigned if different from entry date]]+30,IF(CommitmentsTable[[#This Row],[Date record entered]]&lt;&gt;"",CommitmentsTable[[#This Row],[Date record entered]]+30,""))</f>
        <v/>
      </c>
      <c r="K1376" s="245"/>
      <c r="L1376" s="245" t="str">
        <f ca="1">IF(CommitmentsTable[[#This Row],[Date Assigned if different from entry date]]&lt;&gt;"",CommitmentsTable[[#This Row],[Date Assigned if different from entry date]]+60,IF(CommitmentsTable[[#This Row],[Date record entered]]&lt;&gt;"",CommitmentsTable[[#This Row],[Date record entered]]+60,""))</f>
        <v/>
      </c>
      <c r="M1376" s="214"/>
      <c r="N1376" s="214"/>
      <c r="O1376" s="236"/>
      <c r="P1376" s="214"/>
      <c r="Q1376" s="214"/>
      <c r="R1376" s="214"/>
      <c r="S1376" s="238" t="str">
        <f>IF(CommitmentsTable[[#This Row],[Commitment / deliverable]]="","",IF(CommitmentsTable[[#This Row],[Revised due]]&lt;&gt;"",CommitmentsTable[[#This Row],[Revised due]],CommitmentsTable[[#This Row],[Original due]]))</f>
        <v/>
      </c>
      <c r="T1376" s="237" t="str">
        <f>IF(OR(CommitmentsTable[[#This Row],[Commitment / deliverable]]="",CommitmentsTable[[#This Row],[Owner]]=""),"",IF(CommitmentsTable[[#This Row],[Status2]]="","Open",CommitmentsTable[[#This Row],[Status2]]))</f>
        <v/>
      </c>
      <c r="U1376" s="237" t="str">
        <f t="shared" ca="1" si="21"/>
        <v/>
      </c>
      <c r="V1376" s="233"/>
      <c r="W1376" s="63" t="s">
        <v>2278</v>
      </c>
    </row>
    <row r="1377" spans="1:23" ht="26">
      <c r="A1377" s="213" t="str">
        <f>IF(OR(CommitmentsTable[[#This Row],[Commitment / deliverable]]="",CommitmentsTable[[#This Row],[Immutable Key]]=""),"",SUBSTITUTE(CommitmentsTable[[#This Row],[Immutable Key]],"-K-","-"))</f>
        <v/>
      </c>
      <c r="B1377" s="233"/>
      <c r="C1377" s="233"/>
      <c r="D1377" s="213"/>
      <c r="E1377" s="230"/>
      <c r="F1377" s="213"/>
      <c r="G1377" s="245" t="str">
        <f ca="1">IF(CommitmentsTable[[#This Row],[Commitment / deliverable]]="","",IF(CommitmentsTable[[#This Row],[Date record entered]]="",TODAY(),CommitmentsTable[[#This Row],[Date record entered]]))</f>
        <v/>
      </c>
      <c r="H1377" s="245"/>
      <c r="I1377" s="245" t="str">
        <f ca="1">IF(CommitmentsTable[[#This Row],[Date Assigned if different from entry date]]&lt;&gt;"",CommitmentsTable[[#This Row],[Date Assigned if different from entry date]]+90,IF(CommitmentsTable[[#This Row],[Date record entered]]&lt;&gt;"",CommitmentsTable[[#This Row],[Date record entered]]+90,""))</f>
        <v/>
      </c>
      <c r="J1377" s="245" t="str">
        <f ca="1">IF(CommitmentsTable[[#This Row],[Date Assigned if different from entry date]]&lt;&gt;"",CommitmentsTable[[#This Row],[Date Assigned if different from entry date]]+30,IF(CommitmentsTable[[#This Row],[Date record entered]]&lt;&gt;"",CommitmentsTable[[#This Row],[Date record entered]]+30,""))</f>
        <v/>
      </c>
      <c r="K1377" s="245"/>
      <c r="L1377" s="245" t="str">
        <f ca="1">IF(CommitmentsTable[[#This Row],[Date Assigned if different from entry date]]&lt;&gt;"",CommitmentsTable[[#This Row],[Date Assigned if different from entry date]]+60,IF(CommitmentsTable[[#This Row],[Date record entered]]&lt;&gt;"",CommitmentsTable[[#This Row],[Date record entered]]+60,""))</f>
        <v/>
      </c>
      <c r="M1377" s="214"/>
      <c r="N1377" s="214"/>
      <c r="O1377" s="236"/>
      <c r="P1377" s="214"/>
      <c r="Q1377" s="214"/>
      <c r="R1377" s="214"/>
      <c r="S1377" s="238" t="str">
        <f>IF(CommitmentsTable[[#This Row],[Commitment / deliverable]]="","",IF(CommitmentsTable[[#This Row],[Revised due]]&lt;&gt;"",CommitmentsTable[[#This Row],[Revised due]],CommitmentsTable[[#This Row],[Original due]]))</f>
        <v/>
      </c>
      <c r="T1377" s="237" t="str">
        <f>IF(OR(CommitmentsTable[[#This Row],[Commitment / deliverable]]="",CommitmentsTable[[#This Row],[Owner]]=""),"",IF(CommitmentsTable[[#This Row],[Status2]]="","Open",CommitmentsTable[[#This Row],[Status2]]))</f>
        <v/>
      </c>
      <c r="U1377" s="237" t="str">
        <f t="shared" ca="1" si="21"/>
        <v/>
      </c>
      <c r="V1377" s="233"/>
      <c r="W1377" s="63" t="s">
        <v>2279</v>
      </c>
    </row>
    <row r="1378" spans="1:23" ht="26">
      <c r="A1378" s="213" t="str">
        <f>IF(OR(CommitmentsTable[[#This Row],[Commitment / deliverable]]="",CommitmentsTable[[#This Row],[Immutable Key]]=""),"",SUBSTITUTE(CommitmentsTable[[#This Row],[Immutable Key]],"-K-","-"))</f>
        <v/>
      </c>
      <c r="B1378" s="233"/>
      <c r="C1378" s="233"/>
      <c r="D1378" s="213"/>
      <c r="E1378" s="230"/>
      <c r="F1378" s="213"/>
      <c r="G1378" s="245" t="str">
        <f ca="1">IF(CommitmentsTable[[#This Row],[Commitment / deliverable]]="","",IF(CommitmentsTable[[#This Row],[Date record entered]]="",TODAY(),CommitmentsTable[[#This Row],[Date record entered]]))</f>
        <v/>
      </c>
      <c r="H1378" s="245"/>
      <c r="I1378" s="245" t="str">
        <f ca="1">IF(CommitmentsTable[[#This Row],[Date Assigned if different from entry date]]&lt;&gt;"",CommitmentsTable[[#This Row],[Date Assigned if different from entry date]]+90,IF(CommitmentsTable[[#This Row],[Date record entered]]&lt;&gt;"",CommitmentsTable[[#This Row],[Date record entered]]+90,""))</f>
        <v/>
      </c>
      <c r="J1378" s="245" t="str">
        <f ca="1">IF(CommitmentsTable[[#This Row],[Date Assigned if different from entry date]]&lt;&gt;"",CommitmentsTable[[#This Row],[Date Assigned if different from entry date]]+30,IF(CommitmentsTable[[#This Row],[Date record entered]]&lt;&gt;"",CommitmentsTable[[#This Row],[Date record entered]]+30,""))</f>
        <v/>
      </c>
      <c r="K1378" s="245"/>
      <c r="L1378" s="245" t="str">
        <f ca="1">IF(CommitmentsTable[[#This Row],[Date Assigned if different from entry date]]&lt;&gt;"",CommitmentsTable[[#This Row],[Date Assigned if different from entry date]]+60,IF(CommitmentsTable[[#This Row],[Date record entered]]&lt;&gt;"",CommitmentsTable[[#This Row],[Date record entered]]+60,""))</f>
        <v/>
      </c>
      <c r="M1378" s="214"/>
      <c r="N1378" s="214"/>
      <c r="O1378" s="236"/>
      <c r="P1378" s="214"/>
      <c r="Q1378" s="214"/>
      <c r="R1378" s="214"/>
      <c r="S1378" s="238" t="str">
        <f>IF(CommitmentsTable[[#This Row],[Commitment / deliverable]]="","",IF(CommitmentsTable[[#This Row],[Revised due]]&lt;&gt;"",CommitmentsTable[[#This Row],[Revised due]],CommitmentsTable[[#This Row],[Original due]]))</f>
        <v/>
      </c>
      <c r="T1378" s="237" t="str">
        <f>IF(OR(CommitmentsTable[[#This Row],[Commitment / deliverable]]="",CommitmentsTable[[#This Row],[Owner]]=""),"",IF(CommitmentsTable[[#This Row],[Status2]]="","Open",CommitmentsTable[[#This Row],[Status2]]))</f>
        <v/>
      </c>
      <c r="U1378" s="237" t="str">
        <f t="shared" ca="1" si="21"/>
        <v/>
      </c>
      <c r="V1378" s="233"/>
      <c r="W1378" s="63" t="s">
        <v>2280</v>
      </c>
    </row>
    <row r="1379" spans="1:23" ht="26">
      <c r="A1379" s="213" t="str">
        <f>IF(OR(CommitmentsTable[[#This Row],[Commitment / deliverable]]="",CommitmentsTable[[#This Row],[Immutable Key]]=""),"",SUBSTITUTE(CommitmentsTable[[#This Row],[Immutable Key]],"-K-","-"))</f>
        <v/>
      </c>
      <c r="B1379" s="233"/>
      <c r="C1379" s="233"/>
      <c r="D1379" s="213"/>
      <c r="E1379" s="230"/>
      <c r="F1379" s="213"/>
      <c r="G1379" s="245" t="str">
        <f ca="1">IF(CommitmentsTable[[#This Row],[Commitment / deliverable]]="","",IF(CommitmentsTable[[#This Row],[Date record entered]]="",TODAY(),CommitmentsTable[[#This Row],[Date record entered]]))</f>
        <v/>
      </c>
      <c r="H1379" s="245"/>
      <c r="I1379" s="245" t="str">
        <f ca="1">IF(CommitmentsTable[[#This Row],[Date Assigned if different from entry date]]&lt;&gt;"",CommitmentsTable[[#This Row],[Date Assigned if different from entry date]]+90,IF(CommitmentsTable[[#This Row],[Date record entered]]&lt;&gt;"",CommitmentsTable[[#This Row],[Date record entered]]+90,""))</f>
        <v/>
      </c>
      <c r="J1379" s="245" t="str">
        <f ca="1">IF(CommitmentsTable[[#This Row],[Date Assigned if different from entry date]]&lt;&gt;"",CommitmentsTable[[#This Row],[Date Assigned if different from entry date]]+30,IF(CommitmentsTable[[#This Row],[Date record entered]]&lt;&gt;"",CommitmentsTable[[#This Row],[Date record entered]]+30,""))</f>
        <v/>
      </c>
      <c r="K1379" s="245"/>
      <c r="L1379" s="245" t="str">
        <f ca="1">IF(CommitmentsTable[[#This Row],[Date Assigned if different from entry date]]&lt;&gt;"",CommitmentsTable[[#This Row],[Date Assigned if different from entry date]]+60,IF(CommitmentsTable[[#This Row],[Date record entered]]&lt;&gt;"",CommitmentsTable[[#This Row],[Date record entered]]+60,""))</f>
        <v/>
      </c>
      <c r="M1379" s="214"/>
      <c r="N1379" s="214"/>
      <c r="O1379" s="236"/>
      <c r="P1379" s="214"/>
      <c r="Q1379" s="214"/>
      <c r="R1379" s="214"/>
      <c r="S1379" s="238" t="str">
        <f>IF(CommitmentsTable[[#This Row],[Commitment / deliverable]]="","",IF(CommitmentsTable[[#This Row],[Revised due]]&lt;&gt;"",CommitmentsTable[[#This Row],[Revised due]],CommitmentsTable[[#This Row],[Original due]]))</f>
        <v/>
      </c>
      <c r="T1379" s="237" t="str">
        <f>IF(OR(CommitmentsTable[[#This Row],[Commitment / deliverable]]="",CommitmentsTable[[#This Row],[Owner]]=""),"",IF(CommitmentsTable[[#This Row],[Status2]]="","Open",CommitmentsTable[[#This Row],[Status2]]))</f>
        <v/>
      </c>
      <c r="U1379" s="237" t="str">
        <f t="shared" ca="1" si="21"/>
        <v/>
      </c>
      <c r="V1379" s="233"/>
      <c r="W1379" s="63" t="s">
        <v>2281</v>
      </c>
    </row>
    <row r="1380" spans="1:23" ht="26">
      <c r="A1380" s="213" t="str">
        <f>IF(OR(CommitmentsTable[[#This Row],[Commitment / deliverable]]="",CommitmentsTable[[#This Row],[Immutable Key]]=""),"",SUBSTITUTE(CommitmentsTable[[#This Row],[Immutable Key]],"-K-","-"))</f>
        <v/>
      </c>
      <c r="B1380" s="233"/>
      <c r="C1380" s="233"/>
      <c r="D1380" s="213"/>
      <c r="E1380" s="230"/>
      <c r="F1380" s="213"/>
      <c r="G1380" s="245" t="str">
        <f ca="1">IF(CommitmentsTable[[#This Row],[Commitment / deliverable]]="","",IF(CommitmentsTable[[#This Row],[Date record entered]]="",TODAY(),CommitmentsTable[[#This Row],[Date record entered]]))</f>
        <v/>
      </c>
      <c r="H1380" s="245"/>
      <c r="I1380" s="245" t="str">
        <f ca="1">IF(CommitmentsTable[[#This Row],[Date Assigned if different from entry date]]&lt;&gt;"",CommitmentsTable[[#This Row],[Date Assigned if different from entry date]]+90,IF(CommitmentsTable[[#This Row],[Date record entered]]&lt;&gt;"",CommitmentsTable[[#This Row],[Date record entered]]+90,""))</f>
        <v/>
      </c>
      <c r="J1380" s="245" t="str">
        <f ca="1">IF(CommitmentsTable[[#This Row],[Date Assigned if different from entry date]]&lt;&gt;"",CommitmentsTable[[#This Row],[Date Assigned if different from entry date]]+30,IF(CommitmentsTable[[#This Row],[Date record entered]]&lt;&gt;"",CommitmentsTable[[#This Row],[Date record entered]]+30,""))</f>
        <v/>
      </c>
      <c r="K1380" s="245"/>
      <c r="L1380" s="245" t="str">
        <f ca="1">IF(CommitmentsTable[[#This Row],[Date Assigned if different from entry date]]&lt;&gt;"",CommitmentsTable[[#This Row],[Date Assigned if different from entry date]]+60,IF(CommitmentsTable[[#This Row],[Date record entered]]&lt;&gt;"",CommitmentsTable[[#This Row],[Date record entered]]+60,""))</f>
        <v/>
      </c>
      <c r="M1380" s="214"/>
      <c r="N1380" s="214"/>
      <c r="O1380" s="236"/>
      <c r="P1380" s="214"/>
      <c r="Q1380" s="214"/>
      <c r="R1380" s="214"/>
      <c r="S1380" s="238" t="str">
        <f>IF(CommitmentsTable[[#This Row],[Commitment / deliverable]]="","",IF(CommitmentsTable[[#This Row],[Revised due]]&lt;&gt;"",CommitmentsTable[[#This Row],[Revised due]],CommitmentsTable[[#This Row],[Original due]]))</f>
        <v/>
      </c>
      <c r="T1380" s="237" t="str">
        <f>IF(OR(CommitmentsTable[[#This Row],[Commitment / deliverable]]="",CommitmentsTable[[#This Row],[Owner]]=""),"",IF(CommitmentsTable[[#This Row],[Status2]]="","Open",CommitmentsTable[[#This Row],[Status2]]))</f>
        <v/>
      </c>
      <c r="U1380" s="237" t="str">
        <f t="shared" ca="1" si="21"/>
        <v/>
      </c>
      <c r="V1380" s="233"/>
      <c r="W1380" s="63" t="s">
        <v>2282</v>
      </c>
    </row>
    <row r="1381" spans="1:23" ht="26">
      <c r="A1381" s="213" t="str">
        <f>IF(OR(CommitmentsTable[[#This Row],[Commitment / deliverable]]="",CommitmentsTable[[#This Row],[Immutable Key]]=""),"",SUBSTITUTE(CommitmentsTable[[#This Row],[Immutable Key]],"-K-","-"))</f>
        <v/>
      </c>
      <c r="B1381" s="233"/>
      <c r="C1381" s="233"/>
      <c r="D1381" s="213"/>
      <c r="E1381" s="230"/>
      <c r="F1381" s="213"/>
      <c r="G1381" s="245" t="str">
        <f ca="1">IF(CommitmentsTable[[#This Row],[Commitment / deliverable]]="","",IF(CommitmentsTable[[#This Row],[Date record entered]]="",TODAY(),CommitmentsTable[[#This Row],[Date record entered]]))</f>
        <v/>
      </c>
      <c r="H1381" s="245"/>
      <c r="I1381" s="245" t="str">
        <f ca="1">IF(CommitmentsTable[[#This Row],[Date Assigned if different from entry date]]&lt;&gt;"",CommitmentsTable[[#This Row],[Date Assigned if different from entry date]]+90,IF(CommitmentsTable[[#This Row],[Date record entered]]&lt;&gt;"",CommitmentsTable[[#This Row],[Date record entered]]+90,""))</f>
        <v/>
      </c>
      <c r="J1381" s="245" t="str">
        <f ca="1">IF(CommitmentsTable[[#This Row],[Date Assigned if different from entry date]]&lt;&gt;"",CommitmentsTable[[#This Row],[Date Assigned if different from entry date]]+30,IF(CommitmentsTable[[#This Row],[Date record entered]]&lt;&gt;"",CommitmentsTable[[#This Row],[Date record entered]]+30,""))</f>
        <v/>
      </c>
      <c r="K1381" s="245"/>
      <c r="L1381" s="245" t="str">
        <f ca="1">IF(CommitmentsTable[[#This Row],[Date Assigned if different from entry date]]&lt;&gt;"",CommitmentsTable[[#This Row],[Date Assigned if different from entry date]]+60,IF(CommitmentsTable[[#This Row],[Date record entered]]&lt;&gt;"",CommitmentsTable[[#This Row],[Date record entered]]+60,""))</f>
        <v/>
      </c>
      <c r="M1381" s="214"/>
      <c r="N1381" s="214"/>
      <c r="O1381" s="236"/>
      <c r="P1381" s="214"/>
      <c r="Q1381" s="214"/>
      <c r="R1381" s="214"/>
      <c r="S1381" s="238" t="str">
        <f>IF(CommitmentsTable[[#This Row],[Commitment / deliverable]]="","",IF(CommitmentsTable[[#This Row],[Revised due]]&lt;&gt;"",CommitmentsTable[[#This Row],[Revised due]],CommitmentsTable[[#This Row],[Original due]]))</f>
        <v/>
      </c>
      <c r="T1381" s="237" t="str">
        <f>IF(OR(CommitmentsTable[[#This Row],[Commitment / deliverable]]="",CommitmentsTable[[#This Row],[Owner]]=""),"",IF(CommitmentsTable[[#This Row],[Status2]]="","Open",CommitmentsTable[[#This Row],[Status2]]))</f>
        <v/>
      </c>
      <c r="U1381" s="237" t="str">
        <f t="shared" ca="1" si="21"/>
        <v/>
      </c>
      <c r="V1381" s="233"/>
      <c r="W1381" s="63" t="s">
        <v>2283</v>
      </c>
    </row>
    <row r="1382" spans="1:23" ht="26">
      <c r="A1382" s="213" t="str">
        <f>IF(OR(CommitmentsTable[[#This Row],[Commitment / deliverable]]="",CommitmentsTable[[#This Row],[Immutable Key]]=""),"",SUBSTITUTE(CommitmentsTable[[#This Row],[Immutable Key]],"-K-","-"))</f>
        <v/>
      </c>
      <c r="B1382" s="233"/>
      <c r="C1382" s="233"/>
      <c r="D1382" s="213"/>
      <c r="E1382" s="230"/>
      <c r="F1382" s="213"/>
      <c r="G1382" s="245" t="str">
        <f ca="1">IF(CommitmentsTable[[#This Row],[Commitment / deliverable]]="","",IF(CommitmentsTable[[#This Row],[Date record entered]]="",TODAY(),CommitmentsTable[[#This Row],[Date record entered]]))</f>
        <v/>
      </c>
      <c r="H1382" s="245"/>
      <c r="I1382" s="245" t="str">
        <f ca="1">IF(CommitmentsTable[[#This Row],[Date Assigned if different from entry date]]&lt;&gt;"",CommitmentsTable[[#This Row],[Date Assigned if different from entry date]]+90,IF(CommitmentsTable[[#This Row],[Date record entered]]&lt;&gt;"",CommitmentsTable[[#This Row],[Date record entered]]+90,""))</f>
        <v/>
      </c>
      <c r="J1382" s="245" t="str">
        <f ca="1">IF(CommitmentsTable[[#This Row],[Date Assigned if different from entry date]]&lt;&gt;"",CommitmentsTable[[#This Row],[Date Assigned if different from entry date]]+30,IF(CommitmentsTable[[#This Row],[Date record entered]]&lt;&gt;"",CommitmentsTable[[#This Row],[Date record entered]]+30,""))</f>
        <v/>
      </c>
      <c r="K1382" s="245"/>
      <c r="L1382" s="245" t="str">
        <f ca="1">IF(CommitmentsTable[[#This Row],[Date Assigned if different from entry date]]&lt;&gt;"",CommitmentsTable[[#This Row],[Date Assigned if different from entry date]]+60,IF(CommitmentsTable[[#This Row],[Date record entered]]&lt;&gt;"",CommitmentsTable[[#This Row],[Date record entered]]+60,""))</f>
        <v/>
      </c>
      <c r="M1382" s="214"/>
      <c r="N1382" s="214"/>
      <c r="O1382" s="236"/>
      <c r="P1382" s="214"/>
      <c r="Q1382" s="214"/>
      <c r="R1382" s="214"/>
      <c r="S1382" s="238" t="str">
        <f>IF(CommitmentsTable[[#This Row],[Commitment / deliverable]]="","",IF(CommitmentsTable[[#This Row],[Revised due]]&lt;&gt;"",CommitmentsTable[[#This Row],[Revised due]],CommitmentsTable[[#This Row],[Original due]]))</f>
        <v/>
      </c>
      <c r="T1382" s="237" t="str">
        <f>IF(OR(CommitmentsTable[[#This Row],[Commitment / deliverable]]="",CommitmentsTable[[#This Row],[Owner]]=""),"",IF(CommitmentsTable[[#This Row],[Status2]]="","Open",CommitmentsTable[[#This Row],[Status2]]))</f>
        <v/>
      </c>
      <c r="U1382" s="237" t="str">
        <f t="shared" ca="1" si="21"/>
        <v/>
      </c>
      <c r="V1382" s="233"/>
      <c r="W1382" s="63" t="s">
        <v>2284</v>
      </c>
    </row>
    <row r="1383" spans="1:23" ht="26">
      <c r="A1383" s="213" t="str">
        <f>IF(OR(CommitmentsTable[[#This Row],[Commitment / deliverable]]="",CommitmentsTable[[#This Row],[Immutable Key]]=""),"",SUBSTITUTE(CommitmentsTable[[#This Row],[Immutable Key]],"-K-","-"))</f>
        <v/>
      </c>
      <c r="B1383" s="233"/>
      <c r="C1383" s="233"/>
      <c r="D1383" s="213"/>
      <c r="E1383" s="230"/>
      <c r="F1383" s="213"/>
      <c r="G1383" s="245" t="str">
        <f ca="1">IF(CommitmentsTable[[#This Row],[Commitment / deliverable]]="","",IF(CommitmentsTable[[#This Row],[Date record entered]]="",TODAY(),CommitmentsTable[[#This Row],[Date record entered]]))</f>
        <v/>
      </c>
      <c r="H1383" s="245"/>
      <c r="I1383" s="245" t="str">
        <f ca="1">IF(CommitmentsTable[[#This Row],[Date Assigned if different from entry date]]&lt;&gt;"",CommitmentsTable[[#This Row],[Date Assigned if different from entry date]]+90,IF(CommitmentsTable[[#This Row],[Date record entered]]&lt;&gt;"",CommitmentsTable[[#This Row],[Date record entered]]+90,""))</f>
        <v/>
      </c>
      <c r="J1383" s="245" t="str">
        <f ca="1">IF(CommitmentsTable[[#This Row],[Date Assigned if different from entry date]]&lt;&gt;"",CommitmentsTable[[#This Row],[Date Assigned if different from entry date]]+30,IF(CommitmentsTable[[#This Row],[Date record entered]]&lt;&gt;"",CommitmentsTable[[#This Row],[Date record entered]]+30,""))</f>
        <v/>
      </c>
      <c r="K1383" s="245"/>
      <c r="L1383" s="245" t="str">
        <f ca="1">IF(CommitmentsTable[[#This Row],[Date Assigned if different from entry date]]&lt;&gt;"",CommitmentsTable[[#This Row],[Date Assigned if different from entry date]]+60,IF(CommitmentsTable[[#This Row],[Date record entered]]&lt;&gt;"",CommitmentsTable[[#This Row],[Date record entered]]+60,""))</f>
        <v/>
      </c>
      <c r="M1383" s="214"/>
      <c r="N1383" s="214"/>
      <c r="O1383" s="236"/>
      <c r="P1383" s="214"/>
      <c r="Q1383" s="214"/>
      <c r="R1383" s="214"/>
      <c r="S1383" s="238" t="str">
        <f>IF(CommitmentsTable[[#This Row],[Commitment / deliverable]]="","",IF(CommitmentsTable[[#This Row],[Revised due]]&lt;&gt;"",CommitmentsTable[[#This Row],[Revised due]],CommitmentsTable[[#This Row],[Original due]]))</f>
        <v/>
      </c>
      <c r="T1383" s="237" t="str">
        <f>IF(OR(CommitmentsTable[[#This Row],[Commitment / deliverable]]="",CommitmentsTable[[#This Row],[Owner]]=""),"",IF(CommitmentsTable[[#This Row],[Status2]]="","Open",CommitmentsTable[[#This Row],[Status2]]))</f>
        <v/>
      </c>
      <c r="U1383" s="237" t="str">
        <f t="shared" ca="1" si="21"/>
        <v/>
      </c>
      <c r="V1383" s="233"/>
      <c r="W1383" s="63" t="s">
        <v>2285</v>
      </c>
    </row>
    <row r="1384" spans="1:23" ht="26">
      <c r="A1384" s="213" t="str">
        <f>IF(OR(CommitmentsTable[[#This Row],[Commitment / deliverable]]="",CommitmentsTable[[#This Row],[Immutable Key]]=""),"",SUBSTITUTE(CommitmentsTable[[#This Row],[Immutable Key]],"-K-","-"))</f>
        <v/>
      </c>
      <c r="B1384" s="233"/>
      <c r="C1384" s="233"/>
      <c r="D1384" s="213"/>
      <c r="E1384" s="230"/>
      <c r="F1384" s="213"/>
      <c r="G1384" s="245" t="str">
        <f ca="1">IF(CommitmentsTable[[#This Row],[Commitment / deliverable]]="","",IF(CommitmentsTable[[#This Row],[Date record entered]]="",TODAY(),CommitmentsTable[[#This Row],[Date record entered]]))</f>
        <v/>
      </c>
      <c r="H1384" s="245"/>
      <c r="I1384" s="245" t="str">
        <f ca="1">IF(CommitmentsTable[[#This Row],[Date Assigned if different from entry date]]&lt;&gt;"",CommitmentsTable[[#This Row],[Date Assigned if different from entry date]]+90,IF(CommitmentsTable[[#This Row],[Date record entered]]&lt;&gt;"",CommitmentsTable[[#This Row],[Date record entered]]+90,""))</f>
        <v/>
      </c>
      <c r="J1384" s="245" t="str">
        <f ca="1">IF(CommitmentsTable[[#This Row],[Date Assigned if different from entry date]]&lt;&gt;"",CommitmentsTable[[#This Row],[Date Assigned if different from entry date]]+30,IF(CommitmentsTable[[#This Row],[Date record entered]]&lt;&gt;"",CommitmentsTable[[#This Row],[Date record entered]]+30,""))</f>
        <v/>
      </c>
      <c r="K1384" s="245"/>
      <c r="L1384" s="245" t="str">
        <f ca="1">IF(CommitmentsTable[[#This Row],[Date Assigned if different from entry date]]&lt;&gt;"",CommitmentsTable[[#This Row],[Date Assigned if different from entry date]]+60,IF(CommitmentsTable[[#This Row],[Date record entered]]&lt;&gt;"",CommitmentsTable[[#This Row],[Date record entered]]+60,""))</f>
        <v/>
      </c>
      <c r="M1384" s="214"/>
      <c r="N1384" s="214"/>
      <c r="O1384" s="236"/>
      <c r="P1384" s="214"/>
      <c r="Q1384" s="214"/>
      <c r="R1384" s="214"/>
      <c r="S1384" s="238" t="str">
        <f>IF(CommitmentsTable[[#This Row],[Commitment / deliverable]]="","",IF(CommitmentsTable[[#This Row],[Revised due]]&lt;&gt;"",CommitmentsTable[[#This Row],[Revised due]],CommitmentsTable[[#This Row],[Original due]]))</f>
        <v/>
      </c>
      <c r="T1384" s="237" t="str">
        <f>IF(OR(CommitmentsTable[[#This Row],[Commitment / deliverable]]="",CommitmentsTable[[#This Row],[Owner]]=""),"",IF(CommitmentsTable[[#This Row],[Status2]]="","Open",CommitmentsTable[[#This Row],[Status2]]))</f>
        <v/>
      </c>
      <c r="U1384" s="237" t="str">
        <f t="shared" ca="1" si="21"/>
        <v/>
      </c>
      <c r="V1384" s="233"/>
      <c r="W1384" s="63" t="s">
        <v>2286</v>
      </c>
    </row>
    <row r="1385" spans="1:23" ht="26">
      <c r="A1385" s="213" t="str">
        <f>IF(OR(CommitmentsTable[[#This Row],[Commitment / deliverable]]="",CommitmentsTable[[#This Row],[Immutable Key]]=""),"",SUBSTITUTE(CommitmentsTable[[#This Row],[Immutable Key]],"-K-","-"))</f>
        <v/>
      </c>
      <c r="B1385" s="233"/>
      <c r="C1385" s="233"/>
      <c r="D1385" s="213"/>
      <c r="E1385" s="230"/>
      <c r="F1385" s="213"/>
      <c r="G1385" s="245" t="str">
        <f ca="1">IF(CommitmentsTable[[#This Row],[Commitment / deliverable]]="","",IF(CommitmentsTable[[#This Row],[Date record entered]]="",TODAY(),CommitmentsTable[[#This Row],[Date record entered]]))</f>
        <v/>
      </c>
      <c r="H1385" s="245"/>
      <c r="I1385" s="245" t="str">
        <f ca="1">IF(CommitmentsTable[[#This Row],[Date Assigned if different from entry date]]&lt;&gt;"",CommitmentsTable[[#This Row],[Date Assigned if different from entry date]]+90,IF(CommitmentsTable[[#This Row],[Date record entered]]&lt;&gt;"",CommitmentsTable[[#This Row],[Date record entered]]+90,""))</f>
        <v/>
      </c>
      <c r="J1385" s="245" t="str">
        <f ca="1">IF(CommitmentsTable[[#This Row],[Date Assigned if different from entry date]]&lt;&gt;"",CommitmentsTable[[#This Row],[Date Assigned if different from entry date]]+30,IF(CommitmentsTable[[#This Row],[Date record entered]]&lt;&gt;"",CommitmentsTable[[#This Row],[Date record entered]]+30,""))</f>
        <v/>
      </c>
      <c r="K1385" s="245"/>
      <c r="L1385" s="245" t="str">
        <f ca="1">IF(CommitmentsTable[[#This Row],[Date Assigned if different from entry date]]&lt;&gt;"",CommitmentsTable[[#This Row],[Date Assigned if different from entry date]]+60,IF(CommitmentsTable[[#This Row],[Date record entered]]&lt;&gt;"",CommitmentsTable[[#This Row],[Date record entered]]+60,""))</f>
        <v/>
      </c>
      <c r="M1385" s="214"/>
      <c r="N1385" s="214"/>
      <c r="O1385" s="236"/>
      <c r="P1385" s="214"/>
      <c r="Q1385" s="214"/>
      <c r="R1385" s="214"/>
      <c r="S1385" s="238" t="str">
        <f>IF(CommitmentsTable[[#This Row],[Commitment / deliverable]]="","",IF(CommitmentsTable[[#This Row],[Revised due]]&lt;&gt;"",CommitmentsTable[[#This Row],[Revised due]],CommitmentsTable[[#This Row],[Original due]]))</f>
        <v/>
      </c>
      <c r="T1385" s="237" t="str">
        <f>IF(OR(CommitmentsTable[[#This Row],[Commitment / deliverable]]="",CommitmentsTable[[#This Row],[Owner]]=""),"",IF(CommitmentsTable[[#This Row],[Status2]]="","Open",CommitmentsTable[[#This Row],[Status2]]))</f>
        <v/>
      </c>
      <c r="U1385" s="237" t="str">
        <f t="shared" ca="1" si="21"/>
        <v/>
      </c>
      <c r="V1385" s="233"/>
      <c r="W1385" s="63" t="s">
        <v>2287</v>
      </c>
    </row>
    <row r="1386" spans="1:23" ht="26">
      <c r="A1386" s="213" t="str">
        <f>IF(OR(CommitmentsTable[[#This Row],[Commitment / deliverable]]="",CommitmentsTable[[#This Row],[Immutable Key]]=""),"",SUBSTITUTE(CommitmentsTable[[#This Row],[Immutable Key]],"-K-","-"))</f>
        <v/>
      </c>
      <c r="B1386" s="233"/>
      <c r="C1386" s="233"/>
      <c r="D1386" s="213"/>
      <c r="E1386" s="230"/>
      <c r="F1386" s="213"/>
      <c r="G1386" s="245"/>
      <c r="H1386" s="245"/>
      <c r="I1386" s="245" t="str">
        <f>IF(CommitmentsTable[[#This Row],[Date Assigned if different from entry date]]&lt;&gt;"",CommitmentsTable[[#This Row],[Date Assigned if different from entry date]]+90,IF(CommitmentsTable[[#This Row],[Date record entered]]&lt;&gt;"",CommitmentsTable[[#This Row],[Date record entered]]+90,""))</f>
        <v/>
      </c>
      <c r="J1386" s="245" t="str">
        <f>IF(CommitmentsTable[[#This Row],[Date Assigned if different from entry date]]&lt;&gt;"",CommitmentsTable[[#This Row],[Date Assigned if different from entry date]]+30,IF(CommitmentsTable[[#This Row],[Date record entered]]&lt;&gt;"",CommitmentsTable[[#This Row],[Date record entered]]+30,""))</f>
        <v/>
      </c>
      <c r="K1386" s="245"/>
      <c r="L1386" s="245" t="str">
        <f>IF(CommitmentsTable[[#This Row],[Date Assigned if different from entry date]]&lt;&gt;"",CommitmentsTable[[#This Row],[Date Assigned if different from entry date]]+60,IF(CommitmentsTable[[#This Row],[Date record entered]]&lt;&gt;"",CommitmentsTable[[#This Row],[Date record entered]]+60,""))</f>
        <v/>
      </c>
      <c r="M1386" s="214"/>
      <c r="N1386" s="214"/>
      <c r="O1386" s="236"/>
      <c r="P1386" s="214"/>
      <c r="Q1386" s="214"/>
      <c r="R1386" s="214"/>
      <c r="S1386" s="238" t="str">
        <f>IF(CommitmentsTable[[#This Row],[Commitment / deliverable]]="","",IF(CommitmentsTable[[#This Row],[Revised due]]&lt;&gt;"",CommitmentsTable[[#This Row],[Revised due]],CommitmentsTable[[#This Row],[Original due]]))</f>
        <v/>
      </c>
      <c r="T1386" s="237" t="str">
        <f>IF(OR(CommitmentsTable[[#This Row],[Commitment / deliverable]]="",CommitmentsTable[[#This Row],[Owner]]=""),"",IF(CommitmentsTable[[#This Row],[Status2]]="","Open",CommitmentsTable[[#This Row],[Status2]]))</f>
        <v/>
      </c>
      <c r="U1386" s="237" t="str">
        <f t="shared" ca="1" si="21"/>
        <v/>
      </c>
      <c r="V1386" s="233"/>
      <c r="W1386" s="63" t="s">
        <v>2288</v>
      </c>
    </row>
    <row r="1387" spans="1:23" ht="26">
      <c r="A1387" s="213" t="str">
        <f>IF(OR(CommitmentsTable[[#This Row],[Commitment / deliverable]]="",CommitmentsTable[[#This Row],[Immutable Key]]=""),"",SUBSTITUTE(CommitmentsTable[[#This Row],[Immutable Key]],"-K-","-"))</f>
        <v/>
      </c>
      <c r="B1387" s="233"/>
      <c r="C1387" s="233"/>
      <c r="D1387" s="213"/>
      <c r="E1387" s="230"/>
      <c r="F1387" s="213"/>
      <c r="G1387" s="245"/>
      <c r="H1387" s="245"/>
      <c r="I1387" s="245" t="str">
        <f>IF(CommitmentsTable[[#This Row],[Date Assigned if different from entry date]]&lt;&gt;"",CommitmentsTable[[#This Row],[Date Assigned if different from entry date]]+90,IF(CommitmentsTable[[#This Row],[Date record entered]]&lt;&gt;"",CommitmentsTable[[#This Row],[Date record entered]]+90,""))</f>
        <v/>
      </c>
      <c r="J1387" s="245" t="str">
        <f>IF(CommitmentsTable[[#This Row],[Date Assigned if different from entry date]]&lt;&gt;"",CommitmentsTable[[#This Row],[Date Assigned if different from entry date]]+30,IF(CommitmentsTable[[#This Row],[Date record entered]]&lt;&gt;"",CommitmentsTable[[#This Row],[Date record entered]]+30,""))</f>
        <v/>
      </c>
      <c r="K1387" s="245"/>
      <c r="L1387" s="245" t="str">
        <f>IF(CommitmentsTable[[#This Row],[Date Assigned if different from entry date]]&lt;&gt;"",CommitmentsTable[[#This Row],[Date Assigned if different from entry date]]+60,IF(CommitmentsTable[[#This Row],[Date record entered]]&lt;&gt;"",CommitmentsTable[[#This Row],[Date record entered]]+60,""))</f>
        <v/>
      </c>
      <c r="M1387" s="214"/>
      <c r="N1387" s="214"/>
      <c r="O1387" s="236"/>
      <c r="P1387" s="214"/>
      <c r="Q1387" s="214"/>
      <c r="R1387" s="214"/>
      <c r="S1387" s="238" t="str">
        <f>IF(CommitmentsTable[[#This Row],[Commitment / deliverable]]="","",IF(CommitmentsTable[[#This Row],[Revised due]]&lt;&gt;"",CommitmentsTable[[#This Row],[Revised due]],CommitmentsTable[[#This Row],[Original due]]))</f>
        <v/>
      </c>
      <c r="T1387" s="237" t="str">
        <f>IF(OR(CommitmentsTable[[#This Row],[Commitment / deliverable]]="",CommitmentsTable[[#This Row],[Owner]]=""),"",IF(CommitmentsTable[[#This Row],[Status2]]="","Open",CommitmentsTable[[#This Row],[Status2]]))</f>
        <v/>
      </c>
      <c r="U1387" s="237" t="str">
        <f t="shared" ca="1" si="21"/>
        <v/>
      </c>
      <c r="V1387" s="233"/>
      <c r="W1387" s="63" t="s">
        <v>2289</v>
      </c>
    </row>
    <row r="1388" spans="1:23" ht="26">
      <c r="A1388" s="213" t="str">
        <f>IF(OR(CommitmentsTable[[#This Row],[Commitment / deliverable]]="",CommitmentsTable[[#This Row],[Immutable Key]]=""),"",SUBSTITUTE(CommitmentsTable[[#This Row],[Immutable Key]],"-K-","-"))</f>
        <v/>
      </c>
      <c r="B1388" s="233"/>
      <c r="C1388" s="233"/>
      <c r="D1388" s="213"/>
      <c r="E1388" s="230"/>
      <c r="F1388" s="213"/>
      <c r="G1388" s="245"/>
      <c r="H1388" s="245"/>
      <c r="I1388" s="245" t="str">
        <f>IF(CommitmentsTable[[#This Row],[Date Assigned if different from entry date]]&lt;&gt;"",CommitmentsTable[[#This Row],[Date Assigned if different from entry date]]+90,IF(CommitmentsTable[[#This Row],[Date record entered]]&lt;&gt;"",CommitmentsTable[[#This Row],[Date record entered]]+90,""))</f>
        <v/>
      </c>
      <c r="J1388" s="245" t="str">
        <f>IF(CommitmentsTable[[#This Row],[Date Assigned if different from entry date]]&lt;&gt;"",CommitmentsTable[[#This Row],[Date Assigned if different from entry date]]+30,IF(CommitmentsTable[[#This Row],[Date record entered]]&lt;&gt;"",CommitmentsTable[[#This Row],[Date record entered]]+30,""))</f>
        <v/>
      </c>
      <c r="K1388" s="245"/>
      <c r="L1388" s="245" t="str">
        <f>IF(CommitmentsTable[[#This Row],[Date Assigned if different from entry date]]&lt;&gt;"",CommitmentsTable[[#This Row],[Date Assigned if different from entry date]]+60,IF(CommitmentsTable[[#This Row],[Date record entered]]&lt;&gt;"",CommitmentsTable[[#This Row],[Date record entered]]+60,""))</f>
        <v/>
      </c>
      <c r="M1388" s="214"/>
      <c r="N1388" s="214"/>
      <c r="O1388" s="236"/>
      <c r="P1388" s="214"/>
      <c r="Q1388" s="214"/>
      <c r="R1388" s="214"/>
      <c r="S1388" s="238" t="str">
        <f>IF(CommitmentsTable[[#This Row],[Commitment / deliverable]]="","",IF(CommitmentsTable[[#This Row],[Revised due]]&lt;&gt;"",CommitmentsTable[[#This Row],[Revised due]],CommitmentsTable[[#This Row],[Original due]]))</f>
        <v/>
      </c>
      <c r="T1388" s="237" t="str">
        <f>IF(OR(CommitmentsTable[[#This Row],[Commitment / deliverable]]="",CommitmentsTable[[#This Row],[Owner]]=""),"",IF(CommitmentsTable[[#This Row],[Status2]]="","Open",CommitmentsTable[[#This Row],[Status2]]))</f>
        <v/>
      </c>
      <c r="U1388" s="237" t="str">
        <f t="shared" ca="1" si="21"/>
        <v/>
      </c>
      <c r="V1388" s="233"/>
      <c r="W1388" s="63" t="s">
        <v>2290</v>
      </c>
    </row>
    <row r="1389" spans="1:23" ht="26">
      <c r="A1389" s="213" t="str">
        <f>IF(OR(CommitmentsTable[[#This Row],[Commitment / deliverable]]="",CommitmentsTable[[#This Row],[Immutable Key]]=""),"",SUBSTITUTE(CommitmentsTable[[#This Row],[Immutable Key]],"-K-","-"))</f>
        <v/>
      </c>
      <c r="B1389" s="233"/>
      <c r="C1389" s="233"/>
      <c r="D1389" s="213"/>
      <c r="E1389" s="230"/>
      <c r="F1389" s="213"/>
      <c r="G1389" s="245"/>
      <c r="H1389" s="245"/>
      <c r="I1389" s="245" t="str">
        <f>IF(CommitmentsTable[[#This Row],[Date Assigned if different from entry date]]&lt;&gt;"",CommitmentsTable[[#This Row],[Date Assigned if different from entry date]]+90,IF(CommitmentsTable[[#This Row],[Date record entered]]&lt;&gt;"",CommitmentsTable[[#This Row],[Date record entered]]+90,""))</f>
        <v/>
      </c>
      <c r="J1389" s="245" t="str">
        <f>IF(CommitmentsTable[[#This Row],[Date Assigned if different from entry date]]&lt;&gt;"",CommitmentsTable[[#This Row],[Date Assigned if different from entry date]]+30,IF(CommitmentsTable[[#This Row],[Date record entered]]&lt;&gt;"",CommitmentsTable[[#This Row],[Date record entered]]+30,""))</f>
        <v/>
      </c>
      <c r="K1389" s="245"/>
      <c r="L1389" s="245" t="str">
        <f>IF(CommitmentsTable[[#This Row],[Date Assigned if different from entry date]]&lt;&gt;"",CommitmentsTable[[#This Row],[Date Assigned if different from entry date]]+60,IF(CommitmentsTable[[#This Row],[Date record entered]]&lt;&gt;"",CommitmentsTable[[#This Row],[Date record entered]]+60,""))</f>
        <v/>
      </c>
      <c r="M1389" s="214"/>
      <c r="N1389" s="214"/>
      <c r="O1389" s="236"/>
      <c r="P1389" s="214"/>
      <c r="Q1389" s="214"/>
      <c r="R1389" s="214"/>
      <c r="S1389" s="238" t="str">
        <f>IF(CommitmentsTable[[#This Row],[Commitment / deliverable]]="","",IF(CommitmentsTable[[#This Row],[Revised due]]&lt;&gt;"",CommitmentsTable[[#This Row],[Revised due]],CommitmentsTable[[#This Row],[Original due]]))</f>
        <v/>
      </c>
      <c r="T1389" s="237" t="str">
        <f>IF(OR(CommitmentsTable[[#This Row],[Commitment / deliverable]]="",CommitmentsTable[[#This Row],[Owner]]=""),"",IF(CommitmentsTable[[#This Row],[Status2]]="","Open",CommitmentsTable[[#This Row],[Status2]]))</f>
        <v/>
      </c>
      <c r="U1389" s="237" t="str">
        <f t="shared" ca="1" si="21"/>
        <v/>
      </c>
      <c r="V1389" s="233"/>
      <c r="W1389" s="63" t="s">
        <v>2291</v>
      </c>
    </row>
    <row r="1390" spans="1:23" ht="26">
      <c r="A1390" s="213" t="str">
        <f>IF(OR(CommitmentsTable[[#This Row],[Commitment / deliverable]]="",CommitmentsTable[[#This Row],[Immutable Key]]=""),"",SUBSTITUTE(CommitmentsTable[[#This Row],[Immutable Key]],"-K-","-"))</f>
        <v/>
      </c>
      <c r="B1390" s="233"/>
      <c r="C1390" s="233"/>
      <c r="D1390" s="213"/>
      <c r="E1390" s="230"/>
      <c r="F1390" s="213"/>
      <c r="G1390" s="245"/>
      <c r="H1390" s="245"/>
      <c r="I1390" s="245" t="str">
        <f>IF(CommitmentsTable[[#This Row],[Date Assigned if different from entry date]]&lt;&gt;"",CommitmentsTable[[#This Row],[Date Assigned if different from entry date]]+90,IF(CommitmentsTable[[#This Row],[Date record entered]]&lt;&gt;"",CommitmentsTable[[#This Row],[Date record entered]]+90,""))</f>
        <v/>
      </c>
      <c r="J1390" s="245" t="str">
        <f>IF(CommitmentsTable[[#This Row],[Date Assigned if different from entry date]]&lt;&gt;"",CommitmentsTable[[#This Row],[Date Assigned if different from entry date]]+30,IF(CommitmentsTable[[#This Row],[Date record entered]]&lt;&gt;"",CommitmentsTable[[#This Row],[Date record entered]]+30,""))</f>
        <v/>
      </c>
      <c r="K1390" s="245"/>
      <c r="L1390" s="245" t="str">
        <f>IF(CommitmentsTable[[#This Row],[Date Assigned if different from entry date]]&lt;&gt;"",CommitmentsTable[[#This Row],[Date Assigned if different from entry date]]+60,IF(CommitmentsTable[[#This Row],[Date record entered]]&lt;&gt;"",CommitmentsTable[[#This Row],[Date record entered]]+60,""))</f>
        <v/>
      </c>
      <c r="M1390" s="214"/>
      <c r="N1390" s="214"/>
      <c r="O1390" s="236"/>
      <c r="P1390" s="214"/>
      <c r="Q1390" s="214"/>
      <c r="R1390" s="214"/>
      <c r="S1390" s="238" t="str">
        <f>IF(CommitmentsTable[[#This Row],[Commitment / deliverable]]="","",IF(CommitmentsTable[[#This Row],[Revised due]]&lt;&gt;"",CommitmentsTable[[#This Row],[Revised due]],CommitmentsTable[[#This Row],[Original due]]))</f>
        <v/>
      </c>
      <c r="T1390" s="237" t="str">
        <f>IF(OR(CommitmentsTable[[#This Row],[Commitment / deliverable]]="",CommitmentsTable[[#This Row],[Owner]]=""),"",IF(CommitmentsTable[[#This Row],[Status2]]="","Open",CommitmentsTable[[#This Row],[Status2]]))</f>
        <v/>
      </c>
      <c r="U1390" s="237" t="str">
        <f t="shared" ca="1" si="21"/>
        <v/>
      </c>
      <c r="V1390" s="233"/>
      <c r="W1390" s="63" t="s">
        <v>2292</v>
      </c>
    </row>
    <row r="1391" spans="1:23" ht="26">
      <c r="A1391" s="213" t="str">
        <f>IF(OR(CommitmentsTable[[#This Row],[Commitment / deliverable]]="",CommitmentsTable[[#This Row],[Immutable Key]]=""),"",SUBSTITUTE(CommitmentsTable[[#This Row],[Immutable Key]],"-K-","-"))</f>
        <v/>
      </c>
      <c r="B1391" s="233"/>
      <c r="C1391" s="233"/>
      <c r="D1391" s="213"/>
      <c r="E1391" s="230"/>
      <c r="F1391" s="213"/>
      <c r="G1391" s="245"/>
      <c r="H1391" s="245"/>
      <c r="I1391" s="245" t="str">
        <f>IF(CommitmentsTable[[#This Row],[Date Assigned if different from entry date]]&lt;&gt;"",CommitmentsTable[[#This Row],[Date Assigned if different from entry date]]+90,IF(CommitmentsTable[[#This Row],[Date record entered]]&lt;&gt;"",CommitmentsTable[[#This Row],[Date record entered]]+90,""))</f>
        <v/>
      </c>
      <c r="J1391" s="245" t="str">
        <f>IF(CommitmentsTable[[#This Row],[Date Assigned if different from entry date]]&lt;&gt;"",CommitmentsTable[[#This Row],[Date Assigned if different from entry date]]+30,IF(CommitmentsTable[[#This Row],[Date record entered]]&lt;&gt;"",CommitmentsTable[[#This Row],[Date record entered]]+30,""))</f>
        <v/>
      </c>
      <c r="K1391" s="245"/>
      <c r="L1391" s="245" t="str">
        <f>IF(CommitmentsTable[[#This Row],[Date Assigned if different from entry date]]&lt;&gt;"",CommitmentsTable[[#This Row],[Date Assigned if different from entry date]]+60,IF(CommitmentsTable[[#This Row],[Date record entered]]&lt;&gt;"",CommitmentsTable[[#This Row],[Date record entered]]+60,""))</f>
        <v/>
      </c>
      <c r="M1391" s="214"/>
      <c r="N1391" s="214"/>
      <c r="O1391" s="236"/>
      <c r="P1391" s="214"/>
      <c r="Q1391" s="214"/>
      <c r="R1391" s="214"/>
      <c r="S1391" s="238" t="str">
        <f>IF(CommitmentsTable[[#This Row],[Commitment / deliverable]]="","",IF(CommitmentsTable[[#This Row],[Revised due]]&lt;&gt;"",CommitmentsTable[[#This Row],[Revised due]],CommitmentsTable[[#This Row],[Original due]]))</f>
        <v/>
      </c>
      <c r="T1391" s="237" t="str">
        <f>IF(OR(CommitmentsTable[[#This Row],[Commitment / deliverable]]="",CommitmentsTable[[#This Row],[Owner]]=""),"",IF(CommitmentsTable[[#This Row],[Status2]]="","Open",CommitmentsTable[[#This Row],[Status2]]))</f>
        <v/>
      </c>
      <c r="U1391" s="237" t="str">
        <f t="shared" ca="1" si="21"/>
        <v/>
      </c>
      <c r="V1391" s="233"/>
      <c r="W1391" s="63" t="s">
        <v>2293</v>
      </c>
    </row>
    <row r="1392" spans="1:23" ht="26">
      <c r="A1392" s="213" t="str">
        <f>IF(OR(CommitmentsTable[[#This Row],[Commitment / deliverable]]="",CommitmentsTable[[#This Row],[Immutable Key]]=""),"",SUBSTITUTE(CommitmentsTable[[#This Row],[Immutable Key]],"-K-","-"))</f>
        <v/>
      </c>
      <c r="B1392" s="233"/>
      <c r="C1392" s="233"/>
      <c r="D1392" s="213"/>
      <c r="E1392" s="230"/>
      <c r="F1392" s="213"/>
      <c r="G1392" s="245"/>
      <c r="H1392" s="245"/>
      <c r="I1392" s="245" t="str">
        <f>IF(CommitmentsTable[[#This Row],[Date Assigned if different from entry date]]&lt;&gt;"",CommitmentsTable[[#This Row],[Date Assigned if different from entry date]]+90,IF(CommitmentsTable[[#This Row],[Date record entered]]&lt;&gt;"",CommitmentsTable[[#This Row],[Date record entered]]+90,""))</f>
        <v/>
      </c>
      <c r="J1392" s="245" t="str">
        <f>IF(CommitmentsTable[[#This Row],[Date Assigned if different from entry date]]&lt;&gt;"",CommitmentsTable[[#This Row],[Date Assigned if different from entry date]]+30,IF(CommitmentsTable[[#This Row],[Date record entered]]&lt;&gt;"",CommitmentsTable[[#This Row],[Date record entered]]+30,""))</f>
        <v/>
      </c>
      <c r="K1392" s="245"/>
      <c r="L1392" s="245" t="str">
        <f>IF(CommitmentsTable[[#This Row],[Date Assigned if different from entry date]]&lt;&gt;"",CommitmentsTable[[#This Row],[Date Assigned if different from entry date]]+60,IF(CommitmentsTable[[#This Row],[Date record entered]]&lt;&gt;"",CommitmentsTable[[#This Row],[Date record entered]]+60,""))</f>
        <v/>
      </c>
      <c r="M1392" s="214"/>
      <c r="N1392" s="214"/>
      <c r="O1392" s="236"/>
      <c r="P1392" s="214"/>
      <c r="Q1392" s="214"/>
      <c r="R1392" s="214"/>
      <c r="S1392" s="238" t="str">
        <f>IF(CommitmentsTable[[#This Row],[Commitment / deliverable]]="","",IF(CommitmentsTable[[#This Row],[Revised due]]&lt;&gt;"",CommitmentsTable[[#This Row],[Revised due]],CommitmentsTable[[#This Row],[Original due]]))</f>
        <v/>
      </c>
      <c r="T1392" s="237" t="str">
        <f>IF(OR(CommitmentsTable[[#This Row],[Commitment / deliverable]]="",CommitmentsTable[[#This Row],[Owner]]=""),"",IF(CommitmentsTable[[#This Row],[Status2]]="","Open",CommitmentsTable[[#This Row],[Status2]]))</f>
        <v/>
      </c>
      <c r="U1392" s="237" t="str">
        <f t="shared" ca="1" si="21"/>
        <v/>
      </c>
      <c r="V1392" s="233"/>
      <c r="W1392" s="63" t="s">
        <v>2294</v>
      </c>
    </row>
    <row r="1393" spans="1:23" ht="26">
      <c r="A1393" s="213" t="str">
        <f>IF(OR(CommitmentsTable[[#This Row],[Commitment / deliverable]]="",CommitmentsTable[[#This Row],[Immutable Key]]=""),"",SUBSTITUTE(CommitmentsTable[[#This Row],[Immutable Key]],"-K-","-"))</f>
        <v/>
      </c>
      <c r="B1393" s="233"/>
      <c r="C1393" s="233"/>
      <c r="D1393" s="213"/>
      <c r="E1393" s="230"/>
      <c r="F1393" s="213"/>
      <c r="G1393" s="245"/>
      <c r="H1393" s="245"/>
      <c r="I1393" s="245" t="str">
        <f>IF(CommitmentsTable[[#This Row],[Date Assigned if different from entry date]]&lt;&gt;"",CommitmentsTable[[#This Row],[Date Assigned if different from entry date]]+90,IF(CommitmentsTable[[#This Row],[Date record entered]]&lt;&gt;"",CommitmentsTable[[#This Row],[Date record entered]]+90,""))</f>
        <v/>
      </c>
      <c r="J1393" s="245" t="str">
        <f>IF(CommitmentsTable[[#This Row],[Date Assigned if different from entry date]]&lt;&gt;"",CommitmentsTable[[#This Row],[Date Assigned if different from entry date]]+30,IF(CommitmentsTable[[#This Row],[Date record entered]]&lt;&gt;"",CommitmentsTable[[#This Row],[Date record entered]]+30,""))</f>
        <v/>
      </c>
      <c r="K1393" s="245"/>
      <c r="L1393" s="245" t="str">
        <f>IF(CommitmentsTable[[#This Row],[Date Assigned if different from entry date]]&lt;&gt;"",CommitmentsTable[[#This Row],[Date Assigned if different from entry date]]+60,IF(CommitmentsTable[[#This Row],[Date record entered]]&lt;&gt;"",CommitmentsTable[[#This Row],[Date record entered]]+60,""))</f>
        <v/>
      </c>
      <c r="M1393" s="214"/>
      <c r="N1393" s="214"/>
      <c r="O1393" s="236"/>
      <c r="P1393" s="214"/>
      <c r="Q1393" s="214"/>
      <c r="R1393" s="214"/>
      <c r="S1393" s="238" t="str">
        <f>IF(CommitmentsTable[[#This Row],[Commitment / deliverable]]="","",IF(CommitmentsTable[[#This Row],[Revised due]]&lt;&gt;"",CommitmentsTable[[#This Row],[Revised due]],CommitmentsTable[[#This Row],[Original due]]))</f>
        <v/>
      </c>
      <c r="T1393" s="237" t="str">
        <f>IF(OR(CommitmentsTable[[#This Row],[Commitment / deliverable]]="",CommitmentsTable[[#This Row],[Owner]]=""),"",IF(CommitmentsTable[[#This Row],[Status2]]="","Open",CommitmentsTable[[#This Row],[Status2]]))</f>
        <v/>
      </c>
      <c r="U1393" s="237" t="str">
        <f t="shared" ca="1" si="21"/>
        <v/>
      </c>
      <c r="V1393" s="233"/>
      <c r="W1393" s="63" t="s">
        <v>2295</v>
      </c>
    </row>
    <row r="1394" spans="1:23" ht="26">
      <c r="A1394" s="213" t="str">
        <f>IF(OR(CommitmentsTable[[#This Row],[Commitment / deliverable]]="",CommitmentsTable[[#This Row],[Immutable Key]]=""),"",SUBSTITUTE(CommitmentsTable[[#This Row],[Immutable Key]],"-K-","-"))</f>
        <v/>
      </c>
      <c r="B1394" s="233"/>
      <c r="C1394" s="233"/>
      <c r="D1394" s="213"/>
      <c r="E1394" s="230"/>
      <c r="F1394" s="213"/>
      <c r="G1394" s="245"/>
      <c r="H1394" s="245"/>
      <c r="I1394" s="245" t="str">
        <f>IF(CommitmentsTable[[#This Row],[Date Assigned if different from entry date]]&lt;&gt;"",CommitmentsTable[[#This Row],[Date Assigned if different from entry date]]+90,IF(CommitmentsTable[[#This Row],[Date record entered]]&lt;&gt;"",CommitmentsTable[[#This Row],[Date record entered]]+90,""))</f>
        <v/>
      </c>
      <c r="J1394" s="245" t="str">
        <f>IF(CommitmentsTable[[#This Row],[Date Assigned if different from entry date]]&lt;&gt;"",CommitmentsTable[[#This Row],[Date Assigned if different from entry date]]+30,IF(CommitmentsTable[[#This Row],[Date record entered]]&lt;&gt;"",CommitmentsTable[[#This Row],[Date record entered]]+30,""))</f>
        <v/>
      </c>
      <c r="K1394" s="245"/>
      <c r="L1394" s="245" t="str">
        <f>IF(CommitmentsTable[[#This Row],[Date Assigned if different from entry date]]&lt;&gt;"",CommitmentsTable[[#This Row],[Date Assigned if different from entry date]]+60,IF(CommitmentsTable[[#This Row],[Date record entered]]&lt;&gt;"",CommitmentsTable[[#This Row],[Date record entered]]+60,""))</f>
        <v/>
      </c>
      <c r="M1394" s="214"/>
      <c r="N1394" s="214"/>
      <c r="O1394" s="236"/>
      <c r="P1394" s="214"/>
      <c r="Q1394" s="214"/>
      <c r="R1394" s="214"/>
      <c r="S1394" s="238" t="str">
        <f>IF(CommitmentsTable[[#This Row],[Commitment / deliverable]]="","",IF(CommitmentsTable[[#This Row],[Revised due]]&lt;&gt;"",CommitmentsTable[[#This Row],[Revised due]],CommitmentsTable[[#This Row],[Original due]]))</f>
        <v/>
      </c>
      <c r="T1394" s="237" t="str">
        <f>IF(OR(CommitmentsTable[[#This Row],[Commitment / deliverable]]="",CommitmentsTable[[#This Row],[Owner]]=""),"",IF(CommitmentsTable[[#This Row],[Status2]]="","Open",CommitmentsTable[[#This Row],[Status2]]))</f>
        <v/>
      </c>
      <c r="U1394" s="237" t="str">
        <f t="shared" ca="1" si="21"/>
        <v/>
      </c>
      <c r="V1394" s="233"/>
      <c r="W1394" s="63" t="s">
        <v>2296</v>
      </c>
    </row>
    <row r="1395" spans="1:23" ht="26">
      <c r="A1395" s="213" t="str">
        <f>IF(OR(CommitmentsTable[[#This Row],[Commitment / deliverable]]="",CommitmentsTable[[#This Row],[Immutable Key]]=""),"",SUBSTITUTE(CommitmentsTable[[#This Row],[Immutable Key]],"-K-","-"))</f>
        <v/>
      </c>
      <c r="B1395" s="233"/>
      <c r="C1395" s="233"/>
      <c r="D1395" s="213"/>
      <c r="E1395" s="230"/>
      <c r="F1395" s="213"/>
      <c r="G1395" s="245"/>
      <c r="H1395" s="245"/>
      <c r="I1395" s="245" t="str">
        <f>IF(CommitmentsTable[[#This Row],[Date Assigned if different from entry date]]&lt;&gt;"",CommitmentsTable[[#This Row],[Date Assigned if different from entry date]]+90,IF(CommitmentsTable[[#This Row],[Date record entered]]&lt;&gt;"",CommitmentsTable[[#This Row],[Date record entered]]+90,""))</f>
        <v/>
      </c>
      <c r="J1395" s="245" t="str">
        <f>IF(CommitmentsTable[[#This Row],[Date Assigned if different from entry date]]&lt;&gt;"",CommitmentsTable[[#This Row],[Date Assigned if different from entry date]]+30,IF(CommitmentsTable[[#This Row],[Date record entered]]&lt;&gt;"",CommitmentsTable[[#This Row],[Date record entered]]+30,""))</f>
        <v/>
      </c>
      <c r="K1395" s="245"/>
      <c r="L1395" s="245" t="str">
        <f>IF(CommitmentsTable[[#This Row],[Date Assigned if different from entry date]]&lt;&gt;"",CommitmentsTable[[#This Row],[Date Assigned if different from entry date]]+60,IF(CommitmentsTable[[#This Row],[Date record entered]]&lt;&gt;"",CommitmentsTable[[#This Row],[Date record entered]]+60,""))</f>
        <v/>
      </c>
      <c r="M1395" s="214"/>
      <c r="N1395" s="214"/>
      <c r="O1395" s="236"/>
      <c r="P1395" s="214"/>
      <c r="Q1395" s="214"/>
      <c r="R1395" s="214"/>
      <c r="S1395" s="238" t="str">
        <f>IF(CommitmentsTable[[#This Row],[Commitment / deliverable]]="","",IF(CommitmentsTable[[#This Row],[Revised due]]&lt;&gt;"",CommitmentsTable[[#This Row],[Revised due]],CommitmentsTable[[#This Row],[Original due]]))</f>
        <v/>
      </c>
      <c r="T1395" s="237" t="str">
        <f>IF(OR(CommitmentsTable[[#This Row],[Commitment / deliverable]]="",CommitmentsTable[[#This Row],[Owner]]=""),"",IF(CommitmentsTable[[#This Row],[Status2]]="","Open",CommitmentsTable[[#This Row],[Status2]]))</f>
        <v/>
      </c>
      <c r="U1395" s="237" t="str">
        <f t="shared" ca="1" si="21"/>
        <v/>
      </c>
      <c r="V1395" s="233"/>
      <c r="W1395" s="63" t="s">
        <v>2297</v>
      </c>
    </row>
    <row r="1396" spans="1:23" ht="26">
      <c r="A1396" s="213" t="str">
        <f>IF(OR(CommitmentsTable[[#This Row],[Commitment / deliverable]]="",CommitmentsTable[[#This Row],[Immutable Key]]=""),"",SUBSTITUTE(CommitmentsTable[[#This Row],[Immutable Key]],"-K-","-"))</f>
        <v/>
      </c>
      <c r="B1396" s="233"/>
      <c r="C1396" s="233"/>
      <c r="D1396" s="213"/>
      <c r="E1396" s="230"/>
      <c r="F1396" s="213"/>
      <c r="G1396" s="245"/>
      <c r="H1396" s="245"/>
      <c r="I1396" s="245" t="str">
        <f>IF(CommitmentsTable[[#This Row],[Date Assigned if different from entry date]]&lt;&gt;"",CommitmentsTable[[#This Row],[Date Assigned if different from entry date]]+90,IF(CommitmentsTable[[#This Row],[Date record entered]]&lt;&gt;"",CommitmentsTable[[#This Row],[Date record entered]]+90,""))</f>
        <v/>
      </c>
      <c r="J1396" s="245" t="str">
        <f>IF(CommitmentsTable[[#This Row],[Date Assigned if different from entry date]]&lt;&gt;"",CommitmentsTable[[#This Row],[Date Assigned if different from entry date]]+30,IF(CommitmentsTable[[#This Row],[Date record entered]]&lt;&gt;"",CommitmentsTable[[#This Row],[Date record entered]]+30,""))</f>
        <v/>
      </c>
      <c r="K1396" s="245"/>
      <c r="L1396" s="245" t="str">
        <f>IF(CommitmentsTable[[#This Row],[Date Assigned if different from entry date]]&lt;&gt;"",CommitmentsTable[[#This Row],[Date Assigned if different from entry date]]+60,IF(CommitmentsTable[[#This Row],[Date record entered]]&lt;&gt;"",CommitmentsTable[[#This Row],[Date record entered]]+60,""))</f>
        <v/>
      </c>
      <c r="M1396" s="214"/>
      <c r="N1396" s="214"/>
      <c r="O1396" s="236"/>
      <c r="P1396" s="214"/>
      <c r="Q1396" s="214"/>
      <c r="R1396" s="214"/>
      <c r="S1396" s="238" t="str">
        <f>IF(CommitmentsTable[[#This Row],[Commitment / deliverable]]="","",IF(CommitmentsTable[[#This Row],[Revised due]]&lt;&gt;"",CommitmentsTable[[#This Row],[Revised due]],CommitmentsTable[[#This Row],[Original due]]))</f>
        <v/>
      </c>
      <c r="T1396" s="237" t="str">
        <f>IF(OR(CommitmentsTable[[#This Row],[Commitment / deliverable]]="",CommitmentsTable[[#This Row],[Owner]]=""),"",IF(CommitmentsTable[[#This Row],[Status2]]="","Open",CommitmentsTable[[#This Row],[Status2]]))</f>
        <v/>
      </c>
      <c r="U1396" s="237" t="str">
        <f t="shared" ca="1" si="21"/>
        <v/>
      </c>
      <c r="V1396" s="233"/>
      <c r="W1396" s="63" t="s">
        <v>2298</v>
      </c>
    </row>
    <row r="1397" spans="1:23" ht="26">
      <c r="A1397" s="213" t="str">
        <f>IF(OR(CommitmentsTable[[#This Row],[Commitment / deliverable]]="",CommitmentsTable[[#This Row],[Immutable Key]]=""),"",SUBSTITUTE(CommitmentsTable[[#This Row],[Immutable Key]],"-K-","-"))</f>
        <v/>
      </c>
      <c r="B1397" s="233"/>
      <c r="C1397" s="233"/>
      <c r="D1397" s="213"/>
      <c r="E1397" s="230"/>
      <c r="F1397" s="213"/>
      <c r="G1397" s="245"/>
      <c r="H1397" s="245"/>
      <c r="I1397" s="245" t="str">
        <f>IF(CommitmentsTable[[#This Row],[Date Assigned if different from entry date]]&lt;&gt;"",CommitmentsTable[[#This Row],[Date Assigned if different from entry date]]+90,IF(CommitmentsTable[[#This Row],[Date record entered]]&lt;&gt;"",CommitmentsTable[[#This Row],[Date record entered]]+90,""))</f>
        <v/>
      </c>
      <c r="J1397" s="245" t="str">
        <f>IF(CommitmentsTable[[#This Row],[Date Assigned if different from entry date]]&lt;&gt;"",CommitmentsTable[[#This Row],[Date Assigned if different from entry date]]+30,IF(CommitmentsTable[[#This Row],[Date record entered]]&lt;&gt;"",CommitmentsTable[[#This Row],[Date record entered]]+30,""))</f>
        <v/>
      </c>
      <c r="K1397" s="245"/>
      <c r="L1397" s="245" t="str">
        <f>IF(CommitmentsTable[[#This Row],[Date Assigned if different from entry date]]&lt;&gt;"",CommitmentsTable[[#This Row],[Date Assigned if different from entry date]]+60,IF(CommitmentsTable[[#This Row],[Date record entered]]&lt;&gt;"",CommitmentsTable[[#This Row],[Date record entered]]+60,""))</f>
        <v/>
      </c>
      <c r="M1397" s="214"/>
      <c r="N1397" s="214"/>
      <c r="O1397" s="236"/>
      <c r="P1397" s="214"/>
      <c r="Q1397" s="214"/>
      <c r="R1397" s="214"/>
      <c r="S1397" s="238" t="str">
        <f>IF(CommitmentsTable[[#This Row],[Commitment / deliverable]]="","",IF(CommitmentsTable[[#This Row],[Revised due]]&lt;&gt;"",CommitmentsTable[[#This Row],[Revised due]],CommitmentsTable[[#This Row],[Original due]]))</f>
        <v/>
      </c>
      <c r="T1397" s="237" t="str">
        <f>IF(OR(CommitmentsTable[[#This Row],[Commitment / deliverable]]="",CommitmentsTable[[#This Row],[Owner]]=""),"",IF(CommitmentsTable[[#This Row],[Status2]]="","Open",CommitmentsTable[[#This Row],[Status2]]))</f>
        <v/>
      </c>
      <c r="U1397" s="237" t="str">
        <f t="shared" ca="1" si="21"/>
        <v/>
      </c>
      <c r="V1397" s="233"/>
      <c r="W1397" s="63" t="s">
        <v>2299</v>
      </c>
    </row>
    <row r="1398" spans="1:23" ht="26">
      <c r="A1398" s="213" t="str">
        <f>IF(OR(CommitmentsTable[[#This Row],[Commitment / deliverable]]="",CommitmentsTable[[#This Row],[Immutable Key]]=""),"",SUBSTITUTE(CommitmentsTable[[#This Row],[Immutable Key]],"-K-","-"))</f>
        <v/>
      </c>
      <c r="B1398" s="233"/>
      <c r="C1398" s="233"/>
      <c r="D1398" s="213"/>
      <c r="E1398" s="230"/>
      <c r="F1398" s="213"/>
      <c r="G1398" s="245"/>
      <c r="H1398" s="245"/>
      <c r="I1398" s="245" t="str">
        <f>IF(CommitmentsTable[[#This Row],[Date Assigned if different from entry date]]&lt;&gt;"",CommitmentsTable[[#This Row],[Date Assigned if different from entry date]]+90,IF(CommitmentsTable[[#This Row],[Date record entered]]&lt;&gt;"",CommitmentsTable[[#This Row],[Date record entered]]+90,""))</f>
        <v/>
      </c>
      <c r="J1398" s="245" t="str">
        <f>IF(CommitmentsTable[[#This Row],[Date Assigned if different from entry date]]&lt;&gt;"",CommitmentsTable[[#This Row],[Date Assigned if different from entry date]]+30,IF(CommitmentsTable[[#This Row],[Date record entered]]&lt;&gt;"",CommitmentsTable[[#This Row],[Date record entered]]+30,""))</f>
        <v/>
      </c>
      <c r="K1398" s="245"/>
      <c r="L1398" s="245" t="str">
        <f>IF(CommitmentsTable[[#This Row],[Date Assigned if different from entry date]]&lt;&gt;"",CommitmentsTable[[#This Row],[Date Assigned if different from entry date]]+60,IF(CommitmentsTable[[#This Row],[Date record entered]]&lt;&gt;"",CommitmentsTable[[#This Row],[Date record entered]]+60,""))</f>
        <v/>
      </c>
      <c r="M1398" s="214"/>
      <c r="N1398" s="214"/>
      <c r="O1398" s="236"/>
      <c r="P1398" s="214"/>
      <c r="Q1398" s="214"/>
      <c r="R1398" s="214"/>
      <c r="S1398" s="238" t="str">
        <f>IF(CommitmentsTable[[#This Row],[Commitment / deliverable]]="","",IF(CommitmentsTable[[#This Row],[Revised due]]&lt;&gt;"",CommitmentsTable[[#This Row],[Revised due]],CommitmentsTable[[#This Row],[Original due]]))</f>
        <v/>
      </c>
      <c r="T1398" s="237" t="str">
        <f>IF(OR(CommitmentsTable[[#This Row],[Commitment / deliverable]]="",CommitmentsTable[[#This Row],[Owner]]=""),"",IF(CommitmentsTable[[#This Row],[Status2]]="","Open",CommitmentsTable[[#This Row],[Status2]]))</f>
        <v/>
      </c>
      <c r="U1398" s="237" t="str">
        <f t="shared" ca="1" si="21"/>
        <v/>
      </c>
      <c r="V1398" s="233"/>
      <c r="W1398" s="63" t="s">
        <v>2300</v>
      </c>
    </row>
    <row r="1399" spans="1:23" ht="26">
      <c r="A1399" s="213" t="str">
        <f>IF(OR(CommitmentsTable[[#This Row],[Commitment / deliverable]]="",CommitmentsTable[[#This Row],[Immutable Key]]=""),"",SUBSTITUTE(CommitmentsTable[[#This Row],[Immutable Key]],"-K-","-"))</f>
        <v/>
      </c>
      <c r="B1399" s="233"/>
      <c r="C1399" s="233"/>
      <c r="D1399" s="213"/>
      <c r="E1399" s="230"/>
      <c r="F1399" s="213"/>
      <c r="G1399" s="245"/>
      <c r="H1399" s="245"/>
      <c r="I1399" s="245" t="str">
        <f>IF(CommitmentsTable[[#This Row],[Date Assigned if different from entry date]]&lt;&gt;"",CommitmentsTable[[#This Row],[Date Assigned if different from entry date]]+90,IF(CommitmentsTable[[#This Row],[Date record entered]]&lt;&gt;"",CommitmentsTable[[#This Row],[Date record entered]]+90,""))</f>
        <v/>
      </c>
      <c r="J1399" s="245" t="str">
        <f>IF(CommitmentsTable[[#This Row],[Date Assigned if different from entry date]]&lt;&gt;"",CommitmentsTable[[#This Row],[Date Assigned if different from entry date]]+30,IF(CommitmentsTable[[#This Row],[Date record entered]]&lt;&gt;"",CommitmentsTable[[#This Row],[Date record entered]]+30,""))</f>
        <v/>
      </c>
      <c r="K1399" s="245"/>
      <c r="L1399" s="245" t="str">
        <f>IF(CommitmentsTable[[#This Row],[Date Assigned if different from entry date]]&lt;&gt;"",CommitmentsTable[[#This Row],[Date Assigned if different from entry date]]+60,IF(CommitmentsTable[[#This Row],[Date record entered]]&lt;&gt;"",CommitmentsTable[[#This Row],[Date record entered]]+60,""))</f>
        <v/>
      </c>
      <c r="M1399" s="214"/>
      <c r="N1399" s="214"/>
      <c r="O1399" s="236"/>
      <c r="P1399" s="214"/>
      <c r="Q1399" s="214"/>
      <c r="R1399" s="214"/>
      <c r="S1399" s="238" t="str">
        <f>IF(CommitmentsTable[[#This Row],[Commitment / deliverable]]="","",IF(CommitmentsTable[[#This Row],[Revised due]]&lt;&gt;"",CommitmentsTable[[#This Row],[Revised due]],CommitmentsTable[[#This Row],[Original due]]))</f>
        <v/>
      </c>
      <c r="T1399" s="237" t="str">
        <f>IF(OR(CommitmentsTable[[#This Row],[Commitment / deliverable]]="",CommitmentsTable[[#This Row],[Owner]]=""),"",IF(CommitmentsTable[[#This Row],[Status2]]="","Open",CommitmentsTable[[#This Row],[Status2]]))</f>
        <v/>
      </c>
      <c r="U1399" s="237" t="str">
        <f t="shared" ca="1" si="21"/>
        <v/>
      </c>
      <c r="V1399" s="233"/>
      <c r="W1399" s="63" t="s">
        <v>2301</v>
      </c>
    </row>
    <row r="1400" spans="1:23" ht="26">
      <c r="A1400" s="213" t="str">
        <f>IF(OR(CommitmentsTable[[#This Row],[Commitment / deliverable]]="",CommitmentsTable[[#This Row],[Immutable Key]]=""),"",SUBSTITUTE(CommitmentsTable[[#This Row],[Immutable Key]],"-K-","-"))</f>
        <v/>
      </c>
      <c r="B1400" s="233"/>
      <c r="C1400" s="233"/>
      <c r="D1400" s="213"/>
      <c r="E1400" s="230"/>
      <c r="F1400" s="213"/>
      <c r="G1400" s="245"/>
      <c r="H1400" s="245"/>
      <c r="I1400" s="245" t="str">
        <f>IF(CommitmentsTable[[#This Row],[Date Assigned if different from entry date]]&lt;&gt;"",CommitmentsTable[[#This Row],[Date Assigned if different from entry date]]+90,IF(CommitmentsTable[[#This Row],[Date record entered]]&lt;&gt;"",CommitmentsTable[[#This Row],[Date record entered]]+90,""))</f>
        <v/>
      </c>
      <c r="J1400" s="245" t="str">
        <f>IF(CommitmentsTable[[#This Row],[Date Assigned if different from entry date]]&lt;&gt;"",CommitmentsTable[[#This Row],[Date Assigned if different from entry date]]+30,IF(CommitmentsTable[[#This Row],[Date record entered]]&lt;&gt;"",CommitmentsTable[[#This Row],[Date record entered]]+30,""))</f>
        <v/>
      </c>
      <c r="K1400" s="245"/>
      <c r="L1400" s="245" t="str">
        <f>IF(CommitmentsTable[[#This Row],[Date Assigned if different from entry date]]&lt;&gt;"",CommitmentsTable[[#This Row],[Date Assigned if different from entry date]]+60,IF(CommitmentsTable[[#This Row],[Date record entered]]&lt;&gt;"",CommitmentsTable[[#This Row],[Date record entered]]+60,""))</f>
        <v/>
      </c>
      <c r="M1400" s="214"/>
      <c r="N1400" s="214"/>
      <c r="O1400" s="236"/>
      <c r="P1400" s="214"/>
      <c r="Q1400" s="214"/>
      <c r="R1400" s="214"/>
      <c r="S1400" s="238" t="str">
        <f>IF(CommitmentsTable[[#This Row],[Commitment / deliverable]]="","",IF(CommitmentsTable[[#This Row],[Revised due]]&lt;&gt;"",CommitmentsTable[[#This Row],[Revised due]],CommitmentsTable[[#This Row],[Original due]]))</f>
        <v/>
      </c>
      <c r="T1400" s="237" t="str">
        <f>IF(OR(CommitmentsTable[[#This Row],[Commitment / deliverable]]="",CommitmentsTable[[#This Row],[Owner]]=""),"",IF(CommitmentsTable[[#This Row],[Status2]]="","Open",CommitmentsTable[[#This Row],[Status2]]))</f>
        <v/>
      </c>
      <c r="U1400" s="237" t="str">
        <f t="shared" ca="1" si="21"/>
        <v/>
      </c>
      <c r="V1400" s="233"/>
      <c r="W1400" s="63" t="s">
        <v>2302</v>
      </c>
    </row>
    <row r="1401" spans="1:23" ht="26">
      <c r="A1401" s="213" t="str">
        <f>IF(OR(CommitmentsTable[[#This Row],[Commitment / deliverable]]="",CommitmentsTable[[#This Row],[Immutable Key]]=""),"",SUBSTITUTE(CommitmentsTable[[#This Row],[Immutable Key]],"-K-","-"))</f>
        <v/>
      </c>
      <c r="B1401" s="233"/>
      <c r="C1401" s="233"/>
      <c r="D1401" s="213"/>
      <c r="E1401" s="230"/>
      <c r="F1401" s="213"/>
      <c r="G1401" s="245"/>
      <c r="H1401" s="245"/>
      <c r="I1401" s="245" t="str">
        <f>IF(CommitmentsTable[[#This Row],[Date Assigned if different from entry date]]&lt;&gt;"",CommitmentsTable[[#This Row],[Date Assigned if different from entry date]]+90,IF(CommitmentsTable[[#This Row],[Date record entered]]&lt;&gt;"",CommitmentsTable[[#This Row],[Date record entered]]+90,""))</f>
        <v/>
      </c>
      <c r="J1401" s="245" t="str">
        <f>IF(CommitmentsTable[[#This Row],[Date Assigned if different from entry date]]&lt;&gt;"",CommitmentsTable[[#This Row],[Date Assigned if different from entry date]]+30,IF(CommitmentsTable[[#This Row],[Date record entered]]&lt;&gt;"",CommitmentsTable[[#This Row],[Date record entered]]+30,""))</f>
        <v/>
      </c>
      <c r="K1401" s="245"/>
      <c r="L1401" s="245" t="str">
        <f>IF(CommitmentsTable[[#This Row],[Date Assigned if different from entry date]]&lt;&gt;"",CommitmentsTable[[#This Row],[Date Assigned if different from entry date]]+60,IF(CommitmentsTable[[#This Row],[Date record entered]]&lt;&gt;"",CommitmentsTable[[#This Row],[Date record entered]]+60,""))</f>
        <v/>
      </c>
      <c r="M1401" s="214"/>
      <c r="N1401" s="214"/>
      <c r="O1401" s="236"/>
      <c r="P1401" s="214"/>
      <c r="Q1401" s="214"/>
      <c r="R1401" s="214"/>
      <c r="S1401" s="238" t="str">
        <f>IF(CommitmentsTable[[#This Row],[Commitment / deliverable]]="","",IF(CommitmentsTable[[#This Row],[Revised due]]&lt;&gt;"",CommitmentsTable[[#This Row],[Revised due]],CommitmentsTable[[#This Row],[Original due]]))</f>
        <v/>
      </c>
      <c r="T1401" s="237" t="str">
        <f>IF(OR(CommitmentsTable[[#This Row],[Commitment / deliverable]]="",CommitmentsTable[[#This Row],[Owner]]=""),"",IF(CommitmentsTable[[#This Row],[Status2]]="","Open",CommitmentsTable[[#This Row],[Status2]]))</f>
        <v/>
      </c>
      <c r="U1401" s="237" t="str">
        <f t="shared" ca="1" si="21"/>
        <v/>
      </c>
      <c r="V1401" s="233"/>
      <c r="W1401" s="63" t="s">
        <v>2303</v>
      </c>
    </row>
    <row r="1402" spans="1:23" ht="26">
      <c r="A1402" s="213" t="str">
        <f>IF(OR(CommitmentsTable[[#This Row],[Commitment / deliverable]]="",CommitmentsTable[[#This Row],[Immutable Key]]=""),"",SUBSTITUTE(CommitmentsTable[[#This Row],[Immutable Key]],"-K-","-"))</f>
        <v/>
      </c>
      <c r="B1402" s="233"/>
      <c r="C1402" s="233"/>
      <c r="D1402" s="213"/>
      <c r="E1402" s="230"/>
      <c r="F1402" s="213"/>
      <c r="G1402" s="245"/>
      <c r="H1402" s="245"/>
      <c r="I1402" s="245" t="str">
        <f>IF(CommitmentsTable[[#This Row],[Date Assigned if different from entry date]]&lt;&gt;"",CommitmentsTable[[#This Row],[Date Assigned if different from entry date]]+90,IF(CommitmentsTable[[#This Row],[Date record entered]]&lt;&gt;"",CommitmentsTable[[#This Row],[Date record entered]]+90,""))</f>
        <v/>
      </c>
      <c r="J1402" s="245" t="str">
        <f>IF(CommitmentsTable[[#This Row],[Date Assigned if different from entry date]]&lt;&gt;"",CommitmentsTable[[#This Row],[Date Assigned if different from entry date]]+30,IF(CommitmentsTable[[#This Row],[Date record entered]]&lt;&gt;"",CommitmentsTable[[#This Row],[Date record entered]]+30,""))</f>
        <v/>
      </c>
      <c r="K1402" s="245"/>
      <c r="L1402" s="245" t="str">
        <f>IF(CommitmentsTable[[#This Row],[Date Assigned if different from entry date]]&lt;&gt;"",CommitmentsTable[[#This Row],[Date Assigned if different from entry date]]+60,IF(CommitmentsTable[[#This Row],[Date record entered]]&lt;&gt;"",CommitmentsTable[[#This Row],[Date record entered]]+60,""))</f>
        <v/>
      </c>
      <c r="M1402" s="214"/>
      <c r="N1402" s="214"/>
      <c r="O1402" s="236"/>
      <c r="P1402" s="214"/>
      <c r="Q1402" s="214"/>
      <c r="R1402" s="214"/>
      <c r="S1402" s="238" t="str">
        <f>IF(CommitmentsTable[[#This Row],[Commitment / deliverable]]="","",IF(CommitmentsTable[[#This Row],[Revised due]]&lt;&gt;"",CommitmentsTable[[#This Row],[Revised due]],CommitmentsTable[[#This Row],[Original due]]))</f>
        <v/>
      </c>
      <c r="T1402" s="237" t="str">
        <f>IF(OR(CommitmentsTable[[#This Row],[Commitment / deliverable]]="",CommitmentsTable[[#This Row],[Owner]]=""),"",IF(CommitmentsTable[[#This Row],[Status2]]="","Open",CommitmentsTable[[#This Row],[Status2]]))</f>
        <v/>
      </c>
      <c r="U1402" s="237" t="str">
        <f t="shared" ca="1" si="21"/>
        <v/>
      </c>
      <c r="V1402" s="233"/>
      <c r="W1402" s="63" t="s">
        <v>2304</v>
      </c>
    </row>
    <row r="1403" spans="1:23" ht="26">
      <c r="A1403" s="213" t="str">
        <f>IF(OR(CommitmentsTable[[#This Row],[Commitment / deliverable]]="",CommitmentsTable[[#This Row],[Immutable Key]]=""),"",SUBSTITUTE(CommitmentsTable[[#This Row],[Immutable Key]],"-K-","-"))</f>
        <v/>
      </c>
      <c r="B1403" s="233"/>
      <c r="C1403" s="233"/>
      <c r="D1403" s="213"/>
      <c r="E1403" s="230"/>
      <c r="F1403" s="213"/>
      <c r="G1403" s="245"/>
      <c r="H1403" s="245"/>
      <c r="I1403" s="245" t="str">
        <f>IF(CommitmentsTable[[#This Row],[Date Assigned if different from entry date]]&lt;&gt;"",CommitmentsTable[[#This Row],[Date Assigned if different from entry date]]+90,IF(CommitmentsTable[[#This Row],[Date record entered]]&lt;&gt;"",CommitmentsTable[[#This Row],[Date record entered]]+90,""))</f>
        <v/>
      </c>
      <c r="J1403" s="245" t="str">
        <f>IF(CommitmentsTable[[#This Row],[Date Assigned if different from entry date]]&lt;&gt;"",CommitmentsTable[[#This Row],[Date Assigned if different from entry date]]+30,IF(CommitmentsTable[[#This Row],[Date record entered]]&lt;&gt;"",CommitmentsTable[[#This Row],[Date record entered]]+30,""))</f>
        <v/>
      </c>
      <c r="K1403" s="245"/>
      <c r="L1403" s="245" t="str">
        <f>IF(CommitmentsTable[[#This Row],[Date Assigned if different from entry date]]&lt;&gt;"",CommitmentsTable[[#This Row],[Date Assigned if different from entry date]]+60,IF(CommitmentsTable[[#This Row],[Date record entered]]&lt;&gt;"",CommitmentsTable[[#This Row],[Date record entered]]+60,""))</f>
        <v/>
      </c>
      <c r="M1403" s="214"/>
      <c r="N1403" s="214"/>
      <c r="O1403" s="236"/>
      <c r="P1403" s="214"/>
      <c r="Q1403" s="214"/>
      <c r="R1403" s="214"/>
      <c r="S1403" s="238" t="str">
        <f>IF(CommitmentsTable[[#This Row],[Commitment / deliverable]]="","",IF(CommitmentsTable[[#This Row],[Revised due]]&lt;&gt;"",CommitmentsTable[[#This Row],[Revised due]],CommitmentsTable[[#This Row],[Original due]]))</f>
        <v/>
      </c>
      <c r="T1403" s="237" t="str">
        <f>IF(OR(CommitmentsTable[[#This Row],[Commitment / deliverable]]="",CommitmentsTable[[#This Row],[Owner]]=""),"",IF(CommitmentsTable[[#This Row],[Status2]]="","Open",CommitmentsTable[[#This Row],[Status2]]))</f>
        <v/>
      </c>
      <c r="U1403" s="237" t="str">
        <f t="shared" ca="1" si="21"/>
        <v/>
      </c>
      <c r="V1403" s="233"/>
      <c r="W1403" s="63" t="s">
        <v>2305</v>
      </c>
    </row>
    <row r="1404" spans="1:23" ht="26">
      <c r="A1404" s="213" t="str">
        <f>IF(OR(CommitmentsTable[[#This Row],[Commitment / deliverable]]="",CommitmentsTable[[#This Row],[Immutable Key]]=""),"",SUBSTITUTE(CommitmentsTable[[#This Row],[Immutable Key]],"-K-","-"))</f>
        <v/>
      </c>
      <c r="B1404" s="233"/>
      <c r="C1404" s="233"/>
      <c r="D1404" s="213"/>
      <c r="E1404" s="230"/>
      <c r="F1404" s="213"/>
      <c r="G1404" s="245"/>
      <c r="H1404" s="245"/>
      <c r="I1404" s="245" t="str">
        <f>IF(CommitmentsTable[[#This Row],[Date Assigned if different from entry date]]&lt;&gt;"",CommitmentsTable[[#This Row],[Date Assigned if different from entry date]]+90,IF(CommitmentsTable[[#This Row],[Date record entered]]&lt;&gt;"",CommitmentsTable[[#This Row],[Date record entered]]+90,""))</f>
        <v/>
      </c>
      <c r="J1404" s="245" t="str">
        <f>IF(CommitmentsTable[[#This Row],[Date Assigned if different from entry date]]&lt;&gt;"",CommitmentsTable[[#This Row],[Date Assigned if different from entry date]]+30,IF(CommitmentsTable[[#This Row],[Date record entered]]&lt;&gt;"",CommitmentsTable[[#This Row],[Date record entered]]+30,""))</f>
        <v/>
      </c>
      <c r="K1404" s="245"/>
      <c r="L1404" s="245" t="str">
        <f>IF(CommitmentsTable[[#This Row],[Date Assigned if different from entry date]]&lt;&gt;"",CommitmentsTable[[#This Row],[Date Assigned if different from entry date]]+60,IF(CommitmentsTable[[#This Row],[Date record entered]]&lt;&gt;"",CommitmentsTable[[#This Row],[Date record entered]]+60,""))</f>
        <v/>
      </c>
      <c r="M1404" s="214"/>
      <c r="N1404" s="214"/>
      <c r="O1404" s="236"/>
      <c r="P1404" s="214"/>
      <c r="Q1404" s="214"/>
      <c r="R1404" s="214"/>
      <c r="S1404" s="238" t="str">
        <f>IF(CommitmentsTable[[#This Row],[Commitment / deliverable]]="","",IF(CommitmentsTable[[#This Row],[Revised due]]&lt;&gt;"",CommitmentsTable[[#This Row],[Revised due]],CommitmentsTable[[#This Row],[Original due]]))</f>
        <v/>
      </c>
      <c r="T1404" s="237" t="str">
        <f>IF(OR(CommitmentsTable[[#This Row],[Commitment / deliverable]]="",CommitmentsTable[[#This Row],[Owner]]=""),"",IF(CommitmentsTable[[#This Row],[Status2]]="","Open",CommitmentsTable[[#This Row],[Status2]]))</f>
        <v/>
      </c>
      <c r="U1404" s="237" t="str">
        <f t="shared" ca="1" si="21"/>
        <v/>
      </c>
      <c r="V1404" s="233"/>
      <c r="W1404" s="63" t="s">
        <v>2306</v>
      </c>
    </row>
    <row r="1405" spans="1:23" ht="26">
      <c r="A1405" s="213" t="str">
        <f>IF(OR(CommitmentsTable[[#This Row],[Commitment / deliverable]]="",CommitmentsTable[[#This Row],[Immutable Key]]=""),"",SUBSTITUTE(CommitmentsTable[[#This Row],[Immutable Key]],"-K-","-"))</f>
        <v/>
      </c>
      <c r="B1405" s="233"/>
      <c r="C1405" s="233"/>
      <c r="D1405" s="213"/>
      <c r="E1405" s="230"/>
      <c r="F1405" s="213"/>
      <c r="G1405" s="245"/>
      <c r="H1405" s="245"/>
      <c r="I1405" s="245" t="str">
        <f>IF(CommitmentsTable[[#This Row],[Date Assigned if different from entry date]]&lt;&gt;"",CommitmentsTable[[#This Row],[Date Assigned if different from entry date]]+90,IF(CommitmentsTable[[#This Row],[Date record entered]]&lt;&gt;"",CommitmentsTable[[#This Row],[Date record entered]]+90,""))</f>
        <v/>
      </c>
      <c r="J1405" s="245" t="str">
        <f>IF(CommitmentsTable[[#This Row],[Date Assigned if different from entry date]]&lt;&gt;"",CommitmentsTable[[#This Row],[Date Assigned if different from entry date]]+30,IF(CommitmentsTable[[#This Row],[Date record entered]]&lt;&gt;"",CommitmentsTable[[#This Row],[Date record entered]]+30,""))</f>
        <v/>
      </c>
      <c r="K1405" s="245"/>
      <c r="L1405" s="245" t="str">
        <f>IF(CommitmentsTable[[#This Row],[Date Assigned if different from entry date]]&lt;&gt;"",CommitmentsTable[[#This Row],[Date Assigned if different from entry date]]+60,IF(CommitmentsTable[[#This Row],[Date record entered]]&lt;&gt;"",CommitmentsTable[[#This Row],[Date record entered]]+60,""))</f>
        <v/>
      </c>
      <c r="M1405" s="214"/>
      <c r="N1405" s="214"/>
      <c r="O1405" s="236"/>
      <c r="P1405" s="214"/>
      <c r="Q1405" s="214"/>
      <c r="R1405" s="214"/>
      <c r="S1405" s="238" t="str">
        <f>IF(CommitmentsTable[[#This Row],[Commitment / deliverable]]="","",IF(CommitmentsTable[[#This Row],[Revised due]]&lt;&gt;"",CommitmentsTable[[#This Row],[Revised due]],CommitmentsTable[[#This Row],[Original due]]))</f>
        <v/>
      </c>
      <c r="T1405" s="237" t="str">
        <f>IF(OR(CommitmentsTable[[#This Row],[Commitment / deliverable]]="",CommitmentsTable[[#This Row],[Owner]]=""),"",IF(CommitmentsTable[[#This Row],[Status2]]="","Open",CommitmentsTable[[#This Row],[Status2]]))</f>
        <v/>
      </c>
      <c r="U1405" s="237" t="str">
        <f t="shared" ca="1" si="21"/>
        <v/>
      </c>
      <c r="V1405" s="233"/>
      <c r="W1405" s="63" t="s">
        <v>2307</v>
      </c>
    </row>
    <row r="1406" spans="1:23" ht="26">
      <c r="A1406" s="213" t="str">
        <f>IF(OR(CommitmentsTable[[#This Row],[Commitment / deliverable]]="",CommitmentsTable[[#This Row],[Immutable Key]]=""),"",SUBSTITUTE(CommitmentsTable[[#This Row],[Immutable Key]],"-K-","-"))</f>
        <v/>
      </c>
      <c r="B1406" s="233"/>
      <c r="C1406" s="233"/>
      <c r="D1406" s="213"/>
      <c r="E1406" s="230"/>
      <c r="F1406" s="213"/>
      <c r="G1406" s="245"/>
      <c r="H1406" s="245"/>
      <c r="I1406" s="245" t="str">
        <f>IF(CommitmentsTable[[#This Row],[Date Assigned if different from entry date]]&lt;&gt;"",CommitmentsTable[[#This Row],[Date Assigned if different from entry date]]+90,IF(CommitmentsTable[[#This Row],[Date record entered]]&lt;&gt;"",CommitmentsTable[[#This Row],[Date record entered]]+90,""))</f>
        <v/>
      </c>
      <c r="J1406" s="245" t="str">
        <f>IF(CommitmentsTable[[#This Row],[Date Assigned if different from entry date]]&lt;&gt;"",CommitmentsTable[[#This Row],[Date Assigned if different from entry date]]+30,IF(CommitmentsTable[[#This Row],[Date record entered]]&lt;&gt;"",CommitmentsTable[[#This Row],[Date record entered]]+30,""))</f>
        <v/>
      </c>
      <c r="K1406" s="245"/>
      <c r="L1406" s="245" t="str">
        <f>IF(CommitmentsTable[[#This Row],[Date Assigned if different from entry date]]&lt;&gt;"",CommitmentsTable[[#This Row],[Date Assigned if different from entry date]]+60,IF(CommitmentsTable[[#This Row],[Date record entered]]&lt;&gt;"",CommitmentsTable[[#This Row],[Date record entered]]+60,""))</f>
        <v/>
      </c>
      <c r="M1406" s="214"/>
      <c r="N1406" s="214"/>
      <c r="O1406" s="236"/>
      <c r="P1406" s="214"/>
      <c r="Q1406" s="214"/>
      <c r="R1406" s="214"/>
      <c r="S1406" s="238" t="str">
        <f>IF(CommitmentsTable[[#This Row],[Commitment / deliverable]]="","",IF(CommitmentsTable[[#This Row],[Revised due]]&lt;&gt;"",CommitmentsTable[[#This Row],[Revised due]],CommitmentsTable[[#This Row],[Original due]]))</f>
        <v/>
      </c>
      <c r="T1406" s="237" t="str">
        <f>IF(OR(CommitmentsTable[[#This Row],[Commitment / deliverable]]="",CommitmentsTable[[#This Row],[Owner]]=""),"",IF(CommitmentsTable[[#This Row],[Status2]]="","Open",CommitmentsTable[[#This Row],[Status2]]))</f>
        <v/>
      </c>
      <c r="U1406" s="237" t="str">
        <f t="shared" ca="1" si="21"/>
        <v/>
      </c>
      <c r="V1406" s="233"/>
      <c r="W1406" s="63" t="s">
        <v>2308</v>
      </c>
    </row>
    <row r="1407" spans="1:23" ht="26">
      <c r="A1407" s="213" t="str">
        <f>IF(OR(CommitmentsTable[[#This Row],[Commitment / deliverable]]="",CommitmentsTable[[#This Row],[Immutable Key]]=""),"",SUBSTITUTE(CommitmentsTable[[#This Row],[Immutable Key]],"-K-","-"))</f>
        <v/>
      </c>
      <c r="B1407" s="233"/>
      <c r="C1407" s="233"/>
      <c r="D1407" s="213"/>
      <c r="E1407" s="230"/>
      <c r="F1407" s="213"/>
      <c r="G1407" s="245"/>
      <c r="H1407" s="245"/>
      <c r="I1407" s="245" t="str">
        <f>IF(CommitmentsTable[[#This Row],[Date Assigned if different from entry date]]&lt;&gt;"",CommitmentsTable[[#This Row],[Date Assigned if different from entry date]]+90,IF(CommitmentsTable[[#This Row],[Date record entered]]&lt;&gt;"",CommitmentsTable[[#This Row],[Date record entered]]+90,""))</f>
        <v/>
      </c>
      <c r="J1407" s="245" t="str">
        <f>IF(CommitmentsTable[[#This Row],[Date Assigned if different from entry date]]&lt;&gt;"",CommitmentsTable[[#This Row],[Date Assigned if different from entry date]]+30,IF(CommitmentsTable[[#This Row],[Date record entered]]&lt;&gt;"",CommitmentsTable[[#This Row],[Date record entered]]+30,""))</f>
        <v/>
      </c>
      <c r="K1407" s="245"/>
      <c r="L1407" s="245" t="str">
        <f>IF(CommitmentsTable[[#This Row],[Date Assigned if different from entry date]]&lt;&gt;"",CommitmentsTable[[#This Row],[Date Assigned if different from entry date]]+60,IF(CommitmentsTable[[#This Row],[Date record entered]]&lt;&gt;"",CommitmentsTable[[#This Row],[Date record entered]]+60,""))</f>
        <v/>
      </c>
      <c r="M1407" s="214"/>
      <c r="N1407" s="214"/>
      <c r="O1407" s="236"/>
      <c r="P1407" s="214"/>
      <c r="Q1407" s="214"/>
      <c r="R1407" s="214"/>
      <c r="S1407" s="238" t="str">
        <f>IF(CommitmentsTable[[#This Row],[Commitment / deliverable]]="","",IF(CommitmentsTable[[#This Row],[Revised due]]&lt;&gt;"",CommitmentsTable[[#This Row],[Revised due]],CommitmentsTable[[#This Row],[Original due]]))</f>
        <v/>
      </c>
      <c r="T1407" s="237" t="str">
        <f>IF(OR(CommitmentsTable[[#This Row],[Commitment / deliverable]]="",CommitmentsTable[[#This Row],[Owner]]=""),"",IF(CommitmentsTable[[#This Row],[Status2]]="","Open",CommitmentsTable[[#This Row],[Status2]]))</f>
        <v/>
      </c>
      <c r="U1407" s="237" t="str">
        <f t="shared" ca="1" si="21"/>
        <v/>
      </c>
      <c r="V1407" s="233"/>
      <c r="W1407" s="63" t="s">
        <v>2309</v>
      </c>
    </row>
    <row r="1408" spans="1:23" ht="26">
      <c r="A1408" s="213" t="str">
        <f>IF(OR(CommitmentsTable[[#This Row],[Commitment / deliverable]]="",CommitmentsTable[[#This Row],[Immutable Key]]=""),"",SUBSTITUTE(CommitmentsTable[[#This Row],[Immutable Key]],"-K-","-"))</f>
        <v/>
      </c>
      <c r="B1408" s="233"/>
      <c r="C1408" s="233"/>
      <c r="D1408" s="213"/>
      <c r="E1408" s="230"/>
      <c r="F1408" s="213"/>
      <c r="G1408" s="245"/>
      <c r="H1408" s="245"/>
      <c r="I1408" s="245" t="str">
        <f>IF(CommitmentsTable[[#This Row],[Date Assigned if different from entry date]]&lt;&gt;"",CommitmentsTable[[#This Row],[Date Assigned if different from entry date]]+90,IF(CommitmentsTable[[#This Row],[Date record entered]]&lt;&gt;"",CommitmentsTable[[#This Row],[Date record entered]]+90,""))</f>
        <v/>
      </c>
      <c r="J1408" s="245" t="str">
        <f>IF(CommitmentsTable[[#This Row],[Date Assigned if different from entry date]]&lt;&gt;"",CommitmentsTable[[#This Row],[Date Assigned if different from entry date]]+30,IF(CommitmentsTable[[#This Row],[Date record entered]]&lt;&gt;"",CommitmentsTable[[#This Row],[Date record entered]]+30,""))</f>
        <v/>
      </c>
      <c r="K1408" s="245"/>
      <c r="L1408" s="245" t="str">
        <f>IF(CommitmentsTable[[#This Row],[Date Assigned if different from entry date]]&lt;&gt;"",CommitmentsTable[[#This Row],[Date Assigned if different from entry date]]+60,IF(CommitmentsTable[[#This Row],[Date record entered]]&lt;&gt;"",CommitmentsTable[[#This Row],[Date record entered]]+60,""))</f>
        <v/>
      </c>
      <c r="M1408" s="214"/>
      <c r="N1408" s="214"/>
      <c r="O1408" s="236"/>
      <c r="P1408" s="214"/>
      <c r="Q1408" s="214"/>
      <c r="R1408" s="214"/>
      <c r="S1408" s="238" t="str">
        <f>IF(CommitmentsTable[[#This Row],[Commitment / deliverable]]="","",IF(CommitmentsTable[[#This Row],[Revised due]]&lt;&gt;"",CommitmentsTable[[#This Row],[Revised due]],CommitmentsTable[[#This Row],[Original due]]))</f>
        <v/>
      </c>
      <c r="T1408" s="237" t="str">
        <f>IF(OR(CommitmentsTable[[#This Row],[Commitment / deliverable]]="",CommitmentsTable[[#This Row],[Owner]]=""),"",IF(CommitmentsTable[[#This Row],[Status2]]="","Open",CommitmentsTable[[#This Row],[Status2]]))</f>
        <v/>
      </c>
      <c r="U1408" s="237" t="str">
        <f t="shared" ca="1" si="21"/>
        <v/>
      </c>
      <c r="V1408" s="233"/>
      <c r="W1408" s="63" t="s">
        <v>2310</v>
      </c>
    </row>
    <row r="1409" spans="1:23" ht="26">
      <c r="A1409" s="213" t="str">
        <f>IF(OR(CommitmentsTable[[#This Row],[Commitment / deliverable]]="",CommitmentsTable[[#This Row],[Immutable Key]]=""),"",SUBSTITUTE(CommitmentsTable[[#This Row],[Immutable Key]],"-K-","-"))</f>
        <v/>
      </c>
      <c r="B1409" s="233"/>
      <c r="C1409" s="233"/>
      <c r="D1409" s="213"/>
      <c r="E1409" s="230"/>
      <c r="F1409" s="213"/>
      <c r="G1409" s="245"/>
      <c r="H1409" s="245"/>
      <c r="I1409" s="245" t="str">
        <f>IF(CommitmentsTable[[#This Row],[Date Assigned if different from entry date]]&lt;&gt;"",CommitmentsTable[[#This Row],[Date Assigned if different from entry date]]+90,IF(CommitmentsTable[[#This Row],[Date record entered]]&lt;&gt;"",CommitmentsTable[[#This Row],[Date record entered]]+90,""))</f>
        <v/>
      </c>
      <c r="J1409" s="245" t="str">
        <f>IF(CommitmentsTable[[#This Row],[Date Assigned if different from entry date]]&lt;&gt;"",CommitmentsTable[[#This Row],[Date Assigned if different from entry date]]+30,IF(CommitmentsTable[[#This Row],[Date record entered]]&lt;&gt;"",CommitmentsTable[[#This Row],[Date record entered]]+30,""))</f>
        <v/>
      </c>
      <c r="K1409" s="245"/>
      <c r="L1409" s="245" t="str">
        <f>IF(CommitmentsTable[[#This Row],[Date Assigned if different from entry date]]&lt;&gt;"",CommitmentsTable[[#This Row],[Date Assigned if different from entry date]]+60,IF(CommitmentsTable[[#This Row],[Date record entered]]&lt;&gt;"",CommitmentsTable[[#This Row],[Date record entered]]+60,""))</f>
        <v/>
      </c>
      <c r="M1409" s="214"/>
      <c r="N1409" s="214"/>
      <c r="O1409" s="236"/>
      <c r="P1409" s="214"/>
      <c r="Q1409" s="214"/>
      <c r="R1409" s="214"/>
      <c r="S1409" s="238" t="str">
        <f>IF(CommitmentsTable[[#This Row],[Commitment / deliverable]]="","",IF(CommitmentsTable[[#This Row],[Revised due]]&lt;&gt;"",CommitmentsTable[[#This Row],[Revised due]],CommitmentsTable[[#This Row],[Original due]]))</f>
        <v/>
      </c>
      <c r="T1409" s="237" t="str">
        <f>IF(OR(CommitmentsTable[[#This Row],[Commitment / deliverable]]="",CommitmentsTable[[#This Row],[Owner]]=""),"",IF(CommitmentsTable[[#This Row],[Status2]]="","Open",CommitmentsTable[[#This Row],[Status2]]))</f>
        <v/>
      </c>
      <c r="U1409" s="237" t="str">
        <f t="shared" ca="1" si="21"/>
        <v/>
      </c>
      <c r="V1409" s="233"/>
      <c r="W1409" s="63" t="s">
        <v>2311</v>
      </c>
    </row>
    <row r="1410" spans="1:23" ht="26">
      <c r="A1410" s="213" t="str">
        <f>IF(OR(CommitmentsTable[[#This Row],[Commitment / deliverable]]="",CommitmentsTable[[#This Row],[Immutable Key]]=""),"",SUBSTITUTE(CommitmentsTable[[#This Row],[Immutable Key]],"-K-","-"))</f>
        <v/>
      </c>
      <c r="B1410" s="233"/>
      <c r="C1410" s="233"/>
      <c r="D1410" s="213"/>
      <c r="E1410" s="230"/>
      <c r="F1410" s="213"/>
      <c r="G1410" s="245"/>
      <c r="H1410" s="245"/>
      <c r="I1410" s="245" t="str">
        <f>IF(CommitmentsTable[[#This Row],[Date Assigned if different from entry date]]&lt;&gt;"",CommitmentsTable[[#This Row],[Date Assigned if different from entry date]]+90,IF(CommitmentsTable[[#This Row],[Date record entered]]&lt;&gt;"",CommitmentsTable[[#This Row],[Date record entered]]+90,""))</f>
        <v/>
      </c>
      <c r="J1410" s="245" t="str">
        <f>IF(CommitmentsTable[[#This Row],[Date Assigned if different from entry date]]&lt;&gt;"",CommitmentsTable[[#This Row],[Date Assigned if different from entry date]]+30,IF(CommitmentsTable[[#This Row],[Date record entered]]&lt;&gt;"",CommitmentsTable[[#This Row],[Date record entered]]+30,""))</f>
        <v/>
      </c>
      <c r="K1410" s="245"/>
      <c r="L1410" s="245" t="str">
        <f>IF(CommitmentsTable[[#This Row],[Date Assigned if different from entry date]]&lt;&gt;"",CommitmentsTable[[#This Row],[Date Assigned if different from entry date]]+60,IF(CommitmentsTable[[#This Row],[Date record entered]]&lt;&gt;"",CommitmentsTable[[#This Row],[Date record entered]]+60,""))</f>
        <v/>
      </c>
      <c r="M1410" s="214"/>
      <c r="N1410" s="214"/>
      <c r="O1410" s="236"/>
      <c r="P1410" s="214"/>
      <c r="Q1410" s="214"/>
      <c r="R1410" s="214"/>
      <c r="S1410" s="238" t="str">
        <f>IF(CommitmentsTable[[#This Row],[Commitment / deliverable]]="","",IF(CommitmentsTable[[#This Row],[Revised due]]&lt;&gt;"",CommitmentsTable[[#This Row],[Revised due]],CommitmentsTable[[#This Row],[Original due]]))</f>
        <v/>
      </c>
      <c r="T1410" s="237" t="str">
        <f>IF(OR(CommitmentsTable[[#This Row],[Commitment / deliverable]]="",CommitmentsTable[[#This Row],[Owner]]=""),"",IF(CommitmentsTable[[#This Row],[Status2]]="","Open",CommitmentsTable[[#This Row],[Status2]]))</f>
        <v/>
      </c>
      <c r="U1410" s="237" t="str">
        <f t="shared" ca="1" si="21"/>
        <v/>
      </c>
      <c r="V1410" s="233"/>
      <c r="W1410" s="63" t="s">
        <v>2312</v>
      </c>
    </row>
    <row r="1411" spans="1:23" ht="26">
      <c r="A1411" s="213" t="str">
        <f>IF(OR(CommitmentsTable[[#This Row],[Commitment / deliverable]]="",CommitmentsTable[[#This Row],[Immutable Key]]=""),"",SUBSTITUTE(CommitmentsTable[[#This Row],[Immutable Key]],"-K-","-"))</f>
        <v/>
      </c>
      <c r="B1411" s="233"/>
      <c r="C1411" s="233"/>
      <c r="D1411" s="213"/>
      <c r="E1411" s="230"/>
      <c r="F1411" s="213"/>
      <c r="G1411" s="245"/>
      <c r="H1411" s="245"/>
      <c r="I1411" s="245" t="str">
        <f>IF(CommitmentsTable[[#This Row],[Date Assigned if different from entry date]]&lt;&gt;"",CommitmentsTable[[#This Row],[Date Assigned if different from entry date]]+90,IF(CommitmentsTable[[#This Row],[Date record entered]]&lt;&gt;"",CommitmentsTable[[#This Row],[Date record entered]]+90,""))</f>
        <v/>
      </c>
      <c r="J1411" s="245" t="str">
        <f>IF(CommitmentsTable[[#This Row],[Date Assigned if different from entry date]]&lt;&gt;"",CommitmentsTable[[#This Row],[Date Assigned if different from entry date]]+30,IF(CommitmentsTable[[#This Row],[Date record entered]]&lt;&gt;"",CommitmentsTable[[#This Row],[Date record entered]]+30,""))</f>
        <v/>
      </c>
      <c r="K1411" s="245"/>
      <c r="L1411" s="245" t="str">
        <f>IF(CommitmentsTable[[#This Row],[Date Assigned if different from entry date]]&lt;&gt;"",CommitmentsTable[[#This Row],[Date Assigned if different from entry date]]+60,IF(CommitmentsTable[[#This Row],[Date record entered]]&lt;&gt;"",CommitmentsTable[[#This Row],[Date record entered]]+60,""))</f>
        <v/>
      </c>
      <c r="M1411" s="214"/>
      <c r="N1411" s="214"/>
      <c r="O1411" s="236"/>
      <c r="P1411" s="214"/>
      <c r="Q1411" s="214"/>
      <c r="R1411" s="214"/>
      <c r="S1411" s="238" t="str">
        <f>IF(CommitmentsTable[[#This Row],[Commitment / deliverable]]="","",IF(CommitmentsTable[[#This Row],[Revised due]]&lt;&gt;"",CommitmentsTable[[#This Row],[Revised due]],CommitmentsTable[[#This Row],[Original due]]))</f>
        <v/>
      </c>
      <c r="T1411" s="237" t="str">
        <f>IF(OR(CommitmentsTable[[#This Row],[Commitment / deliverable]]="",CommitmentsTable[[#This Row],[Owner]]=""),"",IF(CommitmentsTable[[#This Row],[Status2]]="","Open",CommitmentsTable[[#This Row],[Status2]]))</f>
        <v/>
      </c>
      <c r="U1411" s="237" t="str">
        <f t="shared" ca="1" si="21"/>
        <v/>
      </c>
      <c r="V1411" s="233"/>
      <c r="W1411" s="63" t="s">
        <v>2313</v>
      </c>
    </row>
    <row r="1412" spans="1:23" ht="26">
      <c r="A1412" s="213" t="str">
        <f>IF(OR(CommitmentsTable[[#This Row],[Commitment / deliverable]]="",CommitmentsTable[[#This Row],[Immutable Key]]=""),"",SUBSTITUTE(CommitmentsTable[[#This Row],[Immutable Key]],"-K-","-"))</f>
        <v/>
      </c>
      <c r="B1412" s="233"/>
      <c r="C1412" s="233"/>
      <c r="D1412" s="213"/>
      <c r="E1412" s="230"/>
      <c r="F1412" s="213"/>
      <c r="G1412" s="245"/>
      <c r="H1412" s="245"/>
      <c r="I1412" s="245" t="str">
        <f>IF(CommitmentsTable[[#This Row],[Date Assigned if different from entry date]]&lt;&gt;"",CommitmentsTable[[#This Row],[Date Assigned if different from entry date]]+90,IF(CommitmentsTable[[#This Row],[Date record entered]]&lt;&gt;"",CommitmentsTable[[#This Row],[Date record entered]]+90,""))</f>
        <v/>
      </c>
      <c r="J1412" s="245" t="str">
        <f>IF(CommitmentsTable[[#This Row],[Date Assigned if different from entry date]]&lt;&gt;"",CommitmentsTable[[#This Row],[Date Assigned if different from entry date]]+30,IF(CommitmentsTable[[#This Row],[Date record entered]]&lt;&gt;"",CommitmentsTable[[#This Row],[Date record entered]]+30,""))</f>
        <v/>
      </c>
      <c r="K1412" s="245"/>
      <c r="L1412" s="245" t="str">
        <f>IF(CommitmentsTable[[#This Row],[Date Assigned if different from entry date]]&lt;&gt;"",CommitmentsTable[[#This Row],[Date Assigned if different from entry date]]+60,IF(CommitmentsTable[[#This Row],[Date record entered]]&lt;&gt;"",CommitmentsTable[[#This Row],[Date record entered]]+60,""))</f>
        <v/>
      </c>
      <c r="M1412" s="214"/>
      <c r="N1412" s="214"/>
      <c r="O1412" s="236"/>
      <c r="P1412" s="214"/>
      <c r="Q1412" s="214"/>
      <c r="R1412" s="214"/>
      <c r="S1412" s="238" t="str">
        <f>IF(CommitmentsTable[[#This Row],[Commitment / deliverable]]="","",IF(CommitmentsTable[[#This Row],[Revised due]]&lt;&gt;"",CommitmentsTable[[#This Row],[Revised due]],CommitmentsTable[[#This Row],[Original due]]))</f>
        <v/>
      </c>
      <c r="T1412" s="237" t="str">
        <f>IF(OR(CommitmentsTable[[#This Row],[Commitment / deliverable]]="",CommitmentsTable[[#This Row],[Owner]]=""),"",IF(CommitmentsTable[[#This Row],[Status2]]="","Open",CommitmentsTable[[#This Row],[Status2]]))</f>
        <v/>
      </c>
      <c r="U1412" s="237" t="str">
        <f t="shared" ca="1" si="21"/>
        <v/>
      </c>
      <c r="V1412" s="233"/>
      <c r="W1412" s="63" t="s">
        <v>2314</v>
      </c>
    </row>
    <row r="1413" spans="1:23" ht="26">
      <c r="A1413" s="213" t="str">
        <f>IF(OR(CommitmentsTable[[#This Row],[Commitment / deliverable]]="",CommitmentsTable[[#This Row],[Immutable Key]]=""),"",SUBSTITUTE(CommitmentsTable[[#This Row],[Immutable Key]],"-K-","-"))</f>
        <v/>
      </c>
      <c r="B1413" s="233"/>
      <c r="C1413" s="233"/>
      <c r="D1413" s="213"/>
      <c r="E1413" s="230"/>
      <c r="F1413" s="213"/>
      <c r="G1413" s="245"/>
      <c r="H1413" s="245"/>
      <c r="I1413" s="245" t="str">
        <f>IF(CommitmentsTable[[#This Row],[Date Assigned if different from entry date]]&lt;&gt;"",CommitmentsTable[[#This Row],[Date Assigned if different from entry date]]+90,IF(CommitmentsTable[[#This Row],[Date record entered]]&lt;&gt;"",CommitmentsTable[[#This Row],[Date record entered]]+90,""))</f>
        <v/>
      </c>
      <c r="J1413" s="245" t="str">
        <f>IF(CommitmentsTable[[#This Row],[Date Assigned if different from entry date]]&lt;&gt;"",CommitmentsTable[[#This Row],[Date Assigned if different from entry date]]+30,IF(CommitmentsTable[[#This Row],[Date record entered]]&lt;&gt;"",CommitmentsTable[[#This Row],[Date record entered]]+30,""))</f>
        <v/>
      </c>
      <c r="K1413" s="245"/>
      <c r="L1413" s="245" t="str">
        <f>IF(CommitmentsTable[[#This Row],[Date Assigned if different from entry date]]&lt;&gt;"",CommitmentsTable[[#This Row],[Date Assigned if different from entry date]]+60,IF(CommitmentsTable[[#This Row],[Date record entered]]&lt;&gt;"",CommitmentsTable[[#This Row],[Date record entered]]+60,""))</f>
        <v/>
      </c>
      <c r="M1413" s="214"/>
      <c r="N1413" s="214"/>
      <c r="O1413" s="236"/>
      <c r="P1413" s="214"/>
      <c r="Q1413" s="214"/>
      <c r="R1413" s="214"/>
      <c r="S1413" s="238" t="str">
        <f>IF(CommitmentsTable[[#This Row],[Commitment / deliverable]]="","",IF(CommitmentsTable[[#This Row],[Revised due]]&lt;&gt;"",CommitmentsTable[[#This Row],[Revised due]],CommitmentsTable[[#This Row],[Original due]]))</f>
        <v/>
      </c>
      <c r="T1413" s="237" t="str">
        <f>IF(OR(CommitmentsTable[[#This Row],[Commitment / deliverable]]="",CommitmentsTable[[#This Row],[Owner]]=""),"",IF(CommitmentsTable[[#This Row],[Status2]]="","Open",CommitmentsTable[[#This Row],[Status2]]))</f>
        <v/>
      </c>
      <c r="U1413" s="237" t="str">
        <f t="shared" ca="1" si="21"/>
        <v/>
      </c>
      <c r="V1413" s="233"/>
      <c r="W1413" s="63" t="s">
        <v>2315</v>
      </c>
    </row>
    <row r="1414" spans="1:23" ht="26">
      <c r="A1414" s="213" t="str">
        <f>IF(OR(CommitmentsTable[[#This Row],[Commitment / deliverable]]="",CommitmentsTable[[#This Row],[Immutable Key]]=""),"",SUBSTITUTE(CommitmentsTable[[#This Row],[Immutable Key]],"-K-","-"))</f>
        <v/>
      </c>
      <c r="B1414" s="233"/>
      <c r="C1414" s="233"/>
      <c r="D1414" s="213"/>
      <c r="E1414" s="230"/>
      <c r="F1414" s="213"/>
      <c r="G1414" s="245"/>
      <c r="H1414" s="245"/>
      <c r="I1414" s="245" t="str">
        <f>IF(CommitmentsTable[[#This Row],[Date Assigned if different from entry date]]&lt;&gt;"",CommitmentsTable[[#This Row],[Date Assigned if different from entry date]]+90,IF(CommitmentsTable[[#This Row],[Date record entered]]&lt;&gt;"",CommitmentsTable[[#This Row],[Date record entered]]+90,""))</f>
        <v/>
      </c>
      <c r="J1414" s="245" t="str">
        <f>IF(CommitmentsTable[[#This Row],[Date Assigned if different from entry date]]&lt;&gt;"",CommitmentsTable[[#This Row],[Date Assigned if different from entry date]]+30,IF(CommitmentsTable[[#This Row],[Date record entered]]&lt;&gt;"",CommitmentsTable[[#This Row],[Date record entered]]+30,""))</f>
        <v/>
      </c>
      <c r="K1414" s="245"/>
      <c r="L1414" s="245" t="str">
        <f>IF(CommitmentsTable[[#This Row],[Date Assigned if different from entry date]]&lt;&gt;"",CommitmentsTable[[#This Row],[Date Assigned if different from entry date]]+60,IF(CommitmentsTable[[#This Row],[Date record entered]]&lt;&gt;"",CommitmentsTable[[#This Row],[Date record entered]]+60,""))</f>
        <v/>
      </c>
      <c r="M1414" s="214"/>
      <c r="N1414" s="214"/>
      <c r="O1414" s="236"/>
      <c r="P1414" s="214"/>
      <c r="Q1414" s="214"/>
      <c r="R1414" s="214"/>
      <c r="S1414" s="238" t="str">
        <f>IF(CommitmentsTable[[#This Row],[Commitment / deliverable]]="","",IF(CommitmentsTable[[#This Row],[Revised due]]&lt;&gt;"",CommitmentsTable[[#This Row],[Revised due]],CommitmentsTable[[#This Row],[Original due]]))</f>
        <v/>
      </c>
      <c r="T1414" s="237" t="str">
        <f>IF(OR(CommitmentsTable[[#This Row],[Commitment / deliverable]]="",CommitmentsTable[[#This Row],[Owner]]=""),"",IF(CommitmentsTable[[#This Row],[Status2]]="","Open",CommitmentsTable[[#This Row],[Status2]]))</f>
        <v/>
      </c>
      <c r="U1414" s="237" t="str">
        <f t="shared" ca="1" si="21"/>
        <v/>
      </c>
      <c r="V1414" s="233"/>
      <c r="W1414" s="63" t="s">
        <v>2316</v>
      </c>
    </row>
    <row r="1415" spans="1:23" ht="26">
      <c r="A1415" s="213" t="str">
        <f>IF(OR(CommitmentsTable[[#This Row],[Commitment / deliverable]]="",CommitmentsTable[[#This Row],[Immutable Key]]=""),"",SUBSTITUTE(CommitmentsTable[[#This Row],[Immutable Key]],"-K-","-"))</f>
        <v/>
      </c>
      <c r="B1415" s="233"/>
      <c r="C1415" s="233"/>
      <c r="D1415" s="213"/>
      <c r="E1415" s="230"/>
      <c r="F1415" s="213"/>
      <c r="G1415" s="245"/>
      <c r="H1415" s="245"/>
      <c r="I1415" s="245" t="str">
        <f>IF(CommitmentsTable[[#This Row],[Date Assigned if different from entry date]]&lt;&gt;"",CommitmentsTable[[#This Row],[Date Assigned if different from entry date]]+90,IF(CommitmentsTable[[#This Row],[Date record entered]]&lt;&gt;"",CommitmentsTable[[#This Row],[Date record entered]]+90,""))</f>
        <v/>
      </c>
      <c r="J1415" s="245" t="str">
        <f>IF(CommitmentsTable[[#This Row],[Date Assigned if different from entry date]]&lt;&gt;"",CommitmentsTable[[#This Row],[Date Assigned if different from entry date]]+30,IF(CommitmentsTable[[#This Row],[Date record entered]]&lt;&gt;"",CommitmentsTable[[#This Row],[Date record entered]]+30,""))</f>
        <v/>
      </c>
      <c r="K1415" s="245"/>
      <c r="L1415" s="245" t="str">
        <f>IF(CommitmentsTable[[#This Row],[Date Assigned if different from entry date]]&lt;&gt;"",CommitmentsTable[[#This Row],[Date Assigned if different from entry date]]+60,IF(CommitmentsTable[[#This Row],[Date record entered]]&lt;&gt;"",CommitmentsTable[[#This Row],[Date record entered]]+60,""))</f>
        <v/>
      </c>
      <c r="M1415" s="214"/>
      <c r="N1415" s="214"/>
      <c r="O1415" s="236"/>
      <c r="P1415" s="214"/>
      <c r="Q1415" s="214"/>
      <c r="R1415" s="214"/>
      <c r="S1415" s="238" t="str">
        <f>IF(CommitmentsTable[[#This Row],[Commitment / deliverable]]="","",IF(CommitmentsTable[[#This Row],[Revised due]]&lt;&gt;"",CommitmentsTable[[#This Row],[Revised due]],CommitmentsTable[[#This Row],[Original due]]))</f>
        <v/>
      </c>
      <c r="T1415" s="237" t="str">
        <f>IF(OR(CommitmentsTable[[#This Row],[Commitment / deliverable]]="",CommitmentsTable[[#This Row],[Owner]]=""),"",IF(CommitmentsTable[[#This Row],[Status2]]="","Open",CommitmentsTable[[#This Row],[Status2]]))</f>
        <v/>
      </c>
      <c r="U1415" s="237" t="str">
        <f t="shared" ca="1" si="21"/>
        <v/>
      </c>
      <c r="V1415" s="233"/>
      <c r="W1415" s="63" t="s">
        <v>2317</v>
      </c>
    </row>
    <row r="1416" spans="1:23" ht="26">
      <c r="A1416" s="213" t="str">
        <f>IF(OR(CommitmentsTable[[#This Row],[Commitment / deliverable]]="",CommitmentsTable[[#This Row],[Immutable Key]]=""),"",SUBSTITUTE(CommitmentsTable[[#This Row],[Immutable Key]],"-K-","-"))</f>
        <v/>
      </c>
      <c r="B1416" s="233"/>
      <c r="C1416" s="233"/>
      <c r="D1416" s="213"/>
      <c r="E1416" s="230"/>
      <c r="F1416" s="213"/>
      <c r="G1416" s="245"/>
      <c r="H1416" s="245"/>
      <c r="I1416" s="245" t="str">
        <f>IF(CommitmentsTable[[#This Row],[Date Assigned if different from entry date]]&lt;&gt;"",CommitmentsTable[[#This Row],[Date Assigned if different from entry date]]+90,IF(CommitmentsTable[[#This Row],[Date record entered]]&lt;&gt;"",CommitmentsTable[[#This Row],[Date record entered]]+90,""))</f>
        <v/>
      </c>
      <c r="J1416" s="245" t="str">
        <f>IF(CommitmentsTable[[#This Row],[Date Assigned if different from entry date]]&lt;&gt;"",CommitmentsTable[[#This Row],[Date Assigned if different from entry date]]+30,IF(CommitmentsTable[[#This Row],[Date record entered]]&lt;&gt;"",CommitmentsTable[[#This Row],[Date record entered]]+30,""))</f>
        <v/>
      </c>
      <c r="K1416" s="245"/>
      <c r="L1416" s="245" t="str">
        <f>IF(CommitmentsTable[[#This Row],[Date Assigned if different from entry date]]&lt;&gt;"",CommitmentsTable[[#This Row],[Date Assigned if different from entry date]]+60,IF(CommitmentsTable[[#This Row],[Date record entered]]&lt;&gt;"",CommitmentsTable[[#This Row],[Date record entered]]+60,""))</f>
        <v/>
      </c>
      <c r="M1416" s="214"/>
      <c r="N1416" s="214"/>
      <c r="O1416" s="236"/>
      <c r="P1416" s="214"/>
      <c r="Q1416" s="214"/>
      <c r="R1416" s="214"/>
      <c r="S1416" s="238" t="str">
        <f>IF(CommitmentsTable[[#This Row],[Commitment / deliverable]]="","",IF(CommitmentsTable[[#This Row],[Revised due]]&lt;&gt;"",CommitmentsTable[[#This Row],[Revised due]],CommitmentsTable[[#This Row],[Original due]]))</f>
        <v/>
      </c>
      <c r="T1416" s="237" t="str">
        <f>IF(OR(CommitmentsTable[[#This Row],[Commitment / deliverable]]="",CommitmentsTable[[#This Row],[Owner]]=""),"",IF(CommitmentsTable[[#This Row],[Status2]]="","Open",CommitmentsTable[[#This Row],[Status2]]))</f>
        <v/>
      </c>
      <c r="U1416" s="237" t="str">
        <f t="shared" ca="1" si="21"/>
        <v/>
      </c>
      <c r="V1416" s="233"/>
      <c r="W1416" s="63" t="s">
        <v>2318</v>
      </c>
    </row>
    <row r="1417" spans="1:23" ht="26">
      <c r="A1417" s="213" t="str">
        <f>IF(OR(CommitmentsTable[[#This Row],[Commitment / deliverable]]="",CommitmentsTable[[#This Row],[Immutable Key]]=""),"",SUBSTITUTE(CommitmentsTable[[#This Row],[Immutable Key]],"-K-","-"))</f>
        <v/>
      </c>
      <c r="B1417" s="233"/>
      <c r="C1417" s="233"/>
      <c r="D1417" s="213"/>
      <c r="E1417" s="230"/>
      <c r="F1417" s="213"/>
      <c r="G1417" s="245"/>
      <c r="H1417" s="245"/>
      <c r="I1417" s="245" t="str">
        <f>IF(CommitmentsTable[[#This Row],[Date Assigned if different from entry date]]&lt;&gt;"",CommitmentsTable[[#This Row],[Date Assigned if different from entry date]]+90,IF(CommitmentsTable[[#This Row],[Date record entered]]&lt;&gt;"",CommitmentsTable[[#This Row],[Date record entered]]+90,""))</f>
        <v/>
      </c>
      <c r="J1417" s="245" t="str">
        <f>IF(CommitmentsTable[[#This Row],[Date Assigned if different from entry date]]&lt;&gt;"",CommitmentsTable[[#This Row],[Date Assigned if different from entry date]]+30,IF(CommitmentsTable[[#This Row],[Date record entered]]&lt;&gt;"",CommitmentsTable[[#This Row],[Date record entered]]+30,""))</f>
        <v/>
      </c>
      <c r="K1417" s="245"/>
      <c r="L1417" s="245" t="str">
        <f>IF(CommitmentsTable[[#This Row],[Date Assigned if different from entry date]]&lt;&gt;"",CommitmentsTable[[#This Row],[Date Assigned if different from entry date]]+60,IF(CommitmentsTable[[#This Row],[Date record entered]]&lt;&gt;"",CommitmentsTable[[#This Row],[Date record entered]]+60,""))</f>
        <v/>
      </c>
      <c r="M1417" s="214"/>
      <c r="N1417" s="214"/>
      <c r="O1417" s="236"/>
      <c r="P1417" s="214"/>
      <c r="Q1417" s="214"/>
      <c r="R1417" s="214"/>
      <c r="S1417" s="238" t="str">
        <f>IF(CommitmentsTable[[#This Row],[Commitment / deliverable]]="","",IF(CommitmentsTable[[#This Row],[Revised due]]&lt;&gt;"",CommitmentsTable[[#This Row],[Revised due]],CommitmentsTable[[#This Row],[Original due]]))</f>
        <v/>
      </c>
      <c r="T1417" s="237" t="str">
        <f>IF(OR(CommitmentsTable[[#This Row],[Commitment / deliverable]]="",CommitmentsTable[[#This Row],[Owner]]=""),"",IF(CommitmentsTable[[#This Row],[Status2]]="","Open",CommitmentsTable[[#This Row],[Status2]]))</f>
        <v/>
      </c>
      <c r="U1417" s="237" t="str">
        <f t="shared" ca="1" si="21"/>
        <v/>
      </c>
      <c r="V1417" s="233"/>
      <c r="W1417" s="63" t="s">
        <v>2319</v>
      </c>
    </row>
    <row r="1418" spans="1:23" ht="26">
      <c r="A1418" s="213" t="str">
        <f>IF(OR(CommitmentsTable[[#This Row],[Commitment / deliverable]]="",CommitmentsTable[[#This Row],[Immutable Key]]=""),"",SUBSTITUTE(CommitmentsTable[[#This Row],[Immutable Key]],"-K-","-"))</f>
        <v/>
      </c>
      <c r="B1418" s="233"/>
      <c r="C1418" s="233"/>
      <c r="D1418" s="213"/>
      <c r="E1418" s="230"/>
      <c r="F1418" s="213"/>
      <c r="G1418" s="245"/>
      <c r="H1418" s="245"/>
      <c r="I1418" s="245" t="str">
        <f>IF(CommitmentsTable[[#This Row],[Date Assigned if different from entry date]]&lt;&gt;"",CommitmentsTable[[#This Row],[Date Assigned if different from entry date]]+90,IF(CommitmentsTable[[#This Row],[Date record entered]]&lt;&gt;"",CommitmentsTable[[#This Row],[Date record entered]]+90,""))</f>
        <v/>
      </c>
      <c r="J1418" s="245" t="str">
        <f>IF(CommitmentsTable[[#This Row],[Date Assigned if different from entry date]]&lt;&gt;"",CommitmentsTable[[#This Row],[Date Assigned if different from entry date]]+30,IF(CommitmentsTable[[#This Row],[Date record entered]]&lt;&gt;"",CommitmentsTable[[#This Row],[Date record entered]]+30,""))</f>
        <v/>
      </c>
      <c r="K1418" s="245"/>
      <c r="L1418" s="245" t="str">
        <f>IF(CommitmentsTable[[#This Row],[Date Assigned if different from entry date]]&lt;&gt;"",CommitmentsTable[[#This Row],[Date Assigned if different from entry date]]+60,IF(CommitmentsTable[[#This Row],[Date record entered]]&lt;&gt;"",CommitmentsTable[[#This Row],[Date record entered]]+60,""))</f>
        <v/>
      </c>
      <c r="M1418" s="214"/>
      <c r="N1418" s="214"/>
      <c r="O1418" s="236"/>
      <c r="P1418" s="214"/>
      <c r="Q1418" s="214"/>
      <c r="R1418" s="214"/>
      <c r="S1418" s="238" t="str">
        <f>IF(CommitmentsTable[[#This Row],[Commitment / deliverable]]="","",IF(CommitmentsTable[[#This Row],[Revised due]]&lt;&gt;"",CommitmentsTable[[#This Row],[Revised due]],CommitmentsTable[[#This Row],[Original due]]))</f>
        <v/>
      </c>
      <c r="T1418" s="237" t="str">
        <f>IF(OR(CommitmentsTable[[#This Row],[Commitment / deliverable]]="",CommitmentsTable[[#This Row],[Owner]]=""),"",IF(CommitmentsTable[[#This Row],[Status2]]="","Open",CommitmentsTable[[#This Row],[Status2]]))</f>
        <v/>
      </c>
      <c r="U1418" s="237" t="str">
        <f t="shared" ca="1" si="21"/>
        <v/>
      </c>
      <c r="V1418" s="233"/>
      <c r="W1418" s="63" t="s">
        <v>2320</v>
      </c>
    </row>
    <row r="1420" spans="1:23" ht="145">
      <c r="A1420" s="239" t="s">
        <v>2321</v>
      </c>
      <c r="B1420" s="239"/>
      <c r="C1420" s="239"/>
      <c r="D1420" s="239"/>
      <c r="E1420" s="262"/>
      <c r="F1420" s="239"/>
      <c r="G1420" s="249"/>
      <c r="H1420" s="249"/>
      <c r="I1420" s="249"/>
      <c r="J1420" s="249"/>
      <c r="K1420" s="249"/>
      <c r="L1420" s="249"/>
      <c r="M1420" s="240"/>
      <c r="N1420" s="240"/>
      <c r="O1420" s="241"/>
      <c r="P1420" s="240"/>
      <c r="Q1420" s="240"/>
      <c r="R1420" s="240"/>
      <c r="S1420" s="239"/>
      <c r="T1420" s="239"/>
      <c r="U1420" s="239"/>
      <c r="V1420" s="239"/>
    </row>
  </sheetData>
  <sheetProtection algorithmName="SHA-512" hashValue="FHC+ituoiVuHWuH3aTkd7dcifz2ve+UMDtghD4s71VnOjDj1/r+LqA9wiwAmRCErw/mjgUybNOb6Uk8I1jX/EA==" saltValue="CDVApIWl53dsGCnpIrUAcQ==" spinCount="100000" sheet="1" objects="1" scenarios="1"/>
  <conditionalFormatting sqref="E1:F1048576">
    <cfRule type="cellIs" dxfId="31" priority="3" operator="equal">
      <formula>"🟢 Met/On Track"</formula>
    </cfRule>
  </conditionalFormatting>
  <conditionalFormatting sqref="E13:F1048576">
    <cfRule type="cellIs" dxfId="30" priority="1" operator="equal">
      <formula>"🔴  Not Started/ At Risk"</formula>
    </cfRule>
    <cfRule type="cellIs" dxfId="29" priority="2" operator="equal">
      <formula>"🟡 In Progress/Carried Forward"</formula>
    </cfRule>
  </conditionalFormatting>
  <conditionalFormatting sqref="U13:U1418">
    <cfRule type="containsText" dxfId="25" priority="11" operator="containsText" text="Slipped / at risk"/>
  </conditionalFormatting>
  <conditionalFormatting sqref="W14:W1418">
    <cfRule type="expression" dxfId="24" priority="7">
      <formula>$H14="Completed"</formula>
    </cfRule>
    <cfRule type="expression" dxfId="23" priority="8">
      <formula>$I14="Critical"</formula>
    </cfRule>
    <cfRule type="expression" dxfId="22" priority="9">
      <formula>$I14="High"</formula>
    </cfRule>
    <cfRule type="expression" dxfId="21" priority="10">
      <formula>$I14="Medium"</formula>
    </cfRule>
  </conditionalFormatting>
  <dataValidations count="1">
    <dataValidation allowBlank="1" showInputMessage="1" sqref="H2:H3 G1 G4:G1048576" xr:uid="{A9E192FE-4D65-441A-92CC-4AE19B6B264B}"/>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expression" priority="4" id="{C87E35E1-495C-479F-AA95-EBD20FDA2ABF}">
            <xm:f>'Lists &amp; Controls'!$AG$4</xm:f>
            <x14:dxf>
              <fill>
                <patternFill>
                  <bgColor rgb="FF92D050"/>
                </patternFill>
              </fill>
            </x14:dxf>
          </x14:cfRule>
          <x14:cfRule type="expression" priority="5" id="{D5EB51A2-60CF-449F-9B4B-B9384A13D183}">
            <xm:f>'Lists &amp; Controls'!$AG$3</xm:f>
            <x14:dxf>
              <fill>
                <patternFill>
                  <bgColor rgb="FFFFFF00"/>
                </patternFill>
              </fill>
            </x14:dxf>
          </x14:cfRule>
          <x14:cfRule type="expression" priority="6" id="{55E72CFF-0EB0-43A4-960B-1CF31681E594}">
            <xm:f>'Lists &amp; Controls'!$AG$2</xm:f>
            <x14:dxf>
              <fill>
                <patternFill>
                  <bgColor theme="5" tint="0.39994506668294322"/>
                </patternFill>
              </fill>
            </x14:dxf>
          </x14:cfRule>
          <xm:sqref>E13:F1048576</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xr:uid="{D5B343FC-C32B-47EF-9B50-9448CB7F3266}">
          <x14:formula1>
            <xm:f>'Lists &amp; Controls'!$AG$2:$AG$4</xm:f>
          </x14:formula1>
          <xm:sqref>E13:E1048576</xm:sqref>
        </x14:dataValidation>
        <x14:dataValidation type="list" allowBlank="1" showInputMessage="1" xr:uid="{36346E6F-4664-4CE7-9E64-2CCC95FE6FA9}">
          <x14:formula1>
            <xm:f>'Lists &amp; Controls'!$AU$2:$AU$44</xm:f>
          </x14:formula1>
          <xm:sqref>H13:H1048576</xm:sqref>
        </x14:dataValidation>
        <x14:dataValidation type="list" allowBlank="1" showInputMessage="1" showErrorMessage="1" errorTitle="Not Authorized Approver" error="Not Authorized Approver" xr:uid="{BFF63574-04D8-4589-9CC9-899DD41B9908}">
          <x14:formula1>
            <xm:f>'Lists &amp; Controls'!$O$5:$O$21</xm:f>
          </x14:formula1>
          <xm:sqref>O13:O1048576</xm:sqref>
        </x14:dataValidation>
        <x14:dataValidation type="list" allowBlank="1" showInputMessage="1" xr:uid="{8F92F4D7-4C25-4493-86D0-6518F8775557}">
          <x14:formula1>
            <xm:f>'Lists &amp; Controls'!$AU$2:$AU$37</xm:f>
          </x14:formula1>
          <xm:sqref>P13:P1048576</xm:sqref>
        </x14:dataValidation>
        <x14:dataValidation type="list" allowBlank="1" showInputMessage="1" xr:uid="{A2BCFE15-4737-4DA8-BCA6-AA3B8D614F39}">
          <x14:formula1>
            <xm:f>'Lists &amp; Controls'!$AW$2:$AW$45</xm:f>
          </x14:formula1>
          <xm:sqref>Q13:Q1048576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CC5C8-5216-4EAA-A5CF-82B648D3E7A5}">
  <dimension ref="A1"/>
  <sheetViews>
    <sheetView workbookViewId="0"/>
  </sheetViews>
  <sheetFormatPr defaultRowHeight="14.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B9BD5"/>
    <pageSetUpPr fitToPage="1"/>
  </sheetPr>
  <dimension ref="A1:W108"/>
  <sheetViews>
    <sheetView showGridLines="0" workbookViewId="0">
      <pane xSplit="2" ySplit="4" topLeftCell="M5" activePane="bottomRight" state="frozen"/>
      <selection pane="topRight" activeCell="F10" sqref="F10"/>
      <selection pane="bottomLeft" activeCell="F10" sqref="F10"/>
      <selection pane="bottomRight" activeCell="F10" sqref="F10"/>
    </sheetView>
  </sheetViews>
  <sheetFormatPr defaultRowHeight="14.5"/>
  <cols>
    <col min="1" max="1" width="20" customWidth="1"/>
    <col min="2" max="2" width="41.81640625" customWidth="1"/>
    <col min="3" max="3" width="20" customWidth="1"/>
    <col min="4" max="4" width="17.7265625" customWidth="1"/>
    <col min="5" max="5" width="18.54296875" customWidth="1"/>
    <col min="6" max="6" width="41.81640625" customWidth="1"/>
    <col min="7" max="14" width="20" style="7" customWidth="1"/>
    <col min="15" max="15" width="38.1796875" customWidth="1"/>
    <col min="16" max="18" width="20" style="7" customWidth="1"/>
    <col min="19" max="19" width="38.1796875" customWidth="1"/>
    <col min="20" max="20" width="20" style="7" customWidth="1"/>
    <col min="21" max="21" width="20" customWidth="1"/>
    <col min="22" max="23" width="20" hidden="1" customWidth="1"/>
  </cols>
  <sheetData>
    <row r="1" spans="1:23" ht="30" customHeight="1">
      <c r="A1" s="337" t="s">
        <v>81</v>
      </c>
      <c r="B1" s="274"/>
      <c r="C1" s="274"/>
      <c r="D1" s="274"/>
      <c r="E1" s="274"/>
      <c r="F1" s="274"/>
      <c r="G1" s="359"/>
      <c r="H1" s="359"/>
      <c r="I1" s="359"/>
      <c r="J1" s="359"/>
      <c r="K1" s="359"/>
      <c r="L1" s="359"/>
      <c r="M1" s="359"/>
      <c r="N1" s="359"/>
      <c r="O1" s="274"/>
      <c r="P1" s="359"/>
      <c r="Q1" s="359"/>
      <c r="R1" s="359"/>
      <c r="S1" s="274"/>
      <c r="T1" s="359"/>
      <c r="U1" s="274"/>
      <c r="V1" s="2"/>
      <c r="W1" s="2"/>
    </row>
    <row r="2" spans="1:23" ht="24" customHeight="1">
      <c r="A2" s="360" t="s">
        <v>2322</v>
      </c>
      <c r="B2" s="274"/>
      <c r="C2" s="274"/>
      <c r="D2" s="274"/>
      <c r="E2" s="274"/>
      <c r="F2" s="274"/>
      <c r="G2" s="359"/>
      <c r="H2" s="359"/>
      <c r="I2" s="359"/>
      <c r="J2" s="359"/>
      <c r="K2" s="359"/>
      <c r="L2" s="359"/>
      <c r="M2" s="359"/>
      <c r="N2" s="359"/>
      <c r="O2" s="274"/>
      <c r="P2" s="359"/>
      <c r="Q2" s="359"/>
      <c r="R2" s="359"/>
      <c r="S2" s="274"/>
      <c r="T2" s="359"/>
      <c r="U2" s="274"/>
      <c r="V2" s="2"/>
      <c r="W2" s="2"/>
    </row>
    <row r="3" spans="1:23">
      <c r="A3" s="2"/>
      <c r="B3" s="2"/>
      <c r="C3" s="2"/>
      <c r="D3" s="2"/>
      <c r="E3" s="2"/>
      <c r="F3" s="2"/>
      <c r="G3" s="42"/>
      <c r="H3" s="42"/>
      <c r="I3" s="42"/>
      <c r="J3" s="42"/>
      <c r="K3" s="42"/>
      <c r="L3" s="42"/>
      <c r="M3" s="42"/>
      <c r="N3" s="42"/>
      <c r="O3" s="2"/>
      <c r="P3" s="42"/>
      <c r="Q3" s="42"/>
      <c r="R3" s="42"/>
      <c r="S3" s="2"/>
      <c r="T3" s="42"/>
      <c r="U3" s="2"/>
      <c r="V3" s="2"/>
      <c r="W3" s="2"/>
    </row>
    <row r="4" spans="1:23" ht="30" customHeight="1">
      <c r="A4" s="30" t="s">
        <v>439</v>
      </c>
      <c r="B4" s="30" t="s">
        <v>440</v>
      </c>
      <c r="C4" s="30" t="s">
        <v>441</v>
      </c>
      <c r="D4" s="30" t="s">
        <v>442</v>
      </c>
      <c r="E4" s="30" t="s">
        <v>443</v>
      </c>
      <c r="F4" s="30" t="s">
        <v>444</v>
      </c>
      <c r="G4" s="30" t="s">
        <v>102</v>
      </c>
      <c r="H4" s="30" t="s">
        <v>445</v>
      </c>
      <c r="I4" s="30" t="s">
        <v>446</v>
      </c>
      <c r="J4" s="30" t="s">
        <v>161</v>
      </c>
      <c r="K4" s="30" t="s">
        <v>159</v>
      </c>
      <c r="L4" s="30" t="s">
        <v>105</v>
      </c>
      <c r="M4" s="30" t="s">
        <v>447</v>
      </c>
      <c r="N4" s="30" t="s">
        <v>448</v>
      </c>
      <c r="O4" s="30" t="s">
        <v>449</v>
      </c>
      <c r="P4" s="30" t="s">
        <v>450</v>
      </c>
      <c r="Q4" s="30" t="s">
        <v>451</v>
      </c>
      <c r="R4" s="30" t="s">
        <v>452</v>
      </c>
      <c r="S4" s="30" t="s">
        <v>453</v>
      </c>
      <c r="T4" s="30" t="s">
        <v>163</v>
      </c>
      <c r="U4" s="30" t="s">
        <v>164</v>
      </c>
      <c r="V4" s="30" t="s">
        <v>454</v>
      </c>
      <c r="W4" s="30" t="s">
        <v>168</v>
      </c>
    </row>
    <row r="5" spans="1:23" ht="40.5" customHeight="1">
      <c r="A5" s="3" t="str">
        <f t="shared" ref="A5:A36" si="0">IF($B5&lt;&gt;"","DEC-"&amp;TEXT(--RIGHT($V5,4),"0000"),"")</f>
        <v>DEC-0001</v>
      </c>
      <c r="B5" s="141" t="s">
        <v>471</v>
      </c>
      <c r="C5" s="28" t="s">
        <v>128</v>
      </c>
      <c r="D5" s="141" t="s">
        <v>137</v>
      </c>
      <c r="E5" s="29">
        <v>46225</v>
      </c>
      <c r="F5" s="28" t="s">
        <v>472</v>
      </c>
      <c r="G5" s="85" t="s">
        <v>2323</v>
      </c>
      <c r="H5" s="85" t="s">
        <v>473</v>
      </c>
      <c r="I5" s="85" t="s">
        <v>474</v>
      </c>
      <c r="J5" s="85" t="s">
        <v>175</v>
      </c>
      <c r="K5" s="85" t="s">
        <v>173</v>
      </c>
      <c r="L5" s="85" t="s">
        <v>128</v>
      </c>
      <c r="M5" s="86"/>
      <c r="N5" s="85" t="s">
        <v>184</v>
      </c>
      <c r="O5" s="28" t="s">
        <v>475</v>
      </c>
      <c r="P5" s="85" t="s">
        <v>137</v>
      </c>
      <c r="Q5" s="85" t="s">
        <v>135</v>
      </c>
      <c r="R5" s="86">
        <v>46219</v>
      </c>
      <c r="S5" s="28" t="s">
        <v>476</v>
      </c>
      <c r="T5" s="85"/>
      <c r="U5" s="28" t="s">
        <v>477</v>
      </c>
      <c r="V5" s="3" t="s">
        <v>478</v>
      </c>
      <c r="W5" s="3" t="str">
        <f t="shared" ref="W5:W36" si="1">IF($B5="","",IF(OR($G5="Completed",$G5="Cancelled",$G5="Deferred"),"INACTIVE","ACTIVE"))</f>
        <v>ACTIVE</v>
      </c>
    </row>
    <row r="6" spans="1:23" ht="54" customHeight="1">
      <c r="A6" s="3" t="str">
        <f t="shared" si="0"/>
        <v>DEC-0002</v>
      </c>
      <c r="B6" s="141" t="s">
        <v>481</v>
      </c>
      <c r="C6" s="28" t="s">
        <v>126</v>
      </c>
      <c r="D6" s="141" t="s">
        <v>129</v>
      </c>
      <c r="E6" s="29">
        <v>46227</v>
      </c>
      <c r="F6" s="28" t="s">
        <v>2324</v>
      </c>
      <c r="G6" s="85" t="s">
        <v>2325</v>
      </c>
      <c r="H6" s="85" t="s">
        <v>484</v>
      </c>
      <c r="I6" s="85" t="s">
        <v>474</v>
      </c>
      <c r="J6" s="85" t="s">
        <v>191</v>
      </c>
      <c r="K6" s="85" t="s">
        <v>183</v>
      </c>
      <c r="L6" s="85" t="s">
        <v>126</v>
      </c>
      <c r="M6" s="86"/>
      <c r="N6" s="85" t="s">
        <v>184</v>
      </c>
      <c r="O6" s="28" t="s">
        <v>485</v>
      </c>
      <c r="P6" s="85" t="s">
        <v>129</v>
      </c>
      <c r="Q6" s="85" t="s">
        <v>135</v>
      </c>
      <c r="R6" s="86">
        <v>46219</v>
      </c>
      <c r="S6" s="28" t="s">
        <v>486</v>
      </c>
      <c r="T6" s="85"/>
      <c r="U6" s="28" t="s">
        <v>487</v>
      </c>
      <c r="V6" s="3" t="s">
        <v>488</v>
      </c>
      <c r="W6" s="3" t="str">
        <f t="shared" si="1"/>
        <v>ACTIVE</v>
      </c>
    </row>
    <row r="7" spans="1:23" ht="135" customHeight="1">
      <c r="A7" s="3" t="str">
        <f t="shared" si="0"/>
        <v>DEC-0003</v>
      </c>
      <c r="B7" s="28" t="s">
        <v>490</v>
      </c>
      <c r="C7" s="28" t="s">
        <v>228</v>
      </c>
      <c r="D7" s="28" t="s">
        <v>131</v>
      </c>
      <c r="E7" s="29">
        <v>46244</v>
      </c>
      <c r="F7" s="28" t="s">
        <v>2326</v>
      </c>
      <c r="G7" s="85" t="s">
        <v>242</v>
      </c>
      <c r="H7" s="85" t="s">
        <v>492</v>
      </c>
      <c r="I7" s="85" t="s">
        <v>493</v>
      </c>
      <c r="J7" s="85" t="s">
        <v>175</v>
      </c>
      <c r="K7" s="85" t="s">
        <v>173</v>
      </c>
      <c r="L7" s="85" t="s">
        <v>138</v>
      </c>
      <c r="M7" s="86"/>
      <c r="N7" s="85" t="s">
        <v>184</v>
      </c>
      <c r="O7" s="28" t="s">
        <v>2327</v>
      </c>
      <c r="P7" s="85" t="s">
        <v>131</v>
      </c>
      <c r="Q7" s="85" t="s">
        <v>131</v>
      </c>
      <c r="R7" s="86">
        <v>46223</v>
      </c>
      <c r="S7" s="28" t="s">
        <v>2328</v>
      </c>
      <c r="T7" s="85"/>
      <c r="U7" s="28"/>
      <c r="V7" s="3" t="s">
        <v>496</v>
      </c>
      <c r="W7" s="3" t="str">
        <f t="shared" si="1"/>
        <v>ACTIVE</v>
      </c>
    </row>
    <row r="8" spans="1:23">
      <c r="A8" s="3" t="str">
        <f t="shared" si="0"/>
        <v/>
      </c>
      <c r="B8" s="28"/>
      <c r="C8" s="28"/>
      <c r="D8" s="28"/>
      <c r="E8" s="29"/>
      <c r="F8" s="28"/>
      <c r="G8" s="85"/>
      <c r="H8" s="85"/>
      <c r="I8" s="85"/>
      <c r="J8" s="85"/>
      <c r="K8" s="85"/>
      <c r="L8" s="85"/>
      <c r="M8" s="86"/>
      <c r="N8" s="85"/>
      <c r="O8" s="28"/>
      <c r="P8" s="85"/>
      <c r="Q8" s="85"/>
      <c r="R8" s="86"/>
      <c r="S8" s="28"/>
      <c r="T8" s="85"/>
      <c r="U8" s="28"/>
      <c r="V8" s="3" t="s">
        <v>2329</v>
      </c>
      <c r="W8" s="3" t="str">
        <f t="shared" si="1"/>
        <v/>
      </c>
    </row>
    <row r="9" spans="1:23">
      <c r="A9" s="3" t="str">
        <f t="shared" si="0"/>
        <v/>
      </c>
      <c r="B9" s="28"/>
      <c r="C9" s="28"/>
      <c r="D9" s="28"/>
      <c r="E9" s="29"/>
      <c r="F9" s="28"/>
      <c r="G9" s="85"/>
      <c r="H9" s="85"/>
      <c r="I9" s="85"/>
      <c r="J9" s="85"/>
      <c r="K9" s="85"/>
      <c r="L9" s="85"/>
      <c r="M9" s="86"/>
      <c r="N9" s="85"/>
      <c r="O9" s="28"/>
      <c r="P9" s="85"/>
      <c r="Q9" s="85"/>
      <c r="R9" s="86"/>
      <c r="S9" s="28"/>
      <c r="T9" s="85"/>
      <c r="U9" s="28"/>
      <c r="V9" s="3" t="s">
        <v>2330</v>
      </c>
      <c r="W9" s="3" t="str">
        <f t="shared" si="1"/>
        <v/>
      </c>
    </row>
    <row r="10" spans="1:23">
      <c r="A10" s="3" t="str">
        <f t="shared" si="0"/>
        <v/>
      </c>
      <c r="B10" s="28"/>
      <c r="C10" s="28"/>
      <c r="D10" s="28"/>
      <c r="E10" s="29"/>
      <c r="F10" s="28"/>
      <c r="G10" s="85"/>
      <c r="H10" s="85"/>
      <c r="I10" s="85"/>
      <c r="J10" s="85"/>
      <c r="K10" s="85"/>
      <c r="L10" s="85"/>
      <c r="M10" s="86"/>
      <c r="N10" s="85"/>
      <c r="O10" s="28"/>
      <c r="P10" s="85"/>
      <c r="Q10" s="85"/>
      <c r="R10" s="86"/>
      <c r="S10" s="28"/>
      <c r="T10" s="85"/>
      <c r="U10" s="28"/>
      <c r="V10" s="3" t="s">
        <v>2331</v>
      </c>
      <c r="W10" s="3" t="str">
        <f t="shared" si="1"/>
        <v/>
      </c>
    </row>
    <row r="11" spans="1:23">
      <c r="A11" s="3" t="str">
        <f t="shared" si="0"/>
        <v/>
      </c>
      <c r="B11" s="28"/>
      <c r="C11" s="28"/>
      <c r="D11" s="28"/>
      <c r="E11" s="29"/>
      <c r="F11" s="28"/>
      <c r="G11" s="85"/>
      <c r="H11" s="85"/>
      <c r="I11" s="85"/>
      <c r="J11" s="85"/>
      <c r="K11" s="85"/>
      <c r="L11" s="85"/>
      <c r="M11" s="86"/>
      <c r="N11" s="85"/>
      <c r="O11" s="28"/>
      <c r="P11" s="85"/>
      <c r="Q11" s="85"/>
      <c r="R11" s="86"/>
      <c r="S11" s="28"/>
      <c r="T11" s="85"/>
      <c r="U11" s="28"/>
      <c r="V11" s="3" t="s">
        <v>2332</v>
      </c>
      <c r="W11" s="3" t="str">
        <f t="shared" si="1"/>
        <v/>
      </c>
    </row>
    <row r="12" spans="1:23">
      <c r="A12" s="3" t="str">
        <f t="shared" si="0"/>
        <v/>
      </c>
      <c r="B12" s="28"/>
      <c r="C12" s="28"/>
      <c r="D12" s="28"/>
      <c r="E12" s="29"/>
      <c r="F12" s="28"/>
      <c r="G12" s="85"/>
      <c r="H12" s="85"/>
      <c r="I12" s="85"/>
      <c r="J12" s="85"/>
      <c r="K12" s="85"/>
      <c r="L12" s="85"/>
      <c r="M12" s="86"/>
      <c r="N12" s="85"/>
      <c r="O12" s="28"/>
      <c r="P12" s="85"/>
      <c r="Q12" s="85"/>
      <c r="R12" s="86"/>
      <c r="S12" s="28"/>
      <c r="T12" s="85"/>
      <c r="U12" s="28"/>
      <c r="V12" s="3" t="s">
        <v>2333</v>
      </c>
      <c r="W12" s="3" t="str">
        <f t="shared" si="1"/>
        <v/>
      </c>
    </row>
    <row r="13" spans="1:23">
      <c r="A13" s="3" t="str">
        <f t="shared" si="0"/>
        <v/>
      </c>
      <c r="B13" s="28"/>
      <c r="C13" s="28"/>
      <c r="D13" s="28"/>
      <c r="E13" s="29"/>
      <c r="F13" s="28"/>
      <c r="G13" s="85"/>
      <c r="H13" s="85"/>
      <c r="I13" s="85"/>
      <c r="J13" s="85"/>
      <c r="K13" s="85"/>
      <c r="L13" s="85"/>
      <c r="M13" s="86"/>
      <c r="N13" s="85"/>
      <c r="O13" s="28"/>
      <c r="P13" s="85"/>
      <c r="Q13" s="85"/>
      <c r="R13" s="86"/>
      <c r="S13" s="28"/>
      <c r="T13" s="85"/>
      <c r="U13" s="28"/>
      <c r="V13" s="3" t="s">
        <v>2334</v>
      </c>
      <c r="W13" s="3" t="str">
        <f t="shared" si="1"/>
        <v/>
      </c>
    </row>
    <row r="14" spans="1:23">
      <c r="A14" s="3" t="str">
        <f t="shared" si="0"/>
        <v/>
      </c>
      <c r="B14" s="28"/>
      <c r="C14" s="28"/>
      <c r="D14" s="28"/>
      <c r="E14" s="29"/>
      <c r="F14" s="28"/>
      <c r="G14" s="85"/>
      <c r="H14" s="85"/>
      <c r="I14" s="85"/>
      <c r="J14" s="85"/>
      <c r="K14" s="85"/>
      <c r="L14" s="85"/>
      <c r="M14" s="86"/>
      <c r="N14" s="85"/>
      <c r="O14" s="28"/>
      <c r="P14" s="85"/>
      <c r="Q14" s="85"/>
      <c r="R14" s="86"/>
      <c r="S14" s="28"/>
      <c r="T14" s="85"/>
      <c r="U14" s="28"/>
      <c r="V14" s="3" t="s">
        <v>2335</v>
      </c>
      <c r="W14" s="3" t="str">
        <f t="shared" si="1"/>
        <v/>
      </c>
    </row>
    <row r="15" spans="1:23">
      <c r="A15" s="3" t="str">
        <f t="shared" si="0"/>
        <v/>
      </c>
      <c r="B15" s="28"/>
      <c r="C15" s="28"/>
      <c r="D15" s="28"/>
      <c r="E15" s="29"/>
      <c r="F15" s="28"/>
      <c r="G15" s="85"/>
      <c r="H15" s="85"/>
      <c r="I15" s="85"/>
      <c r="J15" s="85"/>
      <c r="K15" s="85"/>
      <c r="L15" s="85"/>
      <c r="M15" s="86"/>
      <c r="N15" s="85"/>
      <c r="O15" s="28"/>
      <c r="P15" s="85"/>
      <c r="Q15" s="85"/>
      <c r="R15" s="86"/>
      <c r="S15" s="28"/>
      <c r="T15" s="85"/>
      <c r="U15" s="28"/>
      <c r="V15" s="3" t="s">
        <v>2336</v>
      </c>
      <c r="W15" s="3" t="str">
        <f t="shared" si="1"/>
        <v/>
      </c>
    </row>
    <row r="16" spans="1:23">
      <c r="A16" s="3" t="str">
        <f t="shared" si="0"/>
        <v/>
      </c>
      <c r="B16" s="28"/>
      <c r="C16" s="28"/>
      <c r="D16" s="28"/>
      <c r="E16" s="29"/>
      <c r="F16" s="28"/>
      <c r="G16" s="85"/>
      <c r="H16" s="85"/>
      <c r="I16" s="85"/>
      <c r="J16" s="85"/>
      <c r="K16" s="85"/>
      <c r="L16" s="85"/>
      <c r="M16" s="86"/>
      <c r="N16" s="85"/>
      <c r="O16" s="28"/>
      <c r="P16" s="85"/>
      <c r="Q16" s="85"/>
      <c r="R16" s="86"/>
      <c r="S16" s="28"/>
      <c r="T16" s="85"/>
      <c r="U16" s="28"/>
      <c r="V16" s="3" t="s">
        <v>2337</v>
      </c>
      <c r="W16" s="3" t="str">
        <f t="shared" si="1"/>
        <v/>
      </c>
    </row>
    <row r="17" spans="1:23">
      <c r="A17" s="3" t="str">
        <f t="shared" si="0"/>
        <v/>
      </c>
      <c r="B17" s="28"/>
      <c r="C17" s="28"/>
      <c r="D17" s="28"/>
      <c r="E17" s="29"/>
      <c r="F17" s="28"/>
      <c r="G17" s="85"/>
      <c r="H17" s="85"/>
      <c r="I17" s="85"/>
      <c r="J17" s="85"/>
      <c r="K17" s="85"/>
      <c r="L17" s="85"/>
      <c r="M17" s="86"/>
      <c r="N17" s="85"/>
      <c r="O17" s="28"/>
      <c r="P17" s="85"/>
      <c r="Q17" s="85"/>
      <c r="R17" s="86"/>
      <c r="S17" s="28"/>
      <c r="T17" s="85"/>
      <c r="U17" s="28"/>
      <c r="V17" s="3" t="s">
        <v>2338</v>
      </c>
      <c r="W17" s="3" t="str">
        <f t="shared" si="1"/>
        <v/>
      </c>
    </row>
    <row r="18" spans="1:23">
      <c r="A18" s="3" t="str">
        <f t="shared" si="0"/>
        <v/>
      </c>
      <c r="B18" s="28"/>
      <c r="C18" s="28"/>
      <c r="D18" s="28"/>
      <c r="E18" s="29"/>
      <c r="F18" s="28"/>
      <c r="G18" s="85"/>
      <c r="H18" s="85"/>
      <c r="I18" s="85"/>
      <c r="J18" s="85"/>
      <c r="K18" s="85"/>
      <c r="L18" s="85"/>
      <c r="M18" s="86"/>
      <c r="N18" s="85"/>
      <c r="O18" s="28"/>
      <c r="P18" s="85"/>
      <c r="Q18" s="85"/>
      <c r="R18" s="86"/>
      <c r="S18" s="28"/>
      <c r="T18" s="85"/>
      <c r="U18" s="28"/>
      <c r="V18" s="3" t="s">
        <v>2339</v>
      </c>
      <c r="W18" s="3" t="str">
        <f t="shared" si="1"/>
        <v/>
      </c>
    </row>
    <row r="19" spans="1:23">
      <c r="A19" s="3" t="str">
        <f t="shared" si="0"/>
        <v/>
      </c>
      <c r="B19" s="28"/>
      <c r="C19" s="28"/>
      <c r="D19" s="28"/>
      <c r="E19" s="29"/>
      <c r="F19" s="28"/>
      <c r="G19" s="85"/>
      <c r="H19" s="85"/>
      <c r="I19" s="85"/>
      <c r="J19" s="85"/>
      <c r="K19" s="85"/>
      <c r="L19" s="85"/>
      <c r="M19" s="86"/>
      <c r="N19" s="85"/>
      <c r="O19" s="28"/>
      <c r="P19" s="85"/>
      <c r="Q19" s="85"/>
      <c r="R19" s="86"/>
      <c r="S19" s="28"/>
      <c r="T19" s="85"/>
      <c r="U19" s="28"/>
      <c r="V19" s="3" t="s">
        <v>2340</v>
      </c>
      <c r="W19" s="3" t="str">
        <f t="shared" si="1"/>
        <v/>
      </c>
    </row>
    <row r="20" spans="1:23">
      <c r="A20" s="3" t="str">
        <f t="shared" si="0"/>
        <v/>
      </c>
      <c r="B20" s="28"/>
      <c r="C20" s="28"/>
      <c r="D20" s="28"/>
      <c r="E20" s="29"/>
      <c r="F20" s="28"/>
      <c r="G20" s="85"/>
      <c r="H20" s="85"/>
      <c r="I20" s="85"/>
      <c r="J20" s="85"/>
      <c r="K20" s="85"/>
      <c r="L20" s="85"/>
      <c r="M20" s="86"/>
      <c r="N20" s="85"/>
      <c r="O20" s="28"/>
      <c r="P20" s="85"/>
      <c r="Q20" s="85"/>
      <c r="R20" s="86"/>
      <c r="S20" s="28"/>
      <c r="T20" s="85"/>
      <c r="U20" s="28"/>
      <c r="V20" s="3" t="s">
        <v>2341</v>
      </c>
      <c r="W20" s="3" t="str">
        <f t="shared" si="1"/>
        <v/>
      </c>
    </row>
    <row r="21" spans="1:23">
      <c r="A21" s="3" t="str">
        <f t="shared" si="0"/>
        <v/>
      </c>
      <c r="B21" s="28"/>
      <c r="C21" s="28"/>
      <c r="D21" s="28"/>
      <c r="E21" s="29"/>
      <c r="F21" s="28"/>
      <c r="G21" s="85"/>
      <c r="H21" s="85"/>
      <c r="I21" s="85"/>
      <c r="J21" s="85"/>
      <c r="K21" s="85"/>
      <c r="L21" s="85"/>
      <c r="M21" s="86"/>
      <c r="N21" s="85"/>
      <c r="O21" s="28"/>
      <c r="P21" s="85"/>
      <c r="Q21" s="85"/>
      <c r="R21" s="86"/>
      <c r="S21" s="28"/>
      <c r="T21" s="85"/>
      <c r="U21" s="28"/>
      <c r="V21" s="3" t="s">
        <v>2342</v>
      </c>
      <c r="W21" s="3" t="str">
        <f t="shared" si="1"/>
        <v/>
      </c>
    </row>
    <row r="22" spans="1:23">
      <c r="A22" s="3" t="str">
        <f t="shared" si="0"/>
        <v/>
      </c>
      <c r="B22" s="28"/>
      <c r="C22" s="28"/>
      <c r="D22" s="28"/>
      <c r="E22" s="29"/>
      <c r="F22" s="28"/>
      <c r="G22" s="85"/>
      <c r="H22" s="85"/>
      <c r="I22" s="85"/>
      <c r="J22" s="85"/>
      <c r="K22" s="85"/>
      <c r="L22" s="85"/>
      <c r="M22" s="86"/>
      <c r="N22" s="85"/>
      <c r="O22" s="28"/>
      <c r="P22" s="85"/>
      <c r="Q22" s="85"/>
      <c r="R22" s="86"/>
      <c r="S22" s="28"/>
      <c r="T22" s="85"/>
      <c r="U22" s="28"/>
      <c r="V22" s="3" t="s">
        <v>2343</v>
      </c>
      <c r="W22" s="3" t="str">
        <f t="shared" si="1"/>
        <v/>
      </c>
    </row>
    <row r="23" spans="1:23">
      <c r="A23" s="3" t="str">
        <f t="shared" si="0"/>
        <v/>
      </c>
      <c r="B23" s="28"/>
      <c r="C23" s="28"/>
      <c r="D23" s="28"/>
      <c r="E23" s="29"/>
      <c r="F23" s="28"/>
      <c r="G23" s="85"/>
      <c r="H23" s="85"/>
      <c r="I23" s="85"/>
      <c r="J23" s="85"/>
      <c r="K23" s="85"/>
      <c r="L23" s="85"/>
      <c r="M23" s="86"/>
      <c r="N23" s="85"/>
      <c r="O23" s="28"/>
      <c r="P23" s="85"/>
      <c r="Q23" s="85"/>
      <c r="R23" s="86"/>
      <c r="S23" s="28"/>
      <c r="T23" s="85"/>
      <c r="U23" s="28"/>
      <c r="V23" s="3" t="s">
        <v>2344</v>
      </c>
      <c r="W23" s="3" t="str">
        <f t="shared" si="1"/>
        <v/>
      </c>
    </row>
    <row r="24" spans="1:23">
      <c r="A24" s="3" t="str">
        <f t="shared" si="0"/>
        <v/>
      </c>
      <c r="B24" s="28"/>
      <c r="C24" s="28"/>
      <c r="D24" s="28"/>
      <c r="E24" s="29"/>
      <c r="F24" s="28"/>
      <c r="G24" s="85"/>
      <c r="H24" s="85"/>
      <c r="I24" s="85"/>
      <c r="J24" s="85"/>
      <c r="K24" s="85"/>
      <c r="L24" s="85"/>
      <c r="M24" s="86"/>
      <c r="N24" s="85"/>
      <c r="O24" s="28"/>
      <c r="P24" s="85"/>
      <c r="Q24" s="85"/>
      <c r="R24" s="86"/>
      <c r="S24" s="28"/>
      <c r="T24" s="85"/>
      <c r="U24" s="28"/>
      <c r="V24" s="3" t="s">
        <v>2345</v>
      </c>
      <c r="W24" s="3" t="str">
        <f t="shared" si="1"/>
        <v/>
      </c>
    </row>
    <row r="25" spans="1:23">
      <c r="A25" s="3" t="str">
        <f t="shared" si="0"/>
        <v/>
      </c>
      <c r="B25" s="28"/>
      <c r="C25" s="28"/>
      <c r="D25" s="28"/>
      <c r="E25" s="29"/>
      <c r="F25" s="28"/>
      <c r="G25" s="85"/>
      <c r="H25" s="85"/>
      <c r="I25" s="85"/>
      <c r="J25" s="85"/>
      <c r="K25" s="85"/>
      <c r="L25" s="85"/>
      <c r="M25" s="86"/>
      <c r="N25" s="85"/>
      <c r="O25" s="28"/>
      <c r="P25" s="85"/>
      <c r="Q25" s="85"/>
      <c r="R25" s="86"/>
      <c r="S25" s="28"/>
      <c r="T25" s="85"/>
      <c r="U25" s="28"/>
      <c r="V25" s="3" t="s">
        <v>2346</v>
      </c>
      <c r="W25" s="3" t="str">
        <f t="shared" si="1"/>
        <v/>
      </c>
    </row>
    <row r="26" spans="1:23">
      <c r="A26" s="3" t="str">
        <f t="shared" si="0"/>
        <v/>
      </c>
      <c r="B26" s="28"/>
      <c r="C26" s="28"/>
      <c r="D26" s="28"/>
      <c r="E26" s="29"/>
      <c r="F26" s="28"/>
      <c r="G26" s="85"/>
      <c r="H26" s="85"/>
      <c r="I26" s="85"/>
      <c r="J26" s="85"/>
      <c r="K26" s="85"/>
      <c r="L26" s="85"/>
      <c r="M26" s="86"/>
      <c r="N26" s="85"/>
      <c r="O26" s="28"/>
      <c r="P26" s="85"/>
      <c r="Q26" s="85"/>
      <c r="R26" s="86"/>
      <c r="S26" s="28"/>
      <c r="T26" s="85"/>
      <c r="U26" s="28"/>
      <c r="V26" s="3" t="s">
        <v>2347</v>
      </c>
      <c r="W26" s="3" t="str">
        <f t="shared" si="1"/>
        <v/>
      </c>
    </row>
    <row r="27" spans="1:23">
      <c r="A27" s="3" t="str">
        <f t="shared" si="0"/>
        <v/>
      </c>
      <c r="B27" s="28"/>
      <c r="C27" s="28"/>
      <c r="D27" s="28"/>
      <c r="E27" s="29"/>
      <c r="F27" s="28"/>
      <c r="G27" s="85"/>
      <c r="H27" s="85"/>
      <c r="I27" s="85"/>
      <c r="J27" s="85"/>
      <c r="K27" s="85"/>
      <c r="L27" s="85"/>
      <c r="M27" s="86"/>
      <c r="N27" s="85"/>
      <c r="O27" s="28"/>
      <c r="P27" s="85"/>
      <c r="Q27" s="85"/>
      <c r="R27" s="86"/>
      <c r="S27" s="28"/>
      <c r="T27" s="85"/>
      <c r="U27" s="28"/>
      <c r="V27" s="3" t="s">
        <v>2348</v>
      </c>
      <c r="W27" s="3" t="str">
        <f t="shared" si="1"/>
        <v/>
      </c>
    </row>
    <row r="28" spans="1:23">
      <c r="A28" s="3" t="str">
        <f t="shared" si="0"/>
        <v/>
      </c>
      <c r="B28" s="28"/>
      <c r="C28" s="28"/>
      <c r="D28" s="28"/>
      <c r="E28" s="29"/>
      <c r="F28" s="28"/>
      <c r="G28" s="85"/>
      <c r="H28" s="85"/>
      <c r="I28" s="85"/>
      <c r="J28" s="85"/>
      <c r="K28" s="85"/>
      <c r="L28" s="85"/>
      <c r="M28" s="86"/>
      <c r="N28" s="85"/>
      <c r="O28" s="28"/>
      <c r="P28" s="85"/>
      <c r="Q28" s="85"/>
      <c r="R28" s="86"/>
      <c r="S28" s="28"/>
      <c r="T28" s="85"/>
      <c r="U28" s="28"/>
      <c r="V28" s="3" t="s">
        <v>2349</v>
      </c>
      <c r="W28" s="3" t="str">
        <f t="shared" si="1"/>
        <v/>
      </c>
    </row>
    <row r="29" spans="1:23">
      <c r="A29" s="3" t="str">
        <f t="shared" si="0"/>
        <v/>
      </c>
      <c r="B29" s="28"/>
      <c r="C29" s="28"/>
      <c r="D29" s="28"/>
      <c r="E29" s="29"/>
      <c r="F29" s="28"/>
      <c r="G29" s="85"/>
      <c r="H29" s="85"/>
      <c r="I29" s="85"/>
      <c r="J29" s="85"/>
      <c r="K29" s="85"/>
      <c r="L29" s="85"/>
      <c r="M29" s="86"/>
      <c r="N29" s="85"/>
      <c r="O29" s="28"/>
      <c r="P29" s="85"/>
      <c r="Q29" s="85"/>
      <c r="R29" s="86"/>
      <c r="S29" s="28"/>
      <c r="T29" s="85"/>
      <c r="U29" s="28"/>
      <c r="V29" s="3" t="s">
        <v>2350</v>
      </c>
      <c r="W29" s="3" t="str">
        <f t="shared" si="1"/>
        <v/>
      </c>
    </row>
    <row r="30" spans="1:23">
      <c r="A30" s="3" t="str">
        <f t="shared" si="0"/>
        <v/>
      </c>
      <c r="B30" s="28"/>
      <c r="C30" s="28"/>
      <c r="D30" s="28"/>
      <c r="E30" s="29"/>
      <c r="F30" s="28"/>
      <c r="G30" s="85"/>
      <c r="H30" s="85"/>
      <c r="I30" s="85"/>
      <c r="J30" s="85"/>
      <c r="K30" s="85"/>
      <c r="L30" s="85"/>
      <c r="M30" s="86"/>
      <c r="N30" s="85"/>
      <c r="O30" s="28"/>
      <c r="P30" s="85"/>
      <c r="Q30" s="85"/>
      <c r="R30" s="86"/>
      <c r="S30" s="28"/>
      <c r="T30" s="85"/>
      <c r="U30" s="28"/>
      <c r="V30" s="3" t="s">
        <v>2351</v>
      </c>
      <c r="W30" s="3" t="str">
        <f t="shared" si="1"/>
        <v/>
      </c>
    </row>
    <row r="31" spans="1:23">
      <c r="A31" s="3" t="str">
        <f t="shared" si="0"/>
        <v/>
      </c>
      <c r="B31" s="28"/>
      <c r="C31" s="28"/>
      <c r="D31" s="28"/>
      <c r="E31" s="29"/>
      <c r="F31" s="28"/>
      <c r="G31" s="85"/>
      <c r="H31" s="85"/>
      <c r="I31" s="85"/>
      <c r="J31" s="85"/>
      <c r="K31" s="85"/>
      <c r="L31" s="85"/>
      <c r="M31" s="86"/>
      <c r="N31" s="85"/>
      <c r="O31" s="28"/>
      <c r="P31" s="85"/>
      <c r="Q31" s="85"/>
      <c r="R31" s="86"/>
      <c r="S31" s="28"/>
      <c r="T31" s="85"/>
      <c r="U31" s="28"/>
      <c r="V31" s="3" t="s">
        <v>2352</v>
      </c>
      <c r="W31" s="3" t="str">
        <f t="shared" si="1"/>
        <v/>
      </c>
    </row>
    <row r="32" spans="1:23">
      <c r="A32" s="3" t="str">
        <f t="shared" si="0"/>
        <v/>
      </c>
      <c r="B32" s="28"/>
      <c r="C32" s="28"/>
      <c r="D32" s="28"/>
      <c r="E32" s="29"/>
      <c r="F32" s="28"/>
      <c r="G32" s="85"/>
      <c r="H32" s="85"/>
      <c r="I32" s="85"/>
      <c r="J32" s="85"/>
      <c r="K32" s="85"/>
      <c r="L32" s="85"/>
      <c r="M32" s="86"/>
      <c r="N32" s="85"/>
      <c r="O32" s="28"/>
      <c r="P32" s="85"/>
      <c r="Q32" s="85"/>
      <c r="R32" s="86"/>
      <c r="S32" s="28"/>
      <c r="T32" s="85"/>
      <c r="U32" s="28"/>
      <c r="V32" s="3" t="s">
        <v>2353</v>
      </c>
      <c r="W32" s="3" t="str">
        <f t="shared" si="1"/>
        <v/>
      </c>
    </row>
    <row r="33" spans="1:23">
      <c r="A33" s="3" t="str">
        <f t="shared" si="0"/>
        <v/>
      </c>
      <c r="B33" s="28"/>
      <c r="C33" s="28"/>
      <c r="D33" s="28"/>
      <c r="E33" s="29"/>
      <c r="F33" s="28"/>
      <c r="G33" s="85"/>
      <c r="H33" s="85"/>
      <c r="I33" s="85"/>
      <c r="J33" s="85"/>
      <c r="K33" s="85"/>
      <c r="L33" s="85"/>
      <c r="M33" s="86"/>
      <c r="N33" s="85"/>
      <c r="O33" s="28"/>
      <c r="P33" s="85"/>
      <c r="Q33" s="85"/>
      <c r="R33" s="86"/>
      <c r="S33" s="28"/>
      <c r="T33" s="85"/>
      <c r="U33" s="28"/>
      <c r="V33" s="3" t="s">
        <v>2354</v>
      </c>
      <c r="W33" s="3" t="str">
        <f t="shared" si="1"/>
        <v/>
      </c>
    </row>
    <row r="34" spans="1:23">
      <c r="A34" s="3" t="str">
        <f t="shared" si="0"/>
        <v/>
      </c>
      <c r="B34" s="28"/>
      <c r="C34" s="28"/>
      <c r="D34" s="28"/>
      <c r="E34" s="29"/>
      <c r="F34" s="28"/>
      <c r="G34" s="85"/>
      <c r="H34" s="85"/>
      <c r="I34" s="85"/>
      <c r="J34" s="85"/>
      <c r="K34" s="85"/>
      <c r="L34" s="85"/>
      <c r="M34" s="86"/>
      <c r="N34" s="85"/>
      <c r="O34" s="28"/>
      <c r="P34" s="85"/>
      <c r="Q34" s="85"/>
      <c r="R34" s="86"/>
      <c r="S34" s="28"/>
      <c r="T34" s="85"/>
      <c r="U34" s="28"/>
      <c r="V34" s="3" t="s">
        <v>2355</v>
      </c>
      <c r="W34" s="3" t="str">
        <f t="shared" si="1"/>
        <v/>
      </c>
    </row>
    <row r="35" spans="1:23">
      <c r="A35" s="3" t="str">
        <f t="shared" si="0"/>
        <v/>
      </c>
      <c r="B35" s="28"/>
      <c r="C35" s="28"/>
      <c r="D35" s="28"/>
      <c r="E35" s="29"/>
      <c r="F35" s="28"/>
      <c r="G35" s="85"/>
      <c r="H35" s="85"/>
      <c r="I35" s="85"/>
      <c r="J35" s="85"/>
      <c r="K35" s="85"/>
      <c r="L35" s="85"/>
      <c r="M35" s="86"/>
      <c r="N35" s="85"/>
      <c r="O35" s="28"/>
      <c r="P35" s="85"/>
      <c r="Q35" s="85"/>
      <c r="R35" s="86"/>
      <c r="S35" s="28"/>
      <c r="T35" s="85"/>
      <c r="U35" s="28"/>
      <c r="V35" s="3" t="s">
        <v>2356</v>
      </c>
      <c r="W35" s="3" t="str">
        <f t="shared" si="1"/>
        <v/>
      </c>
    </row>
    <row r="36" spans="1:23">
      <c r="A36" s="3" t="str">
        <f t="shared" si="0"/>
        <v/>
      </c>
      <c r="B36" s="28"/>
      <c r="C36" s="28"/>
      <c r="D36" s="28"/>
      <c r="E36" s="29"/>
      <c r="F36" s="28"/>
      <c r="G36" s="85"/>
      <c r="H36" s="85"/>
      <c r="I36" s="85"/>
      <c r="J36" s="85"/>
      <c r="K36" s="85"/>
      <c r="L36" s="85"/>
      <c r="M36" s="86"/>
      <c r="N36" s="85"/>
      <c r="O36" s="28"/>
      <c r="P36" s="85"/>
      <c r="Q36" s="85"/>
      <c r="R36" s="86"/>
      <c r="S36" s="28"/>
      <c r="T36" s="85"/>
      <c r="U36" s="28"/>
      <c r="V36" s="3" t="s">
        <v>2357</v>
      </c>
      <c r="W36" s="3" t="str">
        <f t="shared" si="1"/>
        <v/>
      </c>
    </row>
    <row r="37" spans="1:23">
      <c r="A37" s="3" t="str">
        <f t="shared" ref="A37:A68" si="2">IF($B37&lt;&gt;"","DEC-"&amp;TEXT(--RIGHT($V37,4),"0000"),"")</f>
        <v/>
      </c>
      <c r="B37" s="28"/>
      <c r="C37" s="28"/>
      <c r="D37" s="28"/>
      <c r="E37" s="29"/>
      <c r="F37" s="28"/>
      <c r="G37" s="85"/>
      <c r="H37" s="85"/>
      <c r="I37" s="85"/>
      <c r="J37" s="85"/>
      <c r="K37" s="85"/>
      <c r="L37" s="85"/>
      <c r="M37" s="86"/>
      <c r="N37" s="85"/>
      <c r="O37" s="28"/>
      <c r="P37" s="85"/>
      <c r="Q37" s="85"/>
      <c r="R37" s="86"/>
      <c r="S37" s="28"/>
      <c r="T37" s="85"/>
      <c r="U37" s="28"/>
      <c r="V37" s="3" t="s">
        <v>2358</v>
      </c>
      <c r="W37" s="3" t="str">
        <f t="shared" ref="W37:W68" si="3">IF($B37="","",IF(OR($G37="Completed",$G37="Cancelled",$G37="Deferred"),"INACTIVE","ACTIVE"))</f>
        <v/>
      </c>
    </row>
    <row r="38" spans="1:23">
      <c r="A38" s="3" t="str">
        <f t="shared" si="2"/>
        <v/>
      </c>
      <c r="B38" s="28"/>
      <c r="C38" s="28"/>
      <c r="D38" s="28"/>
      <c r="E38" s="29"/>
      <c r="F38" s="28"/>
      <c r="G38" s="85"/>
      <c r="H38" s="85"/>
      <c r="I38" s="85"/>
      <c r="J38" s="85"/>
      <c r="K38" s="85"/>
      <c r="L38" s="85"/>
      <c r="M38" s="86"/>
      <c r="N38" s="85"/>
      <c r="O38" s="28"/>
      <c r="P38" s="85"/>
      <c r="Q38" s="85"/>
      <c r="R38" s="86"/>
      <c r="S38" s="28"/>
      <c r="T38" s="85"/>
      <c r="U38" s="28"/>
      <c r="V38" s="3" t="s">
        <v>2359</v>
      </c>
      <c r="W38" s="3" t="str">
        <f t="shared" si="3"/>
        <v/>
      </c>
    </row>
    <row r="39" spans="1:23">
      <c r="A39" s="3" t="str">
        <f t="shared" si="2"/>
        <v/>
      </c>
      <c r="B39" s="28"/>
      <c r="C39" s="28"/>
      <c r="D39" s="28"/>
      <c r="E39" s="29"/>
      <c r="F39" s="28"/>
      <c r="G39" s="85"/>
      <c r="H39" s="85"/>
      <c r="I39" s="85"/>
      <c r="J39" s="85"/>
      <c r="K39" s="85"/>
      <c r="L39" s="85"/>
      <c r="M39" s="86"/>
      <c r="N39" s="85"/>
      <c r="O39" s="28"/>
      <c r="P39" s="85"/>
      <c r="Q39" s="85"/>
      <c r="R39" s="86"/>
      <c r="S39" s="28"/>
      <c r="T39" s="85"/>
      <c r="U39" s="28"/>
      <c r="V39" s="3" t="s">
        <v>2360</v>
      </c>
      <c r="W39" s="3" t="str">
        <f t="shared" si="3"/>
        <v/>
      </c>
    </row>
    <row r="40" spans="1:23">
      <c r="A40" s="3" t="str">
        <f t="shared" si="2"/>
        <v/>
      </c>
      <c r="B40" s="28"/>
      <c r="C40" s="28"/>
      <c r="D40" s="28"/>
      <c r="E40" s="29"/>
      <c r="F40" s="28"/>
      <c r="G40" s="85"/>
      <c r="H40" s="85"/>
      <c r="I40" s="85"/>
      <c r="J40" s="85"/>
      <c r="K40" s="85"/>
      <c r="L40" s="85"/>
      <c r="M40" s="86"/>
      <c r="N40" s="85"/>
      <c r="O40" s="28"/>
      <c r="P40" s="85"/>
      <c r="Q40" s="85"/>
      <c r="R40" s="86"/>
      <c r="S40" s="28"/>
      <c r="T40" s="85"/>
      <c r="U40" s="28"/>
      <c r="V40" s="3" t="s">
        <v>2361</v>
      </c>
      <c r="W40" s="3" t="str">
        <f t="shared" si="3"/>
        <v/>
      </c>
    </row>
    <row r="41" spans="1:23">
      <c r="A41" s="3" t="str">
        <f t="shared" si="2"/>
        <v/>
      </c>
      <c r="B41" s="28"/>
      <c r="C41" s="28"/>
      <c r="D41" s="28"/>
      <c r="E41" s="29"/>
      <c r="F41" s="28"/>
      <c r="G41" s="85"/>
      <c r="H41" s="85"/>
      <c r="I41" s="85"/>
      <c r="J41" s="85"/>
      <c r="K41" s="85"/>
      <c r="L41" s="85"/>
      <c r="M41" s="86"/>
      <c r="N41" s="85"/>
      <c r="O41" s="28"/>
      <c r="P41" s="85"/>
      <c r="Q41" s="85"/>
      <c r="R41" s="86"/>
      <c r="S41" s="28"/>
      <c r="T41" s="85"/>
      <c r="U41" s="28"/>
      <c r="V41" s="3" t="s">
        <v>2362</v>
      </c>
      <c r="W41" s="3" t="str">
        <f t="shared" si="3"/>
        <v/>
      </c>
    </row>
    <row r="42" spans="1:23">
      <c r="A42" s="3" t="str">
        <f t="shared" si="2"/>
        <v/>
      </c>
      <c r="B42" s="28"/>
      <c r="C42" s="28"/>
      <c r="D42" s="28"/>
      <c r="E42" s="29"/>
      <c r="F42" s="28"/>
      <c r="G42" s="85"/>
      <c r="H42" s="85"/>
      <c r="I42" s="85"/>
      <c r="J42" s="85"/>
      <c r="K42" s="85"/>
      <c r="L42" s="85"/>
      <c r="M42" s="86"/>
      <c r="N42" s="85"/>
      <c r="O42" s="28"/>
      <c r="P42" s="85"/>
      <c r="Q42" s="85"/>
      <c r="R42" s="86"/>
      <c r="S42" s="28"/>
      <c r="T42" s="85"/>
      <c r="U42" s="28"/>
      <c r="V42" s="3" t="s">
        <v>2363</v>
      </c>
      <c r="W42" s="3" t="str">
        <f t="shared" si="3"/>
        <v/>
      </c>
    </row>
    <row r="43" spans="1:23">
      <c r="A43" s="3" t="str">
        <f t="shared" si="2"/>
        <v/>
      </c>
      <c r="B43" s="28"/>
      <c r="C43" s="28"/>
      <c r="D43" s="28"/>
      <c r="E43" s="29"/>
      <c r="F43" s="28"/>
      <c r="G43" s="85"/>
      <c r="H43" s="85"/>
      <c r="I43" s="85"/>
      <c r="J43" s="85"/>
      <c r="K43" s="85"/>
      <c r="L43" s="85"/>
      <c r="M43" s="86"/>
      <c r="N43" s="85"/>
      <c r="O43" s="28"/>
      <c r="P43" s="85"/>
      <c r="Q43" s="85"/>
      <c r="R43" s="86"/>
      <c r="S43" s="28"/>
      <c r="T43" s="85"/>
      <c r="U43" s="28"/>
      <c r="V43" s="3" t="s">
        <v>2364</v>
      </c>
      <c r="W43" s="3" t="str">
        <f t="shared" si="3"/>
        <v/>
      </c>
    </row>
    <row r="44" spans="1:23">
      <c r="A44" s="3" t="str">
        <f t="shared" si="2"/>
        <v/>
      </c>
      <c r="B44" s="28"/>
      <c r="C44" s="28"/>
      <c r="D44" s="28"/>
      <c r="E44" s="29"/>
      <c r="F44" s="28"/>
      <c r="G44" s="85"/>
      <c r="H44" s="85"/>
      <c r="I44" s="85"/>
      <c r="J44" s="85"/>
      <c r="K44" s="85"/>
      <c r="L44" s="85"/>
      <c r="M44" s="86"/>
      <c r="N44" s="85"/>
      <c r="O44" s="28"/>
      <c r="P44" s="85"/>
      <c r="Q44" s="85"/>
      <c r="R44" s="86"/>
      <c r="S44" s="28"/>
      <c r="T44" s="85"/>
      <c r="U44" s="28"/>
      <c r="V44" s="3" t="s">
        <v>2365</v>
      </c>
      <c r="W44" s="3" t="str">
        <f t="shared" si="3"/>
        <v/>
      </c>
    </row>
    <row r="45" spans="1:23">
      <c r="A45" s="3" t="str">
        <f t="shared" si="2"/>
        <v/>
      </c>
      <c r="B45" s="28"/>
      <c r="C45" s="28"/>
      <c r="D45" s="28"/>
      <c r="E45" s="29"/>
      <c r="F45" s="28"/>
      <c r="G45" s="85"/>
      <c r="H45" s="85"/>
      <c r="I45" s="85"/>
      <c r="J45" s="85"/>
      <c r="K45" s="85"/>
      <c r="L45" s="85"/>
      <c r="M45" s="86"/>
      <c r="N45" s="85"/>
      <c r="O45" s="28"/>
      <c r="P45" s="85"/>
      <c r="Q45" s="85"/>
      <c r="R45" s="86"/>
      <c r="S45" s="28"/>
      <c r="T45" s="85"/>
      <c r="U45" s="28"/>
      <c r="V45" s="3" t="s">
        <v>2366</v>
      </c>
      <c r="W45" s="3" t="str">
        <f t="shared" si="3"/>
        <v/>
      </c>
    </row>
    <row r="46" spans="1:23">
      <c r="A46" s="3" t="str">
        <f t="shared" si="2"/>
        <v/>
      </c>
      <c r="B46" s="28"/>
      <c r="C46" s="28"/>
      <c r="D46" s="28"/>
      <c r="E46" s="29"/>
      <c r="F46" s="28"/>
      <c r="G46" s="85"/>
      <c r="H46" s="85"/>
      <c r="I46" s="85"/>
      <c r="J46" s="85"/>
      <c r="K46" s="85"/>
      <c r="L46" s="85"/>
      <c r="M46" s="86"/>
      <c r="N46" s="85"/>
      <c r="O46" s="28"/>
      <c r="P46" s="85"/>
      <c r="Q46" s="85"/>
      <c r="R46" s="86"/>
      <c r="S46" s="28"/>
      <c r="T46" s="85"/>
      <c r="U46" s="28"/>
      <c r="V46" s="3" t="s">
        <v>2367</v>
      </c>
      <c r="W46" s="3" t="str">
        <f t="shared" si="3"/>
        <v/>
      </c>
    </row>
    <row r="47" spans="1:23">
      <c r="A47" s="3" t="str">
        <f t="shared" si="2"/>
        <v/>
      </c>
      <c r="B47" s="28"/>
      <c r="C47" s="28"/>
      <c r="D47" s="28"/>
      <c r="E47" s="29"/>
      <c r="F47" s="28"/>
      <c r="G47" s="85"/>
      <c r="H47" s="85"/>
      <c r="I47" s="85"/>
      <c r="J47" s="85"/>
      <c r="K47" s="85"/>
      <c r="L47" s="85"/>
      <c r="M47" s="86"/>
      <c r="N47" s="85"/>
      <c r="O47" s="28"/>
      <c r="P47" s="85"/>
      <c r="Q47" s="85"/>
      <c r="R47" s="86"/>
      <c r="S47" s="28"/>
      <c r="T47" s="85"/>
      <c r="U47" s="28"/>
      <c r="V47" s="3" t="s">
        <v>2368</v>
      </c>
      <c r="W47" s="3" t="str">
        <f t="shared" si="3"/>
        <v/>
      </c>
    </row>
    <row r="48" spans="1:23">
      <c r="A48" s="3" t="str">
        <f t="shared" si="2"/>
        <v/>
      </c>
      <c r="B48" s="28"/>
      <c r="C48" s="28"/>
      <c r="D48" s="28"/>
      <c r="E48" s="29"/>
      <c r="F48" s="28"/>
      <c r="G48" s="85"/>
      <c r="H48" s="85"/>
      <c r="I48" s="85"/>
      <c r="J48" s="85"/>
      <c r="K48" s="85"/>
      <c r="L48" s="85"/>
      <c r="M48" s="86"/>
      <c r="N48" s="85"/>
      <c r="O48" s="28"/>
      <c r="P48" s="85"/>
      <c r="Q48" s="85"/>
      <c r="R48" s="86"/>
      <c r="S48" s="28"/>
      <c r="T48" s="85"/>
      <c r="U48" s="28"/>
      <c r="V48" s="3" t="s">
        <v>2369</v>
      </c>
      <c r="W48" s="3" t="str">
        <f t="shared" si="3"/>
        <v/>
      </c>
    </row>
    <row r="49" spans="1:23">
      <c r="A49" s="3" t="str">
        <f t="shared" si="2"/>
        <v/>
      </c>
      <c r="B49" s="28"/>
      <c r="C49" s="28"/>
      <c r="D49" s="28"/>
      <c r="E49" s="29"/>
      <c r="F49" s="28"/>
      <c r="G49" s="85"/>
      <c r="H49" s="85"/>
      <c r="I49" s="85"/>
      <c r="J49" s="85"/>
      <c r="K49" s="85"/>
      <c r="L49" s="85"/>
      <c r="M49" s="86"/>
      <c r="N49" s="85"/>
      <c r="O49" s="28"/>
      <c r="P49" s="85"/>
      <c r="Q49" s="85"/>
      <c r="R49" s="86"/>
      <c r="S49" s="28"/>
      <c r="T49" s="85"/>
      <c r="U49" s="28"/>
      <c r="V49" s="3" t="s">
        <v>2370</v>
      </c>
      <c r="W49" s="3" t="str">
        <f t="shared" si="3"/>
        <v/>
      </c>
    </row>
    <row r="50" spans="1:23">
      <c r="A50" s="3" t="str">
        <f t="shared" si="2"/>
        <v/>
      </c>
      <c r="B50" s="28"/>
      <c r="C50" s="28"/>
      <c r="D50" s="28"/>
      <c r="E50" s="29"/>
      <c r="F50" s="28"/>
      <c r="G50" s="85"/>
      <c r="H50" s="85"/>
      <c r="I50" s="85"/>
      <c r="J50" s="85"/>
      <c r="K50" s="85"/>
      <c r="L50" s="85"/>
      <c r="M50" s="86"/>
      <c r="N50" s="85"/>
      <c r="O50" s="28"/>
      <c r="P50" s="85"/>
      <c r="Q50" s="85"/>
      <c r="R50" s="86"/>
      <c r="S50" s="28"/>
      <c r="T50" s="85"/>
      <c r="U50" s="28"/>
      <c r="V50" s="3" t="s">
        <v>2371</v>
      </c>
      <c r="W50" s="3" t="str">
        <f t="shared" si="3"/>
        <v/>
      </c>
    </row>
    <row r="51" spans="1:23">
      <c r="A51" s="3" t="str">
        <f t="shared" si="2"/>
        <v/>
      </c>
      <c r="B51" s="28"/>
      <c r="C51" s="28"/>
      <c r="D51" s="28"/>
      <c r="E51" s="29"/>
      <c r="F51" s="28"/>
      <c r="G51" s="85"/>
      <c r="H51" s="85"/>
      <c r="I51" s="85"/>
      <c r="J51" s="85"/>
      <c r="K51" s="85"/>
      <c r="L51" s="85"/>
      <c r="M51" s="86"/>
      <c r="N51" s="85"/>
      <c r="O51" s="28"/>
      <c r="P51" s="85"/>
      <c r="Q51" s="85"/>
      <c r="R51" s="86"/>
      <c r="S51" s="28"/>
      <c r="T51" s="85"/>
      <c r="U51" s="28"/>
      <c r="V51" s="3" t="s">
        <v>2372</v>
      </c>
      <c r="W51" s="3" t="str">
        <f t="shared" si="3"/>
        <v/>
      </c>
    </row>
    <row r="52" spans="1:23">
      <c r="A52" s="3" t="str">
        <f t="shared" si="2"/>
        <v/>
      </c>
      <c r="B52" s="28"/>
      <c r="C52" s="28"/>
      <c r="D52" s="28"/>
      <c r="E52" s="29"/>
      <c r="F52" s="28"/>
      <c r="G52" s="85"/>
      <c r="H52" s="85"/>
      <c r="I52" s="85"/>
      <c r="J52" s="85"/>
      <c r="K52" s="85"/>
      <c r="L52" s="85"/>
      <c r="M52" s="86"/>
      <c r="N52" s="85"/>
      <c r="O52" s="28"/>
      <c r="P52" s="85"/>
      <c r="Q52" s="85"/>
      <c r="R52" s="86"/>
      <c r="S52" s="28"/>
      <c r="T52" s="85"/>
      <c r="U52" s="28"/>
      <c r="V52" s="3" t="s">
        <v>2373</v>
      </c>
      <c r="W52" s="3" t="str">
        <f t="shared" si="3"/>
        <v/>
      </c>
    </row>
    <row r="53" spans="1:23">
      <c r="A53" s="3" t="str">
        <f t="shared" si="2"/>
        <v/>
      </c>
      <c r="B53" s="28"/>
      <c r="C53" s="28"/>
      <c r="D53" s="28"/>
      <c r="E53" s="29"/>
      <c r="F53" s="28"/>
      <c r="G53" s="85"/>
      <c r="H53" s="85"/>
      <c r="I53" s="85"/>
      <c r="J53" s="85"/>
      <c r="K53" s="85"/>
      <c r="L53" s="85"/>
      <c r="M53" s="86"/>
      <c r="N53" s="85"/>
      <c r="O53" s="28"/>
      <c r="P53" s="85"/>
      <c r="Q53" s="85"/>
      <c r="R53" s="86"/>
      <c r="S53" s="28"/>
      <c r="T53" s="85"/>
      <c r="U53" s="28"/>
      <c r="V53" s="3" t="s">
        <v>2374</v>
      </c>
      <c r="W53" s="3" t="str">
        <f t="shared" si="3"/>
        <v/>
      </c>
    </row>
    <row r="54" spans="1:23">
      <c r="A54" s="3" t="str">
        <f t="shared" si="2"/>
        <v/>
      </c>
      <c r="B54" s="28"/>
      <c r="C54" s="28"/>
      <c r="D54" s="28"/>
      <c r="E54" s="29"/>
      <c r="F54" s="28"/>
      <c r="G54" s="85"/>
      <c r="H54" s="85"/>
      <c r="I54" s="85"/>
      <c r="J54" s="85"/>
      <c r="K54" s="85"/>
      <c r="L54" s="85"/>
      <c r="M54" s="86"/>
      <c r="N54" s="85"/>
      <c r="O54" s="28"/>
      <c r="P54" s="85"/>
      <c r="Q54" s="85"/>
      <c r="R54" s="86"/>
      <c r="S54" s="28"/>
      <c r="T54" s="85"/>
      <c r="U54" s="28"/>
      <c r="V54" s="3" t="s">
        <v>2375</v>
      </c>
      <c r="W54" s="3" t="str">
        <f t="shared" si="3"/>
        <v/>
      </c>
    </row>
    <row r="55" spans="1:23">
      <c r="A55" s="3" t="str">
        <f t="shared" si="2"/>
        <v/>
      </c>
      <c r="B55" s="28"/>
      <c r="C55" s="28"/>
      <c r="D55" s="28"/>
      <c r="E55" s="29"/>
      <c r="F55" s="28"/>
      <c r="G55" s="85"/>
      <c r="H55" s="85"/>
      <c r="I55" s="85"/>
      <c r="J55" s="85"/>
      <c r="K55" s="85"/>
      <c r="L55" s="85"/>
      <c r="M55" s="86"/>
      <c r="N55" s="85"/>
      <c r="O55" s="28"/>
      <c r="P55" s="85"/>
      <c r="Q55" s="85"/>
      <c r="R55" s="86"/>
      <c r="S55" s="28"/>
      <c r="T55" s="85"/>
      <c r="U55" s="28"/>
      <c r="V55" s="3" t="s">
        <v>2376</v>
      </c>
      <c r="W55" s="3" t="str">
        <f t="shared" si="3"/>
        <v/>
      </c>
    </row>
    <row r="56" spans="1:23">
      <c r="A56" s="3" t="str">
        <f t="shared" si="2"/>
        <v/>
      </c>
      <c r="B56" s="28"/>
      <c r="C56" s="28"/>
      <c r="D56" s="28"/>
      <c r="E56" s="29"/>
      <c r="F56" s="28"/>
      <c r="G56" s="85"/>
      <c r="H56" s="85"/>
      <c r="I56" s="85"/>
      <c r="J56" s="85"/>
      <c r="K56" s="85"/>
      <c r="L56" s="85"/>
      <c r="M56" s="86"/>
      <c r="N56" s="85"/>
      <c r="O56" s="28"/>
      <c r="P56" s="85"/>
      <c r="Q56" s="85"/>
      <c r="R56" s="86"/>
      <c r="S56" s="28"/>
      <c r="T56" s="85"/>
      <c r="U56" s="28"/>
      <c r="V56" s="3" t="s">
        <v>2377</v>
      </c>
      <c r="W56" s="3" t="str">
        <f t="shared" si="3"/>
        <v/>
      </c>
    </row>
    <row r="57" spans="1:23">
      <c r="A57" s="3" t="str">
        <f t="shared" si="2"/>
        <v/>
      </c>
      <c r="B57" s="28"/>
      <c r="C57" s="28"/>
      <c r="D57" s="28"/>
      <c r="E57" s="29"/>
      <c r="F57" s="28"/>
      <c r="G57" s="85"/>
      <c r="H57" s="85"/>
      <c r="I57" s="85"/>
      <c r="J57" s="85"/>
      <c r="K57" s="85"/>
      <c r="L57" s="85"/>
      <c r="M57" s="86"/>
      <c r="N57" s="85"/>
      <c r="O57" s="28"/>
      <c r="P57" s="85"/>
      <c r="Q57" s="85"/>
      <c r="R57" s="86"/>
      <c r="S57" s="28"/>
      <c r="T57" s="85"/>
      <c r="U57" s="28"/>
      <c r="V57" s="3" t="s">
        <v>2378</v>
      </c>
      <c r="W57" s="3" t="str">
        <f t="shared" si="3"/>
        <v/>
      </c>
    </row>
    <row r="58" spans="1:23">
      <c r="A58" s="3" t="str">
        <f t="shared" si="2"/>
        <v/>
      </c>
      <c r="B58" s="28"/>
      <c r="C58" s="28"/>
      <c r="D58" s="28"/>
      <c r="E58" s="29"/>
      <c r="F58" s="28"/>
      <c r="G58" s="85"/>
      <c r="H58" s="85"/>
      <c r="I58" s="85"/>
      <c r="J58" s="85"/>
      <c r="K58" s="85"/>
      <c r="L58" s="85"/>
      <c r="M58" s="86"/>
      <c r="N58" s="85"/>
      <c r="O58" s="28"/>
      <c r="P58" s="85"/>
      <c r="Q58" s="85"/>
      <c r="R58" s="86"/>
      <c r="S58" s="28"/>
      <c r="T58" s="85"/>
      <c r="U58" s="28"/>
      <c r="V58" s="3" t="s">
        <v>2379</v>
      </c>
      <c r="W58" s="3" t="str">
        <f t="shared" si="3"/>
        <v/>
      </c>
    </row>
    <row r="59" spans="1:23">
      <c r="A59" s="3" t="str">
        <f t="shared" si="2"/>
        <v/>
      </c>
      <c r="B59" s="28"/>
      <c r="C59" s="28"/>
      <c r="D59" s="28"/>
      <c r="E59" s="29"/>
      <c r="F59" s="28"/>
      <c r="G59" s="85"/>
      <c r="H59" s="85"/>
      <c r="I59" s="85"/>
      <c r="J59" s="85"/>
      <c r="K59" s="85"/>
      <c r="L59" s="85"/>
      <c r="M59" s="86"/>
      <c r="N59" s="85"/>
      <c r="O59" s="28"/>
      <c r="P59" s="85"/>
      <c r="Q59" s="85"/>
      <c r="R59" s="86"/>
      <c r="S59" s="28"/>
      <c r="T59" s="85"/>
      <c r="U59" s="28"/>
      <c r="V59" s="3" t="s">
        <v>2380</v>
      </c>
      <c r="W59" s="3" t="str">
        <f t="shared" si="3"/>
        <v/>
      </c>
    </row>
    <row r="60" spans="1:23">
      <c r="A60" s="3" t="str">
        <f t="shared" si="2"/>
        <v/>
      </c>
      <c r="B60" s="28"/>
      <c r="C60" s="28"/>
      <c r="D60" s="28"/>
      <c r="E60" s="29"/>
      <c r="F60" s="28"/>
      <c r="G60" s="85"/>
      <c r="H60" s="85"/>
      <c r="I60" s="85"/>
      <c r="J60" s="85"/>
      <c r="K60" s="85"/>
      <c r="L60" s="85"/>
      <c r="M60" s="86"/>
      <c r="N60" s="85"/>
      <c r="O60" s="28"/>
      <c r="P60" s="85"/>
      <c r="Q60" s="85"/>
      <c r="R60" s="86"/>
      <c r="S60" s="28"/>
      <c r="T60" s="85"/>
      <c r="U60" s="28"/>
      <c r="V60" s="3" t="s">
        <v>2381</v>
      </c>
      <c r="W60" s="3" t="str">
        <f t="shared" si="3"/>
        <v/>
      </c>
    </row>
    <row r="61" spans="1:23">
      <c r="A61" s="3" t="str">
        <f t="shared" si="2"/>
        <v/>
      </c>
      <c r="B61" s="28"/>
      <c r="C61" s="28"/>
      <c r="D61" s="28"/>
      <c r="E61" s="29"/>
      <c r="F61" s="28"/>
      <c r="G61" s="85"/>
      <c r="H61" s="85"/>
      <c r="I61" s="85"/>
      <c r="J61" s="85"/>
      <c r="K61" s="85"/>
      <c r="L61" s="85"/>
      <c r="M61" s="86"/>
      <c r="N61" s="85"/>
      <c r="O61" s="28"/>
      <c r="P61" s="85"/>
      <c r="Q61" s="85"/>
      <c r="R61" s="86"/>
      <c r="S61" s="28"/>
      <c r="T61" s="85"/>
      <c r="U61" s="28"/>
      <c r="V61" s="3" t="s">
        <v>2382</v>
      </c>
      <c r="W61" s="3" t="str">
        <f t="shared" si="3"/>
        <v/>
      </c>
    </row>
    <row r="62" spans="1:23">
      <c r="A62" s="3" t="str">
        <f t="shared" si="2"/>
        <v/>
      </c>
      <c r="B62" s="28"/>
      <c r="C62" s="28"/>
      <c r="D62" s="28"/>
      <c r="E62" s="29"/>
      <c r="F62" s="28"/>
      <c r="G62" s="85"/>
      <c r="H62" s="85"/>
      <c r="I62" s="85"/>
      <c r="J62" s="85"/>
      <c r="K62" s="85"/>
      <c r="L62" s="85"/>
      <c r="M62" s="86"/>
      <c r="N62" s="85"/>
      <c r="O62" s="28"/>
      <c r="P62" s="85"/>
      <c r="Q62" s="85"/>
      <c r="R62" s="86"/>
      <c r="S62" s="28"/>
      <c r="T62" s="85"/>
      <c r="U62" s="28"/>
      <c r="V62" s="3" t="s">
        <v>2383</v>
      </c>
      <c r="W62" s="3" t="str">
        <f t="shared" si="3"/>
        <v/>
      </c>
    </row>
    <row r="63" spans="1:23">
      <c r="A63" s="3" t="str">
        <f t="shared" si="2"/>
        <v/>
      </c>
      <c r="B63" s="28"/>
      <c r="C63" s="28"/>
      <c r="D63" s="28"/>
      <c r="E63" s="29"/>
      <c r="F63" s="28"/>
      <c r="G63" s="85"/>
      <c r="H63" s="85"/>
      <c r="I63" s="85"/>
      <c r="J63" s="85"/>
      <c r="K63" s="85"/>
      <c r="L63" s="85"/>
      <c r="M63" s="86"/>
      <c r="N63" s="85"/>
      <c r="O63" s="28"/>
      <c r="P63" s="85"/>
      <c r="Q63" s="85"/>
      <c r="R63" s="86"/>
      <c r="S63" s="28"/>
      <c r="T63" s="85"/>
      <c r="U63" s="28"/>
      <c r="V63" s="3" t="s">
        <v>2384</v>
      </c>
      <c r="W63" s="3" t="str">
        <f t="shared" si="3"/>
        <v/>
      </c>
    </row>
    <row r="64" spans="1:23">
      <c r="A64" s="3" t="str">
        <f t="shared" si="2"/>
        <v/>
      </c>
      <c r="B64" s="28"/>
      <c r="C64" s="28"/>
      <c r="D64" s="28"/>
      <c r="E64" s="29"/>
      <c r="F64" s="28"/>
      <c r="G64" s="85"/>
      <c r="H64" s="85"/>
      <c r="I64" s="85"/>
      <c r="J64" s="85"/>
      <c r="K64" s="85"/>
      <c r="L64" s="85"/>
      <c r="M64" s="86"/>
      <c r="N64" s="85"/>
      <c r="O64" s="28"/>
      <c r="P64" s="85"/>
      <c r="Q64" s="85"/>
      <c r="R64" s="86"/>
      <c r="S64" s="28"/>
      <c r="T64" s="85"/>
      <c r="U64" s="28"/>
      <c r="V64" s="3" t="s">
        <v>2385</v>
      </c>
      <c r="W64" s="3" t="str">
        <f t="shared" si="3"/>
        <v/>
      </c>
    </row>
    <row r="65" spans="1:23">
      <c r="A65" s="3" t="str">
        <f t="shared" si="2"/>
        <v/>
      </c>
      <c r="B65" s="28"/>
      <c r="C65" s="28"/>
      <c r="D65" s="28"/>
      <c r="E65" s="29"/>
      <c r="F65" s="28"/>
      <c r="G65" s="85"/>
      <c r="H65" s="85"/>
      <c r="I65" s="85"/>
      <c r="J65" s="85"/>
      <c r="K65" s="85"/>
      <c r="L65" s="85"/>
      <c r="M65" s="86"/>
      <c r="N65" s="85"/>
      <c r="O65" s="28"/>
      <c r="P65" s="85"/>
      <c r="Q65" s="85"/>
      <c r="R65" s="86"/>
      <c r="S65" s="28"/>
      <c r="T65" s="85"/>
      <c r="U65" s="28"/>
      <c r="V65" s="3" t="s">
        <v>2386</v>
      </c>
      <c r="W65" s="3" t="str">
        <f t="shared" si="3"/>
        <v/>
      </c>
    </row>
    <row r="66" spans="1:23">
      <c r="A66" s="3" t="str">
        <f t="shared" si="2"/>
        <v/>
      </c>
      <c r="B66" s="28"/>
      <c r="C66" s="28"/>
      <c r="D66" s="28"/>
      <c r="E66" s="29"/>
      <c r="F66" s="28"/>
      <c r="G66" s="85"/>
      <c r="H66" s="85"/>
      <c r="I66" s="85"/>
      <c r="J66" s="85"/>
      <c r="K66" s="85"/>
      <c r="L66" s="85"/>
      <c r="M66" s="86"/>
      <c r="N66" s="85"/>
      <c r="O66" s="28"/>
      <c r="P66" s="85"/>
      <c r="Q66" s="85"/>
      <c r="R66" s="86"/>
      <c r="S66" s="28"/>
      <c r="T66" s="85"/>
      <c r="U66" s="28"/>
      <c r="V66" s="3" t="s">
        <v>2387</v>
      </c>
      <c r="W66" s="3" t="str">
        <f t="shared" si="3"/>
        <v/>
      </c>
    </row>
    <row r="67" spans="1:23">
      <c r="A67" s="3" t="str">
        <f t="shared" si="2"/>
        <v/>
      </c>
      <c r="B67" s="28"/>
      <c r="C67" s="28"/>
      <c r="D67" s="28"/>
      <c r="E67" s="29"/>
      <c r="F67" s="28"/>
      <c r="G67" s="85"/>
      <c r="H67" s="85"/>
      <c r="I67" s="85"/>
      <c r="J67" s="85"/>
      <c r="K67" s="85"/>
      <c r="L67" s="85"/>
      <c r="M67" s="86"/>
      <c r="N67" s="85"/>
      <c r="O67" s="28"/>
      <c r="P67" s="85"/>
      <c r="Q67" s="85"/>
      <c r="R67" s="86"/>
      <c r="S67" s="28"/>
      <c r="T67" s="85"/>
      <c r="U67" s="28"/>
      <c r="V67" s="3" t="s">
        <v>2388</v>
      </c>
      <c r="W67" s="3" t="str">
        <f t="shared" si="3"/>
        <v/>
      </c>
    </row>
    <row r="68" spans="1:23">
      <c r="A68" s="3" t="str">
        <f t="shared" si="2"/>
        <v/>
      </c>
      <c r="B68" s="28"/>
      <c r="C68" s="28"/>
      <c r="D68" s="28"/>
      <c r="E68" s="29"/>
      <c r="F68" s="28"/>
      <c r="G68" s="85"/>
      <c r="H68" s="85"/>
      <c r="I68" s="85"/>
      <c r="J68" s="85"/>
      <c r="K68" s="85"/>
      <c r="L68" s="85"/>
      <c r="M68" s="86"/>
      <c r="N68" s="85"/>
      <c r="O68" s="28"/>
      <c r="P68" s="85"/>
      <c r="Q68" s="85"/>
      <c r="R68" s="86"/>
      <c r="S68" s="28"/>
      <c r="T68" s="85"/>
      <c r="U68" s="28"/>
      <c r="V68" s="3" t="s">
        <v>2389</v>
      </c>
      <c r="W68" s="3" t="str">
        <f t="shared" si="3"/>
        <v/>
      </c>
    </row>
    <row r="69" spans="1:23">
      <c r="A69" s="3" t="str">
        <f t="shared" ref="A69:A100" si="4">IF($B69&lt;&gt;"","DEC-"&amp;TEXT(--RIGHT($V69,4),"0000"),"")</f>
        <v/>
      </c>
      <c r="B69" s="28"/>
      <c r="C69" s="28"/>
      <c r="D69" s="28"/>
      <c r="E69" s="29"/>
      <c r="F69" s="28"/>
      <c r="G69" s="85"/>
      <c r="H69" s="85"/>
      <c r="I69" s="85"/>
      <c r="J69" s="85"/>
      <c r="K69" s="85"/>
      <c r="L69" s="85"/>
      <c r="M69" s="86"/>
      <c r="N69" s="85"/>
      <c r="O69" s="28"/>
      <c r="P69" s="85"/>
      <c r="Q69" s="85"/>
      <c r="R69" s="86"/>
      <c r="S69" s="28"/>
      <c r="T69" s="85"/>
      <c r="U69" s="28"/>
      <c r="V69" s="3" t="s">
        <v>2390</v>
      </c>
      <c r="W69" s="3" t="str">
        <f t="shared" ref="W69:W100" si="5">IF($B69="","",IF(OR($G69="Completed",$G69="Cancelled",$G69="Deferred"),"INACTIVE","ACTIVE"))</f>
        <v/>
      </c>
    </row>
    <row r="70" spans="1:23">
      <c r="A70" s="3" t="str">
        <f t="shared" si="4"/>
        <v/>
      </c>
      <c r="B70" s="28"/>
      <c r="C70" s="28"/>
      <c r="D70" s="28"/>
      <c r="E70" s="29"/>
      <c r="F70" s="28"/>
      <c r="G70" s="85"/>
      <c r="H70" s="85"/>
      <c r="I70" s="85"/>
      <c r="J70" s="85"/>
      <c r="K70" s="85"/>
      <c r="L70" s="85"/>
      <c r="M70" s="86"/>
      <c r="N70" s="85"/>
      <c r="O70" s="28"/>
      <c r="P70" s="85"/>
      <c r="Q70" s="85"/>
      <c r="R70" s="86"/>
      <c r="S70" s="28"/>
      <c r="T70" s="85"/>
      <c r="U70" s="28"/>
      <c r="V70" s="3" t="s">
        <v>2391</v>
      </c>
      <c r="W70" s="3" t="str">
        <f t="shared" si="5"/>
        <v/>
      </c>
    </row>
    <row r="71" spans="1:23">
      <c r="A71" s="3" t="str">
        <f t="shared" si="4"/>
        <v/>
      </c>
      <c r="B71" s="28"/>
      <c r="C71" s="28"/>
      <c r="D71" s="28"/>
      <c r="E71" s="29"/>
      <c r="F71" s="28"/>
      <c r="G71" s="85"/>
      <c r="H71" s="85"/>
      <c r="I71" s="85"/>
      <c r="J71" s="85"/>
      <c r="K71" s="85"/>
      <c r="L71" s="85"/>
      <c r="M71" s="86"/>
      <c r="N71" s="85"/>
      <c r="O71" s="28"/>
      <c r="P71" s="85"/>
      <c r="Q71" s="85"/>
      <c r="R71" s="86"/>
      <c r="S71" s="28"/>
      <c r="T71" s="85"/>
      <c r="U71" s="28"/>
      <c r="V71" s="3" t="s">
        <v>2392</v>
      </c>
      <c r="W71" s="3" t="str">
        <f t="shared" si="5"/>
        <v/>
      </c>
    </row>
    <row r="72" spans="1:23">
      <c r="A72" s="3" t="str">
        <f t="shared" si="4"/>
        <v/>
      </c>
      <c r="B72" s="28"/>
      <c r="C72" s="28"/>
      <c r="D72" s="28"/>
      <c r="E72" s="29"/>
      <c r="F72" s="28"/>
      <c r="G72" s="85"/>
      <c r="H72" s="85"/>
      <c r="I72" s="85"/>
      <c r="J72" s="85"/>
      <c r="K72" s="85"/>
      <c r="L72" s="85"/>
      <c r="M72" s="86"/>
      <c r="N72" s="85"/>
      <c r="O72" s="28"/>
      <c r="P72" s="85"/>
      <c r="Q72" s="85"/>
      <c r="R72" s="86"/>
      <c r="S72" s="28"/>
      <c r="T72" s="85"/>
      <c r="U72" s="28"/>
      <c r="V72" s="3" t="s">
        <v>2393</v>
      </c>
      <c r="W72" s="3" t="str">
        <f t="shared" si="5"/>
        <v/>
      </c>
    </row>
    <row r="73" spans="1:23">
      <c r="A73" s="3" t="str">
        <f t="shared" si="4"/>
        <v/>
      </c>
      <c r="B73" s="28"/>
      <c r="C73" s="28"/>
      <c r="D73" s="28"/>
      <c r="E73" s="29"/>
      <c r="F73" s="28"/>
      <c r="G73" s="85"/>
      <c r="H73" s="85"/>
      <c r="I73" s="85"/>
      <c r="J73" s="85"/>
      <c r="K73" s="85"/>
      <c r="L73" s="85"/>
      <c r="M73" s="86"/>
      <c r="N73" s="85"/>
      <c r="O73" s="28"/>
      <c r="P73" s="85"/>
      <c r="Q73" s="85"/>
      <c r="R73" s="86"/>
      <c r="S73" s="28"/>
      <c r="T73" s="85"/>
      <c r="U73" s="28"/>
      <c r="V73" s="3" t="s">
        <v>2394</v>
      </c>
      <c r="W73" s="3" t="str">
        <f t="shared" si="5"/>
        <v/>
      </c>
    </row>
    <row r="74" spans="1:23">
      <c r="A74" s="3" t="str">
        <f t="shared" si="4"/>
        <v/>
      </c>
      <c r="B74" s="28"/>
      <c r="C74" s="28"/>
      <c r="D74" s="28"/>
      <c r="E74" s="29"/>
      <c r="F74" s="28"/>
      <c r="G74" s="85"/>
      <c r="H74" s="85"/>
      <c r="I74" s="85"/>
      <c r="J74" s="85"/>
      <c r="K74" s="85"/>
      <c r="L74" s="85"/>
      <c r="M74" s="86"/>
      <c r="N74" s="85"/>
      <c r="O74" s="28"/>
      <c r="P74" s="85"/>
      <c r="Q74" s="85"/>
      <c r="R74" s="86"/>
      <c r="S74" s="28"/>
      <c r="T74" s="85"/>
      <c r="U74" s="28"/>
      <c r="V74" s="3" t="s">
        <v>2395</v>
      </c>
      <c r="W74" s="3" t="str">
        <f t="shared" si="5"/>
        <v/>
      </c>
    </row>
    <row r="75" spans="1:23">
      <c r="A75" s="3" t="str">
        <f t="shared" si="4"/>
        <v/>
      </c>
      <c r="B75" s="28"/>
      <c r="C75" s="28"/>
      <c r="D75" s="28"/>
      <c r="E75" s="29"/>
      <c r="F75" s="28"/>
      <c r="G75" s="85"/>
      <c r="H75" s="85"/>
      <c r="I75" s="85"/>
      <c r="J75" s="85"/>
      <c r="K75" s="85"/>
      <c r="L75" s="85"/>
      <c r="M75" s="86"/>
      <c r="N75" s="85"/>
      <c r="O75" s="28"/>
      <c r="P75" s="85"/>
      <c r="Q75" s="85"/>
      <c r="R75" s="86"/>
      <c r="S75" s="28"/>
      <c r="T75" s="85"/>
      <c r="U75" s="28"/>
      <c r="V75" s="3" t="s">
        <v>2396</v>
      </c>
      <c r="W75" s="3" t="str">
        <f t="shared" si="5"/>
        <v/>
      </c>
    </row>
    <row r="76" spans="1:23">
      <c r="A76" s="3" t="str">
        <f t="shared" si="4"/>
        <v/>
      </c>
      <c r="B76" s="28"/>
      <c r="C76" s="28"/>
      <c r="D76" s="28"/>
      <c r="E76" s="29"/>
      <c r="F76" s="28"/>
      <c r="G76" s="85"/>
      <c r="H76" s="85"/>
      <c r="I76" s="85"/>
      <c r="J76" s="85"/>
      <c r="K76" s="85"/>
      <c r="L76" s="85"/>
      <c r="M76" s="86"/>
      <c r="N76" s="85"/>
      <c r="O76" s="28"/>
      <c r="P76" s="85"/>
      <c r="Q76" s="85"/>
      <c r="R76" s="86"/>
      <c r="S76" s="28"/>
      <c r="T76" s="85"/>
      <c r="U76" s="28"/>
      <c r="V76" s="3" t="s">
        <v>2397</v>
      </c>
      <c r="W76" s="3" t="str">
        <f t="shared" si="5"/>
        <v/>
      </c>
    </row>
    <row r="77" spans="1:23">
      <c r="A77" s="3" t="str">
        <f t="shared" si="4"/>
        <v/>
      </c>
      <c r="B77" s="28"/>
      <c r="C77" s="28"/>
      <c r="D77" s="28"/>
      <c r="E77" s="29"/>
      <c r="F77" s="28"/>
      <c r="G77" s="85"/>
      <c r="H77" s="85"/>
      <c r="I77" s="85"/>
      <c r="J77" s="85"/>
      <c r="K77" s="85"/>
      <c r="L77" s="85"/>
      <c r="M77" s="86"/>
      <c r="N77" s="85"/>
      <c r="O77" s="28"/>
      <c r="P77" s="85"/>
      <c r="Q77" s="85"/>
      <c r="R77" s="86"/>
      <c r="S77" s="28"/>
      <c r="T77" s="85"/>
      <c r="U77" s="28"/>
      <c r="V77" s="3" t="s">
        <v>2398</v>
      </c>
      <c r="W77" s="3" t="str">
        <f t="shared" si="5"/>
        <v/>
      </c>
    </row>
    <row r="78" spans="1:23">
      <c r="A78" s="3" t="str">
        <f t="shared" si="4"/>
        <v/>
      </c>
      <c r="B78" s="28"/>
      <c r="C78" s="28"/>
      <c r="D78" s="28"/>
      <c r="E78" s="29"/>
      <c r="F78" s="28"/>
      <c r="G78" s="85"/>
      <c r="H78" s="85"/>
      <c r="I78" s="85"/>
      <c r="J78" s="85"/>
      <c r="K78" s="85"/>
      <c r="L78" s="85"/>
      <c r="M78" s="86"/>
      <c r="N78" s="85"/>
      <c r="O78" s="28"/>
      <c r="P78" s="85"/>
      <c r="Q78" s="85"/>
      <c r="R78" s="86"/>
      <c r="S78" s="28"/>
      <c r="T78" s="85"/>
      <c r="U78" s="28"/>
      <c r="V78" s="3" t="s">
        <v>2399</v>
      </c>
      <c r="W78" s="3" t="str">
        <f t="shared" si="5"/>
        <v/>
      </c>
    </row>
    <row r="79" spans="1:23">
      <c r="A79" s="3" t="str">
        <f t="shared" si="4"/>
        <v/>
      </c>
      <c r="B79" s="28"/>
      <c r="C79" s="28"/>
      <c r="D79" s="28"/>
      <c r="E79" s="29"/>
      <c r="F79" s="28"/>
      <c r="G79" s="85"/>
      <c r="H79" s="85"/>
      <c r="I79" s="85"/>
      <c r="J79" s="85"/>
      <c r="K79" s="85"/>
      <c r="L79" s="85"/>
      <c r="M79" s="86"/>
      <c r="N79" s="85"/>
      <c r="O79" s="28"/>
      <c r="P79" s="85"/>
      <c r="Q79" s="85"/>
      <c r="R79" s="86"/>
      <c r="S79" s="28"/>
      <c r="T79" s="85"/>
      <c r="U79" s="28"/>
      <c r="V79" s="3" t="s">
        <v>2400</v>
      </c>
      <c r="W79" s="3" t="str">
        <f t="shared" si="5"/>
        <v/>
      </c>
    </row>
    <row r="80" spans="1:23">
      <c r="A80" s="3" t="str">
        <f t="shared" si="4"/>
        <v/>
      </c>
      <c r="B80" s="28"/>
      <c r="C80" s="28"/>
      <c r="D80" s="28"/>
      <c r="E80" s="29"/>
      <c r="F80" s="28"/>
      <c r="G80" s="85"/>
      <c r="H80" s="85"/>
      <c r="I80" s="85"/>
      <c r="J80" s="85"/>
      <c r="K80" s="85"/>
      <c r="L80" s="85"/>
      <c r="M80" s="86"/>
      <c r="N80" s="85"/>
      <c r="O80" s="28"/>
      <c r="P80" s="85"/>
      <c r="Q80" s="85"/>
      <c r="R80" s="86"/>
      <c r="S80" s="28"/>
      <c r="T80" s="85"/>
      <c r="U80" s="28"/>
      <c r="V80" s="3" t="s">
        <v>2401</v>
      </c>
      <c r="W80" s="3" t="str">
        <f t="shared" si="5"/>
        <v/>
      </c>
    </row>
    <row r="81" spans="1:23">
      <c r="A81" s="3" t="str">
        <f t="shared" si="4"/>
        <v/>
      </c>
      <c r="B81" s="28"/>
      <c r="C81" s="28"/>
      <c r="D81" s="28"/>
      <c r="E81" s="29"/>
      <c r="F81" s="28"/>
      <c r="G81" s="85"/>
      <c r="H81" s="85"/>
      <c r="I81" s="85"/>
      <c r="J81" s="85"/>
      <c r="K81" s="85"/>
      <c r="L81" s="85"/>
      <c r="M81" s="86"/>
      <c r="N81" s="85"/>
      <c r="O81" s="28"/>
      <c r="P81" s="85"/>
      <c r="Q81" s="85"/>
      <c r="R81" s="86"/>
      <c r="S81" s="28"/>
      <c r="T81" s="85"/>
      <c r="U81" s="28"/>
      <c r="V81" s="3" t="s">
        <v>2402</v>
      </c>
      <c r="W81" s="3" t="str">
        <f t="shared" si="5"/>
        <v/>
      </c>
    </row>
    <row r="82" spans="1:23">
      <c r="A82" s="3" t="str">
        <f t="shared" si="4"/>
        <v/>
      </c>
      <c r="B82" s="28"/>
      <c r="C82" s="28"/>
      <c r="D82" s="28"/>
      <c r="E82" s="29"/>
      <c r="F82" s="28"/>
      <c r="G82" s="85"/>
      <c r="H82" s="85"/>
      <c r="I82" s="85"/>
      <c r="J82" s="85"/>
      <c r="K82" s="85"/>
      <c r="L82" s="85"/>
      <c r="M82" s="86"/>
      <c r="N82" s="85"/>
      <c r="O82" s="28"/>
      <c r="P82" s="85"/>
      <c r="Q82" s="85"/>
      <c r="R82" s="86"/>
      <c r="S82" s="28"/>
      <c r="T82" s="85"/>
      <c r="U82" s="28"/>
      <c r="V82" s="3" t="s">
        <v>2403</v>
      </c>
      <c r="W82" s="3" t="str">
        <f t="shared" si="5"/>
        <v/>
      </c>
    </row>
    <row r="83" spans="1:23">
      <c r="A83" s="3" t="str">
        <f t="shared" si="4"/>
        <v/>
      </c>
      <c r="B83" s="28"/>
      <c r="C83" s="28"/>
      <c r="D83" s="28"/>
      <c r="E83" s="29"/>
      <c r="F83" s="28"/>
      <c r="G83" s="85"/>
      <c r="H83" s="85"/>
      <c r="I83" s="85"/>
      <c r="J83" s="85"/>
      <c r="K83" s="85"/>
      <c r="L83" s="85"/>
      <c r="M83" s="86"/>
      <c r="N83" s="85"/>
      <c r="O83" s="28"/>
      <c r="P83" s="85"/>
      <c r="Q83" s="85"/>
      <c r="R83" s="86"/>
      <c r="S83" s="28"/>
      <c r="T83" s="85"/>
      <c r="U83" s="28"/>
      <c r="V83" s="3" t="s">
        <v>2404</v>
      </c>
      <c r="W83" s="3" t="str">
        <f t="shared" si="5"/>
        <v/>
      </c>
    </row>
    <row r="84" spans="1:23">
      <c r="A84" s="3" t="str">
        <f t="shared" si="4"/>
        <v/>
      </c>
      <c r="B84" s="28"/>
      <c r="C84" s="28"/>
      <c r="D84" s="28"/>
      <c r="E84" s="29"/>
      <c r="F84" s="28"/>
      <c r="G84" s="85"/>
      <c r="H84" s="85"/>
      <c r="I84" s="85"/>
      <c r="J84" s="85"/>
      <c r="K84" s="85"/>
      <c r="L84" s="85"/>
      <c r="M84" s="86"/>
      <c r="N84" s="85"/>
      <c r="O84" s="28"/>
      <c r="P84" s="85"/>
      <c r="Q84" s="85"/>
      <c r="R84" s="86"/>
      <c r="S84" s="28"/>
      <c r="T84" s="85"/>
      <c r="U84" s="28"/>
      <c r="V84" s="3" t="s">
        <v>2405</v>
      </c>
      <c r="W84" s="3" t="str">
        <f t="shared" si="5"/>
        <v/>
      </c>
    </row>
    <row r="85" spans="1:23">
      <c r="A85" s="3" t="str">
        <f t="shared" si="4"/>
        <v/>
      </c>
      <c r="B85" s="28"/>
      <c r="C85" s="28"/>
      <c r="D85" s="28"/>
      <c r="E85" s="29"/>
      <c r="F85" s="28"/>
      <c r="G85" s="85"/>
      <c r="H85" s="85"/>
      <c r="I85" s="85"/>
      <c r="J85" s="85"/>
      <c r="K85" s="85"/>
      <c r="L85" s="85"/>
      <c r="M85" s="86"/>
      <c r="N85" s="85"/>
      <c r="O85" s="28"/>
      <c r="P85" s="85"/>
      <c r="Q85" s="85"/>
      <c r="R85" s="86"/>
      <c r="S85" s="28"/>
      <c r="T85" s="85"/>
      <c r="U85" s="28"/>
      <c r="V85" s="3" t="s">
        <v>2406</v>
      </c>
      <c r="W85" s="3" t="str">
        <f t="shared" si="5"/>
        <v/>
      </c>
    </row>
    <row r="86" spans="1:23">
      <c r="A86" s="3" t="str">
        <f t="shared" si="4"/>
        <v/>
      </c>
      <c r="B86" s="28"/>
      <c r="C86" s="28"/>
      <c r="D86" s="28"/>
      <c r="E86" s="29"/>
      <c r="F86" s="28"/>
      <c r="G86" s="85"/>
      <c r="H86" s="85"/>
      <c r="I86" s="85"/>
      <c r="J86" s="85"/>
      <c r="K86" s="85"/>
      <c r="L86" s="85"/>
      <c r="M86" s="86"/>
      <c r="N86" s="85"/>
      <c r="O86" s="28"/>
      <c r="P86" s="85"/>
      <c r="Q86" s="85"/>
      <c r="R86" s="86"/>
      <c r="S86" s="28"/>
      <c r="T86" s="85"/>
      <c r="U86" s="28"/>
      <c r="V86" s="3" t="s">
        <v>2407</v>
      </c>
      <c r="W86" s="3" t="str">
        <f t="shared" si="5"/>
        <v/>
      </c>
    </row>
    <row r="87" spans="1:23">
      <c r="A87" s="3" t="str">
        <f t="shared" si="4"/>
        <v/>
      </c>
      <c r="B87" s="28"/>
      <c r="C87" s="28"/>
      <c r="D87" s="28"/>
      <c r="E87" s="29"/>
      <c r="F87" s="28"/>
      <c r="G87" s="85"/>
      <c r="H87" s="85"/>
      <c r="I87" s="85"/>
      <c r="J87" s="85"/>
      <c r="K87" s="85"/>
      <c r="L87" s="85"/>
      <c r="M87" s="86"/>
      <c r="N87" s="85"/>
      <c r="O87" s="28"/>
      <c r="P87" s="85"/>
      <c r="Q87" s="85"/>
      <c r="R87" s="86"/>
      <c r="S87" s="28"/>
      <c r="T87" s="85"/>
      <c r="U87" s="28"/>
      <c r="V87" s="3" t="s">
        <v>2408</v>
      </c>
      <c r="W87" s="3" t="str">
        <f t="shared" si="5"/>
        <v/>
      </c>
    </row>
    <row r="88" spans="1:23">
      <c r="A88" s="3" t="str">
        <f t="shared" si="4"/>
        <v/>
      </c>
      <c r="B88" s="28"/>
      <c r="C88" s="28"/>
      <c r="D88" s="28"/>
      <c r="E88" s="29"/>
      <c r="F88" s="28"/>
      <c r="G88" s="85"/>
      <c r="H88" s="85"/>
      <c r="I88" s="85"/>
      <c r="J88" s="85"/>
      <c r="K88" s="85"/>
      <c r="L88" s="85"/>
      <c r="M88" s="86"/>
      <c r="N88" s="85"/>
      <c r="O88" s="28"/>
      <c r="P88" s="85"/>
      <c r="Q88" s="85"/>
      <c r="R88" s="86"/>
      <c r="S88" s="28"/>
      <c r="T88" s="85"/>
      <c r="U88" s="28"/>
      <c r="V88" s="3" t="s">
        <v>2409</v>
      </c>
      <c r="W88" s="3" t="str">
        <f t="shared" si="5"/>
        <v/>
      </c>
    </row>
    <row r="89" spans="1:23">
      <c r="A89" s="3" t="str">
        <f t="shared" si="4"/>
        <v/>
      </c>
      <c r="B89" s="28"/>
      <c r="C89" s="28"/>
      <c r="D89" s="28"/>
      <c r="E89" s="29"/>
      <c r="F89" s="28"/>
      <c r="G89" s="85"/>
      <c r="H89" s="85"/>
      <c r="I89" s="85"/>
      <c r="J89" s="85"/>
      <c r="K89" s="85"/>
      <c r="L89" s="85"/>
      <c r="M89" s="86"/>
      <c r="N89" s="85"/>
      <c r="O89" s="28"/>
      <c r="P89" s="85"/>
      <c r="Q89" s="85"/>
      <c r="R89" s="86"/>
      <c r="S89" s="28"/>
      <c r="T89" s="85"/>
      <c r="U89" s="28"/>
      <c r="V89" s="3" t="s">
        <v>2410</v>
      </c>
      <c r="W89" s="3" t="str">
        <f t="shared" si="5"/>
        <v/>
      </c>
    </row>
    <row r="90" spans="1:23">
      <c r="A90" s="3" t="str">
        <f t="shared" si="4"/>
        <v/>
      </c>
      <c r="B90" s="28"/>
      <c r="C90" s="28"/>
      <c r="D90" s="28"/>
      <c r="E90" s="29"/>
      <c r="F90" s="28"/>
      <c r="G90" s="85"/>
      <c r="H90" s="85"/>
      <c r="I90" s="85"/>
      <c r="J90" s="85"/>
      <c r="K90" s="85"/>
      <c r="L90" s="85"/>
      <c r="M90" s="86"/>
      <c r="N90" s="85"/>
      <c r="O90" s="28"/>
      <c r="P90" s="85"/>
      <c r="Q90" s="85"/>
      <c r="R90" s="86"/>
      <c r="S90" s="28"/>
      <c r="T90" s="85"/>
      <c r="U90" s="28"/>
      <c r="V90" s="3" t="s">
        <v>2411</v>
      </c>
      <c r="W90" s="3" t="str">
        <f t="shared" si="5"/>
        <v/>
      </c>
    </row>
    <row r="91" spans="1:23">
      <c r="A91" s="3" t="str">
        <f t="shared" si="4"/>
        <v/>
      </c>
      <c r="B91" s="28"/>
      <c r="C91" s="28"/>
      <c r="D91" s="28"/>
      <c r="E91" s="29"/>
      <c r="F91" s="28"/>
      <c r="G91" s="85"/>
      <c r="H91" s="85"/>
      <c r="I91" s="85"/>
      <c r="J91" s="85"/>
      <c r="K91" s="85"/>
      <c r="L91" s="85"/>
      <c r="M91" s="86"/>
      <c r="N91" s="85"/>
      <c r="O91" s="28"/>
      <c r="P91" s="85"/>
      <c r="Q91" s="85"/>
      <c r="R91" s="86"/>
      <c r="S91" s="28"/>
      <c r="T91" s="85"/>
      <c r="U91" s="28"/>
      <c r="V91" s="3" t="s">
        <v>2412</v>
      </c>
      <c r="W91" s="3" t="str">
        <f t="shared" si="5"/>
        <v/>
      </c>
    </row>
    <row r="92" spans="1:23">
      <c r="A92" s="3" t="str">
        <f t="shared" si="4"/>
        <v/>
      </c>
      <c r="B92" s="28"/>
      <c r="C92" s="28"/>
      <c r="D92" s="28"/>
      <c r="E92" s="29"/>
      <c r="F92" s="28"/>
      <c r="G92" s="85"/>
      <c r="H92" s="85"/>
      <c r="I92" s="85"/>
      <c r="J92" s="85"/>
      <c r="K92" s="85"/>
      <c r="L92" s="85"/>
      <c r="M92" s="86"/>
      <c r="N92" s="85"/>
      <c r="O92" s="28"/>
      <c r="P92" s="85"/>
      <c r="Q92" s="85"/>
      <c r="R92" s="86"/>
      <c r="S92" s="28"/>
      <c r="T92" s="85"/>
      <c r="U92" s="28"/>
      <c r="V92" s="3" t="s">
        <v>2413</v>
      </c>
      <c r="W92" s="3" t="str">
        <f t="shared" si="5"/>
        <v/>
      </c>
    </row>
    <row r="93" spans="1:23">
      <c r="A93" s="3" t="str">
        <f t="shared" si="4"/>
        <v/>
      </c>
      <c r="B93" s="28"/>
      <c r="C93" s="28"/>
      <c r="D93" s="28"/>
      <c r="E93" s="29"/>
      <c r="F93" s="28"/>
      <c r="G93" s="85"/>
      <c r="H93" s="85"/>
      <c r="I93" s="85"/>
      <c r="J93" s="85"/>
      <c r="K93" s="85"/>
      <c r="L93" s="85"/>
      <c r="M93" s="86"/>
      <c r="N93" s="85"/>
      <c r="O93" s="28"/>
      <c r="P93" s="85"/>
      <c r="Q93" s="85"/>
      <c r="R93" s="86"/>
      <c r="S93" s="28"/>
      <c r="T93" s="85"/>
      <c r="U93" s="28"/>
      <c r="V93" s="3" t="s">
        <v>2414</v>
      </c>
      <c r="W93" s="3" t="str">
        <f t="shared" si="5"/>
        <v/>
      </c>
    </row>
    <row r="94" spans="1:23">
      <c r="A94" s="3" t="str">
        <f t="shared" si="4"/>
        <v/>
      </c>
      <c r="B94" s="28"/>
      <c r="C94" s="28"/>
      <c r="D94" s="28"/>
      <c r="E94" s="29"/>
      <c r="F94" s="28"/>
      <c r="G94" s="85"/>
      <c r="H94" s="85"/>
      <c r="I94" s="85"/>
      <c r="J94" s="85"/>
      <c r="K94" s="85"/>
      <c r="L94" s="85"/>
      <c r="M94" s="86"/>
      <c r="N94" s="85"/>
      <c r="O94" s="28"/>
      <c r="P94" s="85"/>
      <c r="Q94" s="85"/>
      <c r="R94" s="86"/>
      <c r="S94" s="28"/>
      <c r="T94" s="85"/>
      <c r="U94" s="28"/>
      <c r="V94" s="3" t="s">
        <v>2415</v>
      </c>
      <c r="W94" s="3" t="str">
        <f t="shared" si="5"/>
        <v/>
      </c>
    </row>
    <row r="95" spans="1:23">
      <c r="A95" s="3" t="str">
        <f t="shared" si="4"/>
        <v/>
      </c>
      <c r="B95" s="28"/>
      <c r="C95" s="28"/>
      <c r="D95" s="28"/>
      <c r="E95" s="29"/>
      <c r="F95" s="28"/>
      <c r="G95" s="85"/>
      <c r="H95" s="85"/>
      <c r="I95" s="85"/>
      <c r="J95" s="85"/>
      <c r="K95" s="85"/>
      <c r="L95" s="85"/>
      <c r="M95" s="86"/>
      <c r="N95" s="85"/>
      <c r="O95" s="28"/>
      <c r="P95" s="85"/>
      <c r="Q95" s="85"/>
      <c r="R95" s="86"/>
      <c r="S95" s="28"/>
      <c r="T95" s="85"/>
      <c r="U95" s="28"/>
      <c r="V95" s="3" t="s">
        <v>2416</v>
      </c>
      <c r="W95" s="3" t="str">
        <f t="shared" si="5"/>
        <v/>
      </c>
    </row>
    <row r="96" spans="1:23">
      <c r="A96" s="3" t="str">
        <f t="shared" si="4"/>
        <v/>
      </c>
      <c r="B96" s="28"/>
      <c r="C96" s="28"/>
      <c r="D96" s="28"/>
      <c r="E96" s="29"/>
      <c r="F96" s="28"/>
      <c r="G96" s="85"/>
      <c r="H96" s="85"/>
      <c r="I96" s="85"/>
      <c r="J96" s="85"/>
      <c r="K96" s="85"/>
      <c r="L96" s="85"/>
      <c r="M96" s="86"/>
      <c r="N96" s="85"/>
      <c r="O96" s="28"/>
      <c r="P96" s="85"/>
      <c r="Q96" s="85"/>
      <c r="R96" s="86"/>
      <c r="S96" s="28"/>
      <c r="T96" s="85"/>
      <c r="U96" s="28"/>
      <c r="V96" s="3" t="s">
        <v>2417</v>
      </c>
      <c r="W96" s="3" t="str">
        <f t="shared" si="5"/>
        <v/>
      </c>
    </row>
    <row r="97" spans="1:23">
      <c r="A97" s="3" t="str">
        <f t="shared" si="4"/>
        <v/>
      </c>
      <c r="B97" s="28"/>
      <c r="C97" s="28"/>
      <c r="D97" s="28"/>
      <c r="E97" s="29"/>
      <c r="F97" s="28"/>
      <c r="G97" s="85"/>
      <c r="H97" s="85"/>
      <c r="I97" s="85"/>
      <c r="J97" s="85"/>
      <c r="K97" s="85"/>
      <c r="L97" s="85"/>
      <c r="M97" s="86"/>
      <c r="N97" s="85"/>
      <c r="O97" s="28"/>
      <c r="P97" s="85"/>
      <c r="Q97" s="85"/>
      <c r="R97" s="86"/>
      <c r="S97" s="28"/>
      <c r="T97" s="85"/>
      <c r="U97" s="28"/>
      <c r="V97" s="3" t="s">
        <v>2418</v>
      </c>
      <c r="W97" s="3" t="str">
        <f t="shared" si="5"/>
        <v/>
      </c>
    </row>
    <row r="98" spans="1:23">
      <c r="A98" s="3" t="str">
        <f t="shared" si="4"/>
        <v/>
      </c>
      <c r="B98" s="28"/>
      <c r="C98" s="28"/>
      <c r="D98" s="28"/>
      <c r="E98" s="29"/>
      <c r="F98" s="28"/>
      <c r="G98" s="85"/>
      <c r="H98" s="85"/>
      <c r="I98" s="85"/>
      <c r="J98" s="85"/>
      <c r="K98" s="85"/>
      <c r="L98" s="85"/>
      <c r="M98" s="86"/>
      <c r="N98" s="85"/>
      <c r="O98" s="28"/>
      <c r="P98" s="85"/>
      <c r="Q98" s="85"/>
      <c r="R98" s="86"/>
      <c r="S98" s="28"/>
      <c r="T98" s="85"/>
      <c r="U98" s="28"/>
      <c r="V98" s="3" t="s">
        <v>2419</v>
      </c>
      <c r="W98" s="3" t="str">
        <f t="shared" si="5"/>
        <v/>
      </c>
    </row>
    <row r="99" spans="1:23">
      <c r="A99" s="3" t="str">
        <f t="shared" si="4"/>
        <v/>
      </c>
      <c r="B99" s="28"/>
      <c r="C99" s="28"/>
      <c r="D99" s="28"/>
      <c r="E99" s="29"/>
      <c r="F99" s="28"/>
      <c r="G99" s="85"/>
      <c r="H99" s="85"/>
      <c r="I99" s="85"/>
      <c r="J99" s="85"/>
      <c r="K99" s="85"/>
      <c r="L99" s="85"/>
      <c r="M99" s="86"/>
      <c r="N99" s="85"/>
      <c r="O99" s="28"/>
      <c r="P99" s="85"/>
      <c r="Q99" s="85"/>
      <c r="R99" s="86"/>
      <c r="S99" s="28"/>
      <c r="T99" s="85"/>
      <c r="U99" s="28"/>
      <c r="V99" s="3" t="s">
        <v>2420</v>
      </c>
      <c r="W99" s="3" t="str">
        <f t="shared" si="5"/>
        <v/>
      </c>
    </row>
    <row r="100" spans="1:23">
      <c r="A100" s="3" t="str">
        <f t="shared" si="4"/>
        <v/>
      </c>
      <c r="B100" s="28"/>
      <c r="C100" s="28"/>
      <c r="D100" s="28"/>
      <c r="E100" s="29"/>
      <c r="F100" s="28"/>
      <c r="G100" s="85"/>
      <c r="H100" s="85"/>
      <c r="I100" s="85"/>
      <c r="J100" s="85"/>
      <c r="K100" s="85"/>
      <c r="L100" s="85"/>
      <c r="M100" s="86"/>
      <c r="N100" s="85"/>
      <c r="O100" s="28"/>
      <c r="P100" s="85"/>
      <c r="Q100" s="85"/>
      <c r="R100" s="86"/>
      <c r="S100" s="28"/>
      <c r="T100" s="85"/>
      <c r="U100" s="28"/>
      <c r="V100" s="3" t="s">
        <v>2421</v>
      </c>
      <c r="W100" s="3" t="str">
        <f t="shared" si="5"/>
        <v/>
      </c>
    </row>
    <row r="101" spans="1:23">
      <c r="A101" s="3" t="str">
        <f t="shared" ref="A101:A108" si="6">IF($B101&lt;&gt;"","DEC-"&amp;TEXT(--RIGHT($V101,4),"0000"),"")</f>
        <v/>
      </c>
      <c r="B101" s="28"/>
      <c r="C101" s="28"/>
      <c r="D101" s="28"/>
      <c r="E101" s="29"/>
      <c r="F101" s="28"/>
      <c r="G101" s="85"/>
      <c r="H101" s="85"/>
      <c r="I101" s="85"/>
      <c r="J101" s="85"/>
      <c r="K101" s="85"/>
      <c r="L101" s="85"/>
      <c r="M101" s="86"/>
      <c r="N101" s="85"/>
      <c r="O101" s="28"/>
      <c r="P101" s="85"/>
      <c r="Q101" s="85"/>
      <c r="R101" s="86"/>
      <c r="S101" s="28"/>
      <c r="T101" s="85"/>
      <c r="U101" s="28"/>
      <c r="V101" s="3" t="s">
        <v>2422</v>
      </c>
      <c r="W101" s="3" t="str">
        <f t="shared" ref="W101:W108" si="7">IF($B101="","",IF(OR($G101="Completed",$G101="Cancelled",$G101="Deferred"),"INACTIVE","ACTIVE"))</f>
        <v/>
      </c>
    </row>
    <row r="102" spans="1:23">
      <c r="A102" s="3" t="str">
        <f t="shared" si="6"/>
        <v/>
      </c>
      <c r="B102" s="28"/>
      <c r="C102" s="28"/>
      <c r="D102" s="28"/>
      <c r="E102" s="29"/>
      <c r="F102" s="28"/>
      <c r="G102" s="85"/>
      <c r="H102" s="85"/>
      <c r="I102" s="85"/>
      <c r="J102" s="85"/>
      <c r="K102" s="85"/>
      <c r="L102" s="85"/>
      <c r="M102" s="86"/>
      <c r="N102" s="85"/>
      <c r="O102" s="28"/>
      <c r="P102" s="85"/>
      <c r="Q102" s="85"/>
      <c r="R102" s="86"/>
      <c r="S102" s="28"/>
      <c r="T102" s="85"/>
      <c r="U102" s="28"/>
      <c r="V102" s="3" t="s">
        <v>2423</v>
      </c>
      <c r="W102" s="3" t="str">
        <f t="shared" si="7"/>
        <v/>
      </c>
    </row>
    <row r="103" spans="1:23">
      <c r="A103" s="3" t="str">
        <f t="shared" si="6"/>
        <v/>
      </c>
      <c r="B103" s="28"/>
      <c r="C103" s="28"/>
      <c r="D103" s="28"/>
      <c r="E103" s="29"/>
      <c r="F103" s="28"/>
      <c r="G103" s="85"/>
      <c r="H103" s="85"/>
      <c r="I103" s="85"/>
      <c r="J103" s="85"/>
      <c r="K103" s="85"/>
      <c r="L103" s="85"/>
      <c r="M103" s="86"/>
      <c r="N103" s="85"/>
      <c r="O103" s="28"/>
      <c r="P103" s="85"/>
      <c r="Q103" s="85"/>
      <c r="R103" s="86"/>
      <c r="S103" s="28"/>
      <c r="T103" s="85"/>
      <c r="U103" s="28"/>
      <c r="V103" s="3" t="s">
        <v>2424</v>
      </c>
      <c r="W103" s="3" t="str">
        <f t="shared" si="7"/>
        <v/>
      </c>
    </row>
    <row r="104" spans="1:23">
      <c r="A104" s="3" t="str">
        <f t="shared" si="6"/>
        <v/>
      </c>
      <c r="B104" s="28"/>
      <c r="C104" s="28"/>
      <c r="D104" s="28"/>
      <c r="E104" s="29"/>
      <c r="F104" s="28"/>
      <c r="G104" s="85"/>
      <c r="H104" s="85"/>
      <c r="I104" s="85"/>
      <c r="J104" s="85"/>
      <c r="K104" s="85"/>
      <c r="L104" s="85"/>
      <c r="M104" s="86"/>
      <c r="N104" s="85"/>
      <c r="O104" s="28"/>
      <c r="P104" s="85"/>
      <c r="Q104" s="85"/>
      <c r="R104" s="86"/>
      <c r="S104" s="28"/>
      <c r="T104" s="85"/>
      <c r="U104" s="28"/>
      <c r="V104" s="3" t="s">
        <v>2425</v>
      </c>
      <c r="W104" s="3" t="str">
        <f t="shared" si="7"/>
        <v/>
      </c>
    </row>
    <row r="105" spans="1:23">
      <c r="A105" s="3" t="str">
        <f t="shared" si="6"/>
        <v/>
      </c>
      <c r="B105" s="28"/>
      <c r="C105" s="28"/>
      <c r="D105" s="28"/>
      <c r="E105" s="29"/>
      <c r="F105" s="28"/>
      <c r="G105" s="85"/>
      <c r="H105" s="85"/>
      <c r="I105" s="85"/>
      <c r="J105" s="85"/>
      <c r="K105" s="85"/>
      <c r="L105" s="85"/>
      <c r="M105" s="86"/>
      <c r="N105" s="85"/>
      <c r="O105" s="28"/>
      <c r="P105" s="85"/>
      <c r="Q105" s="85"/>
      <c r="R105" s="86"/>
      <c r="S105" s="28"/>
      <c r="T105" s="85"/>
      <c r="U105" s="28"/>
      <c r="V105" s="3" t="s">
        <v>2426</v>
      </c>
      <c r="W105" s="3" t="str">
        <f t="shared" si="7"/>
        <v/>
      </c>
    </row>
    <row r="106" spans="1:23">
      <c r="A106" s="3" t="str">
        <f t="shared" si="6"/>
        <v/>
      </c>
      <c r="B106" s="28"/>
      <c r="C106" s="28"/>
      <c r="D106" s="28"/>
      <c r="E106" s="29"/>
      <c r="F106" s="28"/>
      <c r="G106" s="85"/>
      <c r="H106" s="85"/>
      <c r="I106" s="85"/>
      <c r="J106" s="85"/>
      <c r="K106" s="85"/>
      <c r="L106" s="85"/>
      <c r="M106" s="86"/>
      <c r="N106" s="85"/>
      <c r="O106" s="28"/>
      <c r="P106" s="85"/>
      <c r="Q106" s="85"/>
      <c r="R106" s="86"/>
      <c r="S106" s="28"/>
      <c r="T106" s="85"/>
      <c r="U106" s="28"/>
      <c r="V106" s="3" t="s">
        <v>2427</v>
      </c>
      <c r="W106" s="3" t="str">
        <f t="shared" si="7"/>
        <v/>
      </c>
    </row>
    <row r="107" spans="1:23">
      <c r="A107" s="3" t="str">
        <f t="shared" si="6"/>
        <v/>
      </c>
      <c r="B107" s="28"/>
      <c r="C107" s="28"/>
      <c r="D107" s="28"/>
      <c r="E107" s="29"/>
      <c r="F107" s="28"/>
      <c r="G107" s="85"/>
      <c r="H107" s="85"/>
      <c r="I107" s="85"/>
      <c r="J107" s="85"/>
      <c r="K107" s="85"/>
      <c r="L107" s="85"/>
      <c r="M107" s="86"/>
      <c r="N107" s="85"/>
      <c r="O107" s="28"/>
      <c r="P107" s="85"/>
      <c r="Q107" s="85"/>
      <c r="R107" s="86"/>
      <c r="S107" s="28"/>
      <c r="T107" s="85"/>
      <c r="U107" s="28"/>
      <c r="V107" s="3" t="s">
        <v>2428</v>
      </c>
      <c r="W107" s="3" t="str">
        <f t="shared" si="7"/>
        <v/>
      </c>
    </row>
    <row r="108" spans="1:23">
      <c r="A108" s="3" t="str">
        <f t="shared" si="6"/>
        <v/>
      </c>
      <c r="B108" s="28"/>
      <c r="C108" s="28"/>
      <c r="D108" s="28"/>
      <c r="E108" s="29"/>
      <c r="F108" s="28"/>
      <c r="G108" s="85"/>
      <c r="H108" s="85"/>
      <c r="I108" s="85"/>
      <c r="J108" s="85"/>
      <c r="K108" s="85"/>
      <c r="L108" s="85"/>
      <c r="M108" s="86"/>
      <c r="N108" s="85"/>
      <c r="O108" s="28"/>
      <c r="P108" s="85"/>
      <c r="Q108" s="85"/>
      <c r="R108" s="86"/>
      <c r="S108" s="28"/>
      <c r="T108" s="85"/>
      <c r="U108" s="28"/>
      <c r="V108" s="3" t="s">
        <v>2429</v>
      </c>
      <c r="W108" s="3" t="str">
        <f t="shared" si="7"/>
        <v/>
      </c>
    </row>
  </sheetData>
  <autoFilter ref="A4:U58" xr:uid="{00000000-0009-0000-0000-000006000000}"/>
  <mergeCells count="2">
    <mergeCell ref="A1:U1"/>
    <mergeCell ref="A2:U2"/>
  </mergeCells>
  <conditionalFormatting sqref="E5:E108">
    <cfRule type="expression" dxfId="20" priority="4">
      <formula>AND($B5&lt;&gt;"",$E5&lt;&gt;"",ISNUMBER($E5),$E5&lt;=TODAY(),$W5="ACTIVE")</formula>
    </cfRule>
  </conditionalFormatting>
  <conditionalFormatting sqref="I5:I108">
    <cfRule type="expression" dxfId="19" priority="1">
      <formula>AND($I5&lt;&gt;"",$I5&lt;&gt;"No")</formula>
    </cfRule>
  </conditionalFormatting>
  <conditionalFormatting sqref="K5:K108">
    <cfRule type="expression" dxfId="18" priority="2">
      <formula>$K5="High"</formula>
    </cfRule>
  </conditionalFormatting>
  <conditionalFormatting sqref="N5:N108">
    <cfRule type="expression" dxfId="17" priority="3">
      <formula>$N5="Yes"</formula>
    </cfRule>
  </conditionalFormatting>
  <dataValidations count="1">
    <dataValidation type="list" allowBlank="1" showInputMessage="1" showErrorMessage="1" errorTitle="Invalid value" error="Select a value from the dropdown list or leave blank." promptTitle="Active Record" prompt="Select ACTIVE or INACTIVE." sqref="W5:W108" xr:uid="{00000000-0002-0000-0600-000000000000}">
      <formula1>"ACTIVE,INACTIVE"</formula1>
    </dataValidation>
  </dataValidations>
  <pageMargins left="0.25" right="0.25" top="0.5" bottom="0.5" header="0.5" footer="0.5"/>
  <pageSetup fitToHeight="0" orientation="landscape"/>
  <headerFooter>
    <oddHeader>&amp;C&amp;"Aptos,Bold"&amp;14 Amir Group of Companies - SLT Action Tracker</oddHeader>
    <oddFooter>&amp;CConfidential - Page &amp;P of &amp;N</oddFooter>
  </headerFooter>
  <extLst>
    <ext xmlns:x14="http://schemas.microsoft.com/office/spreadsheetml/2009/9/main" uri="{CCE6A557-97BC-4b89-ADB6-D9C93CAAB3DF}">
      <x14:dataValidations xmlns:xm="http://schemas.microsoft.com/office/excel/2006/main" count="10">
        <x14:dataValidation type="list" allowBlank="1" showInputMessage="1" showErrorMessage="1" errorTitle="Invalid value" error="Select a value from the dropdown list or leave blank." promptTitle="Workstream" prompt="Select a workstream or leave blank." xr:uid="{862D9628-8FC4-4755-9155-1A097ADC1CE4}">
          <x14:formula1>
            <xm:f>'Lists &amp; Controls'!$K$5:$K$14</xm:f>
          </x14:formula1>
          <xm:sqref>C5:C108</xm:sqref>
        </x14:dataValidation>
        <x14:dataValidation type="list" allowBlank="1" showInputMessage="1" showErrorMessage="1" errorTitle="Invalid value" error="Select a value from the dropdown list or leave blank." promptTitle="Assigned To" prompt="Select a person or leave blank." xr:uid="{4126A442-17C0-427E-8ECC-AD5A8E31DB8D}">
          <x14:formula1>
            <xm:f>'Lists &amp; Controls'!$N$5:$N$20</xm:f>
          </x14:formula1>
          <xm:sqref>D5:D108</xm:sqref>
        </x14:dataValidation>
        <x14:dataValidation type="list" allowBlank="1" showInputMessage="1" showErrorMessage="1" errorTitle="Invalid value" error="Select a value from the dropdown list or leave blank." promptTitle="Status" prompt="Select a status or leave blank." xr:uid="{FF4C5CDF-CC74-4FCB-9ADB-768C0F6F176C}">
          <x14:formula1>
            <xm:f>'Lists &amp; Controls'!$A$5:$A$14</xm:f>
          </x14:formula1>
          <xm:sqref>G5:G108</xm:sqref>
        </x14:dataValidation>
        <x14:dataValidation type="list" allowBlank="1" showInputMessage="1" showErrorMessage="1" errorTitle="Invalid value" error="Select a value from the dropdown list or leave blank." promptTitle="Decision Type" prompt="Select a decision type or leave blank." xr:uid="{232BEA8F-C911-49D3-A3C2-BC9668A99C87}">
          <x14:formula1>
            <xm:f>'Lists &amp; Controls'!$I$5:$I$11</xm:f>
          </x14:formula1>
          <xm:sqref>H5:H108</xm:sqref>
        </x14:dataValidation>
        <x14:dataValidation type="list" allowBlank="1" showInputMessage="1" showErrorMessage="1" errorTitle="Invalid value" error="Select a value from the dropdown list or leave blank." promptTitle="CEO/CFO Attention" prompt="Select an attention level or leave blank." xr:uid="{6552E3EB-A949-44AF-8EE2-DD8F28CBCF7E}">
          <x14:formula1>
            <xm:f>'Lists &amp; Controls'!$J$5:$J$11</xm:f>
          </x14:formula1>
          <xm:sqref>I5:I108</xm:sqref>
        </x14:dataValidation>
        <x14:dataValidation type="list" allowBlank="1" showInputMessage="1" showErrorMessage="1" errorTitle="Invalid value" error="Select a value from the dropdown list or leave blank." promptTitle="Financial Impact" prompt="Select a financial impact or leave blank." xr:uid="{C963154D-89E8-4F37-90A0-8343F2EFD88B}">
          <x14:formula1>
            <xm:f>'Lists &amp; Controls'!$H$5:$H$9</xm:f>
          </x14:formula1>
          <xm:sqref>J5:J108</xm:sqref>
        </x14:dataValidation>
        <x14:dataValidation type="list" allowBlank="1" showInputMessage="1" showErrorMessage="1" errorTitle="Invalid value" error="Select a value from the dropdown list or leave blank." promptTitle="Risk Impact" prompt="Select a risk impact or leave blank." xr:uid="{B8007F2D-0881-4213-B4C0-E02006673432}">
          <x14:formula1>
            <xm:f>'Lists &amp; Controls'!$C$5:$C$7</xm:f>
          </x14:formula1>
          <xm:sqref>K5:K108</xm:sqref>
        </x14:dataValidation>
        <x14:dataValidation type="list" allowBlank="1" showInputMessage="1" showErrorMessage="1" errorTitle="Invalid value" error="Select a value from the dropdown list or leave blank." promptTitle="Strategic Objective" prompt="Select a strategic objective or leave blank." xr:uid="{8CC911A0-8EC2-4DB5-A89E-A34AAE8E6790}">
          <x14:formula1>
            <xm:f>'Lists &amp; Controls'!$F$5:$F$14</xm:f>
          </x14:formula1>
          <xm:sqref>L5:L108</xm:sqref>
        </x14:dataValidation>
        <x14:dataValidation type="list" allowBlank="1" showInputMessage="1" showErrorMessage="1" errorTitle="Invalid value" error="Select a value from the dropdown list or leave blank." promptTitle="Owned By" prompt="Select a person or leave blank." xr:uid="{59BD24B9-E297-4F58-9F22-6E1103D8C2A2}">
          <x14:formula1>
            <xm:f>'Lists &amp; Controls'!$N$5:$N$20</xm:f>
          </x14:formula1>
          <xm:sqref>P5:P108</xm:sqref>
        </x14:dataValidation>
        <x14:dataValidation type="list" allowBlank="1" showInputMessage="1" showErrorMessage="1" errorTitle="Invalid value" error="Select a value from the dropdown list or leave blank." promptTitle="Requested By" prompt="Select a person or leave blank." xr:uid="{4D071EA4-4BB4-4280-9F68-F66C6D7D8BFB}">
          <x14:formula1>
            <xm:f>'Lists &amp; Controls'!$N$5:$N$20</xm:f>
          </x14:formula1>
          <xm:sqref>Q5:Q108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5B9BD5"/>
    <pageSetUpPr fitToPage="1"/>
  </sheetPr>
  <dimension ref="A1:X104"/>
  <sheetViews>
    <sheetView showGridLines="0" workbookViewId="0">
      <pane xSplit="4" ySplit="4" topLeftCell="E5" activePane="bottomRight" state="frozen"/>
      <selection pane="topRight" activeCell="F10" sqref="F10"/>
      <selection pane="bottomLeft" activeCell="F10" sqref="F10"/>
      <selection pane="bottomRight" activeCell="F10" sqref="F10"/>
    </sheetView>
  </sheetViews>
  <sheetFormatPr defaultRowHeight="14.5"/>
  <cols>
    <col min="1" max="1" width="13.453125" customWidth="1"/>
    <col min="2" max="2" width="14.81640625" customWidth="1"/>
    <col min="3" max="3" width="20" style="113" customWidth="1"/>
    <col min="4" max="4" width="39.7265625" customWidth="1"/>
    <col min="5" max="5" width="20" customWidth="1"/>
    <col min="6" max="6" width="34.26953125" customWidth="1"/>
    <col min="7" max="7" width="20" customWidth="1"/>
    <col min="8" max="8" width="27.1796875" customWidth="1"/>
    <col min="9" max="9" width="34.26953125" customWidth="1"/>
    <col min="10" max="20" width="20" customWidth="1"/>
    <col min="21" max="22" width="22.81640625" hidden="1" customWidth="1"/>
    <col min="23" max="23" width="22.81640625" customWidth="1"/>
    <col min="24" max="24" width="20" customWidth="1"/>
  </cols>
  <sheetData>
    <row r="1" spans="1:24" ht="30" customHeight="1">
      <c r="A1" s="337" t="s">
        <v>84</v>
      </c>
      <c r="B1" s="274"/>
      <c r="C1" s="363"/>
      <c r="D1" s="274"/>
      <c r="E1" s="274"/>
      <c r="F1" s="274"/>
      <c r="G1" s="274"/>
      <c r="H1" s="274"/>
      <c r="I1" s="274"/>
      <c r="J1" s="274"/>
      <c r="K1" s="274"/>
      <c r="L1" s="274"/>
      <c r="M1" s="274"/>
      <c r="N1" s="274"/>
      <c r="O1" s="274"/>
      <c r="P1" s="274"/>
      <c r="Q1" s="274"/>
      <c r="R1" s="274"/>
      <c r="S1" s="274"/>
      <c r="T1" s="2"/>
      <c r="U1" s="2"/>
      <c r="V1" s="2"/>
      <c r="W1" s="2"/>
    </row>
    <row r="2" spans="1:24" ht="24" hidden="1" customHeight="1">
      <c r="A2" s="360" t="s">
        <v>2430</v>
      </c>
      <c r="B2" s="274"/>
      <c r="C2" s="363"/>
      <c r="D2" s="274"/>
      <c r="E2" s="274"/>
      <c r="F2" s="274"/>
      <c r="G2" s="274"/>
      <c r="H2" s="274"/>
      <c r="I2" s="274"/>
      <c r="J2" s="274"/>
      <c r="K2" s="274"/>
      <c r="L2" s="274"/>
      <c r="M2" s="274"/>
      <c r="N2" s="274"/>
      <c r="O2" s="274"/>
      <c r="P2" s="274"/>
      <c r="Q2" s="274"/>
      <c r="R2" s="274"/>
      <c r="S2" s="274"/>
      <c r="T2" s="2"/>
      <c r="U2" s="2"/>
      <c r="V2" s="2"/>
      <c r="W2" s="2"/>
    </row>
    <row r="3" spans="1:24" ht="20.25" customHeight="1">
      <c r="A3" s="361" t="s">
        <v>2431</v>
      </c>
      <c r="B3" s="362"/>
      <c r="C3" s="362"/>
      <c r="D3" s="362"/>
      <c r="E3" s="362"/>
      <c r="F3" s="362"/>
      <c r="G3" s="362"/>
      <c r="H3" s="362"/>
      <c r="I3" s="362"/>
      <c r="J3" s="362"/>
      <c r="K3" s="362"/>
      <c r="L3" s="362"/>
      <c r="M3" s="362"/>
      <c r="N3" s="362"/>
      <c r="O3" s="362"/>
      <c r="P3" s="362"/>
      <c r="Q3" s="362"/>
      <c r="R3" s="362"/>
      <c r="S3" s="362"/>
      <c r="T3" s="362"/>
      <c r="U3" s="362"/>
      <c r="V3" s="362"/>
      <c r="W3" s="362"/>
      <c r="X3" s="362"/>
    </row>
    <row r="4" spans="1:24" s="1" customFormat="1" ht="30" customHeight="1">
      <c r="A4" s="30" t="s">
        <v>455</v>
      </c>
      <c r="B4" s="30" t="s">
        <v>456</v>
      </c>
      <c r="C4" s="30" t="s">
        <v>447</v>
      </c>
      <c r="D4" s="30" t="s">
        <v>457</v>
      </c>
      <c r="E4" s="30" t="s">
        <v>458</v>
      </c>
      <c r="F4" s="30" t="s">
        <v>445</v>
      </c>
      <c r="G4" s="30" t="s">
        <v>157</v>
      </c>
      <c r="H4" s="30" t="s">
        <v>441</v>
      </c>
      <c r="I4" s="30" t="s">
        <v>459</v>
      </c>
      <c r="J4" s="30" t="s">
        <v>460</v>
      </c>
      <c r="K4" s="30" t="s">
        <v>448</v>
      </c>
      <c r="L4" s="30" t="s">
        <v>461</v>
      </c>
      <c r="M4" s="30" t="s">
        <v>462</v>
      </c>
      <c r="N4" s="30" t="s">
        <v>442</v>
      </c>
      <c r="O4" s="30" t="s">
        <v>101</v>
      </c>
      <c r="P4" s="30" t="s">
        <v>159</v>
      </c>
      <c r="Q4" s="30" t="s">
        <v>161</v>
      </c>
      <c r="R4" s="30" t="s">
        <v>105</v>
      </c>
      <c r="S4" s="30" t="s">
        <v>463</v>
      </c>
      <c r="T4" s="30" t="s">
        <v>164</v>
      </c>
      <c r="U4" s="30" t="s">
        <v>464</v>
      </c>
      <c r="V4" s="30" t="s">
        <v>465</v>
      </c>
      <c r="W4" s="30" t="s">
        <v>466</v>
      </c>
      <c r="X4" s="30" t="s">
        <v>467</v>
      </c>
    </row>
    <row r="5" spans="1:24" ht="54" customHeight="1">
      <c r="A5" s="3" t="str">
        <f t="array" ref="A5">IF(tblDecisionLog[[#This Row],[Source Decision ID]]="","",tblDecisionLog[[#This Row],[Source Decision ID]]&amp;"-L"&amp;SUMPRODUCT((tblDecisionLog[Source Decision ID]=tblDecisionLog[[#This Row],[Source Decision ID]])*(--RIGHT(tblDecisionLog[Decision Log Immutable Key],4)&lt;=--RIGHT(tblDecisionLog[[#This Row],[Decision Log Immutable Key]],4))))</f>
        <v>DEC-0001-L1</v>
      </c>
      <c r="B5" s="28" t="s">
        <v>470</v>
      </c>
      <c r="C5" s="112">
        <v>46175</v>
      </c>
      <c r="D5" s="114" t="s">
        <v>516</v>
      </c>
      <c r="E5" s="28" t="s">
        <v>493</v>
      </c>
      <c r="F5" s="28" t="s">
        <v>484</v>
      </c>
      <c r="G5" s="28" t="s">
        <v>517</v>
      </c>
      <c r="H5" s="28" t="s">
        <v>245</v>
      </c>
      <c r="I5" s="28" t="s">
        <v>2432</v>
      </c>
      <c r="J5" s="28" t="s">
        <v>2433</v>
      </c>
      <c r="K5" s="28"/>
      <c r="L5" s="28"/>
      <c r="M5" s="28"/>
      <c r="N5" s="28" t="s">
        <v>131</v>
      </c>
      <c r="O5" s="29"/>
      <c r="P5" s="28"/>
      <c r="Q5" s="28"/>
      <c r="R5" s="28" t="s">
        <v>140</v>
      </c>
      <c r="S5" s="29">
        <v>46175</v>
      </c>
      <c r="T5" s="28"/>
      <c r="U5" s="3" t="s">
        <v>520</v>
      </c>
      <c r="V5" s="3" t="str">
        <f>IF(tblDecisionLog[[#This Row],[Source Decision ID]]="","",_xlfn.XLOOKUP(tblDecisionLog[[#This Row],[Source Decision ID]],'Decision Queue_Bak'!$A:$A,'Decision Queue_Bak'!$V:$V,""))</f>
        <v>DECQ-K-0001</v>
      </c>
      <c r="W5" s="28"/>
      <c r="X5" s="3" t="str">
        <f>IF(tblDecisionLog[[#This Row],[Source Decision ID]]="","",IF(tblDecisionLog[[#This Row],[Queue Source Key]]&lt;&gt;"","Linked","Missing queue key"))</f>
        <v>Linked</v>
      </c>
    </row>
    <row r="6" spans="1:24" ht="67.5" customHeight="1">
      <c r="A6" s="3" t="str">
        <f t="array" ref="A6">IF(tblDecisionLog[[#This Row],[Source Decision ID]]="","",tblDecisionLog[[#This Row],[Source Decision ID]]&amp;"-L"&amp;SUMPRODUCT((tblDecisionLog[Source Decision ID]=tblDecisionLog[[#This Row],[Source Decision ID]])*(--RIGHT(tblDecisionLog[Decision Log Immutable Key],4)&lt;=--RIGHT(tblDecisionLog[[#This Row],[Decision Log Immutable Key]],4))))</f>
        <v>DEC-0002-L1</v>
      </c>
      <c r="B6" s="28" t="s">
        <v>480</v>
      </c>
      <c r="C6" s="112">
        <v>46175</v>
      </c>
      <c r="D6" s="28" t="s">
        <v>528</v>
      </c>
      <c r="E6" s="28" t="s">
        <v>493</v>
      </c>
      <c r="F6" s="28" t="s">
        <v>484</v>
      </c>
      <c r="G6" s="28" t="s">
        <v>517</v>
      </c>
      <c r="H6" s="28" t="s">
        <v>245</v>
      </c>
      <c r="I6" s="28"/>
      <c r="J6" s="28" t="s">
        <v>2434</v>
      </c>
      <c r="K6" s="28"/>
      <c r="L6" s="28"/>
      <c r="M6" s="28"/>
      <c r="N6" s="28" t="s">
        <v>131</v>
      </c>
      <c r="O6" s="29"/>
      <c r="P6" s="28"/>
      <c r="Q6" s="28"/>
      <c r="R6" s="28" t="s">
        <v>140</v>
      </c>
      <c r="S6" s="29">
        <v>46175</v>
      </c>
      <c r="T6" s="28"/>
      <c r="U6" s="3" t="s">
        <v>530</v>
      </c>
      <c r="V6" s="3" t="str">
        <f>IF(tblDecisionLog[[#This Row],[Source Decision ID]]="","",_xlfn.XLOOKUP(tblDecisionLog[[#This Row],[Source Decision ID]],'Decision Queue_Bak'!$A:$A,'Decision Queue_Bak'!$V:$V,""))</f>
        <v>DECQ-K-0002</v>
      </c>
      <c r="W6" s="28"/>
      <c r="X6" s="3" t="str">
        <f>IF(tblDecisionLog[[#This Row],[Source Decision ID]]="","",IF(tblDecisionLog[[#This Row],[Queue Source Key]]&lt;&gt;"","Linked","Missing queue key"))</f>
        <v>Linked</v>
      </c>
    </row>
    <row r="7" spans="1:24">
      <c r="A7" s="3" t="str">
        <f t="array" ref="A7">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7" s="28"/>
      <c r="C7" s="112"/>
      <c r="D7" s="28"/>
      <c r="E7" s="28"/>
      <c r="F7" s="28"/>
      <c r="G7" s="28"/>
      <c r="H7" s="28"/>
      <c r="I7" s="28"/>
      <c r="J7" s="28"/>
      <c r="K7" s="28"/>
      <c r="L7" s="28"/>
      <c r="M7" s="28"/>
      <c r="N7" s="28"/>
      <c r="O7" s="29"/>
      <c r="P7" s="28"/>
      <c r="Q7" s="28"/>
      <c r="R7" s="28"/>
      <c r="S7" s="29"/>
      <c r="T7" s="28"/>
      <c r="U7" s="3" t="s">
        <v>2435</v>
      </c>
      <c r="V7" s="3" t="str">
        <f>IF(tblDecisionLog[[#This Row],[Source Decision ID]]="","",_xlfn.XLOOKUP(tblDecisionLog[[#This Row],[Source Decision ID]],'Decision Queue_Bak'!$A:$A,'Decision Queue_Bak'!$V:$V,""))</f>
        <v/>
      </c>
      <c r="W7" s="28"/>
      <c r="X7" s="3" t="str">
        <f>IF(tblDecisionLog[[#This Row],[Source Decision ID]]="","",IF(tblDecisionLog[[#This Row],[Queue Source Key]]&lt;&gt;"","Linked","Missing queue key"))</f>
        <v/>
      </c>
    </row>
    <row r="8" spans="1:24">
      <c r="A8" s="3" t="str">
        <f t="array" ref="A8">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8" s="28"/>
      <c r="C8" s="112"/>
      <c r="D8" s="28"/>
      <c r="E8" s="28"/>
      <c r="F8" s="28"/>
      <c r="G8" s="28"/>
      <c r="H8" s="28"/>
      <c r="I8" s="28"/>
      <c r="J8" s="28"/>
      <c r="K8" s="28"/>
      <c r="L8" s="28"/>
      <c r="M8" s="28"/>
      <c r="N8" s="28"/>
      <c r="O8" s="29"/>
      <c r="P8" s="28"/>
      <c r="Q8" s="28"/>
      <c r="R8" s="28"/>
      <c r="S8" s="29"/>
      <c r="T8" s="28"/>
      <c r="U8" s="3" t="s">
        <v>2436</v>
      </c>
      <c r="V8" s="3" t="str">
        <f>IF(tblDecisionLog[[#This Row],[Source Decision ID]]="","",_xlfn.XLOOKUP(tblDecisionLog[[#This Row],[Source Decision ID]],'Decision Queue_Bak'!$A:$A,'Decision Queue_Bak'!$V:$V,""))</f>
        <v/>
      </c>
      <c r="W8" s="28"/>
      <c r="X8" s="3" t="str">
        <f>IF(tblDecisionLog[[#This Row],[Source Decision ID]]="","",IF(tblDecisionLog[[#This Row],[Queue Source Key]]&lt;&gt;"","Linked","Missing queue key"))</f>
        <v/>
      </c>
    </row>
    <row r="9" spans="1:24">
      <c r="A9" s="3" t="str">
        <f t="array" ref="A9">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9" s="28"/>
      <c r="C9" s="112"/>
      <c r="D9" s="28"/>
      <c r="E9" s="28"/>
      <c r="F9" s="28"/>
      <c r="G9" s="28"/>
      <c r="H9" s="28"/>
      <c r="I9" s="28"/>
      <c r="J9" s="28"/>
      <c r="K9" s="28"/>
      <c r="L9" s="28"/>
      <c r="M9" s="28"/>
      <c r="N9" s="28"/>
      <c r="O9" s="29"/>
      <c r="P9" s="28"/>
      <c r="Q9" s="28"/>
      <c r="R9" s="28"/>
      <c r="S9" s="29"/>
      <c r="T9" s="28"/>
      <c r="U9" s="3" t="s">
        <v>2437</v>
      </c>
      <c r="V9" s="3" t="str">
        <f>IF(tblDecisionLog[[#This Row],[Source Decision ID]]="","",_xlfn.XLOOKUP(tblDecisionLog[[#This Row],[Source Decision ID]],'Decision Queue_Bak'!$A:$A,'Decision Queue_Bak'!$V:$V,""))</f>
        <v/>
      </c>
      <c r="W9" s="28"/>
      <c r="X9" s="3" t="str">
        <f>IF(tblDecisionLog[[#This Row],[Source Decision ID]]="","",IF(tblDecisionLog[[#This Row],[Queue Source Key]]&lt;&gt;"","Linked","Missing queue key"))</f>
        <v/>
      </c>
    </row>
    <row r="10" spans="1:24">
      <c r="A10" s="3" t="str">
        <f t="array" ref="A10">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10" s="28"/>
      <c r="C10" s="112"/>
      <c r="D10" s="28"/>
      <c r="E10" s="28"/>
      <c r="F10" s="28"/>
      <c r="G10" s="28"/>
      <c r="H10" s="28"/>
      <c r="I10" s="28"/>
      <c r="J10" s="28"/>
      <c r="K10" s="28"/>
      <c r="L10" s="28"/>
      <c r="M10" s="28"/>
      <c r="N10" s="28"/>
      <c r="O10" s="29"/>
      <c r="P10" s="28"/>
      <c r="Q10" s="28"/>
      <c r="R10" s="28"/>
      <c r="S10" s="29"/>
      <c r="T10" s="28"/>
      <c r="U10" s="3" t="s">
        <v>2438</v>
      </c>
      <c r="V10" s="3" t="str">
        <f>IF(tblDecisionLog[[#This Row],[Source Decision ID]]="","",_xlfn.XLOOKUP(tblDecisionLog[[#This Row],[Source Decision ID]],'Decision Queue_Bak'!$A:$A,'Decision Queue_Bak'!$V:$V,""))</f>
        <v/>
      </c>
      <c r="W10" s="28"/>
      <c r="X10" s="3" t="str">
        <f>IF(tblDecisionLog[[#This Row],[Source Decision ID]]="","",IF(tblDecisionLog[[#This Row],[Queue Source Key]]&lt;&gt;"","Linked","Missing queue key"))</f>
        <v/>
      </c>
    </row>
    <row r="11" spans="1:24">
      <c r="A11" s="3" t="str">
        <f t="array" ref="A11">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11" s="28"/>
      <c r="C11" s="112"/>
      <c r="D11" s="28"/>
      <c r="E11" s="28"/>
      <c r="F11" s="28"/>
      <c r="G11" s="28"/>
      <c r="H11" s="28"/>
      <c r="I11" s="28"/>
      <c r="J11" s="28"/>
      <c r="K11" s="28"/>
      <c r="L11" s="28"/>
      <c r="M11" s="28"/>
      <c r="N11" s="28"/>
      <c r="O11" s="29"/>
      <c r="P11" s="28"/>
      <c r="Q11" s="28"/>
      <c r="R11" s="28"/>
      <c r="S11" s="29"/>
      <c r="T11" s="28"/>
      <c r="U11" s="3" t="s">
        <v>2439</v>
      </c>
      <c r="V11" s="3" t="str">
        <f>IF(tblDecisionLog[[#This Row],[Source Decision ID]]="","",_xlfn.XLOOKUP(tblDecisionLog[[#This Row],[Source Decision ID]],'Decision Queue_Bak'!$A:$A,'Decision Queue_Bak'!$V:$V,""))</f>
        <v/>
      </c>
      <c r="W11" s="28"/>
      <c r="X11" s="3" t="str">
        <f>IF(tblDecisionLog[[#This Row],[Source Decision ID]]="","",IF(tblDecisionLog[[#This Row],[Queue Source Key]]&lt;&gt;"","Linked","Missing queue key"))</f>
        <v/>
      </c>
    </row>
    <row r="12" spans="1:24">
      <c r="A12" s="3" t="str">
        <f t="array" ref="A12">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12" s="28"/>
      <c r="C12" s="112"/>
      <c r="D12" s="28"/>
      <c r="E12" s="28"/>
      <c r="F12" s="28"/>
      <c r="G12" s="28"/>
      <c r="H12" s="28"/>
      <c r="I12" s="28"/>
      <c r="J12" s="28"/>
      <c r="K12" s="28"/>
      <c r="L12" s="28"/>
      <c r="M12" s="28"/>
      <c r="N12" s="28"/>
      <c r="O12" s="29"/>
      <c r="P12" s="28"/>
      <c r="Q12" s="28"/>
      <c r="R12" s="28"/>
      <c r="S12" s="29"/>
      <c r="T12" s="28"/>
      <c r="U12" s="3" t="s">
        <v>2440</v>
      </c>
      <c r="V12" s="3" t="str">
        <f>IF(tblDecisionLog[[#This Row],[Source Decision ID]]="","",_xlfn.XLOOKUP(tblDecisionLog[[#This Row],[Source Decision ID]],'Decision Queue_Bak'!$A:$A,'Decision Queue_Bak'!$V:$V,""))</f>
        <v/>
      </c>
      <c r="W12" s="28"/>
      <c r="X12" s="3" t="str">
        <f>IF(tblDecisionLog[[#This Row],[Source Decision ID]]="","",IF(tblDecisionLog[[#This Row],[Queue Source Key]]&lt;&gt;"","Linked","Missing queue key"))</f>
        <v/>
      </c>
    </row>
    <row r="13" spans="1:24">
      <c r="A13" s="3" t="str">
        <f t="array" ref="A13">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13" s="28"/>
      <c r="C13" s="112"/>
      <c r="D13" s="28"/>
      <c r="E13" s="28"/>
      <c r="F13" s="28"/>
      <c r="G13" s="28"/>
      <c r="H13" s="28"/>
      <c r="I13" s="28"/>
      <c r="J13" s="28"/>
      <c r="K13" s="28"/>
      <c r="L13" s="28"/>
      <c r="M13" s="28"/>
      <c r="N13" s="28"/>
      <c r="O13" s="29"/>
      <c r="P13" s="28"/>
      <c r="Q13" s="28"/>
      <c r="R13" s="28"/>
      <c r="S13" s="29"/>
      <c r="T13" s="28"/>
      <c r="U13" s="3" t="s">
        <v>2441</v>
      </c>
      <c r="V13" s="3" t="str">
        <f>IF(tblDecisionLog[[#This Row],[Source Decision ID]]="","",_xlfn.XLOOKUP(tblDecisionLog[[#This Row],[Source Decision ID]],'Decision Queue_Bak'!$A:$A,'Decision Queue_Bak'!$V:$V,""))</f>
        <v/>
      </c>
      <c r="W13" s="28"/>
      <c r="X13" s="3" t="str">
        <f>IF(tblDecisionLog[[#This Row],[Source Decision ID]]="","",IF(tblDecisionLog[[#This Row],[Queue Source Key]]&lt;&gt;"","Linked","Missing queue key"))</f>
        <v/>
      </c>
    </row>
    <row r="14" spans="1:24">
      <c r="A14" s="3" t="str">
        <f t="array" ref="A14">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14" s="28"/>
      <c r="C14" s="112"/>
      <c r="D14" s="28"/>
      <c r="E14" s="28"/>
      <c r="F14" s="28"/>
      <c r="G14" s="28"/>
      <c r="H14" s="28"/>
      <c r="I14" s="28"/>
      <c r="J14" s="28"/>
      <c r="K14" s="28"/>
      <c r="L14" s="28"/>
      <c r="M14" s="28"/>
      <c r="N14" s="28"/>
      <c r="O14" s="29"/>
      <c r="P14" s="28"/>
      <c r="Q14" s="28"/>
      <c r="R14" s="28"/>
      <c r="S14" s="29"/>
      <c r="T14" s="28"/>
      <c r="U14" s="3" t="s">
        <v>2442</v>
      </c>
      <c r="V14" s="3" t="str">
        <f>IF(tblDecisionLog[[#This Row],[Source Decision ID]]="","",_xlfn.XLOOKUP(tblDecisionLog[[#This Row],[Source Decision ID]],'Decision Queue_Bak'!$A:$A,'Decision Queue_Bak'!$V:$V,""))</f>
        <v/>
      </c>
      <c r="W14" s="28"/>
      <c r="X14" s="3" t="str">
        <f>IF(tblDecisionLog[[#This Row],[Source Decision ID]]="","",IF(tblDecisionLog[[#This Row],[Queue Source Key]]&lt;&gt;"","Linked","Missing queue key"))</f>
        <v/>
      </c>
    </row>
    <row r="15" spans="1:24">
      <c r="A15" s="3" t="str">
        <f t="array" ref="A15">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15" s="28"/>
      <c r="C15" s="112"/>
      <c r="D15" s="28"/>
      <c r="E15" s="28"/>
      <c r="F15" s="28"/>
      <c r="G15" s="28"/>
      <c r="H15" s="28"/>
      <c r="I15" s="28"/>
      <c r="J15" s="28"/>
      <c r="K15" s="28"/>
      <c r="L15" s="28"/>
      <c r="M15" s="28"/>
      <c r="N15" s="28"/>
      <c r="O15" s="29"/>
      <c r="P15" s="28"/>
      <c r="Q15" s="28"/>
      <c r="R15" s="28"/>
      <c r="S15" s="29"/>
      <c r="T15" s="28"/>
      <c r="U15" s="3" t="s">
        <v>2443</v>
      </c>
      <c r="V15" s="3" t="str">
        <f>IF(tblDecisionLog[[#This Row],[Source Decision ID]]="","",_xlfn.XLOOKUP(tblDecisionLog[[#This Row],[Source Decision ID]],'Decision Queue_Bak'!$A:$A,'Decision Queue_Bak'!$V:$V,""))</f>
        <v/>
      </c>
      <c r="W15" s="28"/>
      <c r="X15" s="3" t="str">
        <f>IF(tblDecisionLog[[#This Row],[Source Decision ID]]="","",IF(tblDecisionLog[[#This Row],[Queue Source Key]]&lt;&gt;"","Linked","Missing queue key"))</f>
        <v/>
      </c>
    </row>
    <row r="16" spans="1:24">
      <c r="A16" s="3" t="str">
        <f t="array" ref="A16">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16" s="28"/>
      <c r="C16" s="112"/>
      <c r="D16" s="28"/>
      <c r="E16" s="28"/>
      <c r="F16" s="28"/>
      <c r="G16" s="28"/>
      <c r="H16" s="28"/>
      <c r="I16" s="28"/>
      <c r="J16" s="28"/>
      <c r="K16" s="28"/>
      <c r="L16" s="28"/>
      <c r="M16" s="28"/>
      <c r="N16" s="28"/>
      <c r="O16" s="29"/>
      <c r="P16" s="28"/>
      <c r="Q16" s="28"/>
      <c r="R16" s="28"/>
      <c r="S16" s="29"/>
      <c r="T16" s="28"/>
      <c r="U16" s="3" t="s">
        <v>2444</v>
      </c>
      <c r="V16" s="3" t="str">
        <f>IF(tblDecisionLog[[#This Row],[Source Decision ID]]="","",_xlfn.XLOOKUP(tblDecisionLog[[#This Row],[Source Decision ID]],'Decision Queue_Bak'!$A:$A,'Decision Queue_Bak'!$V:$V,""))</f>
        <v/>
      </c>
      <c r="W16" s="28"/>
      <c r="X16" s="3" t="str">
        <f>IF(tblDecisionLog[[#This Row],[Source Decision ID]]="","",IF(tblDecisionLog[[#This Row],[Queue Source Key]]&lt;&gt;"","Linked","Missing queue key"))</f>
        <v/>
      </c>
    </row>
    <row r="17" spans="1:24">
      <c r="A17" s="3" t="str">
        <f t="array" ref="A17">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17" s="28"/>
      <c r="C17" s="112"/>
      <c r="D17" s="28"/>
      <c r="E17" s="28"/>
      <c r="F17" s="28"/>
      <c r="G17" s="28"/>
      <c r="H17" s="28"/>
      <c r="I17" s="28"/>
      <c r="J17" s="28"/>
      <c r="K17" s="28"/>
      <c r="L17" s="28"/>
      <c r="M17" s="28"/>
      <c r="N17" s="28"/>
      <c r="O17" s="29"/>
      <c r="P17" s="28"/>
      <c r="Q17" s="28"/>
      <c r="R17" s="28"/>
      <c r="S17" s="29"/>
      <c r="T17" s="28"/>
      <c r="U17" s="3" t="s">
        <v>2445</v>
      </c>
      <c r="V17" s="3" t="str">
        <f>IF(tblDecisionLog[[#This Row],[Source Decision ID]]="","",_xlfn.XLOOKUP(tblDecisionLog[[#This Row],[Source Decision ID]],'Decision Queue_Bak'!$A:$A,'Decision Queue_Bak'!$V:$V,""))</f>
        <v/>
      </c>
      <c r="W17" s="28"/>
      <c r="X17" s="3" t="str">
        <f>IF(tblDecisionLog[[#This Row],[Source Decision ID]]="","",IF(tblDecisionLog[[#This Row],[Queue Source Key]]&lt;&gt;"","Linked","Missing queue key"))</f>
        <v/>
      </c>
    </row>
    <row r="18" spans="1:24">
      <c r="A18" s="3" t="str">
        <f t="array" ref="A18">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18" s="28"/>
      <c r="C18" s="112"/>
      <c r="D18" s="28"/>
      <c r="E18" s="28"/>
      <c r="F18" s="28"/>
      <c r="G18" s="28"/>
      <c r="H18" s="28"/>
      <c r="I18" s="28"/>
      <c r="J18" s="28"/>
      <c r="K18" s="28"/>
      <c r="L18" s="28"/>
      <c r="M18" s="28"/>
      <c r="N18" s="28"/>
      <c r="O18" s="29"/>
      <c r="P18" s="28"/>
      <c r="Q18" s="28"/>
      <c r="R18" s="28"/>
      <c r="S18" s="29"/>
      <c r="T18" s="28"/>
      <c r="U18" s="3" t="s">
        <v>2446</v>
      </c>
      <c r="V18" s="3" t="str">
        <f>IF(tblDecisionLog[[#This Row],[Source Decision ID]]="","",_xlfn.XLOOKUP(tblDecisionLog[[#This Row],[Source Decision ID]],'Decision Queue_Bak'!$A:$A,'Decision Queue_Bak'!$V:$V,""))</f>
        <v/>
      </c>
      <c r="W18" s="28"/>
      <c r="X18" s="3" t="str">
        <f>IF(tblDecisionLog[[#This Row],[Source Decision ID]]="","",IF(tblDecisionLog[[#This Row],[Queue Source Key]]&lt;&gt;"","Linked","Missing queue key"))</f>
        <v/>
      </c>
    </row>
    <row r="19" spans="1:24">
      <c r="A19" s="3" t="str">
        <f t="array" ref="A19">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19" s="28"/>
      <c r="C19" s="112"/>
      <c r="D19" s="28"/>
      <c r="E19" s="28"/>
      <c r="F19" s="28"/>
      <c r="G19" s="28"/>
      <c r="H19" s="28"/>
      <c r="I19" s="28"/>
      <c r="J19" s="28"/>
      <c r="K19" s="28"/>
      <c r="L19" s="28"/>
      <c r="M19" s="28"/>
      <c r="N19" s="28"/>
      <c r="O19" s="29"/>
      <c r="P19" s="28"/>
      <c r="Q19" s="28"/>
      <c r="R19" s="28"/>
      <c r="S19" s="29"/>
      <c r="T19" s="28"/>
      <c r="U19" s="3" t="s">
        <v>2447</v>
      </c>
      <c r="V19" s="3" t="str">
        <f>IF(tblDecisionLog[[#This Row],[Source Decision ID]]="","",_xlfn.XLOOKUP(tblDecisionLog[[#This Row],[Source Decision ID]],'Decision Queue_Bak'!$A:$A,'Decision Queue_Bak'!$V:$V,""))</f>
        <v/>
      </c>
      <c r="W19" s="28"/>
      <c r="X19" s="3" t="str">
        <f>IF(tblDecisionLog[[#This Row],[Source Decision ID]]="","",IF(tblDecisionLog[[#This Row],[Queue Source Key]]&lt;&gt;"","Linked","Missing queue key"))</f>
        <v/>
      </c>
    </row>
    <row r="20" spans="1:24">
      <c r="A20" s="3" t="str">
        <f t="array" ref="A20">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20" s="28"/>
      <c r="C20" s="112"/>
      <c r="D20" s="28"/>
      <c r="E20" s="28"/>
      <c r="F20" s="28"/>
      <c r="G20" s="28"/>
      <c r="H20" s="28"/>
      <c r="I20" s="28"/>
      <c r="J20" s="28"/>
      <c r="K20" s="28"/>
      <c r="L20" s="28"/>
      <c r="M20" s="28"/>
      <c r="N20" s="28"/>
      <c r="O20" s="29"/>
      <c r="P20" s="28"/>
      <c r="Q20" s="28"/>
      <c r="R20" s="28"/>
      <c r="S20" s="29"/>
      <c r="T20" s="28"/>
      <c r="U20" s="3" t="s">
        <v>2448</v>
      </c>
      <c r="V20" s="3" t="str">
        <f>IF(tblDecisionLog[[#This Row],[Source Decision ID]]="","",_xlfn.XLOOKUP(tblDecisionLog[[#This Row],[Source Decision ID]],'Decision Queue_Bak'!$A:$A,'Decision Queue_Bak'!$V:$V,""))</f>
        <v/>
      </c>
      <c r="W20" s="28"/>
      <c r="X20" s="3" t="str">
        <f>IF(tblDecisionLog[[#This Row],[Source Decision ID]]="","",IF(tblDecisionLog[[#This Row],[Queue Source Key]]&lt;&gt;"","Linked","Missing queue key"))</f>
        <v/>
      </c>
    </row>
    <row r="21" spans="1:24">
      <c r="A21" s="3" t="str">
        <f t="array" ref="A21">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21" s="28"/>
      <c r="C21" s="112"/>
      <c r="D21" s="28"/>
      <c r="E21" s="28"/>
      <c r="F21" s="28"/>
      <c r="G21" s="28"/>
      <c r="H21" s="28"/>
      <c r="I21" s="28"/>
      <c r="J21" s="28"/>
      <c r="K21" s="28"/>
      <c r="L21" s="28"/>
      <c r="M21" s="28"/>
      <c r="N21" s="28"/>
      <c r="O21" s="29"/>
      <c r="P21" s="28"/>
      <c r="Q21" s="28"/>
      <c r="R21" s="28"/>
      <c r="S21" s="29"/>
      <c r="T21" s="28"/>
      <c r="U21" s="3" t="s">
        <v>2449</v>
      </c>
      <c r="V21" s="3" t="str">
        <f>IF(tblDecisionLog[[#This Row],[Source Decision ID]]="","",_xlfn.XLOOKUP(tblDecisionLog[[#This Row],[Source Decision ID]],'Decision Queue_Bak'!$A:$A,'Decision Queue_Bak'!$V:$V,""))</f>
        <v/>
      </c>
      <c r="W21" s="28"/>
      <c r="X21" s="3" t="str">
        <f>IF(tblDecisionLog[[#This Row],[Source Decision ID]]="","",IF(tblDecisionLog[[#This Row],[Queue Source Key]]&lt;&gt;"","Linked","Missing queue key"))</f>
        <v/>
      </c>
    </row>
    <row r="22" spans="1:24">
      <c r="A22" s="3" t="str">
        <f t="array" ref="A22">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22" s="28"/>
      <c r="C22" s="112"/>
      <c r="D22" s="28"/>
      <c r="E22" s="28"/>
      <c r="F22" s="28"/>
      <c r="G22" s="28"/>
      <c r="H22" s="28"/>
      <c r="I22" s="28"/>
      <c r="J22" s="28"/>
      <c r="K22" s="28"/>
      <c r="L22" s="28"/>
      <c r="M22" s="28"/>
      <c r="N22" s="28"/>
      <c r="O22" s="29"/>
      <c r="P22" s="28"/>
      <c r="Q22" s="28"/>
      <c r="R22" s="28"/>
      <c r="S22" s="29"/>
      <c r="T22" s="28"/>
      <c r="U22" s="3" t="s">
        <v>2450</v>
      </c>
      <c r="V22" s="3" t="str">
        <f>IF(tblDecisionLog[[#This Row],[Source Decision ID]]="","",_xlfn.XLOOKUP(tblDecisionLog[[#This Row],[Source Decision ID]],'Decision Queue_Bak'!$A:$A,'Decision Queue_Bak'!$V:$V,""))</f>
        <v/>
      </c>
      <c r="W22" s="28"/>
      <c r="X22" s="3" t="str">
        <f>IF(tblDecisionLog[[#This Row],[Source Decision ID]]="","",IF(tblDecisionLog[[#This Row],[Queue Source Key]]&lt;&gt;"","Linked","Missing queue key"))</f>
        <v/>
      </c>
    </row>
    <row r="23" spans="1:24">
      <c r="A23" s="3" t="str">
        <f t="array" ref="A23">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23" s="28"/>
      <c r="C23" s="112"/>
      <c r="D23" s="28"/>
      <c r="E23" s="28"/>
      <c r="F23" s="28"/>
      <c r="G23" s="28"/>
      <c r="H23" s="28"/>
      <c r="I23" s="28"/>
      <c r="J23" s="28"/>
      <c r="K23" s="28"/>
      <c r="L23" s="28"/>
      <c r="M23" s="28"/>
      <c r="N23" s="28"/>
      <c r="O23" s="29"/>
      <c r="P23" s="28"/>
      <c r="Q23" s="28"/>
      <c r="R23" s="28"/>
      <c r="S23" s="29"/>
      <c r="T23" s="28"/>
      <c r="U23" s="3" t="s">
        <v>2451</v>
      </c>
      <c r="V23" s="3" t="str">
        <f>IF(tblDecisionLog[[#This Row],[Source Decision ID]]="","",_xlfn.XLOOKUP(tblDecisionLog[[#This Row],[Source Decision ID]],'Decision Queue_Bak'!$A:$A,'Decision Queue_Bak'!$V:$V,""))</f>
        <v/>
      </c>
      <c r="W23" s="28"/>
      <c r="X23" s="3" t="str">
        <f>IF(tblDecisionLog[[#This Row],[Source Decision ID]]="","",IF(tblDecisionLog[[#This Row],[Queue Source Key]]&lt;&gt;"","Linked","Missing queue key"))</f>
        <v/>
      </c>
    </row>
    <row r="24" spans="1:24">
      <c r="A24" s="3" t="str">
        <f t="array" ref="A24">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24" s="28"/>
      <c r="C24" s="112"/>
      <c r="D24" s="28"/>
      <c r="E24" s="28"/>
      <c r="F24" s="28"/>
      <c r="G24" s="28"/>
      <c r="H24" s="28"/>
      <c r="I24" s="28"/>
      <c r="J24" s="28"/>
      <c r="K24" s="28"/>
      <c r="L24" s="28"/>
      <c r="M24" s="28"/>
      <c r="N24" s="28"/>
      <c r="O24" s="29"/>
      <c r="P24" s="28"/>
      <c r="Q24" s="28"/>
      <c r="R24" s="28"/>
      <c r="S24" s="29"/>
      <c r="T24" s="28"/>
      <c r="U24" s="3" t="s">
        <v>2452</v>
      </c>
      <c r="V24" s="3" t="str">
        <f>IF(tblDecisionLog[[#This Row],[Source Decision ID]]="","",_xlfn.XLOOKUP(tblDecisionLog[[#This Row],[Source Decision ID]],'Decision Queue_Bak'!$A:$A,'Decision Queue_Bak'!$V:$V,""))</f>
        <v/>
      </c>
      <c r="W24" s="28"/>
      <c r="X24" s="3" t="str">
        <f>IF(tblDecisionLog[[#This Row],[Source Decision ID]]="","",IF(tblDecisionLog[[#This Row],[Queue Source Key]]&lt;&gt;"","Linked","Missing queue key"))</f>
        <v/>
      </c>
    </row>
    <row r="25" spans="1:24">
      <c r="A25" s="3" t="str">
        <f t="array" ref="A25">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25" s="28"/>
      <c r="C25" s="112"/>
      <c r="D25" s="28"/>
      <c r="E25" s="28"/>
      <c r="F25" s="28"/>
      <c r="G25" s="28"/>
      <c r="H25" s="28"/>
      <c r="I25" s="28"/>
      <c r="J25" s="28"/>
      <c r="K25" s="28"/>
      <c r="L25" s="28"/>
      <c r="M25" s="28"/>
      <c r="N25" s="28"/>
      <c r="O25" s="29"/>
      <c r="P25" s="28"/>
      <c r="Q25" s="28"/>
      <c r="R25" s="28"/>
      <c r="S25" s="29"/>
      <c r="T25" s="28"/>
      <c r="U25" s="3" t="s">
        <v>2453</v>
      </c>
      <c r="V25" s="3" t="str">
        <f>IF(tblDecisionLog[[#This Row],[Source Decision ID]]="","",_xlfn.XLOOKUP(tblDecisionLog[[#This Row],[Source Decision ID]],'Decision Queue_Bak'!$A:$A,'Decision Queue_Bak'!$V:$V,""))</f>
        <v/>
      </c>
      <c r="W25" s="28"/>
      <c r="X25" s="3" t="str">
        <f>IF(tblDecisionLog[[#This Row],[Source Decision ID]]="","",IF(tblDecisionLog[[#This Row],[Queue Source Key]]&lt;&gt;"","Linked","Missing queue key"))</f>
        <v/>
      </c>
    </row>
    <row r="26" spans="1:24">
      <c r="A26" s="3" t="str">
        <f t="array" ref="A26">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26" s="28"/>
      <c r="C26" s="112"/>
      <c r="D26" s="28"/>
      <c r="E26" s="28"/>
      <c r="F26" s="28"/>
      <c r="G26" s="28"/>
      <c r="H26" s="28"/>
      <c r="I26" s="28"/>
      <c r="J26" s="28"/>
      <c r="K26" s="28"/>
      <c r="L26" s="28"/>
      <c r="M26" s="28"/>
      <c r="N26" s="28"/>
      <c r="O26" s="29"/>
      <c r="P26" s="28"/>
      <c r="Q26" s="28"/>
      <c r="R26" s="28"/>
      <c r="S26" s="29"/>
      <c r="T26" s="28"/>
      <c r="U26" s="3" t="s">
        <v>2454</v>
      </c>
      <c r="V26" s="3" t="str">
        <f>IF(tblDecisionLog[[#This Row],[Source Decision ID]]="","",_xlfn.XLOOKUP(tblDecisionLog[[#This Row],[Source Decision ID]],'Decision Queue_Bak'!$A:$A,'Decision Queue_Bak'!$V:$V,""))</f>
        <v/>
      </c>
      <c r="W26" s="28"/>
      <c r="X26" s="3" t="str">
        <f>IF(tblDecisionLog[[#This Row],[Source Decision ID]]="","",IF(tblDecisionLog[[#This Row],[Queue Source Key]]&lt;&gt;"","Linked","Missing queue key"))</f>
        <v/>
      </c>
    </row>
    <row r="27" spans="1:24">
      <c r="A27" s="3" t="str">
        <f t="array" ref="A27">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27" s="28"/>
      <c r="C27" s="112"/>
      <c r="D27" s="28"/>
      <c r="E27" s="28"/>
      <c r="F27" s="28"/>
      <c r="G27" s="28"/>
      <c r="H27" s="28"/>
      <c r="I27" s="28"/>
      <c r="J27" s="28"/>
      <c r="K27" s="28"/>
      <c r="L27" s="28"/>
      <c r="M27" s="28"/>
      <c r="N27" s="28"/>
      <c r="O27" s="29"/>
      <c r="P27" s="28"/>
      <c r="Q27" s="28"/>
      <c r="R27" s="28"/>
      <c r="S27" s="29"/>
      <c r="T27" s="28"/>
      <c r="U27" s="3" t="s">
        <v>2455</v>
      </c>
      <c r="V27" s="3" t="str">
        <f>IF(tblDecisionLog[[#This Row],[Source Decision ID]]="","",_xlfn.XLOOKUP(tblDecisionLog[[#This Row],[Source Decision ID]],'Decision Queue_Bak'!$A:$A,'Decision Queue_Bak'!$V:$V,""))</f>
        <v/>
      </c>
      <c r="W27" s="28"/>
      <c r="X27" s="3" t="str">
        <f>IF(tblDecisionLog[[#This Row],[Source Decision ID]]="","",IF(tblDecisionLog[[#This Row],[Queue Source Key]]&lt;&gt;"","Linked","Missing queue key"))</f>
        <v/>
      </c>
    </row>
    <row r="28" spans="1:24">
      <c r="A28" s="3" t="str">
        <f t="array" ref="A28">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28" s="28"/>
      <c r="C28" s="112"/>
      <c r="D28" s="28"/>
      <c r="E28" s="28"/>
      <c r="F28" s="28"/>
      <c r="G28" s="28"/>
      <c r="H28" s="28"/>
      <c r="I28" s="28"/>
      <c r="J28" s="28"/>
      <c r="K28" s="28"/>
      <c r="L28" s="28"/>
      <c r="M28" s="28"/>
      <c r="N28" s="28"/>
      <c r="O28" s="29"/>
      <c r="P28" s="28"/>
      <c r="Q28" s="28"/>
      <c r="R28" s="28"/>
      <c r="S28" s="29"/>
      <c r="T28" s="28"/>
      <c r="U28" s="3" t="s">
        <v>2456</v>
      </c>
      <c r="V28" s="3" t="str">
        <f>IF(tblDecisionLog[[#This Row],[Source Decision ID]]="","",_xlfn.XLOOKUP(tblDecisionLog[[#This Row],[Source Decision ID]],'Decision Queue_Bak'!$A:$A,'Decision Queue_Bak'!$V:$V,""))</f>
        <v/>
      </c>
      <c r="W28" s="28"/>
      <c r="X28" s="3" t="str">
        <f>IF(tblDecisionLog[[#This Row],[Source Decision ID]]="","",IF(tblDecisionLog[[#This Row],[Queue Source Key]]&lt;&gt;"","Linked","Missing queue key"))</f>
        <v/>
      </c>
    </row>
    <row r="29" spans="1:24">
      <c r="A29" s="3" t="str">
        <f t="array" ref="A29">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29" s="28"/>
      <c r="C29" s="112"/>
      <c r="D29" s="28"/>
      <c r="E29" s="28"/>
      <c r="F29" s="28"/>
      <c r="G29" s="28"/>
      <c r="H29" s="28"/>
      <c r="I29" s="28"/>
      <c r="J29" s="28"/>
      <c r="K29" s="28"/>
      <c r="L29" s="28"/>
      <c r="M29" s="28"/>
      <c r="N29" s="28"/>
      <c r="O29" s="29"/>
      <c r="P29" s="28"/>
      <c r="Q29" s="28"/>
      <c r="R29" s="28"/>
      <c r="S29" s="29"/>
      <c r="T29" s="28"/>
      <c r="U29" s="3" t="s">
        <v>2457</v>
      </c>
      <c r="V29" s="3" t="str">
        <f>IF(tblDecisionLog[[#This Row],[Source Decision ID]]="","",_xlfn.XLOOKUP(tblDecisionLog[[#This Row],[Source Decision ID]],'Decision Queue_Bak'!$A:$A,'Decision Queue_Bak'!$V:$V,""))</f>
        <v/>
      </c>
      <c r="W29" s="28"/>
      <c r="X29" s="3" t="str">
        <f>IF(tblDecisionLog[[#This Row],[Source Decision ID]]="","",IF(tblDecisionLog[[#This Row],[Queue Source Key]]&lt;&gt;"","Linked","Missing queue key"))</f>
        <v/>
      </c>
    </row>
    <row r="30" spans="1:24">
      <c r="A30" s="3" t="str">
        <f t="array" ref="A30">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30" s="28"/>
      <c r="C30" s="112"/>
      <c r="D30" s="28"/>
      <c r="E30" s="28"/>
      <c r="F30" s="28"/>
      <c r="G30" s="28"/>
      <c r="H30" s="28"/>
      <c r="I30" s="28"/>
      <c r="J30" s="28"/>
      <c r="K30" s="28"/>
      <c r="L30" s="28"/>
      <c r="M30" s="28"/>
      <c r="N30" s="28"/>
      <c r="O30" s="29"/>
      <c r="P30" s="28"/>
      <c r="Q30" s="28"/>
      <c r="R30" s="28"/>
      <c r="S30" s="29"/>
      <c r="T30" s="28"/>
      <c r="U30" s="3" t="s">
        <v>2458</v>
      </c>
      <c r="V30" s="3" t="str">
        <f>IF(tblDecisionLog[[#This Row],[Source Decision ID]]="","",_xlfn.XLOOKUP(tblDecisionLog[[#This Row],[Source Decision ID]],'Decision Queue_Bak'!$A:$A,'Decision Queue_Bak'!$V:$V,""))</f>
        <v/>
      </c>
      <c r="W30" s="28"/>
      <c r="X30" s="3" t="str">
        <f>IF(tblDecisionLog[[#This Row],[Source Decision ID]]="","",IF(tblDecisionLog[[#This Row],[Queue Source Key]]&lt;&gt;"","Linked","Missing queue key"))</f>
        <v/>
      </c>
    </row>
    <row r="31" spans="1:24">
      <c r="A31" s="3" t="str">
        <f t="array" ref="A31">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31" s="28"/>
      <c r="C31" s="112"/>
      <c r="D31" s="28"/>
      <c r="E31" s="28"/>
      <c r="F31" s="28"/>
      <c r="G31" s="28"/>
      <c r="H31" s="28"/>
      <c r="I31" s="28"/>
      <c r="J31" s="28"/>
      <c r="K31" s="28"/>
      <c r="L31" s="28"/>
      <c r="M31" s="28"/>
      <c r="N31" s="28"/>
      <c r="O31" s="29"/>
      <c r="P31" s="28"/>
      <c r="Q31" s="28"/>
      <c r="R31" s="28"/>
      <c r="S31" s="29"/>
      <c r="T31" s="28"/>
      <c r="U31" s="3" t="s">
        <v>2459</v>
      </c>
      <c r="V31" s="3" t="str">
        <f>IF(tblDecisionLog[[#This Row],[Source Decision ID]]="","",_xlfn.XLOOKUP(tblDecisionLog[[#This Row],[Source Decision ID]],'Decision Queue_Bak'!$A:$A,'Decision Queue_Bak'!$V:$V,""))</f>
        <v/>
      </c>
      <c r="W31" s="28"/>
      <c r="X31" s="3" t="str">
        <f>IF(tblDecisionLog[[#This Row],[Source Decision ID]]="","",IF(tblDecisionLog[[#This Row],[Queue Source Key]]&lt;&gt;"","Linked","Missing queue key"))</f>
        <v/>
      </c>
    </row>
    <row r="32" spans="1:24">
      <c r="A32" s="3" t="str">
        <f t="array" ref="A32">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32" s="28"/>
      <c r="C32" s="112"/>
      <c r="D32" s="28"/>
      <c r="E32" s="28"/>
      <c r="F32" s="28"/>
      <c r="G32" s="28"/>
      <c r="H32" s="28"/>
      <c r="I32" s="28"/>
      <c r="J32" s="28"/>
      <c r="K32" s="28"/>
      <c r="L32" s="28"/>
      <c r="M32" s="28"/>
      <c r="N32" s="28"/>
      <c r="O32" s="29"/>
      <c r="P32" s="28"/>
      <c r="Q32" s="28"/>
      <c r="R32" s="28"/>
      <c r="S32" s="29"/>
      <c r="T32" s="28"/>
      <c r="U32" s="3" t="s">
        <v>2460</v>
      </c>
      <c r="V32" s="3" t="str">
        <f>IF(tblDecisionLog[[#This Row],[Source Decision ID]]="","",_xlfn.XLOOKUP(tblDecisionLog[[#This Row],[Source Decision ID]],'Decision Queue_Bak'!$A:$A,'Decision Queue_Bak'!$V:$V,""))</f>
        <v/>
      </c>
      <c r="W32" s="28"/>
      <c r="X32" s="3" t="str">
        <f>IF(tblDecisionLog[[#This Row],[Source Decision ID]]="","",IF(tblDecisionLog[[#This Row],[Queue Source Key]]&lt;&gt;"","Linked","Missing queue key"))</f>
        <v/>
      </c>
    </row>
    <row r="33" spans="1:24">
      <c r="A33" s="3" t="str">
        <f t="array" ref="A33">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33" s="28"/>
      <c r="C33" s="112"/>
      <c r="D33" s="28"/>
      <c r="E33" s="28"/>
      <c r="F33" s="28"/>
      <c r="G33" s="28"/>
      <c r="H33" s="28"/>
      <c r="I33" s="28"/>
      <c r="J33" s="28"/>
      <c r="K33" s="28"/>
      <c r="L33" s="28"/>
      <c r="M33" s="28"/>
      <c r="N33" s="28"/>
      <c r="O33" s="29"/>
      <c r="P33" s="28"/>
      <c r="Q33" s="28"/>
      <c r="R33" s="28"/>
      <c r="S33" s="29"/>
      <c r="T33" s="28"/>
      <c r="U33" s="3" t="s">
        <v>2461</v>
      </c>
      <c r="V33" s="3" t="str">
        <f>IF(tblDecisionLog[[#This Row],[Source Decision ID]]="","",_xlfn.XLOOKUP(tblDecisionLog[[#This Row],[Source Decision ID]],'Decision Queue_Bak'!$A:$A,'Decision Queue_Bak'!$V:$V,""))</f>
        <v/>
      </c>
      <c r="W33" s="28"/>
      <c r="X33" s="3" t="str">
        <f>IF(tblDecisionLog[[#This Row],[Source Decision ID]]="","",IF(tblDecisionLog[[#This Row],[Queue Source Key]]&lt;&gt;"","Linked","Missing queue key"))</f>
        <v/>
      </c>
    </row>
    <row r="34" spans="1:24">
      <c r="A34" s="3" t="str">
        <f t="array" ref="A34">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34" s="28"/>
      <c r="C34" s="112"/>
      <c r="D34" s="28"/>
      <c r="E34" s="28"/>
      <c r="F34" s="28"/>
      <c r="G34" s="28"/>
      <c r="H34" s="28"/>
      <c r="I34" s="28"/>
      <c r="J34" s="28"/>
      <c r="K34" s="28"/>
      <c r="L34" s="28"/>
      <c r="M34" s="28"/>
      <c r="N34" s="28"/>
      <c r="O34" s="29"/>
      <c r="P34" s="28"/>
      <c r="Q34" s="28"/>
      <c r="R34" s="28"/>
      <c r="S34" s="29"/>
      <c r="T34" s="28"/>
      <c r="U34" s="3" t="s">
        <v>2462</v>
      </c>
      <c r="V34" s="3" t="str">
        <f>IF(tblDecisionLog[[#This Row],[Source Decision ID]]="","",_xlfn.XLOOKUP(tblDecisionLog[[#This Row],[Source Decision ID]],'Decision Queue_Bak'!$A:$A,'Decision Queue_Bak'!$V:$V,""))</f>
        <v/>
      </c>
      <c r="W34" s="28"/>
      <c r="X34" s="3" t="str">
        <f>IF(tblDecisionLog[[#This Row],[Source Decision ID]]="","",IF(tblDecisionLog[[#This Row],[Queue Source Key]]&lt;&gt;"","Linked","Missing queue key"))</f>
        <v/>
      </c>
    </row>
    <row r="35" spans="1:24">
      <c r="A35" s="3" t="str">
        <f t="array" ref="A35">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35" s="28"/>
      <c r="C35" s="112"/>
      <c r="D35" s="28"/>
      <c r="E35" s="28"/>
      <c r="F35" s="28"/>
      <c r="G35" s="28"/>
      <c r="H35" s="28"/>
      <c r="I35" s="28"/>
      <c r="J35" s="28"/>
      <c r="K35" s="28"/>
      <c r="L35" s="28"/>
      <c r="M35" s="28"/>
      <c r="N35" s="28"/>
      <c r="O35" s="29"/>
      <c r="P35" s="28"/>
      <c r="Q35" s="28"/>
      <c r="R35" s="28"/>
      <c r="S35" s="29"/>
      <c r="T35" s="28"/>
      <c r="U35" s="3" t="s">
        <v>2463</v>
      </c>
      <c r="V35" s="3" t="str">
        <f>IF(tblDecisionLog[[#This Row],[Source Decision ID]]="","",_xlfn.XLOOKUP(tblDecisionLog[[#This Row],[Source Decision ID]],'Decision Queue_Bak'!$A:$A,'Decision Queue_Bak'!$V:$V,""))</f>
        <v/>
      </c>
      <c r="W35" s="28"/>
      <c r="X35" s="3" t="str">
        <f>IF(tblDecisionLog[[#This Row],[Source Decision ID]]="","",IF(tblDecisionLog[[#This Row],[Queue Source Key]]&lt;&gt;"","Linked","Missing queue key"))</f>
        <v/>
      </c>
    </row>
    <row r="36" spans="1:24">
      <c r="A36" s="3" t="str">
        <f t="array" ref="A36">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36" s="28"/>
      <c r="C36" s="112"/>
      <c r="D36" s="28"/>
      <c r="E36" s="28"/>
      <c r="F36" s="28"/>
      <c r="G36" s="28"/>
      <c r="H36" s="28"/>
      <c r="I36" s="28"/>
      <c r="J36" s="28"/>
      <c r="K36" s="28"/>
      <c r="L36" s="28"/>
      <c r="M36" s="28"/>
      <c r="N36" s="28"/>
      <c r="O36" s="29"/>
      <c r="P36" s="28"/>
      <c r="Q36" s="28"/>
      <c r="R36" s="28"/>
      <c r="S36" s="29"/>
      <c r="T36" s="28"/>
      <c r="U36" s="3" t="s">
        <v>2464</v>
      </c>
      <c r="V36" s="3" t="str">
        <f>IF(tblDecisionLog[[#This Row],[Source Decision ID]]="","",_xlfn.XLOOKUP(tblDecisionLog[[#This Row],[Source Decision ID]],'Decision Queue_Bak'!$A:$A,'Decision Queue_Bak'!$V:$V,""))</f>
        <v/>
      </c>
      <c r="W36" s="28"/>
      <c r="X36" s="3" t="str">
        <f>IF(tblDecisionLog[[#This Row],[Source Decision ID]]="","",IF(tblDecisionLog[[#This Row],[Queue Source Key]]&lt;&gt;"","Linked","Missing queue key"))</f>
        <v/>
      </c>
    </row>
    <row r="37" spans="1:24">
      <c r="A37" s="3" t="str">
        <f t="array" ref="A37">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37" s="28"/>
      <c r="C37" s="112"/>
      <c r="D37" s="28"/>
      <c r="E37" s="28"/>
      <c r="F37" s="28"/>
      <c r="G37" s="28"/>
      <c r="H37" s="28"/>
      <c r="I37" s="28"/>
      <c r="J37" s="28"/>
      <c r="K37" s="28"/>
      <c r="L37" s="28"/>
      <c r="M37" s="28"/>
      <c r="N37" s="28"/>
      <c r="O37" s="29"/>
      <c r="P37" s="28"/>
      <c r="Q37" s="28"/>
      <c r="R37" s="28"/>
      <c r="S37" s="29"/>
      <c r="T37" s="28"/>
      <c r="U37" s="3" t="s">
        <v>2465</v>
      </c>
      <c r="V37" s="3" t="str">
        <f>IF(tblDecisionLog[[#This Row],[Source Decision ID]]="","",_xlfn.XLOOKUP(tblDecisionLog[[#This Row],[Source Decision ID]],'Decision Queue_Bak'!$A:$A,'Decision Queue_Bak'!$V:$V,""))</f>
        <v/>
      </c>
      <c r="W37" s="28"/>
      <c r="X37" s="3" t="str">
        <f>IF(tblDecisionLog[[#This Row],[Source Decision ID]]="","",IF(tblDecisionLog[[#This Row],[Queue Source Key]]&lt;&gt;"","Linked","Missing queue key"))</f>
        <v/>
      </c>
    </row>
    <row r="38" spans="1:24">
      <c r="A38" s="3" t="str">
        <f t="array" ref="A38">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38" s="28"/>
      <c r="C38" s="112"/>
      <c r="D38" s="28"/>
      <c r="E38" s="28"/>
      <c r="F38" s="28"/>
      <c r="G38" s="28"/>
      <c r="H38" s="28"/>
      <c r="I38" s="28"/>
      <c r="J38" s="28"/>
      <c r="K38" s="28"/>
      <c r="L38" s="28"/>
      <c r="M38" s="28"/>
      <c r="N38" s="28"/>
      <c r="O38" s="29"/>
      <c r="P38" s="28"/>
      <c r="Q38" s="28"/>
      <c r="R38" s="28"/>
      <c r="S38" s="29"/>
      <c r="T38" s="28"/>
      <c r="U38" s="3" t="s">
        <v>2466</v>
      </c>
      <c r="V38" s="3" t="str">
        <f>IF(tblDecisionLog[[#This Row],[Source Decision ID]]="","",_xlfn.XLOOKUP(tblDecisionLog[[#This Row],[Source Decision ID]],'Decision Queue_Bak'!$A:$A,'Decision Queue_Bak'!$V:$V,""))</f>
        <v/>
      </c>
      <c r="W38" s="28"/>
      <c r="X38" s="3" t="str">
        <f>IF(tblDecisionLog[[#This Row],[Source Decision ID]]="","",IF(tblDecisionLog[[#This Row],[Queue Source Key]]&lt;&gt;"","Linked","Missing queue key"))</f>
        <v/>
      </c>
    </row>
    <row r="39" spans="1:24">
      <c r="A39" s="3" t="str">
        <f t="array" ref="A39">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39" s="28"/>
      <c r="C39" s="112"/>
      <c r="D39" s="28"/>
      <c r="E39" s="28"/>
      <c r="F39" s="28"/>
      <c r="G39" s="28"/>
      <c r="H39" s="28"/>
      <c r="I39" s="28"/>
      <c r="J39" s="28"/>
      <c r="K39" s="28"/>
      <c r="L39" s="28"/>
      <c r="M39" s="28"/>
      <c r="N39" s="28"/>
      <c r="O39" s="29"/>
      <c r="P39" s="28"/>
      <c r="Q39" s="28"/>
      <c r="R39" s="28"/>
      <c r="S39" s="29"/>
      <c r="T39" s="28"/>
      <c r="U39" s="3" t="s">
        <v>2467</v>
      </c>
      <c r="V39" s="3" t="str">
        <f>IF(tblDecisionLog[[#This Row],[Source Decision ID]]="","",_xlfn.XLOOKUP(tblDecisionLog[[#This Row],[Source Decision ID]],'Decision Queue_Bak'!$A:$A,'Decision Queue_Bak'!$V:$V,""))</f>
        <v/>
      </c>
      <c r="W39" s="28"/>
      <c r="X39" s="3" t="str">
        <f>IF(tblDecisionLog[[#This Row],[Source Decision ID]]="","",IF(tblDecisionLog[[#This Row],[Queue Source Key]]&lt;&gt;"","Linked","Missing queue key"))</f>
        <v/>
      </c>
    </row>
    <row r="40" spans="1:24">
      <c r="A40" s="3" t="str">
        <f t="array" ref="A40">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40" s="28"/>
      <c r="C40" s="112"/>
      <c r="D40" s="28"/>
      <c r="E40" s="28"/>
      <c r="F40" s="28"/>
      <c r="G40" s="28"/>
      <c r="H40" s="28"/>
      <c r="I40" s="28"/>
      <c r="J40" s="28"/>
      <c r="K40" s="28"/>
      <c r="L40" s="28"/>
      <c r="M40" s="28"/>
      <c r="N40" s="28"/>
      <c r="O40" s="29"/>
      <c r="P40" s="28"/>
      <c r="Q40" s="28"/>
      <c r="R40" s="28"/>
      <c r="S40" s="29"/>
      <c r="T40" s="28"/>
      <c r="U40" s="3" t="s">
        <v>2468</v>
      </c>
      <c r="V40" s="3" t="str">
        <f>IF(tblDecisionLog[[#This Row],[Source Decision ID]]="","",_xlfn.XLOOKUP(tblDecisionLog[[#This Row],[Source Decision ID]],'Decision Queue_Bak'!$A:$A,'Decision Queue_Bak'!$V:$V,""))</f>
        <v/>
      </c>
      <c r="W40" s="28"/>
      <c r="X40" s="3" t="str">
        <f>IF(tblDecisionLog[[#This Row],[Source Decision ID]]="","",IF(tblDecisionLog[[#This Row],[Queue Source Key]]&lt;&gt;"","Linked","Missing queue key"))</f>
        <v/>
      </c>
    </row>
    <row r="41" spans="1:24">
      <c r="A41" s="3" t="str">
        <f t="array" ref="A41">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41" s="28"/>
      <c r="C41" s="112"/>
      <c r="D41" s="28"/>
      <c r="E41" s="28"/>
      <c r="F41" s="28"/>
      <c r="G41" s="28"/>
      <c r="H41" s="28"/>
      <c r="I41" s="28"/>
      <c r="J41" s="28"/>
      <c r="K41" s="28"/>
      <c r="L41" s="28"/>
      <c r="M41" s="28"/>
      <c r="N41" s="28"/>
      <c r="O41" s="29"/>
      <c r="P41" s="28"/>
      <c r="Q41" s="28"/>
      <c r="R41" s="28"/>
      <c r="S41" s="29"/>
      <c r="T41" s="28"/>
      <c r="U41" s="3" t="s">
        <v>2469</v>
      </c>
      <c r="V41" s="3" t="str">
        <f>IF(tblDecisionLog[[#This Row],[Source Decision ID]]="","",_xlfn.XLOOKUP(tblDecisionLog[[#This Row],[Source Decision ID]],'Decision Queue_Bak'!$A:$A,'Decision Queue_Bak'!$V:$V,""))</f>
        <v/>
      </c>
      <c r="W41" s="28"/>
      <c r="X41" s="3" t="str">
        <f>IF(tblDecisionLog[[#This Row],[Source Decision ID]]="","",IF(tblDecisionLog[[#This Row],[Queue Source Key]]&lt;&gt;"","Linked","Missing queue key"))</f>
        <v/>
      </c>
    </row>
    <row r="42" spans="1:24">
      <c r="A42" s="3" t="str">
        <f t="array" ref="A42">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42" s="28"/>
      <c r="C42" s="112"/>
      <c r="D42" s="28"/>
      <c r="E42" s="28"/>
      <c r="F42" s="28"/>
      <c r="G42" s="28"/>
      <c r="H42" s="28"/>
      <c r="I42" s="28"/>
      <c r="J42" s="28"/>
      <c r="K42" s="28"/>
      <c r="L42" s="28"/>
      <c r="M42" s="28"/>
      <c r="N42" s="28"/>
      <c r="O42" s="29"/>
      <c r="P42" s="28"/>
      <c r="Q42" s="28"/>
      <c r="R42" s="28"/>
      <c r="S42" s="29"/>
      <c r="T42" s="28"/>
      <c r="U42" s="3" t="s">
        <v>2470</v>
      </c>
      <c r="V42" s="3" t="str">
        <f>IF(tblDecisionLog[[#This Row],[Source Decision ID]]="","",_xlfn.XLOOKUP(tblDecisionLog[[#This Row],[Source Decision ID]],'Decision Queue_Bak'!$A:$A,'Decision Queue_Bak'!$V:$V,""))</f>
        <v/>
      </c>
      <c r="W42" s="28"/>
      <c r="X42" s="3" t="str">
        <f>IF(tblDecisionLog[[#This Row],[Source Decision ID]]="","",IF(tblDecisionLog[[#This Row],[Queue Source Key]]&lt;&gt;"","Linked","Missing queue key"))</f>
        <v/>
      </c>
    </row>
    <row r="43" spans="1:24">
      <c r="A43" s="3" t="str">
        <f t="array" ref="A43">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43" s="28"/>
      <c r="C43" s="112"/>
      <c r="D43" s="28"/>
      <c r="E43" s="28"/>
      <c r="F43" s="28"/>
      <c r="G43" s="28"/>
      <c r="H43" s="28"/>
      <c r="I43" s="28"/>
      <c r="J43" s="28"/>
      <c r="K43" s="28"/>
      <c r="L43" s="28"/>
      <c r="M43" s="28"/>
      <c r="N43" s="28"/>
      <c r="O43" s="29"/>
      <c r="P43" s="28"/>
      <c r="Q43" s="28"/>
      <c r="R43" s="28"/>
      <c r="S43" s="29"/>
      <c r="T43" s="28"/>
      <c r="U43" s="3" t="s">
        <v>2471</v>
      </c>
      <c r="V43" s="3" t="str">
        <f>IF(tblDecisionLog[[#This Row],[Source Decision ID]]="","",_xlfn.XLOOKUP(tblDecisionLog[[#This Row],[Source Decision ID]],'Decision Queue_Bak'!$A:$A,'Decision Queue_Bak'!$V:$V,""))</f>
        <v/>
      </c>
      <c r="W43" s="28"/>
      <c r="X43" s="3" t="str">
        <f>IF(tblDecisionLog[[#This Row],[Source Decision ID]]="","",IF(tblDecisionLog[[#This Row],[Queue Source Key]]&lt;&gt;"","Linked","Missing queue key"))</f>
        <v/>
      </c>
    </row>
    <row r="44" spans="1:24">
      <c r="A44" s="3" t="str">
        <f t="array" ref="A44">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44" s="28"/>
      <c r="C44" s="112"/>
      <c r="D44" s="28"/>
      <c r="E44" s="28"/>
      <c r="F44" s="28"/>
      <c r="G44" s="28"/>
      <c r="H44" s="28"/>
      <c r="I44" s="28"/>
      <c r="J44" s="28"/>
      <c r="K44" s="28"/>
      <c r="L44" s="28"/>
      <c r="M44" s="28"/>
      <c r="N44" s="28"/>
      <c r="O44" s="29"/>
      <c r="P44" s="28"/>
      <c r="Q44" s="28"/>
      <c r="R44" s="28"/>
      <c r="S44" s="29"/>
      <c r="T44" s="28"/>
      <c r="U44" s="3" t="s">
        <v>2472</v>
      </c>
      <c r="V44" s="3" t="str">
        <f>IF(tblDecisionLog[[#This Row],[Source Decision ID]]="","",_xlfn.XLOOKUP(tblDecisionLog[[#This Row],[Source Decision ID]],'Decision Queue_Bak'!$A:$A,'Decision Queue_Bak'!$V:$V,""))</f>
        <v/>
      </c>
      <c r="W44" s="28"/>
      <c r="X44" s="3" t="str">
        <f>IF(tblDecisionLog[[#This Row],[Source Decision ID]]="","",IF(tblDecisionLog[[#This Row],[Queue Source Key]]&lt;&gt;"","Linked","Missing queue key"))</f>
        <v/>
      </c>
    </row>
    <row r="45" spans="1:24">
      <c r="A45" s="3" t="str">
        <f t="array" ref="A45">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45" s="28"/>
      <c r="C45" s="112"/>
      <c r="D45" s="28"/>
      <c r="E45" s="28"/>
      <c r="F45" s="28"/>
      <c r="G45" s="28"/>
      <c r="H45" s="28"/>
      <c r="I45" s="28"/>
      <c r="J45" s="28"/>
      <c r="K45" s="28"/>
      <c r="L45" s="28"/>
      <c r="M45" s="28"/>
      <c r="N45" s="28"/>
      <c r="O45" s="29"/>
      <c r="P45" s="28"/>
      <c r="Q45" s="28"/>
      <c r="R45" s="28"/>
      <c r="S45" s="29"/>
      <c r="T45" s="28"/>
      <c r="U45" s="3" t="s">
        <v>2473</v>
      </c>
      <c r="V45" s="3" t="str">
        <f>IF(tblDecisionLog[[#This Row],[Source Decision ID]]="","",_xlfn.XLOOKUP(tblDecisionLog[[#This Row],[Source Decision ID]],'Decision Queue_Bak'!$A:$A,'Decision Queue_Bak'!$V:$V,""))</f>
        <v/>
      </c>
      <c r="W45" s="28"/>
      <c r="X45" s="3" t="str">
        <f>IF(tblDecisionLog[[#This Row],[Source Decision ID]]="","",IF(tblDecisionLog[[#This Row],[Queue Source Key]]&lt;&gt;"","Linked","Missing queue key"))</f>
        <v/>
      </c>
    </row>
    <row r="46" spans="1:24">
      <c r="A46" s="3" t="str">
        <f t="array" ref="A46">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46" s="28"/>
      <c r="C46" s="112"/>
      <c r="D46" s="28"/>
      <c r="E46" s="28"/>
      <c r="F46" s="28"/>
      <c r="G46" s="28"/>
      <c r="H46" s="28"/>
      <c r="I46" s="28"/>
      <c r="J46" s="28"/>
      <c r="K46" s="28"/>
      <c r="L46" s="28"/>
      <c r="M46" s="28"/>
      <c r="N46" s="28"/>
      <c r="O46" s="29"/>
      <c r="P46" s="28"/>
      <c r="Q46" s="28"/>
      <c r="R46" s="28"/>
      <c r="S46" s="29"/>
      <c r="T46" s="28"/>
      <c r="U46" s="3" t="s">
        <v>2474</v>
      </c>
      <c r="V46" s="3" t="str">
        <f>IF(tblDecisionLog[[#This Row],[Source Decision ID]]="","",_xlfn.XLOOKUP(tblDecisionLog[[#This Row],[Source Decision ID]],'Decision Queue_Bak'!$A:$A,'Decision Queue_Bak'!$V:$V,""))</f>
        <v/>
      </c>
      <c r="W46" s="28"/>
      <c r="X46" s="3" t="str">
        <f>IF(tblDecisionLog[[#This Row],[Source Decision ID]]="","",IF(tblDecisionLog[[#This Row],[Queue Source Key]]&lt;&gt;"","Linked","Missing queue key"))</f>
        <v/>
      </c>
    </row>
    <row r="47" spans="1:24">
      <c r="A47" s="3" t="str">
        <f t="array" ref="A47">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47" s="28"/>
      <c r="C47" s="112"/>
      <c r="D47" s="28"/>
      <c r="E47" s="28"/>
      <c r="F47" s="28"/>
      <c r="G47" s="28"/>
      <c r="H47" s="28"/>
      <c r="I47" s="28"/>
      <c r="J47" s="28"/>
      <c r="K47" s="28"/>
      <c r="L47" s="28"/>
      <c r="M47" s="28"/>
      <c r="N47" s="28"/>
      <c r="O47" s="29"/>
      <c r="P47" s="28"/>
      <c r="Q47" s="28"/>
      <c r="R47" s="28"/>
      <c r="S47" s="29"/>
      <c r="T47" s="28"/>
      <c r="U47" s="3" t="s">
        <v>2475</v>
      </c>
      <c r="V47" s="3" t="str">
        <f>IF(tblDecisionLog[[#This Row],[Source Decision ID]]="","",_xlfn.XLOOKUP(tblDecisionLog[[#This Row],[Source Decision ID]],'Decision Queue_Bak'!$A:$A,'Decision Queue_Bak'!$V:$V,""))</f>
        <v/>
      </c>
      <c r="W47" s="28"/>
      <c r="X47" s="3" t="str">
        <f>IF(tblDecisionLog[[#This Row],[Source Decision ID]]="","",IF(tblDecisionLog[[#This Row],[Queue Source Key]]&lt;&gt;"","Linked","Missing queue key"))</f>
        <v/>
      </c>
    </row>
    <row r="48" spans="1:24">
      <c r="A48" s="3" t="str">
        <f t="array" ref="A48">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48" s="28"/>
      <c r="C48" s="112"/>
      <c r="D48" s="28"/>
      <c r="E48" s="28"/>
      <c r="F48" s="28"/>
      <c r="G48" s="28"/>
      <c r="H48" s="28"/>
      <c r="I48" s="28"/>
      <c r="J48" s="28"/>
      <c r="K48" s="28"/>
      <c r="L48" s="28"/>
      <c r="M48" s="28"/>
      <c r="N48" s="28"/>
      <c r="O48" s="29"/>
      <c r="P48" s="28"/>
      <c r="Q48" s="28"/>
      <c r="R48" s="28"/>
      <c r="S48" s="29"/>
      <c r="T48" s="28"/>
      <c r="U48" s="3" t="s">
        <v>2476</v>
      </c>
      <c r="V48" s="3" t="str">
        <f>IF(tblDecisionLog[[#This Row],[Source Decision ID]]="","",_xlfn.XLOOKUP(tblDecisionLog[[#This Row],[Source Decision ID]],'Decision Queue_Bak'!$A:$A,'Decision Queue_Bak'!$V:$V,""))</f>
        <v/>
      </c>
      <c r="W48" s="28"/>
      <c r="X48" s="3" t="str">
        <f>IF(tblDecisionLog[[#This Row],[Source Decision ID]]="","",IF(tblDecisionLog[[#This Row],[Queue Source Key]]&lt;&gt;"","Linked","Missing queue key"))</f>
        <v/>
      </c>
    </row>
    <row r="49" spans="1:24">
      <c r="A49" s="3" t="str">
        <f t="array" ref="A49">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49" s="28"/>
      <c r="C49" s="112"/>
      <c r="D49" s="28"/>
      <c r="E49" s="28"/>
      <c r="F49" s="28"/>
      <c r="G49" s="28"/>
      <c r="H49" s="28"/>
      <c r="I49" s="28"/>
      <c r="J49" s="28"/>
      <c r="K49" s="28"/>
      <c r="L49" s="28"/>
      <c r="M49" s="28"/>
      <c r="N49" s="28"/>
      <c r="O49" s="29"/>
      <c r="P49" s="28"/>
      <c r="Q49" s="28"/>
      <c r="R49" s="28"/>
      <c r="S49" s="29"/>
      <c r="T49" s="28"/>
      <c r="U49" s="3" t="s">
        <v>2477</v>
      </c>
      <c r="V49" s="3" t="str">
        <f>IF(tblDecisionLog[[#This Row],[Source Decision ID]]="","",_xlfn.XLOOKUP(tblDecisionLog[[#This Row],[Source Decision ID]],'Decision Queue_Bak'!$A:$A,'Decision Queue_Bak'!$V:$V,""))</f>
        <v/>
      </c>
      <c r="W49" s="28"/>
      <c r="X49" s="3" t="str">
        <f>IF(tblDecisionLog[[#This Row],[Source Decision ID]]="","",IF(tblDecisionLog[[#This Row],[Queue Source Key]]&lt;&gt;"","Linked","Missing queue key"))</f>
        <v/>
      </c>
    </row>
    <row r="50" spans="1:24">
      <c r="A50" s="3" t="str">
        <f t="array" ref="A50">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50" s="28"/>
      <c r="C50" s="112"/>
      <c r="D50" s="28"/>
      <c r="E50" s="28"/>
      <c r="F50" s="28"/>
      <c r="G50" s="28"/>
      <c r="H50" s="28"/>
      <c r="I50" s="28"/>
      <c r="J50" s="28"/>
      <c r="K50" s="28"/>
      <c r="L50" s="28"/>
      <c r="M50" s="28"/>
      <c r="N50" s="28"/>
      <c r="O50" s="29"/>
      <c r="P50" s="28"/>
      <c r="Q50" s="28"/>
      <c r="R50" s="28"/>
      <c r="S50" s="29"/>
      <c r="T50" s="28"/>
      <c r="U50" s="3" t="s">
        <v>2478</v>
      </c>
      <c r="V50" s="3" t="str">
        <f>IF(tblDecisionLog[[#This Row],[Source Decision ID]]="","",_xlfn.XLOOKUP(tblDecisionLog[[#This Row],[Source Decision ID]],'Decision Queue_Bak'!$A:$A,'Decision Queue_Bak'!$V:$V,""))</f>
        <v/>
      </c>
      <c r="W50" s="28"/>
      <c r="X50" s="3" t="str">
        <f>IF(tblDecisionLog[[#This Row],[Source Decision ID]]="","",IF(tblDecisionLog[[#This Row],[Queue Source Key]]&lt;&gt;"","Linked","Missing queue key"))</f>
        <v/>
      </c>
    </row>
    <row r="51" spans="1:24">
      <c r="A51" s="3" t="str">
        <f t="array" ref="A51">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51" s="28"/>
      <c r="C51" s="112"/>
      <c r="D51" s="28"/>
      <c r="E51" s="28"/>
      <c r="F51" s="28"/>
      <c r="G51" s="28"/>
      <c r="H51" s="28"/>
      <c r="I51" s="28"/>
      <c r="J51" s="28"/>
      <c r="K51" s="28"/>
      <c r="L51" s="28"/>
      <c r="M51" s="28"/>
      <c r="N51" s="28"/>
      <c r="O51" s="29"/>
      <c r="P51" s="28"/>
      <c r="Q51" s="28"/>
      <c r="R51" s="28"/>
      <c r="S51" s="29"/>
      <c r="T51" s="28"/>
      <c r="U51" s="3" t="s">
        <v>2479</v>
      </c>
      <c r="V51" s="3" t="str">
        <f>IF(tblDecisionLog[[#This Row],[Source Decision ID]]="","",_xlfn.XLOOKUP(tblDecisionLog[[#This Row],[Source Decision ID]],'Decision Queue_Bak'!$A:$A,'Decision Queue_Bak'!$V:$V,""))</f>
        <v/>
      </c>
      <c r="W51" s="28"/>
      <c r="X51" s="3" t="str">
        <f>IF(tblDecisionLog[[#This Row],[Source Decision ID]]="","",IF(tblDecisionLog[[#This Row],[Queue Source Key]]&lt;&gt;"","Linked","Missing queue key"))</f>
        <v/>
      </c>
    </row>
    <row r="52" spans="1:24">
      <c r="A52" s="3" t="str">
        <f t="array" ref="A52">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52" s="28"/>
      <c r="C52" s="112"/>
      <c r="D52" s="28"/>
      <c r="E52" s="28"/>
      <c r="F52" s="28"/>
      <c r="G52" s="28"/>
      <c r="H52" s="28"/>
      <c r="I52" s="28"/>
      <c r="J52" s="28"/>
      <c r="K52" s="28"/>
      <c r="L52" s="28"/>
      <c r="M52" s="28"/>
      <c r="N52" s="28"/>
      <c r="O52" s="29"/>
      <c r="P52" s="28"/>
      <c r="Q52" s="28"/>
      <c r="R52" s="28"/>
      <c r="S52" s="29"/>
      <c r="T52" s="28"/>
      <c r="U52" s="3" t="s">
        <v>2480</v>
      </c>
      <c r="V52" s="3" t="str">
        <f>IF(tblDecisionLog[[#This Row],[Source Decision ID]]="","",_xlfn.XLOOKUP(tblDecisionLog[[#This Row],[Source Decision ID]],'Decision Queue_Bak'!$A:$A,'Decision Queue_Bak'!$V:$V,""))</f>
        <v/>
      </c>
      <c r="W52" s="28"/>
      <c r="X52" s="3" t="str">
        <f>IF(tblDecisionLog[[#This Row],[Source Decision ID]]="","",IF(tblDecisionLog[[#This Row],[Queue Source Key]]&lt;&gt;"","Linked","Missing queue key"))</f>
        <v/>
      </c>
    </row>
    <row r="53" spans="1:24">
      <c r="A53" s="3" t="str">
        <f t="array" ref="A53">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53" s="28"/>
      <c r="C53" s="112"/>
      <c r="D53" s="28"/>
      <c r="E53" s="28"/>
      <c r="F53" s="28"/>
      <c r="G53" s="28"/>
      <c r="H53" s="28"/>
      <c r="I53" s="28"/>
      <c r="J53" s="28"/>
      <c r="K53" s="28"/>
      <c r="L53" s="28"/>
      <c r="M53" s="28"/>
      <c r="N53" s="28"/>
      <c r="O53" s="29"/>
      <c r="P53" s="28"/>
      <c r="Q53" s="28"/>
      <c r="R53" s="28"/>
      <c r="S53" s="29"/>
      <c r="T53" s="28"/>
      <c r="U53" s="3" t="s">
        <v>2481</v>
      </c>
      <c r="V53" s="3" t="str">
        <f>IF(tblDecisionLog[[#This Row],[Source Decision ID]]="","",_xlfn.XLOOKUP(tblDecisionLog[[#This Row],[Source Decision ID]],'Decision Queue_Bak'!$A:$A,'Decision Queue_Bak'!$V:$V,""))</f>
        <v/>
      </c>
      <c r="W53" s="28"/>
      <c r="X53" s="3" t="str">
        <f>IF(tblDecisionLog[[#This Row],[Source Decision ID]]="","",IF(tblDecisionLog[[#This Row],[Queue Source Key]]&lt;&gt;"","Linked","Missing queue key"))</f>
        <v/>
      </c>
    </row>
    <row r="54" spans="1:24">
      <c r="A54" s="3" t="str">
        <f t="array" ref="A54">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54" s="28"/>
      <c r="C54" s="112"/>
      <c r="D54" s="28"/>
      <c r="E54" s="28"/>
      <c r="F54" s="28"/>
      <c r="G54" s="28"/>
      <c r="H54" s="28"/>
      <c r="I54" s="28"/>
      <c r="J54" s="28"/>
      <c r="K54" s="28"/>
      <c r="L54" s="28"/>
      <c r="M54" s="28"/>
      <c r="N54" s="28"/>
      <c r="O54" s="29"/>
      <c r="P54" s="28"/>
      <c r="Q54" s="28"/>
      <c r="R54" s="28"/>
      <c r="S54" s="29"/>
      <c r="T54" s="28"/>
      <c r="U54" s="3" t="s">
        <v>2482</v>
      </c>
      <c r="V54" s="3" t="str">
        <f>IF(tblDecisionLog[[#This Row],[Source Decision ID]]="","",_xlfn.XLOOKUP(tblDecisionLog[[#This Row],[Source Decision ID]],'Decision Queue_Bak'!$A:$A,'Decision Queue_Bak'!$V:$V,""))</f>
        <v/>
      </c>
      <c r="W54" s="28"/>
      <c r="X54" s="3" t="str">
        <f>IF(tblDecisionLog[[#This Row],[Source Decision ID]]="","",IF(tblDecisionLog[[#This Row],[Queue Source Key]]&lt;&gt;"","Linked","Missing queue key"))</f>
        <v/>
      </c>
    </row>
    <row r="55" spans="1:24">
      <c r="A55" s="3" t="str">
        <f t="array" ref="A55">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55" s="28"/>
      <c r="C55" s="112"/>
      <c r="D55" s="28"/>
      <c r="E55" s="28"/>
      <c r="F55" s="28"/>
      <c r="G55" s="28"/>
      <c r="H55" s="28"/>
      <c r="I55" s="28"/>
      <c r="J55" s="28"/>
      <c r="K55" s="28"/>
      <c r="L55" s="28"/>
      <c r="M55" s="28"/>
      <c r="N55" s="28"/>
      <c r="O55" s="29"/>
      <c r="P55" s="28"/>
      <c r="Q55" s="28"/>
      <c r="R55" s="28"/>
      <c r="S55" s="29"/>
      <c r="T55" s="28"/>
      <c r="U55" s="3" t="s">
        <v>2483</v>
      </c>
      <c r="V55" s="3" t="str">
        <f>IF(tblDecisionLog[[#This Row],[Source Decision ID]]="","",_xlfn.XLOOKUP(tblDecisionLog[[#This Row],[Source Decision ID]],'Decision Queue_Bak'!$A:$A,'Decision Queue_Bak'!$V:$V,""))</f>
        <v/>
      </c>
      <c r="W55" s="28"/>
      <c r="X55" s="3" t="str">
        <f>IF(tblDecisionLog[[#This Row],[Source Decision ID]]="","",IF(tblDecisionLog[[#This Row],[Queue Source Key]]&lt;&gt;"","Linked","Missing queue key"))</f>
        <v/>
      </c>
    </row>
    <row r="56" spans="1:24">
      <c r="A56" s="3" t="str">
        <f t="array" ref="A56">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56" s="28"/>
      <c r="C56" s="112"/>
      <c r="D56" s="28"/>
      <c r="E56" s="28"/>
      <c r="F56" s="28"/>
      <c r="G56" s="28"/>
      <c r="H56" s="28"/>
      <c r="I56" s="28"/>
      <c r="J56" s="28"/>
      <c r="K56" s="28"/>
      <c r="L56" s="28"/>
      <c r="M56" s="28"/>
      <c r="N56" s="28"/>
      <c r="O56" s="29"/>
      <c r="P56" s="28"/>
      <c r="Q56" s="28"/>
      <c r="R56" s="28"/>
      <c r="S56" s="29"/>
      <c r="T56" s="28"/>
      <c r="U56" s="3" t="s">
        <v>2484</v>
      </c>
      <c r="V56" s="3" t="str">
        <f>IF(tblDecisionLog[[#This Row],[Source Decision ID]]="","",_xlfn.XLOOKUP(tblDecisionLog[[#This Row],[Source Decision ID]],'Decision Queue_Bak'!$A:$A,'Decision Queue_Bak'!$V:$V,""))</f>
        <v/>
      </c>
      <c r="W56" s="28"/>
      <c r="X56" s="3" t="str">
        <f>IF(tblDecisionLog[[#This Row],[Source Decision ID]]="","",IF(tblDecisionLog[[#This Row],[Queue Source Key]]&lt;&gt;"","Linked","Missing queue key"))</f>
        <v/>
      </c>
    </row>
    <row r="57" spans="1:24">
      <c r="A57" s="3" t="str">
        <f t="array" ref="A57">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57" s="28"/>
      <c r="C57" s="112"/>
      <c r="D57" s="28"/>
      <c r="E57" s="28"/>
      <c r="F57" s="28"/>
      <c r="G57" s="28"/>
      <c r="H57" s="28"/>
      <c r="I57" s="28"/>
      <c r="J57" s="28"/>
      <c r="K57" s="28"/>
      <c r="L57" s="28"/>
      <c r="M57" s="28"/>
      <c r="N57" s="28"/>
      <c r="O57" s="29"/>
      <c r="P57" s="28"/>
      <c r="Q57" s="28"/>
      <c r="R57" s="28"/>
      <c r="S57" s="29"/>
      <c r="T57" s="28"/>
      <c r="U57" s="3" t="s">
        <v>2485</v>
      </c>
      <c r="V57" s="3" t="str">
        <f>IF(tblDecisionLog[[#This Row],[Source Decision ID]]="","",_xlfn.XLOOKUP(tblDecisionLog[[#This Row],[Source Decision ID]],'Decision Queue_Bak'!$A:$A,'Decision Queue_Bak'!$V:$V,""))</f>
        <v/>
      </c>
      <c r="W57" s="28"/>
      <c r="X57" s="3" t="str">
        <f>IF(tblDecisionLog[[#This Row],[Source Decision ID]]="","",IF(tblDecisionLog[[#This Row],[Queue Source Key]]&lt;&gt;"","Linked","Missing queue key"))</f>
        <v/>
      </c>
    </row>
    <row r="58" spans="1:24">
      <c r="A58" s="3" t="str">
        <f t="array" ref="A58">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58" s="28"/>
      <c r="C58" s="112"/>
      <c r="D58" s="28"/>
      <c r="E58" s="28"/>
      <c r="F58" s="28"/>
      <c r="G58" s="28"/>
      <c r="H58" s="28"/>
      <c r="I58" s="28"/>
      <c r="J58" s="28"/>
      <c r="K58" s="28"/>
      <c r="L58" s="28"/>
      <c r="M58" s="28"/>
      <c r="N58" s="28"/>
      <c r="O58" s="29"/>
      <c r="P58" s="28"/>
      <c r="Q58" s="28"/>
      <c r="R58" s="28"/>
      <c r="S58" s="29"/>
      <c r="T58" s="28"/>
      <c r="U58" s="3" t="s">
        <v>2486</v>
      </c>
      <c r="V58" s="3" t="str">
        <f>IF(tblDecisionLog[[#This Row],[Source Decision ID]]="","",_xlfn.XLOOKUP(tblDecisionLog[[#This Row],[Source Decision ID]],'Decision Queue_Bak'!$A:$A,'Decision Queue_Bak'!$V:$V,""))</f>
        <v/>
      </c>
      <c r="W58" s="28"/>
      <c r="X58" s="3" t="str">
        <f>IF(tblDecisionLog[[#This Row],[Source Decision ID]]="","",IF(tblDecisionLog[[#This Row],[Queue Source Key]]&lt;&gt;"","Linked","Missing queue key"))</f>
        <v/>
      </c>
    </row>
    <row r="59" spans="1:24">
      <c r="A59" s="3" t="str">
        <f t="array" ref="A59">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59" s="28"/>
      <c r="C59" s="112"/>
      <c r="D59" s="28"/>
      <c r="E59" s="28"/>
      <c r="F59" s="28"/>
      <c r="G59" s="28"/>
      <c r="H59" s="28"/>
      <c r="I59" s="28"/>
      <c r="J59" s="28"/>
      <c r="K59" s="28"/>
      <c r="L59" s="28"/>
      <c r="M59" s="28"/>
      <c r="N59" s="28"/>
      <c r="O59" s="29"/>
      <c r="P59" s="28"/>
      <c r="Q59" s="28"/>
      <c r="R59" s="28"/>
      <c r="S59" s="29"/>
      <c r="T59" s="28"/>
      <c r="U59" s="3" t="s">
        <v>2487</v>
      </c>
      <c r="V59" s="3" t="str">
        <f>IF(tblDecisionLog[[#This Row],[Source Decision ID]]="","",_xlfn.XLOOKUP(tblDecisionLog[[#This Row],[Source Decision ID]],'Decision Queue_Bak'!$A:$A,'Decision Queue_Bak'!$V:$V,""))</f>
        <v/>
      </c>
      <c r="W59" s="28"/>
      <c r="X59" s="3" t="str">
        <f>IF(tblDecisionLog[[#This Row],[Source Decision ID]]="","",IF(tblDecisionLog[[#This Row],[Queue Source Key]]&lt;&gt;"","Linked","Missing queue key"))</f>
        <v/>
      </c>
    </row>
    <row r="60" spans="1:24">
      <c r="A60" s="3" t="str">
        <f t="array" ref="A60">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60" s="28"/>
      <c r="C60" s="112"/>
      <c r="D60" s="28"/>
      <c r="E60" s="28"/>
      <c r="F60" s="28"/>
      <c r="G60" s="28"/>
      <c r="H60" s="28"/>
      <c r="I60" s="28"/>
      <c r="J60" s="28"/>
      <c r="K60" s="28"/>
      <c r="L60" s="28"/>
      <c r="M60" s="28"/>
      <c r="N60" s="28"/>
      <c r="O60" s="29"/>
      <c r="P60" s="28"/>
      <c r="Q60" s="28"/>
      <c r="R60" s="28"/>
      <c r="S60" s="29"/>
      <c r="T60" s="28"/>
      <c r="U60" s="3" t="s">
        <v>2488</v>
      </c>
      <c r="V60" s="3" t="str">
        <f>IF(tblDecisionLog[[#This Row],[Source Decision ID]]="","",_xlfn.XLOOKUP(tblDecisionLog[[#This Row],[Source Decision ID]],'Decision Queue_Bak'!$A:$A,'Decision Queue_Bak'!$V:$V,""))</f>
        <v/>
      </c>
      <c r="W60" s="28"/>
      <c r="X60" s="3" t="str">
        <f>IF(tblDecisionLog[[#This Row],[Source Decision ID]]="","",IF(tblDecisionLog[[#This Row],[Queue Source Key]]&lt;&gt;"","Linked","Missing queue key"))</f>
        <v/>
      </c>
    </row>
    <row r="61" spans="1:24">
      <c r="A61" s="3" t="str">
        <f t="array" ref="A61">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61" s="28"/>
      <c r="C61" s="112"/>
      <c r="D61" s="28"/>
      <c r="E61" s="28"/>
      <c r="F61" s="28"/>
      <c r="G61" s="28"/>
      <c r="H61" s="28"/>
      <c r="I61" s="28"/>
      <c r="J61" s="28"/>
      <c r="K61" s="28"/>
      <c r="L61" s="28"/>
      <c r="M61" s="28"/>
      <c r="N61" s="28"/>
      <c r="O61" s="29"/>
      <c r="P61" s="28"/>
      <c r="Q61" s="28"/>
      <c r="R61" s="28"/>
      <c r="S61" s="29"/>
      <c r="T61" s="28"/>
      <c r="U61" s="3" t="s">
        <v>2489</v>
      </c>
      <c r="V61" s="3" t="str">
        <f>IF(tblDecisionLog[[#This Row],[Source Decision ID]]="","",_xlfn.XLOOKUP(tblDecisionLog[[#This Row],[Source Decision ID]],'Decision Queue_Bak'!$A:$A,'Decision Queue_Bak'!$V:$V,""))</f>
        <v/>
      </c>
      <c r="W61" s="28"/>
      <c r="X61" s="3" t="str">
        <f>IF(tblDecisionLog[[#This Row],[Source Decision ID]]="","",IF(tblDecisionLog[[#This Row],[Queue Source Key]]&lt;&gt;"","Linked","Missing queue key"))</f>
        <v/>
      </c>
    </row>
    <row r="62" spans="1:24">
      <c r="A62" s="3" t="str">
        <f t="array" ref="A62">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62" s="28"/>
      <c r="C62" s="112"/>
      <c r="D62" s="28"/>
      <c r="E62" s="28"/>
      <c r="F62" s="28"/>
      <c r="G62" s="28"/>
      <c r="H62" s="28"/>
      <c r="I62" s="28"/>
      <c r="J62" s="28"/>
      <c r="K62" s="28"/>
      <c r="L62" s="28"/>
      <c r="M62" s="28"/>
      <c r="N62" s="28"/>
      <c r="O62" s="29"/>
      <c r="P62" s="28"/>
      <c r="Q62" s="28"/>
      <c r="R62" s="28"/>
      <c r="S62" s="29"/>
      <c r="T62" s="28"/>
      <c r="U62" s="3" t="s">
        <v>2490</v>
      </c>
      <c r="V62" s="3" t="str">
        <f>IF(tblDecisionLog[[#This Row],[Source Decision ID]]="","",_xlfn.XLOOKUP(tblDecisionLog[[#This Row],[Source Decision ID]],'Decision Queue_Bak'!$A:$A,'Decision Queue_Bak'!$V:$V,""))</f>
        <v/>
      </c>
      <c r="W62" s="28"/>
      <c r="X62" s="3" t="str">
        <f>IF(tblDecisionLog[[#This Row],[Source Decision ID]]="","",IF(tblDecisionLog[[#This Row],[Queue Source Key]]&lt;&gt;"","Linked","Missing queue key"))</f>
        <v/>
      </c>
    </row>
    <row r="63" spans="1:24">
      <c r="A63" s="3" t="str">
        <f t="array" ref="A63">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63" s="28"/>
      <c r="C63" s="112"/>
      <c r="D63" s="28"/>
      <c r="E63" s="28"/>
      <c r="F63" s="28"/>
      <c r="G63" s="28"/>
      <c r="H63" s="28"/>
      <c r="I63" s="28"/>
      <c r="J63" s="28"/>
      <c r="K63" s="28"/>
      <c r="L63" s="28"/>
      <c r="M63" s="28"/>
      <c r="N63" s="28"/>
      <c r="O63" s="29"/>
      <c r="P63" s="28"/>
      <c r="Q63" s="28"/>
      <c r="R63" s="28"/>
      <c r="S63" s="29"/>
      <c r="T63" s="28"/>
      <c r="U63" s="3" t="s">
        <v>2491</v>
      </c>
      <c r="V63" s="3" t="str">
        <f>IF(tblDecisionLog[[#This Row],[Source Decision ID]]="","",_xlfn.XLOOKUP(tblDecisionLog[[#This Row],[Source Decision ID]],'Decision Queue_Bak'!$A:$A,'Decision Queue_Bak'!$V:$V,""))</f>
        <v/>
      </c>
      <c r="W63" s="28"/>
      <c r="X63" s="3" t="str">
        <f>IF(tblDecisionLog[[#This Row],[Source Decision ID]]="","",IF(tblDecisionLog[[#This Row],[Queue Source Key]]&lt;&gt;"","Linked","Missing queue key"))</f>
        <v/>
      </c>
    </row>
    <row r="64" spans="1:24">
      <c r="A64" s="3" t="str">
        <f t="array" ref="A64">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64" s="28"/>
      <c r="C64" s="112"/>
      <c r="D64" s="28"/>
      <c r="E64" s="28"/>
      <c r="F64" s="28"/>
      <c r="G64" s="28"/>
      <c r="H64" s="28"/>
      <c r="I64" s="28"/>
      <c r="J64" s="28"/>
      <c r="K64" s="28"/>
      <c r="L64" s="28"/>
      <c r="M64" s="28"/>
      <c r="N64" s="28"/>
      <c r="O64" s="29"/>
      <c r="P64" s="28"/>
      <c r="Q64" s="28"/>
      <c r="R64" s="28"/>
      <c r="S64" s="29"/>
      <c r="T64" s="28"/>
      <c r="U64" s="3" t="s">
        <v>2492</v>
      </c>
      <c r="V64" s="3" t="str">
        <f>IF(tblDecisionLog[[#This Row],[Source Decision ID]]="","",_xlfn.XLOOKUP(tblDecisionLog[[#This Row],[Source Decision ID]],'Decision Queue_Bak'!$A:$A,'Decision Queue_Bak'!$V:$V,""))</f>
        <v/>
      </c>
      <c r="W64" s="28"/>
      <c r="X64" s="3" t="str">
        <f>IF(tblDecisionLog[[#This Row],[Source Decision ID]]="","",IF(tblDecisionLog[[#This Row],[Queue Source Key]]&lt;&gt;"","Linked","Missing queue key"))</f>
        <v/>
      </c>
    </row>
    <row r="65" spans="1:24">
      <c r="A65" s="3" t="str">
        <f t="array" ref="A65">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65" s="28"/>
      <c r="C65" s="112"/>
      <c r="D65" s="28"/>
      <c r="E65" s="28"/>
      <c r="F65" s="28"/>
      <c r="G65" s="28"/>
      <c r="H65" s="28"/>
      <c r="I65" s="28"/>
      <c r="J65" s="28"/>
      <c r="K65" s="28"/>
      <c r="L65" s="28"/>
      <c r="M65" s="28"/>
      <c r="N65" s="28"/>
      <c r="O65" s="29"/>
      <c r="P65" s="28"/>
      <c r="Q65" s="28"/>
      <c r="R65" s="28"/>
      <c r="S65" s="29"/>
      <c r="T65" s="28"/>
      <c r="U65" s="3" t="s">
        <v>2493</v>
      </c>
      <c r="V65" s="3" t="str">
        <f>IF(tblDecisionLog[[#This Row],[Source Decision ID]]="","",_xlfn.XLOOKUP(tblDecisionLog[[#This Row],[Source Decision ID]],'Decision Queue_Bak'!$A:$A,'Decision Queue_Bak'!$V:$V,""))</f>
        <v/>
      </c>
      <c r="W65" s="28"/>
      <c r="X65" s="3" t="str">
        <f>IF(tblDecisionLog[[#This Row],[Source Decision ID]]="","",IF(tblDecisionLog[[#This Row],[Queue Source Key]]&lt;&gt;"","Linked","Missing queue key"))</f>
        <v/>
      </c>
    </row>
    <row r="66" spans="1:24">
      <c r="A66" s="3" t="str">
        <f t="array" ref="A66">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66" s="28"/>
      <c r="C66" s="112"/>
      <c r="D66" s="28"/>
      <c r="E66" s="28"/>
      <c r="F66" s="28"/>
      <c r="G66" s="28"/>
      <c r="H66" s="28"/>
      <c r="I66" s="28"/>
      <c r="J66" s="28"/>
      <c r="K66" s="28"/>
      <c r="L66" s="28"/>
      <c r="M66" s="28"/>
      <c r="N66" s="28"/>
      <c r="O66" s="29"/>
      <c r="P66" s="28"/>
      <c r="Q66" s="28"/>
      <c r="R66" s="28"/>
      <c r="S66" s="29"/>
      <c r="T66" s="28"/>
      <c r="U66" s="3" t="s">
        <v>2494</v>
      </c>
      <c r="V66" s="3" t="str">
        <f>IF(tblDecisionLog[[#This Row],[Source Decision ID]]="","",_xlfn.XLOOKUP(tblDecisionLog[[#This Row],[Source Decision ID]],'Decision Queue_Bak'!$A:$A,'Decision Queue_Bak'!$V:$V,""))</f>
        <v/>
      </c>
      <c r="W66" s="28"/>
      <c r="X66" s="3" t="str">
        <f>IF(tblDecisionLog[[#This Row],[Source Decision ID]]="","",IF(tblDecisionLog[[#This Row],[Queue Source Key]]&lt;&gt;"","Linked","Missing queue key"))</f>
        <v/>
      </c>
    </row>
    <row r="67" spans="1:24">
      <c r="A67" s="3" t="str">
        <f t="array" ref="A67">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67" s="28"/>
      <c r="C67" s="112"/>
      <c r="D67" s="28"/>
      <c r="E67" s="28"/>
      <c r="F67" s="28"/>
      <c r="G67" s="28"/>
      <c r="H67" s="28"/>
      <c r="I67" s="28"/>
      <c r="J67" s="28"/>
      <c r="K67" s="28"/>
      <c r="L67" s="28"/>
      <c r="M67" s="28"/>
      <c r="N67" s="28"/>
      <c r="O67" s="29"/>
      <c r="P67" s="28"/>
      <c r="Q67" s="28"/>
      <c r="R67" s="28"/>
      <c r="S67" s="29"/>
      <c r="T67" s="28"/>
      <c r="U67" s="3" t="s">
        <v>2495</v>
      </c>
      <c r="V67" s="3" t="str">
        <f>IF(tblDecisionLog[[#This Row],[Source Decision ID]]="","",_xlfn.XLOOKUP(tblDecisionLog[[#This Row],[Source Decision ID]],'Decision Queue_Bak'!$A:$A,'Decision Queue_Bak'!$V:$V,""))</f>
        <v/>
      </c>
      <c r="W67" s="28"/>
      <c r="X67" s="3" t="str">
        <f>IF(tblDecisionLog[[#This Row],[Source Decision ID]]="","",IF(tblDecisionLog[[#This Row],[Queue Source Key]]&lt;&gt;"","Linked","Missing queue key"))</f>
        <v/>
      </c>
    </row>
    <row r="68" spans="1:24">
      <c r="A68" s="3" t="str">
        <f t="array" ref="A68">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68" s="28"/>
      <c r="C68" s="112"/>
      <c r="D68" s="28"/>
      <c r="E68" s="28"/>
      <c r="F68" s="28"/>
      <c r="G68" s="28"/>
      <c r="H68" s="28"/>
      <c r="I68" s="28"/>
      <c r="J68" s="28"/>
      <c r="K68" s="28"/>
      <c r="L68" s="28"/>
      <c r="M68" s="28"/>
      <c r="N68" s="28"/>
      <c r="O68" s="29"/>
      <c r="P68" s="28"/>
      <c r="Q68" s="28"/>
      <c r="R68" s="28"/>
      <c r="S68" s="29"/>
      <c r="T68" s="28"/>
      <c r="U68" s="3" t="s">
        <v>2496</v>
      </c>
      <c r="V68" s="3" t="str">
        <f>IF(tblDecisionLog[[#This Row],[Source Decision ID]]="","",_xlfn.XLOOKUP(tblDecisionLog[[#This Row],[Source Decision ID]],'Decision Queue_Bak'!$A:$A,'Decision Queue_Bak'!$V:$V,""))</f>
        <v/>
      </c>
      <c r="W68" s="28"/>
      <c r="X68" s="3" t="str">
        <f>IF(tblDecisionLog[[#This Row],[Source Decision ID]]="","",IF(tblDecisionLog[[#This Row],[Queue Source Key]]&lt;&gt;"","Linked","Missing queue key"))</f>
        <v/>
      </c>
    </row>
    <row r="69" spans="1:24">
      <c r="A69" s="3" t="str">
        <f t="array" ref="A69">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69" s="28"/>
      <c r="C69" s="112"/>
      <c r="D69" s="28"/>
      <c r="E69" s="28"/>
      <c r="F69" s="28"/>
      <c r="G69" s="28"/>
      <c r="H69" s="28"/>
      <c r="I69" s="28"/>
      <c r="J69" s="28"/>
      <c r="K69" s="28"/>
      <c r="L69" s="28"/>
      <c r="M69" s="28"/>
      <c r="N69" s="28"/>
      <c r="O69" s="29"/>
      <c r="P69" s="28"/>
      <c r="Q69" s="28"/>
      <c r="R69" s="28"/>
      <c r="S69" s="29"/>
      <c r="T69" s="28"/>
      <c r="U69" s="3" t="s">
        <v>2497</v>
      </c>
      <c r="V69" s="3" t="str">
        <f>IF(tblDecisionLog[[#This Row],[Source Decision ID]]="","",_xlfn.XLOOKUP(tblDecisionLog[[#This Row],[Source Decision ID]],'Decision Queue_Bak'!$A:$A,'Decision Queue_Bak'!$V:$V,""))</f>
        <v/>
      </c>
      <c r="W69" s="28"/>
      <c r="X69" s="3" t="str">
        <f>IF(tblDecisionLog[[#This Row],[Source Decision ID]]="","",IF(tblDecisionLog[[#This Row],[Queue Source Key]]&lt;&gt;"","Linked","Missing queue key"))</f>
        <v/>
      </c>
    </row>
    <row r="70" spans="1:24">
      <c r="A70" s="3" t="str">
        <f t="array" ref="A70">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70" s="28"/>
      <c r="C70" s="112"/>
      <c r="D70" s="28"/>
      <c r="E70" s="28"/>
      <c r="F70" s="28"/>
      <c r="G70" s="28"/>
      <c r="H70" s="28"/>
      <c r="I70" s="28"/>
      <c r="J70" s="28"/>
      <c r="K70" s="28"/>
      <c r="L70" s="28"/>
      <c r="M70" s="28"/>
      <c r="N70" s="28"/>
      <c r="O70" s="29"/>
      <c r="P70" s="28"/>
      <c r="Q70" s="28"/>
      <c r="R70" s="28"/>
      <c r="S70" s="29"/>
      <c r="T70" s="28"/>
      <c r="U70" s="3" t="s">
        <v>2498</v>
      </c>
      <c r="V70" s="3" t="str">
        <f>IF(tblDecisionLog[[#This Row],[Source Decision ID]]="","",_xlfn.XLOOKUP(tblDecisionLog[[#This Row],[Source Decision ID]],'Decision Queue_Bak'!$A:$A,'Decision Queue_Bak'!$V:$V,""))</f>
        <v/>
      </c>
      <c r="W70" s="28"/>
      <c r="X70" s="3" t="str">
        <f>IF(tblDecisionLog[[#This Row],[Source Decision ID]]="","",IF(tblDecisionLog[[#This Row],[Queue Source Key]]&lt;&gt;"","Linked","Missing queue key"))</f>
        <v/>
      </c>
    </row>
    <row r="71" spans="1:24">
      <c r="A71" s="3" t="str">
        <f t="array" ref="A71">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71" s="28"/>
      <c r="C71" s="112"/>
      <c r="D71" s="28"/>
      <c r="E71" s="28"/>
      <c r="F71" s="28"/>
      <c r="G71" s="28"/>
      <c r="H71" s="28"/>
      <c r="I71" s="28"/>
      <c r="J71" s="28"/>
      <c r="K71" s="28"/>
      <c r="L71" s="28"/>
      <c r="M71" s="28"/>
      <c r="N71" s="28"/>
      <c r="O71" s="29"/>
      <c r="P71" s="28"/>
      <c r="Q71" s="28"/>
      <c r="R71" s="28"/>
      <c r="S71" s="29"/>
      <c r="T71" s="28"/>
      <c r="U71" s="3" t="s">
        <v>2499</v>
      </c>
      <c r="V71" s="3" t="str">
        <f>IF(tblDecisionLog[[#This Row],[Source Decision ID]]="","",_xlfn.XLOOKUP(tblDecisionLog[[#This Row],[Source Decision ID]],'Decision Queue_Bak'!$A:$A,'Decision Queue_Bak'!$V:$V,""))</f>
        <v/>
      </c>
      <c r="W71" s="28"/>
      <c r="X71" s="3" t="str">
        <f>IF(tblDecisionLog[[#This Row],[Source Decision ID]]="","",IF(tblDecisionLog[[#This Row],[Queue Source Key]]&lt;&gt;"","Linked","Missing queue key"))</f>
        <v/>
      </c>
    </row>
    <row r="72" spans="1:24">
      <c r="A72" s="3" t="str">
        <f t="array" ref="A72">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72" s="28"/>
      <c r="C72" s="112"/>
      <c r="D72" s="28"/>
      <c r="E72" s="28"/>
      <c r="F72" s="28"/>
      <c r="G72" s="28"/>
      <c r="H72" s="28"/>
      <c r="I72" s="28"/>
      <c r="J72" s="28"/>
      <c r="K72" s="28"/>
      <c r="L72" s="28"/>
      <c r="M72" s="28"/>
      <c r="N72" s="28"/>
      <c r="O72" s="29"/>
      <c r="P72" s="28"/>
      <c r="Q72" s="28"/>
      <c r="R72" s="28"/>
      <c r="S72" s="29"/>
      <c r="T72" s="28"/>
      <c r="U72" s="3" t="s">
        <v>2500</v>
      </c>
      <c r="V72" s="3" t="str">
        <f>IF(tblDecisionLog[[#This Row],[Source Decision ID]]="","",_xlfn.XLOOKUP(tblDecisionLog[[#This Row],[Source Decision ID]],'Decision Queue_Bak'!$A:$A,'Decision Queue_Bak'!$V:$V,""))</f>
        <v/>
      </c>
      <c r="W72" s="28"/>
      <c r="X72" s="3" t="str">
        <f>IF(tblDecisionLog[[#This Row],[Source Decision ID]]="","",IF(tblDecisionLog[[#This Row],[Queue Source Key]]&lt;&gt;"","Linked","Missing queue key"))</f>
        <v/>
      </c>
    </row>
    <row r="73" spans="1:24">
      <c r="A73" s="3" t="str">
        <f t="array" ref="A73">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73" s="28"/>
      <c r="C73" s="112"/>
      <c r="D73" s="28"/>
      <c r="E73" s="28"/>
      <c r="F73" s="28"/>
      <c r="G73" s="28"/>
      <c r="H73" s="28"/>
      <c r="I73" s="28"/>
      <c r="J73" s="28"/>
      <c r="K73" s="28"/>
      <c r="L73" s="28"/>
      <c r="M73" s="28"/>
      <c r="N73" s="28"/>
      <c r="O73" s="29"/>
      <c r="P73" s="28"/>
      <c r="Q73" s="28"/>
      <c r="R73" s="28"/>
      <c r="S73" s="29"/>
      <c r="T73" s="28"/>
      <c r="U73" s="3" t="s">
        <v>2501</v>
      </c>
      <c r="V73" s="3" t="str">
        <f>IF(tblDecisionLog[[#This Row],[Source Decision ID]]="","",_xlfn.XLOOKUP(tblDecisionLog[[#This Row],[Source Decision ID]],'Decision Queue_Bak'!$A:$A,'Decision Queue_Bak'!$V:$V,""))</f>
        <v/>
      </c>
      <c r="W73" s="28"/>
      <c r="X73" s="3" t="str">
        <f>IF(tblDecisionLog[[#This Row],[Source Decision ID]]="","",IF(tblDecisionLog[[#This Row],[Queue Source Key]]&lt;&gt;"","Linked","Missing queue key"))</f>
        <v/>
      </c>
    </row>
    <row r="74" spans="1:24">
      <c r="A74" s="3" t="str">
        <f t="array" ref="A74">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74" s="28"/>
      <c r="C74" s="112"/>
      <c r="D74" s="28"/>
      <c r="E74" s="28"/>
      <c r="F74" s="28"/>
      <c r="G74" s="28"/>
      <c r="H74" s="28"/>
      <c r="I74" s="28"/>
      <c r="J74" s="28"/>
      <c r="K74" s="28"/>
      <c r="L74" s="28"/>
      <c r="M74" s="28"/>
      <c r="N74" s="28"/>
      <c r="O74" s="29"/>
      <c r="P74" s="28"/>
      <c r="Q74" s="28"/>
      <c r="R74" s="28"/>
      <c r="S74" s="29"/>
      <c r="T74" s="28"/>
      <c r="U74" s="3" t="s">
        <v>2502</v>
      </c>
      <c r="V74" s="3" t="str">
        <f>IF(tblDecisionLog[[#This Row],[Source Decision ID]]="","",_xlfn.XLOOKUP(tblDecisionLog[[#This Row],[Source Decision ID]],'Decision Queue_Bak'!$A:$A,'Decision Queue_Bak'!$V:$V,""))</f>
        <v/>
      </c>
      <c r="W74" s="28"/>
      <c r="X74" s="3" t="str">
        <f>IF(tblDecisionLog[[#This Row],[Source Decision ID]]="","",IF(tblDecisionLog[[#This Row],[Queue Source Key]]&lt;&gt;"","Linked","Missing queue key"))</f>
        <v/>
      </c>
    </row>
    <row r="75" spans="1:24">
      <c r="A75" s="3" t="str">
        <f t="array" ref="A75">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75" s="28"/>
      <c r="C75" s="112"/>
      <c r="D75" s="28"/>
      <c r="E75" s="28"/>
      <c r="F75" s="28"/>
      <c r="G75" s="28"/>
      <c r="H75" s="28"/>
      <c r="I75" s="28"/>
      <c r="J75" s="28"/>
      <c r="K75" s="28"/>
      <c r="L75" s="28"/>
      <c r="M75" s="28"/>
      <c r="N75" s="28"/>
      <c r="O75" s="29"/>
      <c r="P75" s="28"/>
      <c r="Q75" s="28"/>
      <c r="R75" s="28"/>
      <c r="S75" s="29"/>
      <c r="T75" s="28"/>
      <c r="U75" s="3" t="s">
        <v>2503</v>
      </c>
      <c r="V75" s="3" t="str">
        <f>IF(tblDecisionLog[[#This Row],[Source Decision ID]]="","",_xlfn.XLOOKUP(tblDecisionLog[[#This Row],[Source Decision ID]],'Decision Queue_Bak'!$A:$A,'Decision Queue_Bak'!$V:$V,""))</f>
        <v/>
      </c>
      <c r="W75" s="28"/>
      <c r="X75" s="3" t="str">
        <f>IF(tblDecisionLog[[#This Row],[Source Decision ID]]="","",IF(tblDecisionLog[[#This Row],[Queue Source Key]]&lt;&gt;"","Linked","Missing queue key"))</f>
        <v/>
      </c>
    </row>
    <row r="76" spans="1:24">
      <c r="A76" s="3" t="str">
        <f t="array" ref="A76">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76" s="28"/>
      <c r="C76" s="112"/>
      <c r="D76" s="28"/>
      <c r="E76" s="28"/>
      <c r="F76" s="28"/>
      <c r="G76" s="28"/>
      <c r="H76" s="28"/>
      <c r="I76" s="28"/>
      <c r="J76" s="28"/>
      <c r="K76" s="28"/>
      <c r="L76" s="28"/>
      <c r="M76" s="28"/>
      <c r="N76" s="28"/>
      <c r="O76" s="29"/>
      <c r="P76" s="28"/>
      <c r="Q76" s="28"/>
      <c r="R76" s="28"/>
      <c r="S76" s="29"/>
      <c r="T76" s="28"/>
      <c r="U76" s="3" t="s">
        <v>2504</v>
      </c>
      <c r="V76" s="3" t="str">
        <f>IF(tblDecisionLog[[#This Row],[Source Decision ID]]="","",_xlfn.XLOOKUP(tblDecisionLog[[#This Row],[Source Decision ID]],'Decision Queue_Bak'!$A:$A,'Decision Queue_Bak'!$V:$V,""))</f>
        <v/>
      </c>
      <c r="W76" s="28"/>
      <c r="X76" s="3" t="str">
        <f>IF(tblDecisionLog[[#This Row],[Source Decision ID]]="","",IF(tblDecisionLog[[#This Row],[Queue Source Key]]&lt;&gt;"","Linked","Missing queue key"))</f>
        <v/>
      </c>
    </row>
    <row r="77" spans="1:24">
      <c r="A77" s="3" t="str">
        <f t="array" ref="A77">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77" s="28"/>
      <c r="C77" s="112"/>
      <c r="D77" s="28"/>
      <c r="E77" s="28"/>
      <c r="F77" s="28"/>
      <c r="G77" s="28"/>
      <c r="H77" s="28"/>
      <c r="I77" s="28"/>
      <c r="J77" s="28"/>
      <c r="K77" s="28"/>
      <c r="L77" s="28"/>
      <c r="M77" s="28"/>
      <c r="N77" s="28"/>
      <c r="O77" s="29"/>
      <c r="P77" s="28"/>
      <c r="Q77" s="28"/>
      <c r="R77" s="28"/>
      <c r="S77" s="29"/>
      <c r="T77" s="28"/>
      <c r="U77" s="3" t="s">
        <v>2505</v>
      </c>
      <c r="V77" s="3" t="str">
        <f>IF(tblDecisionLog[[#This Row],[Source Decision ID]]="","",_xlfn.XLOOKUP(tblDecisionLog[[#This Row],[Source Decision ID]],'Decision Queue_Bak'!$A:$A,'Decision Queue_Bak'!$V:$V,""))</f>
        <v/>
      </c>
      <c r="W77" s="28"/>
      <c r="X77" s="3" t="str">
        <f>IF(tblDecisionLog[[#This Row],[Source Decision ID]]="","",IF(tblDecisionLog[[#This Row],[Queue Source Key]]&lt;&gt;"","Linked","Missing queue key"))</f>
        <v/>
      </c>
    </row>
    <row r="78" spans="1:24">
      <c r="A78" s="3" t="str">
        <f t="array" ref="A78">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78" s="28"/>
      <c r="C78" s="112"/>
      <c r="D78" s="28"/>
      <c r="E78" s="28"/>
      <c r="F78" s="28"/>
      <c r="G78" s="28"/>
      <c r="H78" s="28"/>
      <c r="I78" s="28"/>
      <c r="J78" s="28"/>
      <c r="K78" s="28"/>
      <c r="L78" s="28"/>
      <c r="M78" s="28"/>
      <c r="N78" s="28"/>
      <c r="O78" s="29"/>
      <c r="P78" s="28"/>
      <c r="Q78" s="28"/>
      <c r="R78" s="28"/>
      <c r="S78" s="29"/>
      <c r="T78" s="28"/>
      <c r="U78" s="3" t="s">
        <v>2506</v>
      </c>
      <c r="V78" s="3" t="str">
        <f>IF(tblDecisionLog[[#This Row],[Source Decision ID]]="","",_xlfn.XLOOKUP(tblDecisionLog[[#This Row],[Source Decision ID]],'Decision Queue_Bak'!$A:$A,'Decision Queue_Bak'!$V:$V,""))</f>
        <v/>
      </c>
      <c r="W78" s="28"/>
      <c r="X78" s="3" t="str">
        <f>IF(tblDecisionLog[[#This Row],[Source Decision ID]]="","",IF(tblDecisionLog[[#This Row],[Queue Source Key]]&lt;&gt;"","Linked","Missing queue key"))</f>
        <v/>
      </c>
    </row>
    <row r="79" spans="1:24">
      <c r="A79" s="3" t="str">
        <f t="array" ref="A79">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79" s="28"/>
      <c r="C79" s="112"/>
      <c r="D79" s="28"/>
      <c r="E79" s="28"/>
      <c r="F79" s="28"/>
      <c r="G79" s="28"/>
      <c r="H79" s="28"/>
      <c r="I79" s="28"/>
      <c r="J79" s="28"/>
      <c r="K79" s="28"/>
      <c r="L79" s="28"/>
      <c r="M79" s="28"/>
      <c r="N79" s="28"/>
      <c r="O79" s="29"/>
      <c r="P79" s="28"/>
      <c r="Q79" s="28"/>
      <c r="R79" s="28"/>
      <c r="S79" s="29"/>
      <c r="T79" s="28"/>
      <c r="U79" s="3" t="s">
        <v>2507</v>
      </c>
      <c r="V79" s="3" t="str">
        <f>IF(tblDecisionLog[[#This Row],[Source Decision ID]]="","",_xlfn.XLOOKUP(tblDecisionLog[[#This Row],[Source Decision ID]],'Decision Queue_Bak'!$A:$A,'Decision Queue_Bak'!$V:$V,""))</f>
        <v/>
      </c>
      <c r="W79" s="28"/>
      <c r="X79" s="3" t="str">
        <f>IF(tblDecisionLog[[#This Row],[Source Decision ID]]="","",IF(tblDecisionLog[[#This Row],[Queue Source Key]]&lt;&gt;"","Linked","Missing queue key"))</f>
        <v/>
      </c>
    </row>
    <row r="80" spans="1:24">
      <c r="A80" s="3" t="str">
        <f t="array" ref="A80">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80" s="28"/>
      <c r="C80" s="112"/>
      <c r="D80" s="28"/>
      <c r="E80" s="28"/>
      <c r="F80" s="28"/>
      <c r="G80" s="28"/>
      <c r="H80" s="28"/>
      <c r="I80" s="28"/>
      <c r="J80" s="28"/>
      <c r="K80" s="28"/>
      <c r="L80" s="28"/>
      <c r="M80" s="28"/>
      <c r="N80" s="28"/>
      <c r="O80" s="29"/>
      <c r="P80" s="28"/>
      <c r="Q80" s="28"/>
      <c r="R80" s="28"/>
      <c r="S80" s="29"/>
      <c r="T80" s="28"/>
      <c r="U80" s="3" t="s">
        <v>2508</v>
      </c>
      <c r="V80" s="3" t="str">
        <f>IF(tblDecisionLog[[#This Row],[Source Decision ID]]="","",_xlfn.XLOOKUP(tblDecisionLog[[#This Row],[Source Decision ID]],'Decision Queue_Bak'!$A:$A,'Decision Queue_Bak'!$V:$V,""))</f>
        <v/>
      </c>
      <c r="W80" s="28"/>
      <c r="X80" s="3" t="str">
        <f>IF(tblDecisionLog[[#This Row],[Source Decision ID]]="","",IF(tblDecisionLog[[#This Row],[Queue Source Key]]&lt;&gt;"","Linked","Missing queue key"))</f>
        <v/>
      </c>
    </row>
    <row r="81" spans="1:24">
      <c r="A81" s="3" t="str">
        <f t="array" ref="A81">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81" s="28"/>
      <c r="C81" s="112"/>
      <c r="D81" s="28"/>
      <c r="E81" s="28"/>
      <c r="F81" s="28"/>
      <c r="G81" s="28"/>
      <c r="H81" s="28"/>
      <c r="I81" s="28"/>
      <c r="J81" s="28"/>
      <c r="K81" s="28"/>
      <c r="L81" s="28"/>
      <c r="M81" s="28"/>
      <c r="N81" s="28"/>
      <c r="O81" s="29"/>
      <c r="P81" s="28"/>
      <c r="Q81" s="28"/>
      <c r="R81" s="28"/>
      <c r="S81" s="29"/>
      <c r="T81" s="28"/>
      <c r="U81" s="3" t="s">
        <v>2509</v>
      </c>
      <c r="V81" s="3" t="str">
        <f>IF(tblDecisionLog[[#This Row],[Source Decision ID]]="","",_xlfn.XLOOKUP(tblDecisionLog[[#This Row],[Source Decision ID]],'Decision Queue_Bak'!$A:$A,'Decision Queue_Bak'!$V:$V,""))</f>
        <v/>
      </c>
      <c r="W81" s="28"/>
      <c r="X81" s="3" t="str">
        <f>IF(tblDecisionLog[[#This Row],[Source Decision ID]]="","",IF(tblDecisionLog[[#This Row],[Queue Source Key]]&lt;&gt;"","Linked","Missing queue key"))</f>
        <v/>
      </c>
    </row>
    <row r="82" spans="1:24">
      <c r="A82" s="3" t="str">
        <f t="array" ref="A82">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82" s="28"/>
      <c r="C82" s="112"/>
      <c r="D82" s="28"/>
      <c r="E82" s="28"/>
      <c r="F82" s="28"/>
      <c r="G82" s="28"/>
      <c r="H82" s="28"/>
      <c r="I82" s="28"/>
      <c r="J82" s="28"/>
      <c r="K82" s="28"/>
      <c r="L82" s="28"/>
      <c r="M82" s="28"/>
      <c r="N82" s="28"/>
      <c r="O82" s="29"/>
      <c r="P82" s="28"/>
      <c r="Q82" s="28"/>
      <c r="R82" s="28"/>
      <c r="S82" s="29"/>
      <c r="T82" s="28"/>
      <c r="U82" s="3" t="s">
        <v>2510</v>
      </c>
      <c r="V82" s="3" t="str">
        <f>IF(tblDecisionLog[[#This Row],[Source Decision ID]]="","",_xlfn.XLOOKUP(tblDecisionLog[[#This Row],[Source Decision ID]],'Decision Queue_Bak'!$A:$A,'Decision Queue_Bak'!$V:$V,""))</f>
        <v/>
      </c>
      <c r="W82" s="28"/>
      <c r="X82" s="3" t="str">
        <f>IF(tblDecisionLog[[#This Row],[Source Decision ID]]="","",IF(tblDecisionLog[[#This Row],[Queue Source Key]]&lt;&gt;"","Linked","Missing queue key"))</f>
        <v/>
      </c>
    </row>
    <row r="83" spans="1:24">
      <c r="A83" s="3" t="str">
        <f t="array" ref="A83">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83" s="28"/>
      <c r="C83" s="112"/>
      <c r="D83" s="28"/>
      <c r="E83" s="28"/>
      <c r="F83" s="28"/>
      <c r="G83" s="28"/>
      <c r="H83" s="28"/>
      <c r="I83" s="28"/>
      <c r="J83" s="28"/>
      <c r="K83" s="28"/>
      <c r="L83" s="28"/>
      <c r="M83" s="28"/>
      <c r="N83" s="28"/>
      <c r="O83" s="29"/>
      <c r="P83" s="28"/>
      <c r="Q83" s="28"/>
      <c r="R83" s="28"/>
      <c r="S83" s="29"/>
      <c r="T83" s="28"/>
      <c r="U83" s="3" t="s">
        <v>2511</v>
      </c>
      <c r="V83" s="3" t="str">
        <f>IF(tblDecisionLog[[#This Row],[Source Decision ID]]="","",_xlfn.XLOOKUP(tblDecisionLog[[#This Row],[Source Decision ID]],'Decision Queue_Bak'!$A:$A,'Decision Queue_Bak'!$V:$V,""))</f>
        <v/>
      </c>
      <c r="W83" s="28"/>
      <c r="X83" s="3" t="str">
        <f>IF(tblDecisionLog[[#This Row],[Source Decision ID]]="","",IF(tblDecisionLog[[#This Row],[Queue Source Key]]&lt;&gt;"","Linked","Missing queue key"))</f>
        <v/>
      </c>
    </row>
    <row r="84" spans="1:24">
      <c r="A84" s="3" t="str">
        <f t="array" ref="A84">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84" s="28"/>
      <c r="C84" s="112"/>
      <c r="D84" s="28"/>
      <c r="E84" s="28"/>
      <c r="F84" s="28"/>
      <c r="G84" s="28"/>
      <c r="H84" s="28"/>
      <c r="I84" s="28"/>
      <c r="J84" s="28"/>
      <c r="K84" s="28"/>
      <c r="L84" s="28"/>
      <c r="M84" s="28"/>
      <c r="N84" s="28"/>
      <c r="O84" s="29"/>
      <c r="P84" s="28"/>
      <c r="Q84" s="28"/>
      <c r="R84" s="28"/>
      <c r="S84" s="29"/>
      <c r="T84" s="28"/>
      <c r="U84" s="3" t="s">
        <v>2512</v>
      </c>
      <c r="V84" s="3" t="str">
        <f>IF(tblDecisionLog[[#This Row],[Source Decision ID]]="","",_xlfn.XLOOKUP(tblDecisionLog[[#This Row],[Source Decision ID]],'Decision Queue_Bak'!$A:$A,'Decision Queue_Bak'!$V:$V,""))</f>
        <v/>
      </c>
      <c r="W84" s="28"/>
      <c r="X84" s="3" t="str">
        <f>IF(tblDecisionLog[[#This Row],[Source Decision ID]]="","",IF(tblDecisionLog[[#This Row],[Queue Source Key]]&lt;&gt;"","Linked","Missing queue key"))</f>
        <v/>
      </c>
    </row>
    <row r="85" spans="1:24">
      <c r="A85" s="3" t="str">
        <f t="array" ref="A85">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85" s="28"/>
      <c r="C85" s="112"/>
      <c r="D85" s="28"/>
      <c r="E85" s="28"/>
      <c r="F85" s="28"/>
      <c r="G85" s="28"/>
      <c r="H85" s="28"/>
      <c r="I85" s="28"/>
      <c r="J85" s="28"/>
      <c r="K85" s="28"/>
      <c r="L85" s="28"/>
      <c r="M85" s="28"/>
      <c r="N85" s="28"/>
      <c r="O85" s="29"/>
      <c r="P85" s="28"/>
      <c r="Q85" s="28"/>
      <c r="R85" s="28"/>
      <c r="S85" s="29"/>
      <c r="T85" s="28"/>
      <c r="U85" s="3" t="s">
        <v>2513</v>
      </c>
      <c r="V85" s="3" t="str">
        <f>IF(tblDecisionLog[[#This Row],[Source Decision ID]]="","",_xlfn.XLOOKUP(tblDecisionLog[[#This Row],[Source Decision ID]],'Decision Queue_Bak'!$A:$A,'Decision Queue_Bak'!$V:$V,""))</f>
        <v/>
      </c>
      <c r="W85" s="28"/>
      <c r="X85" s="3" t="str">
        <f>IF(tblDecisionLog[[#This Row],[Source Decision ID]]="","",IF(tblDecisionLog[[#This Row],[Queue Source Key]]&lt;&gt;"","Linked","Missing queue key"))</f>
        <v/>
      </c>
    </row>
    <row r="86" spans="1:24">
      <c r="A86" s="3" t="str">
        <f t="array" ref="A86">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86" s="28"/>
      <c r="C86" s="112"/>
      <c r="D86" s="28"/>
      <c r="E86" s="28"/>
      <c r="F86" s="28"/>
      <c r="G86" s="28"/>
      <c r="H86" s="28"/>
      <c r="I86" s="28"/>
      <c r="J86" s="28"/>
      <c r="K86" s="28"/>
      <c r="L86" s="28"/>
      <c r="M86" s="28"/>
      <c r="N86" s="28"/>
      <c r="O86" s="29"/>
      <c r="P86" s="28"/>
      <c r="Q86" s="28"/>
      <c r="R86" s="28"/>
      <c r="S86" s="29"/>
      <c r="T86" s="28"/>
      <c r="U86" s="3" t="s">
        <v>2514</v>
      </c>
      <c r="V86" s="3" t="str">
        <f>IF(tblDecisionLog[[#This Row],[Source Decision ID]]="","",_xlfn.XLOOKUP(tblDecisionLog[[#This Row],[Source Decision ID]],'Decision Queue_Bak'!$A:$A,'Decision Queue_Bak'!$V:$V,""))</f>
        <v/>
      </c>
      <c r="W86" s="28"/>
      <c r="X86" s="3" t="str">
        <f>IF(tblDecisionLog[[#This Row],[Source Decision ID]]="","",IF(tblDecisionLog[[#This Row],[Queue Source Key]]&lt;&gt;"","Linked","Missing queue key"))</f>
        <v/>
      </c>
    </row>
    <row r="87" spans="1:24">
      <c r="A87" s="3" t="str">
        <f t="array" ref="A87">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87" s="28"/>
      <c r="C87" s="112"/>
      <c r="D87" s="28"/>
      <c r="E87" s="28"/>
      <c r="F87" s="28"/>
      <c r="G87" s="28"/>
      <c r="H87" s="28"/>
      <c r="I87" s="28"/>
      <c r="J87" s="28"/>
      <c r="K87" s="28"/>
      <c r="L87" s="28"/>
      <c r="M87" s="28"/>
      <c r="N87" s="28"/>
      <c r="O87" s="29"/>
      <c r="P87" s="28"/>
      <c r="Q87" s="28"/>
      <c r="R87" s="28"/>
      <c r="S87" s="29"/>
      <c r="T87" s="28"/>
      <c r="U87" s="3" t="s">
        <v>2515</v>
      </c>
      <c r="V87" s="3" t="str">
        <f>IF(tblDecisionLog[[#This Row],[Source Decision ID]]="","",_xlfn.XLOOKUP(tblDecisionLog[[#This Row],[Source Decision ID]],'Decision Queue_Bak'!$A:$A,'Decision Queue_Bak'!$V:$V,""))</f>
        <v/>
      </c>
      <c r="W87" s="28"/>
      <c r="X87" s="3" t="str">
        <f>IF(tblDecisionLog[[#This Row],[Source Decision ID]]="","",IF(tblDecisionLog[[#This Row],[Queue Source Key]]&lt;&gt;"","Linked","Missing queue key"))</f>
        <v/>
      </c>
    </row>
    <row r="88" spans="1:24">
      <c r="A88" s="3" t="str">
        <f t="array" ref="A88">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88" s="28"/>
      <c r="C88" s="112"/>
      <c r="D88" s="28"/>
      <c r="E88" s="28"/>
      <c r="F88" s="28"/>
      <c r="G88" s="28"/>
      <c r="H88" s="28"/>
      <c r="I88" s="28"/>
      <c r="J88" s="28"/>
      <c r="K88" s="28"/>
      <c r="L88" s="28"/>
      <c r="M88" s="28"/>
      <c r="N88" s="28"/>
      <c r="O88" s="29"/>
      <c r="P88" s="28"/>
      <c r="Q88" s="28"/>
      <c r="R88" s="28"/>
      <c r="S88" s="29"/>
      <c r="T88" s="28"/>
      <c r="U88" s="3" t="s">
        <v>2516</v>
      </c>
      <c r="V88" s="3" t="str">
        <f>IF(tblDecisionLog[[#This Row],[Source Decision ID]]="","",_xlfn.XLOOKUP(tblDecisionLog[[#This Row],[Source Decision ID]],'Decision Queue_Bak'!$A:$A,'Decision Queue_Bak'!$V:$V,""))</f>
        <v/>
      </c>
      <c r="W88" s="28"/>
      <c r="X88" s="3" t="str">
        <f>IF(tblDecisionLog[[#This Row],[Source Decision ID]]="","",IF(tblDecisionLog[[#This Row],[Queue Source Key]]&lt;&gt;"","Linked","Missing queue key"))</f>
        <v/>
      </c>
    </row>
    <row r="89" spans="1:24">
      <c r="A89" s="3" t="str">
        <f t="array" ref="A89">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89" s="28"/>
      <c r="C89" s="112"/>
      <c r="D89" s="28"/>
      <c r="E89" s="28"/>
      <c r="F89" s="28"/>
      <c r="G89" s="28"/>
      <c r="H89" s="28"/>
      <c r="I89" s="28"/>
      <c r="J89" s="28"/>
      <c r="K89" s="28"/>
      <c r="L89" s="28"/>
      <c r="M89" s="28"/>
      <c r="N89" s="28"/>
      <c r="O89" s="29"/>
      <c r="P89" s="28"/>
      <c r="Q89" s="28"/>
      <c r="R89" s="28"/>
      <c r="S89" s="29"/>
      <c r="T89" s="28"/>
      <c r="U89" s="3" t="s">
        <v>2517</v>
      </c>
      <c r="V89" s="3" t="str">
        <f>IF(tblDecisionLog[[#This Row],[Source Decision ID]]="","",_xlfn.XLOOKUP(tblDecisionLog[[#This Row],[Source Decision ID]],'Decision Queue_Bak'!$A:$A,'Decision Queue_Bak'!$V:$V,""))</f>
        <v/>
      </c>
      <c r="W89" s="28"/>
      <c r="X89" s="3" t="str">
        <f>IF(tblDecisionLog[[#This Row],[Source Decision ID]]="","",IF(tblDecisionLog[[#This Row],[Queue Source Key]]&lt;&gt;"","Linked","Missing queue key"))</f>
        <v/>
      </c>
    </row>
    <row r="90" spans="1:24">
      <c r="A90" s="3" t="str">
        <f t="array" ref="A90">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90" s="28"/>
      <c r="C90" s="112"/>
      <c r="D90" s="28"/>
      <c r="E90" s="28"/>
      <c r="F90" s="28"/>
      <c r="G90" s="28"/>
      <c r="H90" s="28"/>
      <c r="I90" s="28"/>
      <c r="J90" s="28"/>
      <c r="K90" s="28"/>
      <c r="L90" s="28"/>
      <c r="M90" s="28"/>
      <c r="N90" s="28"/>
      <c r="O90" s="29"/>
      <c r="P90" s="28"/>
      <c r="Q90" s="28"/>
      <c r="R90" s="28"/>
      <c r="S90" s="29"/>
      <c r="T90" s="28"/>
      <c r="U90" s="3" t="s">
        <v>2518</v>
      </c>
      <c r="V90" s="3" t="str">
        <f>IF(tblDecisionLog[[#This Row],[Source Decision ID]]="","",_xlfn.XLOOKUP(tblDecisionLog[[#This Row],[Source Decision ID]],'Decision Queue_Bak'!$A:$A,'Decision Queue_Bak'!$V:$V,""))</f>
        <v/>
      </c>
      <c r="W90" s="28"/>
      <c r="X90" s="3" t="str">
        <f>IF(tblDecisionLog[[#This Row],[Source Decision ID]]="","",IF(tblDecisionLog[[#This Row],[Queue Source Key]]&lt;&gt;"","Linked","Missing queue key"))</f>
        <v/>
      </c>
    </row>
    <row r="91" spans="1:24">
      <c r="A91" s="3" t="str">
        <f t="array" ref="A91">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91" s="28"/>
      <c r="C91" s="112"/>
      <c r="D91" s="28"/>
      <c r="E91" s="28"/>
      <c r="F91" s="28"/>
      <c r="G91" s="28"/>
      <c r="H91" s="28"/>
      <c r="I91" s="28"/>
      <c r="J91" s="28"/>
      <c r="K91" s="28"/>
      <c r="L91" s="28"/>
      <c r="M91" s="28"/>
      <c r="N91" s="28"/>
      <c r="O91" s="29"/>
      <c r="P91" s="28"/>
      <c r="Q91" s="28"/>
      <c r="R91" s="28"/>
      <c r="S91" s="29"/>
      <c r="T91" s="28"/>
      <c r="U91" s="3" t="s">
        <v>2519</v>
      </c>
      <c r="V91" s="3" t="str">
        <f>IF(tblDecisionLog[[#This Row],[Source Decision ID]]="","",_xlfn.XLOOKUP(tblDecisionLog[[#This Row],[Source Decision ID]],'Decision Queue_Bak'!$A:$A,'Decision Queue_Bak'!$V:$V,""))</f>
        <v/>
      </c>
      <c r="W91" s="28"/>
      <c r="X91" s="3" t="str">
        <f>IF(tblDecisionLog[[#This Row],[Source Decision ID]]="","",IF(tblDecisionLog[[#This Row],[Queue Source Key]]&lt;&gt;"","Linked","Missing queue key"))</f>
        <v/>
      </c>
    </row>
    <row r="92" spans="1:24">
      <c r="A92" s="3" t="str">
        <f t="array" ref="A92">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92" s="28"/>
      <c r="C92" s="112"/>
      <c r="D92" s="28"/>
      <c r="E92" s="28"/>
      <c r="F92" s="28"/>
      <c r="G92" s="28"/>
      <c r="H92" s="28"/>
      <c r="I92" s="28"/>
      <c r="J92" s="28"/>
      <c r="K92" s="28"/>
      <c r="L92" s="28"/>
      <c r="M92" s="28"/>
      <c r="N92" s="28"/>
      <c r="O92" s="29"/>
      <c r="P92" s="28"/>
      <c r="Q92" s="28"/>
      <c r="R92" s="28"/>
      <c r="S92" s="29"/>
      <c r="T92" s="28"/>
      <c r="U92" s="3" t="s">
        <v>2520</v>
      </c>
      <c r="V92" s="3" t="str">
        <f>IF(tblDecisionLog[[#This Row],[Source Decision ID]]="","",_xlfn.XLOOKUP(tblDecisionLog[[#This Row],[Source Decision ID]],'Decision Queue_Bak'!$A:$A,'Decision Queue_Bak'!$V:$V,""))</f>
        <v/>
      </c>
      <c r="W92" s="28"/>
      <c r="X92" s="3" t="str">
        <f>IF(tblDecisionLog[[#This Row],[Source Decision ID]]="","",IF(tblDecisionLog[[#This Row],[Queue Source Key]]&lt;&gt;"","Linked","Missing queue key"))</f>
        <v/>
      </c>
    </row>
    <row r="93" spans="1:24">
      <c r="A93" s="3" t="str">
        <f t="array" ref="A93">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93" s="28"/>
      <c r="C93" s="112"/>
      <c r="D93" s="28"/>
      <c r="E93" s="28"/>
      <c r="F93" s="28"/>
      <c r="G93" s="28"/>
      <c r="H93" s="28"/>
      <c r="I93" s="28"/>
      <c r="J93" s="28"/>
      <c r="K93" s="28"/>
      <c r="L93" s="28"/>
      <c r="M93" s="28"/>
      <c r="N93" s="28"/>
      <c r="O93" s="29"/>
      <c r="P93" s="28"/>
      <c r="Q93" s="28"/>
      <c r="R93" s="28"/>
      <c r="S93" s="29"/>
      <c r="T93" s="28"/>
      <c r="U93" s="3" t="s">
        <v>2521</v>
      </c>
      <c r="V93" s="3" t="str">
        <f>IF(tblDecisionLog[[#This Row],[Source Decision ID]]="","",_xlfn.XLOOKUP(tblDecisionLog[[#This Row],[Source Decision ID]],'Decision Queue_Bak'!$A:$A,'Decision Queue_Bak'!$V:$V,""))</f>
        <v/>
      </c>
      <c r="W93" s="28"/>
      <c r="X93" s="3" t="str">
        <f>IF(tblDecisionLog[[#This Row],[Source Decision ID]]="","",IF(tblDecisionLog[[#This Row],[Queue Source Key]]&lt;&gt;"","Linked","Missing queue key"))</f>
        <v/>
      </c>
    </row>
    <row r="94" spans="1:24">
      <c r="A94" s="3" t="str">
        <f t="array" ref="A94">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94" s="28"/>
      <c r="C94" s="112"/>
      <c r="D94" s="28"/>
      <c r="E94" s="28"/>
      <c r="F94" s="28"/>
      <c r="G94" s="28"/>
      <c r="H94" s="28"/>
      <c r="I94" s="28"/>
      <c r="J94" s="28"/>
      <c r="K94" s="28"/>
      <c r="L94" s="28"/>
      <c r="M94" s="28"/>
      <c r="N94" s="28"/>
      <c r="O94" s="29"/>
      <c r="P94" s="28"/>
      <c r="Q94" s="28"/>
      <c r="R94" s="28"/>
      <c r="S94" s="29"/>
      <c r="T94" s="28"/>
      <c r="U94" s="3" t="s">
        <v>2522</v>
      </c>
      <c r="V94" s="3" t="str">
        <f>IF(tblDecisionLog[[#This Row],[Source Decision ID]]="","",_xlfn.XLOOKUP(tblDecisionLog[[#This Row],[Source Decision ID]],'Decision Queue_Bak'!$A:$A,'Decision Queue_Bak'!$V:$V,""))</f>
        <v/>
      </c>
      <c r="W94" s="28"/>
      <c r="X94" s="3" t="str">
        <f>IF(tblDecisionLog[[#This Row],[Source Decision ID]]="","",IF(tblDecisionLog[[#This Row],[Queue Source Key]]&lt;&gt;"","Linked","Missing queue key"))</f>
        <v/>
      </c>
    </row>
    <row r="95" spans="1:24">
      <c r="A95" s="3" t="str">
        <f t="array" ref="A95">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95" s="28"/>
      <c r="C95" s="112"/>
      <c r="D95" s="28"/>
      <c r="E95" s="28"/>
      <c r="F95" s="28"/>
      <c r="G95" s="28"/>
      <c r="H95" s="28"/>
      <c r="I95" s="28"/>
      <c r="J95" s="28"/>
      <c r="K95" s="28"/>
      <c r="L95" s="28"/>
      <c r="M95" s="28"/>
      <c r="N95" s="28"/>
      <c r="O95" s="29"/>
      <c r="P95" s="28"/>
      <c r="Q95" s="28"/>
      <c r="R95" s="28"/>
      <c r="S95" s="29"/>
      <c r="T95" s="28"/>
      <c r="U95" s="3" t="s">
        <v>2523</v>
      </c>
      <c r="V95" s="3" t="str">
        <f>IF(tblDecisionLog[[#This Row],[Source Decision ID]]="","",_xlfn.XLOOKUP(tblDecisionLog[[#This Row],[Source Decision ID]],'Decision Queue_Bak'!$A:$A,'Decision Queue_Bak'!$V:$V,""))</f>
        <v/>
      </c>
      <c r="W95" s="28"/>
      <c r="X95" s="3" t="str">
        <f>IF(tblDecisionLog[[#This Row],[Source Decision ID]]="","",IF(tblDecisionLog[[#This Row],[Queue Source Key]]&lt;&gt;"","Linked","Missing queue key"))</f>
        <v/>
      </c>
    </row>
    <row r="96" spans="1:24">
      <c r="A96" s="3" t="str">
        <f t="array" ref="A96">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96" s="28"/>
      <c r="C96" s="112"/>
      <c r="D96" s="28"/>
      <c r="E96" s="28"/>
      <c r="F96" s="28"/>
      <c r="G96" s="28"/>
      <c r="H96" s="28"/>
      <c r="I96" s="28"/>
      <c r="J96" s="28"/>
      <c r="K96" s="28"/>
      <c r="L96" s="28"/>
      <c r="M96" s="28"/>
      <c r="N96" s="28"/>
      <c r="O96" s="29"/>
      <c r="P96" s="28"/>
      <c r="Q96" s="28"/>
      <c r="R96" s="28"/>
      <c r="S96" s="29"/>
      <c r="T96" s="28"/>
      <c r="U96" s="3" t="s">
        <v>2524</v>
      </c>
      <c r="V96" s="3" t="str">
        <f>IF(tblDecisionLog[[#This Row],[Source Decision ID]]="","",_xlfn.XLOOKUP(tblDecisionLog[[#This Row],[Source Decision ID]],'Decision Queue_Bak'!$A:$A,'Decision Queue_Bak'!$V:$V,""))</f>
        <v/>
      </c>
      <c r="W96" s="28"/>
      <c r="X96" s="3" t="str">
        <f>IF(tblDecisionLog[[#This Row],[Source Decision ID]]="","",IF(tblDecisionLog[[#This Row],[Queue Source Key]]&lt;&gt;"","Linked","Missing queue key"))</f>
        <v/>
      </c>
    </row>
    <row r="97" spans="1:24">
      <c r="A97" s="3" t="str">
        <f t="array" ref="A97">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97" s="28"/>
      <c r="C97" s="112"/>
      <c r="D97" s="28"/>
      <c r="E97" s="28"/>
      <c r="F97" s="28"/>
      <c r="G97" s="28"/>
      <c r="H97" s="28"/>
      <c r="I97" s="28"/>
      <c r="J97" s="28"/>
      <c r="K97" s="28"/>
      <c r="L97" s="28"/>
      <c r="M97" s="28"/>
      <c r="N97" s="28"/>
      <c r="O97" s="29"/>
      <c r="P97" s="28"/>
      <c r="Q97" s="28"/>
      <c r="R97" s="28"/>
      <c r="S97" s="29"/>
      <c r="T97" s="28"/>
      <c r="U97" s="3" t="s">
        <v>2525</v>
      </c>
      <c r="V97" s="3" t="str">
        <f>IF(tblDecisionLog[[#This Row],[Source Decision ID]]="","",_xlfn.XLOOKUP(tblDecisionLog[[#This Row],[Source Decision ID]],'Decision Queue_Bak'!$A:$A,'Decision Queue_Bak'!$V:$V,""))</f>
        <v/>
      </c>
      <c r="W97" s="28"/>
      <c r="X97" s="3" t="str">
        <f>IF(tblDecisionLog[[#This Row],[Source Decision ID]]="","",IF(tblDecisionLog[[#This Row],[Queue Source Key]]&lt;&gt;"","Linked","Missing queue key"))</f>
        <v/>
      </c>
    </row>
    <row r="98" spans="1:24">
      <c r="A98" s="3" t="str">
        <f t="array" ref="A98">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98" s="28"/>
      <c r="C98" s="112"/>
      <c r="D98" s="28"/>
      <c r="E98" s="28"/>
      <c r="F98" s="28"/>
      <c r="G98" s="28"/>
      <c r="H98" s="28"/>
      <c r="I98" s="28"/>
      <c r="J98" s="28"/>
      <c r="K98" s="28"/>
      <c r="L98" s="28"/>
      <c r="M98" s="28"/>
      <c r="N98" s="28"/>
      <c r="O98" s="29"/>
      <c r="P98" s="28"/>
      <c r="Q98" s="28"/>
      <c r="R98" s="28"/>
      <c r="S98" s="29"/>
      <c r="T98" s="28"/>
      <c r="U98" s="3" t="s">
        <v>2526</v>
      </c>
      <c r="V98" s="3" t="str">
        <f>IF(tblDecisionLog[[#This Row],[Source Decision ID]]="","",_xlfn.XLOOKUP(tblDecisionLog[[#This Row],[Source Decision ID]],'Decision Queue_Bak'!$A:$A,'Decision Queue_Bak'!$V:$V,""))</f>
        <v/>
      </c>
      <c r="W98" s="28"/>
      <c r="X98" s="3" t="str">
        <f>IF(tblDecisionLog[[#This Row],[Source Decision ID]]="","",IF(tblDecisionLog[[#This Row],[Queue Source Key]]&lt;&gt;"","Linked","Missing queue key"))</f>
        <v/>
      </c>
    </row>
    <row r="99" spans="1:24">
      <c r="A99" s="3" t="str">
        <f t="array" ref="A99">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99" s="28"/>
      <c r="C99" s="112"/>
      <c r="D99" s="28"/>
      <c r="E99" s="28"/>
      <c r="F99" s="28"/>
      <c r="G99" s="28"/>
      <c r="H99" s="28"/>
      <c r="I99" s="28"/>
      <c r="J99" s="28"/>
      <c r="K99" s="28"/>
      <c r="L99" s="28"/>
      <c r="M99" s="28"/>
      <c r="N99" s="28"/>
      <c r="O99" s="29"/>
      <c r="P99" s="28"/>
      <c r="Q99" s="28"/>
      <c r="R99" s="28"/>
      <c r="S99" s="29"/>
      <c r="T99" s="28"/>
      <c r="U99" s="3" t="s">
        <v>2527</v>
      </c>
      <c r="V99" s="3" t="str">
        <f>IF(tblDecisionLog[[#This Row],[Source Decision ID]]="","",_xlfn.XLOOKUP(tblDecisionLog[[#This Row],[Source Decision ID]],'Decision Queue_Bak'!$A:$A,'Decision Queue_Bak'!$V:$V,""))</f>
        <v/>
      </c>
      <c r="W99" s="28"/>
      <c r="X99" s="3" t="str">
        <f>IF(tblDecisionLog[[#This Row],[Source Decision ID]]="","",IF(tblDecisionLog[[#This Row],[Queue Source Key]]&lt;&gt;"","Linked","Missing queue key"))</f>
        <v/>
      </c>
    </row>
    <row r="100" spans="1:24">
      <c r="A100" s="3" t="str">
        <f t="array" ref="A100">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100" s="28"/>
      <c r="C100" s="112"/>
      <c r="D100" s="28"/>
      <c r="E100" s="28"/>
      <c r="F100" s="28"/>
      <c r="G100" s="28"/>
      <c r="H100" s="28"/>
      <c r="I100" s="28"/>
      <c r="J100" s="28"/>
      <c r="K100" s="28"/>
      <c r="L100" s="28"/>
      <c r="M100" s="28"/>
      <c r="N100" s="28"/>
      <c r="O100" s="29"/>
      <c r="P100" s="28"/>
      <c r="Q100" s="28"/>
      <c r="R100" s="28"/>
      <c r="S100" s="29"/>
      <c r="T100" s="28"/>
      <c r="U100" s="3" t="s">
        <v>2528</v>
      </c>
      <c r="V100" s="3" t="str">
        <f>IF(tblDecisionLog[[#This Row],[Source Decision ID]]="","",_xlfn.XLOOKUP(tblDecisionLog[[#This Row],[Source Decision ID]],'Decision Queue_Bak'!$A:$A,'Decision Queue_Bak'!$V:$V,""))</f>
        <v/>
      </c>
      <c r="W100" s="28"/>
      <c r="X100" s="3" t="str">
        <f>IF(tblDecisionLog[[#This Row],[Source Decision ID]]="","",IF(tblDecisionLog[[#This Row],[Queue Source Key]]&lt;&gt;"","Linked","Missing queue key"))</f>
        <v/>
      </c>
    </row>
    <row r="101" spans="1:24">
      <c r="A101" s="3" t="str">
        <f t="array" ref="A101">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101" s="28"/>
      <c r="C101" s="112"/>
      <c r="D101" s="28"/>
      <c r="E101" s="28"/>
      <c r="F101" s="28"/>
      <c r="G101" s="28"/>
      <c r="H101" s="28"/>
      <c r="I101" s="28"/>
      <c r="J101" s="28"/>
      <c r="K101" s="28"/>
      <c r="L101" s="28"/>
      <c r="M101" s="28"/>
      <c r="N101" s="28"/>
      <c r="O101" s="29"/>
      <c r="P101" s="28"/>
      <c r="Q101" s="28"/>
      <c r="R101" s="28"/>
      <c r="S101" s="29"/>
      <c r="T101" s="28"/>
      <c r="U101" s="3" t="s">
        <v>2529</v>
      </c>
      <c r="V101" s="3" t="str">
        <f>IF(tblDecisionLog[[#This Row],[Source Decision ID]]="","",_xlfn.XLOOKUP(tblDecisionLog[[#This Row],[Source Decision ID]],'Decision Queue_Bak'!$A:$A,'Decision Queue_Bak'!$V:$V,""))</f>
        <v/>
      </c>
      <c r="W101" s="28"/>
      <c r="X101" s="3" t="str">
        <f>IF(tblDecisionLog[[#This Row],[Source Decision ID]]="","",IF(tblDecisionLog[[#This Row],[Queue Source Key]]&lt;&gt;"","Linked","Missing queue key"))</f>
        <v/>
      </c>
    </row>
    <row r="102" spans="1:24">
      <c r="A102" s="3" t="str">
        <f t="array" ref="A102">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102" s="28"/>
      <c r="C102" s="112"/>
      <c r="D102" s="28"/>
      <c r="E102" s="28"/>
      <c r="F102" s="28"/>
      <c r="G102" s="28"/>
      <c r="H102" s="28"/>
      <c r="I102" s="28"/>
      <c r="J102" s="28"/>
      <c r="K102" s="28"/>
      <c r="L102" s="28"/>
      <c r="M102" s="28"/>
      <c r="N102" s="28"/>
      <c r="O102" s="29"/>
      <c r="P102" s="28"/>
      <c r="Q102" s="28"/>
      <c r="R102" s="28"/>
      <c r="S102" s="29"/>
      <c r="T102" s="28"/>
      <c r="U102" s="3" t="s">
        <v>2530</v>
      </c>
      <c r="V102" s="3" t="str">
        <f>IF(tblDecisionLog[[#This Row],[Source Decision ID]]="","",_xlfn.XLOOKUP(tblDecisionLog[[#This Row],[Source Decision ID]],'Decision Queue_Bak'!$A:$A,'Decision Queue_Bak'!$V:$V,""))</f>
        <v/>
      </c>
      <c r="W102" s="28"/>
      <c r="X102" s="3" t="str">
        <f>IF(tblDecisionLog[[#This Row],[Source Decision ID]]="","",IF(tblDecisionLog[[#This Row],[Queue Source Key]]&lt;&gt;"","Linked","Missing queue key"))</f>
        <v/>
      </c>
    </row>
    <row r="103" spans="1:24">
      <c r="A103" s="3" t="str">
        <f t="array" ref="A103">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103" s="28"/>
      <c r="C103" s="112"/>
      <c r="D103" s="28"/>
      <c r="E103" s="28"/>
      <c r="F103" s="28"/>
      <c r="G103" s="28"/>
      <c r="H103" s="28"/>
      <c r="I103" s="28"/>
      <c r="J103" s="28"/>
      <c r="K103" s="28"/>
      <c r="L103" s="28"/>
      <c r="M103" s="28"/>
      <c r="N103" s="28"/>
      <c r="O103" s="29"/>
      <c r="P103" s="28"/>
      <c r="Q103" s="28"/>
      <c r="R103" s="28"/>
      <c r="S103" s="29"/>
      <c r="T103" s="28"/>
      <c r="U103" s="3" t="s">
        <v>2531</v>
      </c>
      <c r="V103" s="3" t="str">
        <f>IF(tblDecisionLog[[#This Row],[Source Decision ID]]="","",_xlfn.XLOOKUP(tblDecisionLog[[#This Row],[Source Decision ID]],'Decision Queue_Bak'!$A:$A,'Decision Queue_Bak'!$V:$V,""))</f>
        <v/>
      </c>
      <c r="W103" s="28"/>
      <c r="X103" s="3" t="str">
        <f>IF(tblDecisionLog[[#This Row],[Source Decision ID]]="","",IF(tblDecisionLog[[#This Row],[Queue Source Key]]&lt;&gt;"","Linked","Missing queue key"))</f>
        <v/>
      </c>
    </row>
    <row r="104" spans="1:24">
      <c r="A104" s="3" t="str">
        <f t="array" ref="A104">IF(tblDecisionLog[[#This Row],[Source Decision ID]]="","",tblDecisionLog[[#This Row],[Source Decision ID]]&amp;"-L"&amp;SUMPRODUCT((tblDecisionLog[Source Decision ID]=tblDecisionLog[[#This Row],[Source Decision ID]])*(--RIGHT(tblDecisionLog[Decision Log Immutable Key],4)&lt;=--RIGHT(tblDecisionLog[[#This Row],[Decision Log Immutable Key]],4))))</f>
        <v/>
      </c>
      <c r="B104" s="28"/>
      <c r="C104" s="112"/>
      <c r="D104" s="28"/>
      <c r="E104" s="28"/>
      <c r="F104" s="28"/>
      <c r="G104" s="28"/>
      <c r="H104" s="28"/>
      <c r="I104" s="28"/>
      <c r="J104" s="28"/>
      <c r="K104" s="28"/>
      <c r="L104" s="28"/>
      <c r="M104" s="28"/>
      <c r="N104" s="28"/>
      <c r="O104" s="29"/>
      <c r="P104" s="28"/>
      <c r="Q104" s="28"/>
      <c r="R104" s="28"/>
      <c r="S104" s="29"/>
      <c r="T104" s="28"/>
      <c r="U104" s="3" t="s">
        <v>2532</v>
      </c>
      <c r="V104" s="3" t="str">
        <f>IF(tblDecisionLog[[#This Row],[Source Decision ID]]="","",_xlfn.XLOOKUP(tblDecisionLog[[#This Row],[Source Decision ID]],'Decision Queue_Bak'!$A:$A,'Decision Queue_Bak'!$V:$V,""))</f>
        <v/>
      </c>
      <c r="W104" s="28"/>
      <c r="X104" s="3" t="str">
        <f>IF(tblDecisionLog[[#This Row],[Source Decision ID]]="","",IF(tblDecisionLog[[#This Row],[Queue Source Key]]&lt;&gt;"","Linked","Missing queue key"))</f>
        <v/>
      </c>
    </row>
  </sheetData>
  <mergeCells count="3">
    <mergeCell ref="A3:X3"/>
    <mergeCell ref="A2:S2"/>
    <mergeCell ref="A1:S1"/>
  </mergeCells>
  <dataValidations count="1">
    <dataValidation type="list" allowBlank="1" showInputMessage="1" showErrorMessage="1" errorTitle="Invalid value" error="Select a value from the dropdown list or leave blank." promptTitle="Source Decision ID" prompt="Select an active, non-cancelled Decision Queue ID or leave blank." sqref="B5:B104" xr:uid="{00000000-0002-0000-0700-000000000000}">
      <formula1>ActiveDecisionQueueIDs</formula1>
    </dataValidation>
  </dataValidations>
  <pageMargins left="0.25" right="0.25" top="0.5" bottom="0.5" header="0.5" footer="0.5"/>
  <pageSetup fitToHeight="0" orientation="landscape"/>
  <headerFooter>
    <oddHeader>&amp;C&amp;"Aptos,Bold"&amp;14 Amir Group of Companies - SLT Action Tracker</oddHeader>
    <oddFooter>&amp;CConfidential - Page &amp;P of &amp;N</oddFooter>
  </headerFooter>
  <tableParts count="1">
    <tablePart r:id="rId1"/>
  </tableParts>
  <extLst>
    <ext xmlns:x14="http://schemas.microsoft.com/office/spreadsheetml/2009/9/main" uri="{CCE6A557-97BC-4b89-ADB6-D9C93CAAB3DF}">
      <x14:dataValidations xmlns:xm="http://schemas.microsoft.com/office/excel/2006/main" count="10">
        <x14:dataValidation type="list" allowBlank="1" showInputMessage="1" showErrorMessage="1" errorTitle="Invalid value" error="Select a value from the dropdown list or leave blank." promptTitle="Decision Maker" prompt="Select a person or leave blank." xr:uid="{EB92C99B-6A55-4951-AC2B-90C1C5F165FD}">
          <x14:formula1>
            <xm:f>'Lists &amp; Controls'!$N$5:$N$20</xm:f>
          </x14:formula1>
          <xm:sqref>E5:E104</xm:sqref>
        </x14:dataValidation>
        <x14:dataValidation type="list" allowBlank="1" showInputMessage="1" showErrorMessage="1" errorTitle="Invalid value" error="Select a value from the dropdown list or leave blank." promptTitle="Decision Type" prompt="Select a decision type or leave blank." xr:uid="{22A7D3BE-150C-4CE0-9C6E-EC110F12A7E9}">
          <x14:formula1>
            <xm:f>'Lists &amp; Controls'!$I$5:$I$11</xm:f>
          </x14:formula1>
          <xm:sqref>F5:F104</xm:sqref>
        </x14:dataValidation>
        <x14:dataValidation type="list" allowBlank="1" showInputMessage="1" showErrorMessage="1" errorTitle="Invalid value" error="Select a value from the dropdown list or leave blank." promptTitle="Workstream" prompt="Select a workstream or leave blank." xr:uid="{C7F9BB90-72C6-487D-A251-1E9A16185B6E}">
          <x14:formula1>
            <xm:f>'Lists &amp; Controls'!$K$5:$K$14</xm:f>
          </x14:formula1>
          <xm:sqref>H5:H104</xm:sqref>
        </x14:dataValidation>
        <x14:dataValidation type="list" allowBlank="1" showInputMessage="1" showErrorMessage="1" errorTitle="Invalid value" error="Select a value from the dropdown list or leave blank." promptTitle="Further Action Required" prompt="Select Yes/No or leave blank." xr:uid="{B6A1B986-6B1B-45CE-8185-29BF48351569}">
          <x14:formula1>
            <xm:f>'Lists &amp; Controls'!$G$5:$G$6</xm:f>
          </x14:formula1>
          <xm:sqref>K5:K104</xm:sqref>
        </x14:dataValidation>
        <x14:dataValidation type="list" allowBlank="1" showInputMessage="1" showErrorMessage="1" errorTitle="Invalid value" error="Select a value from the dropdown list or leave blank." promptTitle="Follow-up Status" prompt="Select a status or leave blank." xr:uid="{29D53824-3AD6-4345-B640-D062A72E2E77}">
          <x14:formula1>
            <xm:f>'Lists &amp; Controls'!$A$5:$A$14</xm:f>
          </x14:formula1>
          <xm:sqref>L5:L104</xm:sqref>
        </x14:dataValidation>
        <x14:dataValidation type="list" allowBlank="1" showInputMessage="1" showErrorMessage="1" errorTitle="Invalid value" error="Select a value from the dropdown list or leave blank." promptTitle="Requester" prompt="Select a person or leave blank." xr:uid="{C17A4BD3-A6E1-48F8-83F4-7B9A0CAD97B4}">
          <x14:formula1>
            <xm:f>'Lists &amp; Controls'!$N$5:$N$20</xm:f>
          </x14:formula1>
          <xm:sqref>M5:M104</xm:sqref>
        </x14:dataValidation>
        <x14:dataValidation type="list" allowBlank="1" showInputMessage="1" showErrorMessage="1" errorTitle="Invalid value" error="Select a value from the dropdown list or leave blank." promptTitle="Assigned To" prompt="Select a person or leave blank." xr:uid="{9BD9BD7B-623D-4448-9AC3-086260A66A86}">
          <x14:formula1>
            <xm:f>'Lists &amp; Controls'!$N$5:$N$20</xm:f>
          </x14:formula1>
          <xm:sqref>N5:N104</xm:sqref>
        </x14:dataValidation>
        <x14:dataValidation type="list" allowBlank="1" showInputMessage="1" showErrorMessage="1" errorTitle="Invalid value" error="Select a value from the dropdown list or leave blank." promptTitle="Risk Impact" prompt="Select a risk impact or leave blank." xr:uid="{61BA54F6-E24E-435B-AD30-9A644305C852}">
          <x14:formula1>
            <xm:f>'Lists &amp; Controls'!$C$5:$C$7</xm:f>
          </x14:formula1>
          <xm:sqref>P5:P104</xm:sqref>
        </x14:dataValidation>
        <x14:dataValidation type="list" allowBlank="1" showInputMessage="1" showErrorMessage="1" errorTitle="Invalid value" error="Select a value from the dropdown list or leave blank." promptTitle="Financial Impact" prompt="Select a financial impact or leave blank." xr:uid="{A801AF25-70BA-44A6-A23F-81D2A1F62446}">
          <x14:formula1>
            <xm:f>'Lists &amp; Controls'!$H$5:$H$9</xm:f>
          </x14:formula1>
          <xm:sqref>Q5:Q104</xm:sqref>
        </x14:dataValidation>
        <x14:dataValidation type="list" allowBlank="1" showInputMessage="1" showErrorMessage="1" errorTitle="Invalid value" error="Select a value from the dropdown list or leave blank." promptTitle="Strategic Objective" prompt="Select a strategic objective or leave blank." xr:uid="{A822AFB5-01BC-411C-9F53-C0C1A1D0EF6A}">
          <x14:formula1>
            <xm:f>'Lists &amp; Controls'!$F$5:$F$14</xm:f>
          </x14:formula1>
          <xm:sqref>R5:R104</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E7E6E6"/>
    <pageSetUpPr fitToPage="1"/>
  </sheetPr>
  <dimension ref="A1:BB4101"/>
  <sheetViews>
    <sheetView showGridLines="0" topLeftCell="U1" zoomScale="70" zoomScaleNormal="70" workbookViewId="0">
      <pane ySplit="1" topLeftCell="A2" activePane="bottomLeft" state="frozen"/>
      <selection pane="bottomLeft" activeCell="AG3" sqref="AG3"/>
    </sheetView>
  </sheetViews>
  <sheetFormatPr defaultRowHeight="14.5"/>
  <cols>
    <col min="1" max="1" width="25.26953125" customWidth="1"/>
    <col min="2" max="2" width="12" customWidth="1"/>
    <col min="3" max="3" width="13" customWidth="1"/>
    <col min="4" max="4" width="17.26953125" customWidth="1"/>
    <col min="5" max="5" width="18.1796875" customWidth="1"/>
    <col min="6" max="7" width="21" customWidth="1"/>
    <col min="8" max="8" width="18" customWidth="1"/>
    <col min="9" max="9" width="25" customWidth="1"/>
    <col min="10" max="11" width="19" customWidth="1"/>
    <col min="12" max="12" width="22" customWidth="1"/>
    <col min="13" max="13" width="23" customWidth="1"/>
    <col min="16" max="16" width="24.7265625" customWidth="1"/>
    <col min="17" max="17" width="49.54296875" customWidth="1"/>
    <col min="18" max="18" width="24.7265625" customWidth="1"/>
    <col min="20" max="20" width="22" customWidth="1"/>
    <col min="21" max="21" width="48" customWidth="1"/>
    <col min="24" max="25" width="13" hidden="1" customWidth="1"/>
    <col min="47" max="47" width="13.7265625" style="195" customWidth="1"/>
    <col min="48" max="48" width="13.7265625" style="196" customWidth="1"/>
    <col min="49" max="49" width="13.7265625" style="195" customWidth="1"/>
    <col min="52" max="52" width="18.54296875" style="197" bestFit="1" customWidth="1"/>
    <col min="53" max="53" width="15.7265625" style="197" bestFit="1" customWidth="1"/>
    <col min="54" max="54" width="20" style="197" customWidth="1"/>
  </cols>
  <sheetData>
    <row r="1" spans="1:54" ht="30" customHeight="1">
      <c r="A1" s="364" t="s">
        <v>2533</v>
      </c>
      <c r="B1" s="274"/>
      <c r="C1" s="274"/>
      <c r="D1" s="274"/>
      <c r="E1" s="274"/>
      <c r="F1" s="274"/>
      <c r="G1" s="274"/>
      <c r="H1" s="274"/>
      <c r="I1" s="274"/>
      <c r="J1" s="274"/>
      <c r="K1" s="2"/>
      <c r="L1" s="2"/>
      <c r="M1" s="2"/>
      <c r="P1" s="365" t="s">
        <v>2534</v>
      </c>
      <c r="Q1" s="274"/>
      <c r="R1" s="274"/>
      <c r="T1" s="364" t="s">
        <v>2535</v>
      </c>
      <c r="U1" s="274"/>
      <c r="AG1" t="s">
        <v>2536</v>
      </c>
    </row>
    <row r="2" spans="1:54" ht="22.15" customHeight="1">
      <c r="A2" s="366" t="s">
        <v>2537</v>
      </c>
      <c r="B2" s="274"/>
      <c r="C2" s="274"/>
      <c r="D2" s="274"/>
      <c r="E2" s="274"/>
      <c r="F2" s="274"/>
      <c r="G2" s="274"/>
      <c r="H2" s="274"/>
      <c r="I2" s="274"/>
      <c r="J2" s="274"/>
      <c r="K2" s="2"/>
      <c r="L2" s="2"/>
      <c r="M2" s="2"/>
      <c r="P2" s="31" t="s">
        <v>439</v>
      </c>
      <c r="Q2" s="31" t="s">
        <v>440</v>
      </c>
      <c r="R2" s="31" t="s">
        <v>454</v>
      </c>
      <c r="AF2" t="s">
        <v>122</v>
      </c>
      <c r="AG2" s="198" t="s">
        <v>2538</v>
      </c>
      <c r="AJ2" t="str">
        <f t="shared" ref="AJ2:AS2" ca="1" si="0">IF(TODAY()=AK2,AK2,"")</f>
        <v/>
      </c>
      <c r="AK2" t="str">
        <f t="shared" ca="1" si="0"/>
        <v/>
      </c>
      <c r="AL2" t="str">
        <f t="shared" ca="1" si="0"/>
        <v/>
      </c>
      <c r="AM2" t="str">
        <f t="shared" ca="1" si="0"/>
        <v/>
      </c>
      <c r="AN2" t="str">
        <f t="shared" ca="1" si="0"/>
        <v/>
      </c>
      <c r="AO2" t="str">
        <f t="shared" ca="1" si="0"/>
        <v/>
      </c>
      <c r="AP2" t="str">
        <f t="shared" ca="1" si="0"/>
        <v/>
      </c>
      <c r="AQ2" t="str">
        <f t="shared" ca="1" si="0"/>
        <v/>
      </c>
      <c r="AR2" t="str">
        <f t="shared" ca="1" si="0"/>
        <v/>
      </c>
      <c r="AS2" t="str">
        <f t="shared" ca="1" si="0"/>
        <v/>
      </c>
      <c r="AT2">
        <v>0</v>
      </c>
      <c r="AU2" s="195" cm="1">
        <f t="array" aca="1" ref="AU2:AU45" ca="1">_xlfn._xlws.FILTER(TODAY()+'[1]Lists &amp; Controls'!$AT$2:$AT$62,('[1]Lists &amp; Controls'!$AT$2:$AT$62&lt;&gt;"")*(WEEKDAY(TODAY()+'[1]Lists &amp; Controls'!$AT$2:$AT$62,2)&lt;=5))</f>
        <v>46317</v>
      </c>
      <c r="AV2" s="196">
        <v>0</v>
      </c>
      <c r="AW2" s="195" cm="1">
        <f t="array" aca="1" ref="AW2:AW44" ca="1">_xlfn._xlws.FILTER(TODAY()+$AV$2:$AV$62,($AV$2:$AV$62&lt;&gt;"")*(WEEKDAY(TODAY()+$AV$2:$AV$62,2)&lt;=5))</f>
        <v>46317</v>
      </c>
      <c r="AX2">
        <v>30</v>
      </c>
      <c r="AY2" t="str">
        <f t="shared" ref="AY2" ca="1" si="1">IF(TODAY()=AZ2,AZ2,"")</f>
        <v/>
      </c>
      <c r="AZ2" s="197">
        <f ca="1">TODAY()-AX2</f>
        <v>46287</v>
      </c>
      <c r="BA2" s="197" t="str">
        <f ca="1">IF(TODAY()=BB2,BB2,"")</f>
        <v/>
      </c>
      <c r="BB2" s="197">
        <v>46023</v>
      </c>
    </row>
    <row r="3" spans="1:54" ht="30" customHeight="1">
      <c r="A3" s="2"/>
      <c r="B3" s="2"/>
      <c r="C3" s="2"/>
      <c r="D3" s="2"/>
      <c r="E3" s="2"/>
      <c r="F3" s="2"/>
      <c r="G3" s="2"/>
      <c r="H3" s="2"/>
      <c r="I3" s="2"/>
      <c r="J3" s="2"/>
      <c r="K3" s="2"/>
      <c r="L3" s="2"/>
      <c r="M3" s="2"/>
      <c r="P3" s="1" t="str">
        <f t="array" ref="P3:P5">_xlfn._xlws.FILTER('Decision Queue_Bak'!$A$5:$A$108,('Decision Queue_Bak'!$A$5:$A$108&lt;&gt;"")*('Decision Queue_Bak'!$B$5:$B$108&lt;&gt;"")*('Decision Queue_Bak'!$W$5:$W$108="ACTIVE")*('Decision Queue_Bak'!$G$5:$G$108&lt;&gt;"Cancelled"),"")</f>
        <v>DEC-0001</v>
      </c>
      <c r="Q3" s="1" t="str">
        <f t="array" ref="Q3:Q5">_xlfn._xlws.FILTER('Decision Queue_Bak'!$B$5:$B$108,('Decision Queue_Bak'!$A$5:$A$108&lt;&gt;"")*('Decision Queue_Bak'!$B$5:$B$108&lt;&gt;"")*('Decision Queue_Bak'!$W$5:$W$108="ACTIVE")*('Decision Queue_Bak'!$G$5:$G$108&lt;&gt;"Cancelled"),"")</f>
        <v>Confirm SLT tracker governance fields and dashboard structure</v>
      </c>
      <c r="R3" s="1" t="str">
        <f t="array" ref="R3:R5">_xlfn._xlws.FILTER('Decision Queue_Bak'!$V$5:$V$108,('Decision Queue_Bak'!$A$5:$A$108&lt;&gt;"")*('Decision Queue_Bak'!$B$5:$B$108&lt;&gt;"")*('Decision Queue_Bak'!$W$5:$W$108="ACTIVE")*('Decision Queue_Bak'!$G$5:$G$108&lt;&gt;"Cancelled"),"")</f>
        <v>DECQ-K-0001</v>
      </c>
      <c r="T3" s="124" t="s">
        <v>2539</v>
      </c>
      <c r="U3" s="125" t="str">
        <f>"DEC-"&amp;TEXT(MAX($X$4:$X$203,$Y$4:$Y$303)+1,"0000")</f>
        <v>DEC-0007</v>
      </c>
      <c r="X3" t="s">
        <v>2540</v>
      </c>
      <c r="Y3" t="s">
        <v>2541</v>
      </c>
      <c r="AF3" t="s">
        <v>2542</v>
      </c>
      <c r="AG3" s="199" t="s">
        <v>963</v>
      </c>
      <c r="AT3">
        <v>-1</v>
      </c>
      <c r="AU3" s="195">
        <f ca="1"/>
        <v>46316</v>
      </c>
      <c r="AV3" s="196">
        <v>1</v>
      </c>
      <c r="AW3" s="195">
        <f ca="1"/>
        <v>46318</v>
      </c>
      <c r="AX3">
        <v>29</v>
      </c>
      <c r="AZ3" s="197">
        <f t="shared" ref="AZ3:AZ62" ca="1" si="2">TODAY()-AX3</f>
        <v>46288</v>
      </c>
      <c r="BA3" s="197" t="str">
        <f t="shared" ref="BA3:BA66" ca="1" si="3">IF(TODAY()=BB3,BB3,"")</f>
        <v/>
      </c>
      <c r="BB3" s="197">
        <v>46024</v>
      </c>
    </row>
    <row r="4" spans="1:54" ht="29.25" customHeight="1" thickBot="1">
      <c r="A4" s="5" t="s">
        <v>102</v>
      </c>
      <c r="B4" s="32" t="s">
        <v>55</v>
      </c>
      <c r="C4" s="5" t="s">
        <v>159</v>
      </c>
      <c r="D4" s="5" t="s">
        <v>2543</v>
      </c>
      <c r="E4" s="5" t="s">
        <v>2544</v>
      </c>
      <c r="F4" s="5" t="s">
        <v>105</v>
      </c>
      <c r="G4" s="5" t="s">
        <v>160</v>
      </c>
      <c r="H4" s="5" t="s">
        <v>161</v>
      </c>
      <c r="I4" s="5" t="s">
        <v>445</v>
      </c>
      <c r="J4" s="5" t="s">
        <v>446</v>
      </c>
      <c r="K4" s="5" t="s">
        <v>441</v>
      </c>
      <c r="L4" s="5" t="s">
        <v>162</v>
      </c>
      <c r="M4" s="5" t="s">
        <v>156</v>
      </c>
      <c r="N4" t="s">
        <v>2545</v>
      </c>
      <c r="O4" t="s">
        <v>2546</v>
      </c>
      <c r="P4" s="1" t="str">
        <v>DEC-0002</v>
      </c>
      <c r="Q4" s="1" t="str">
        <v>Confirm separate ASP Go-Live executive section</v>
      </c>
      <c r="R4" s="1" t="str">
        <v>DECQ-K-0002</v>
      </c>
      <c r="X4">
        <f>IF(LEFT('Decision Queue'!A5,4)="DEC-",IFERROR(VALUE(MID('Decision Queue'!A5,5,20)),0),0)</f>
        <v>1</v>
      </c>
      <c r="Y4">
        <f>IF(LEFT('Decision Register'!A5,4)="DEC-",IFERROR(VALUE(MID('Decision Register'!A5,5,20)),0),0)</f>
        <v>0</v>
      </c>
      <c r="AF4" t="s">
        <v>2547</v>
      </c>
      <c r="AG4" s="200" t="s">
        <v>939</v>
      </c>
      <c r="AT4">
        <v>-2</v>
      </c>
      <c r="AU4" s="195">
        <f ca="1"/>
        <v>46315</v>
      </c>
      <c r="AV4" s="196">
        <v>2</v>
      </c>
      <c r="AW4" s="195">
        <f ca="1"/>
        <v>46321</v>
      </c>
      <c r="AX4">
        <v>28</v>
      </c>
      <c r="AZ4" s="197">
        <f t="shared" ca="1" si="2"/>
        <v>46289</v>
      </c>
      <c r="BA4" s="197" t="str">
        <f t="shared" ca="1" si="3"/>
        <v/>
      </c>
      <c r="BB4" s="197">
        <v>46025</v>
      </c>
    </row>
    <row r="5" spans="1:54" ht="15.75" customHeight="1" thickBot="1">
      <c r="A5" s="2" t="s">
        <v>2548</v>
      </c>
      <c r="B5" s="27" t="s">
        <v>2549</v>
      </c>
      <c r="C5" s="33" t="s">
        <v>183</v>
      </c>
      <c r="D5" s="33" t="s">
        <v>2550</v>
      </c>
      <c r="E5" s="34">
        <v>46218</v>
      </c>
      <c r="F5" s="2" t="s">
        <v>126</v>
      </c>
      <c r="G5" s="2" t="s">
        <v>184</v>
      </c>
      <c r="H5" s="2" t="s">
        <v>597</v>
      </c>
      <c r="I5" s="2" t="s">
        <v>562</v>
      </c>
      <c r="J5" s="2" t="s">
        <v>2551</v>
      </c>
      <c r="K5" s="2" t="s">
        <v>276</v>
      </c>
      <c r="L5" s="2" t="s">
        <v>2552</v>
      </c>
      <c r="M5" s="2" t="s">
        <v>276</v>
      </c>
      <c r="N5" s="35" t="s">
        <v>133</v>
      </c>
      <c r="O5" s="35" t="s">
        <v>133</v>
      </c>
      <c r="P5" s="1" t="str">
        <v>DEC-0003</v>
      </c>
      <c r="Q5" s="1" t="str">
        <v>Standardize Halal Certification Body Across AGC</v>
      </c>
      <c r="R5" s="1" t="str">
        <v>DECQ-K-0003</v>
      </c>
      <c r="T5" s="124" t="s">
        <v>468</v>
      </c>
      <c r="U5" t="s">
        <v>479</v>
      </c>
      <c r="X5">
        <f>IF(LEFT('Decision Queue'!A6,4)="DEC-",IFERROR(VALUE(MID('Decision Queue'!A6,5,20)),0),0)</f>
        <v>2</v>
      </c>
      <c r="Y5">
        <f>IF(LEFT('Decision Register'!A6,4)="DEC-",IFERROR(VALUE(MID('Decision Register'!A6,5,20)),0),0)</f>
        <v>0</v>
      </c>
      <c r="AF5" t="s">
        <v>2553</v>
      </c>
      <c r="AT5">
        <v>-3</v>
      </c>
      <c r="AU5" s="195">
        <f ca="1"/>
        <v>46314</v>
      </c>
      <c r="AV5" s="196">
        <v>3</v>
      </c>
      <c r="AW5" s="195">
        <f ca="1"/>
        <v>46322</v>
      </c>
      <c r="AX5">
        <v>27</v>
      </c>
      <c r="AZ5" s="197">
        <f t="shared" ca="1" si="2"/>
        <v>46290</v>
      </c>
      <c r="BA5" s="197" t="str">
        <f t="shared" ca="1" si="3"/>
        <v/>
      </c>
      <c r="BB5" s="197">
        <v>46026</v>
      </c>
    </row>
    <row r="6" spans="1:54">
      <c r="A6" s="2" t="s">
        <v>242</v>
      </c>
      <c r="B6" s="33" t="s">
        <v>183</v>
      </c>
      <c r="C6" s="36" t="s">
        <v>173</v>
      </c>
      <c r="D6" s="37" t="s">
        <v>2554</v>
      </c>
      <c r="E6" s="36">
        <v>46220</v>
      </c>
      <c r="F6" s="2" t="s">
        <v>134</v>
      </c>
      <c r="G6" s="2" t="s">
        <v>174</v>
      </c>
      <c r="H6" s="2" t="s">
        <v>278</v>
      </c>
      <c r="I6" s="2" t="s">
        <v>551</v>
      </c>
      <c r="J6" s="2" t="s">
        <v>583</v>
      </c>
      <c r="K6" s="2" t="s">
        <v>202</v>
      </c>
      <c r="L6" s="2" t="s">
        <v>279</v>
      </c>
      <c r="M6" s="2" t="s">
        <v>202</v>
      </c>
      <c r="N6" s="38" t="s">
        <v>137</v>
      </c>
      <c r="O6" s="40" t="s">
        <v>135</v>
      </c>
      <c r="P6" s="1"/>
      <c r="Q6" s="1"/>
      <c r="R6" s="1"/>
      <c r="U6" t="s">
        <v>522</v>
      </c>
      <c r="X6">
        <f>IF(LEFT('Decision Queue'!A7,4)="DEC-",IFERROR(VALUE(MID('Decision Queue'!A7,5,20)),0),0)</f>
        <v>3</v>
      </c>
      <c r="Y6">
        <f>IF(LEFT('Decision Register'!A7,4)="DEC-",IFERROR(VALUE(MID('Decision Register'!A7,5,20)),0),0)</f>
        <v>0</v>
      </c>
      <c r="AT6">
        <v>-4</v>
      </c>
      <c r="AU6" s="195">
        <f ca="1"/>
        <v>46311</v>
      </c>
      <c r="AV6" s="196">
        <v>4</v>
      </c>
      <c r="AW6" s="195">
        <f ca="1"/>
        <v>46323</v>
      </c>
      <c r="AX6">
        <v>26</v>
      </c>
      <c r="AZ6" s="197">
        <f t="shared" ca="1" si="2"/>
        <v>46291</v>
      </c>
      <c r="BA6" s="197" t="str">
        <f t="shared" ca="1" si="3"/>
        <v/>
      </c>
      <c r="BB6" s="197">
        <v>46027</v>
      </c>
    </row>
    <row r="7" spans="1:54">
      <c r="A7" s="2" t="s">
        <v>172</v>
      </c>
      <c r="B7" s="36" t="s">
        <v>173</v>
      </c>
      <c r="C7" s="39" t="s">
        <v>190</v>
      </c>
      <c r="D7" s="36" t="s">
        <v>2555</v>
      </c>
      <c r="E7" s="37">
        <v>46225</v>
      </c>
      <c r="F7" s="2" t="s">
        <v>130</v>
      </c>
      <c r="G7" s="2"/>
      <c r="H7" s="2" t="s">
        <v>204</v>
      </c>
      <c r="I7" s="2" t="s">
        <v>492</v>
      </c>
      <c r="J7" s="2" t="s">
        <v>474</v>
      </c>
      <c r="K7" s="2" t="s">
        <v>132</v>
      </c>
      <c r="L7" s="2" t="s">
        <v>192</v>
      </c>
      <c r="M7" s="2" t="s">
        <v>132</v>
      </c>
      <c r="N7" s="40" t="s">
        <v>135</v>
      </c>
      <c r="O7" s="46" t="s">
        <v>216</v>
      </c>
      <c r="P7" s="1"/>
      <c r="Q7" s="1"/>
      <c r="R7" s="1"/>
      <c r="X7">
        <f>IF(LEFT('Decision Queue'!A8,4)="DEC-",IFERROR(VALUE(MID('Decision Queue'!A8,5,20)),0),0)</f>
        <v>4</v>
      </c>
      <c r="Y7">
        <f>IF(LEFT('Decision Register'!A8,4)="DEC-",IFERROR(VALUE(MID('Decision Register'!A8,5,20)),0),0)</f>
        <v>0</v>
      </c>
      <c r="AT7">
        <v>-5</v>
      </c>
      <c r="AU7" s="195">
        <f ca="1"/>
        <v>46310</v>
      </c>
      <c r="AV7" s="196">
        <v>5</v>
      </c>
      <c r="AW7" s="195">
        <f ca="1"/>
        <v>46324</v>
      </c>
      <c r="AX7">
        <v>25</v>
      </c>
      <c r="AZ7" s="197">
        <f t="shared" ca="1" si="2"/>
        <v>46292</v>
      </c>
      <c r="BA7" s="197" t="str">
        <f t="shared" ca="1" si="3"/>
        <v/>
      </c>
      <c r="BB7" s="197">
        <v>46028</v>
      </c>
    </row>
    <row r="8" spans="1:54">
      <c r="A8" s="2" t="s">
        <v>2556</v>
      </c>
      <c r="B8" s="41" t="s">
        <v>190</v>
      </c>
      <c r="C8" s="42"/>
      <c r="D8" s="43" t="s">
        <v>2557</v>
      </c>
      <c r="E8" s="44"/>
      <c r="F8" s="2" t="s">
        <v>136</v>
      </c>
      <c r="G8" s="2"/>
      <c r="H8" s="2" t="s">
        <v>191</v>
      </c>
      <c r="I8" s="2" t="s">
        <v>577</v>
      </c>
      <c r="J8" s="2" t="s">
        <v>493</v>
      </c>
      <c r="K8" s="2" t="s">
        <v>245</v>
      </c>
      <c r="L8" s="2" t="s">
        <v>308</v>
      </c>
      <c r="M8" s="2" t="s">
        <v>245</v>
      </c>
      <c r="N8" s="45" t="s">
        <v>127</v>
      </c>
      <c r="O8" s="47" t="s">
        <v>131</v>
      </c>
      <c r="P8" s="1"/>
      <c r="Q8" s="1"/>
      <c r="R8" s="1"/>
      <c r="T8" s="124" t="s">
        <v>2558</v>
      </c>
      <c r="U8" s="126" t="s">
        <v>2559</v>
      </c>
      <c r="X8">
        <f>IF(LEFT('Decision Queue'!A9,4)="DEC-",IFERROR(VALUE(MID('Decision Queue'!A9,5,20)),0),0)</f>
        <v>5</v>
      </c>
      <c r="Y8">
        <f>IF(LEFT('Decision Register'!A9,4)="DEC-",IFERROR(VALUE(MID('Decision Register'!A9,5,20)),0),0)</f>
        <v>0</v>
      </c>
      <c r="AT8">
        <v>-6</v>
      </c>
      <c r="AU8" s="195">
        <f ca="1"/>
        <v>46309</v>
      </c>
      <c r="AV8" s="196">
        <v>6</v>
      </c>
      <c r="AW8" s="195">
        <f ca="1"/>
        <v>46325</v>
      </c>
      <c r="AX8">
        <v>24</v>
      </c>
      <c r="AZ8" s="197">
        <f t="shared" ca="1" si="2"/>
        <v>46293</v>
      </c>
      <c r="BA8" s="197" t="str">
        <f t="shared" ca="1" si="3"/>
        <v/>
      </c>
      <c r="BB8" s="197">
        <v>46029</v>
      </c>
    </row>
    <row r="9" spans="1:54">
      <c r="A9" s="2" t="s">
        <v>370</v>
      </c>
      <c r="B9" s="2"/>
      <c r="C9" s="2"/>
      <c r="D9" s="2"/>
      <c r="E9" s="2"/>
      <c r="F9" s="2" t="s">
        <v>138</v>
      </c>
      <c r="G9" s="2"/>
      <c r="H9" s="2" t="s">
        <v>175</v>
      </c>
      <c r="I9" s="2" t="s">
        <v>2560</v>
      </c>
      <c r="J9" s="2" t="s">
        <v>174</v>
      </c>
      <c r="K9" s="2" t="s">
        <v>2561</v>
      </c>
      <c r="L9" s="2" t="s">
        <v>2562</v>
      </c>
      <c r="M9" s="2" t="s">
        <v>2563</v>
      </c>
      <c r="N9" s="46" t="s">
        <v>216</v>
      </c>
      <c r="P9" s="1"/>
      <c r="Q9" s="1"/>
      <c r="R9" s="1"/>
      <c r="X9">
        <f>IF(LEFT('Decision Queue'!A10,4)="DEC-",IFERROR(VALUE(MID('Decision Queue'!A10,5,20)),0),0)</f>
        <v>6</v>
      </c>
      <c r="Y9">
        <f>IF(LEFT('Decision Register'!A10,4)="DEC-",IFERROR(VALUE(MID('Decision Register'!A10,5,20)),0),0)</f>
        <v>0</v>
      </c>
      <c r="AT9">
        <v>-7</v>
      </c>
      <c r="AU9" s="195">
        <f ca="1"/>
        <v>46308</v>
      </c>
      <c r="AV9" s="196">
        <v>7</v>
      </c>
      <c r="AW9" s="195">
        <f ca="1"/>
        <v>46328</v>
      </c>
      <c r="AX9">
        <v>23</v>
      </c>
      <c r="AZ9" s="197">
        <f t="shared" ca="1" si="2"/>
        <v>46294</v>
      </c>
      <c r="BA9" s="197" t="str">
        <f t="shared" ca="1" si="3"/>
        <v/>
      </c>
      <c r="BB9" s="197">
        <v>46030</v>
      </c>
    </row>
    <row r="10" spans="1:54">
      <c r="A10" s="2" t="s">
        <v>915</v>
      </c>
      <c r="B10" s="2"/>
      <c r="C10" s="2"/>
      <c r="D10" s="2"/>
      <c r="E10" s="2"/>
      <c r="F10" s="2" t="s">
        <v>2564</v>
      </c>
      <c r="G10" s="2"/>
      <c r="H10" s="2"/>
      <c r="I10" s="2" t="s">
        <v>484</v>
      </c>
      <c r="J10" s="2" t="s">
        <v>2565</v>
      </c>
      <c r="K10" s="2" t="s">
        <v>228</v>
      </c>
      <c r="L10" s="2" t="s">
        <v>2566</v>
      </c>
      <c r="M10" s="2" t="s">
        <v>2561</v>
      </c>
      <c r="N10" s="47" t="s">
        <v>131</v>
      </c>
      <c r="P10" s="1"/>
      <c r="Q10" s="1"/>
      <c r="R10" s="1"/>
      <c r="X10">
        <f>IF(LEFT('Decision Queue'!A11,4)="DEC-",IFERROR(VALUE(MID('Decision Queue'!A11,5,20)),0),0)</f>
        <v>0</v>
      </c>
      <c r="Y10">
        <f>IF(LEFT('Decision Register'!A11,4)="DEC-",IFERROR(VALUE(MID('Decision Register'!A11,5,20)),0),0)</f>
        <v>0</v>
      </c>
      <c r="AT10">
        <v>-8</v>
      </c>
      <c r="AU10" s="195">
        <f ca="1"/>
        <v>46307</v>
      </c>
      <c r="AV10" s="196">
        <v>8</v>
      </c>
      <c r="AW10" s="195">
        <f ca="1"/>
        <v>46329</v>
      </c>
      <c r="AX10">
        <v>22</v>
      </c>
      <c r="AZ10" s="197">
        <f t="shared" ca="1" si="2"/>
        <v>46295</v>
      </c>
      <c r="BA10" s="197" t="str">
        <f t="shared" ca="1" si="3"/>
        <v/>
      </c>
      <c r="BB10" s="197">
        <v>46031</v>
      </c>
    </row>
    <row r="11" spans="1:54">
      <c r="A11" s="2" t="s">
        <v>2567</v>
      </c>
      <c r="B11" s="2"/>
      <c r="C11" s="2"/>
      <c r="D11" s="2"/>
      <c r="E11" s="2"/>
      <c r="F11" s="2" t="s">
        <v>128</v>
      </c>
      <c r="G11" s="2"/>
      <c r="H11" s="2"/>
      <c r="I11" s="2" t="s">
        <v>473</v>
      </c>
      <c r="J11" s="2" t="s">
        <v>2568</v>
      </c>
      <c r="K11" s="2" t="s">
        <v>128</v>
      </c>
      <c r="L11" s="2" t="s">
        <v>272</v>
      </c>
      <c r="M11" s="2" t="s">
        <v>228</v>
      </c>
      <c r="N11" s="48" t="s">
        <v>125</v>
      </c>
      <c r="P11" s="1"/>
      <c r="Q11" s="1"/>
      <c r="R11" s="1"/>
      <c r="X11">
        <f>IF(LEFT('Decision Queue'!A12,4)="DEC-",IFERROR(VALUE(MID('Decision Queue'!A12,5,20)),0),0)</f>
        <v>0</v>
      </c>
      <c r="Y11">
        <f>IF(LEFT('Decision Register'!A12,4)="DEC-",IFERROR(VALUE(MID('Decision Register'!A12,5,20)),0),0)</f>
        <v>0</v>
      </c>
      <c r="AT11">
        <v>-9</v>
      </c>
      <c r="AU11" s="195">
        <f ca="1"/>
        <v>46304</v>
      </c>
      <c r="AV11" s="196">
        <v>9</v>
      </c>
      <c r="AW11" s="195">
        <f ca="1"/>
        <v>46330</v>
      </c>
      <c r="AX11">
        <v>21</v>
      </c>
      <c r="AZ11" s="197">
        <f t="shared" ca="1" si="2"/>
        <v>46296</v>
      </c>
      <c r="BA11" s="197" t="str">
        <f t="shared" ca="1" si="3"/>
        <v/>
      </c>
      <c r="BB11" s="197">
        <v>46032</v>
      </c>
    </row>
    <row r="12" spans="1:54">
      <c r="A12" s="2" t="s">
        <v>483</v>
      </c>
      <c r="B12" s="2"/>
      <c r="C12" s="2"/>
      <c r="D12" s="2"/>
      <c r="E12" s="2"/>
      <c r="F12" s="2" t="s">
        <v>140</v>
      </c>
      <c r="G12" s="2"/>
      <c r="H12" s="2"/>
      <c r="I12" s="2"/>
      <c r="J12" s="2"/>
      <c r="K12" s="2" t="s">
        <v>126</v>
      </c>
      <c r="L12" s="2" t="s">
        <v>2569</v>
      </c>
      <c r="M12" s="2" t="s">
        <v>197</v>
      </c>
      <c r="N12" s="49" t="s">
        <v>129</v>
      </c>
      <c r="P12" s="1"/>
      <c r="Q12" s="1"/>
      <c r="R12" s="1"/>
      <c r="X12">
        <f>IF(LEFT('Decision Queue'!A13,4)="DEC-",IFERROR(VALUE(MID('Decision Queue'!A13,5,20)),0),0)</f>
        <v>0</v>
      </c>
      <c r="Y12">
        <f>IF(LEFT('Decision Register'!A13,4)="DEC-",IFERROR(VALUE(MID('Decision Register'!A13,5,20)),0),0)</f>
        <v>0</v>
      </c>
      <c r="AT12">
        <v>-10</v>
      </c>
      <c r="AU12" s="195">
        <f ca="1"/>
        <v>46303</v>
      </c>
      <c r="AV12" s="196">
        <v>10</v>
      </c>
      <c r="AW12" s="195">
        <f ca="1"/>
        <v>46331</v>
      </c>
      <c r="AX12">
        <v>20</v>
      </c>
      <c r="AZ12" s="197">
        <f t="shared" ca="1" si="2"/>
        <v>46297</v>
      </c>
      <c r="BA12" s="197" t="str">
        <f t="shared" ca="1" si="3"/>
        <v/>
      </c>
      <c r="BB12" s="197">
        <v>46033</v>
      </c>
    </row>
    <row r="13" spans="1:54">
      <c r="A13" s="2" t="s">
        <v>182</v>
      </c>
      <c r="B13" s="2"/>
      <c r="C13" s="2"/>
      <c r="D13" s="2"/>
      <c r="E13" s="2"/>
      <c r="F13" s="2" t="s">
        <v>132</v>
      </c>
      <c r="G13" s="2"/>
      <c r="H13" s="2"/>
      <c r="I13" s="2"/>
      <c r="J13" s="2"/>
      <c r="K13" s="2" t="s">
        <v>365</v>
      </c>
      <c r="L13" s="2" t="s">
        <v>2570</v>
      </c>
      <c r="M13" s="2" t="s">
        <v>126</v>
      </c>
      <c r="N13" s="50" t="s">
        <v>139</v>
      </c>
      <c r="P13" s="1"/>
      <c r="Q13" s="1"/>
      <c r="R13" s="1"/>
      <c r="X13">
        <f>IF(LEFT('Decision Queue'!A14,4)="DEC-",IFERROR(VALUE(MID('Decision Queue'!A14,5,20)),0),0)</f>
        <v>0</v>
      </c>
      <c r="Y13">
        <f>IF(LEFT('Decision Register'!A14,4)="DEC-",IFERROR(VALUE(MID('Decision Register'!A14,5,20)),0),0)</f>
        <v>0</v>
      </c>
      <c r="AT13">
        <v>-11</v>
      </c>
      <c r="AU13" s="195">
        <f ca="1"/>
        <v>46302</v>
      </c>
      <c r="AV13" s="196">
        <v>11</v>
      </c>
      <c r="AW13" s="195">
        <f ca="1"/>
        <v>46332</v>
      </c>
      <c r="AX13">
        <v>19</v>
      </c>
      <c r="AZ13" s="197">
        <f t="shared" ca="1" si="2"/>
        <v>46298</v>
      </c>
      <c r="BA13" s="197" t="str">
        <f t="shared" ca="1" si="3"/>
        <v/>
      </c>
      <c r="BB13" s="197">
        <v>46034</v>
      </c>
    </row>
    <row r="14" spans="1:54">
      <c r="A14" s="2" t="s">
        <v>189</v>
      </c>
      <c r="B14" s="2"/>
      <c r="C14" s="2"/>
      <c r="D14" s="2"/>
      <c r="E14" s="2"/>
      <c r="F14" s="2" t="s">
        <v>139</v>
      </c>
      <c r="G14" s="2"/>
      <c r="H14" s="2"/>
      <c r="I14" s="2"/>
      <c r="J14" s="2"/>
      <c r="K14" s="2" t="s">
        <v>139</v>
      </c>
      <c r="L14" s="2" t="s">
        <v>176</v>
      </c>
      <c r="M14" s="2" t="s">
        <v>365</v>
      </c>
      <c r="N14" t="s">
        <v>493</v>
      </c>
      <c r="P14" s="1"/>
      <c r="Q14" s="1"/>
      <c r="R14" s="1"/>
      <c r="X14">
        <f>IF(LEFT('Decision Queue'!A15,4)="DEC-",IFERROR(VALUE(MID('Decision Queue'!A15,5,20)),0),0)</f>
        <v>0</v>
      </c>
      <c r="Y14">
        <f>IF(LEFT('Decision Register'!A15,4)="DEC-",IFERROR(VALUE(MID('Decision Register'!A15,5,20)),0),0)</f>
        <v>0</v>
      </c>
      <c r="AT14">
        <v>-12</v>
      </c>
      <c r="AU14" s="195">
        <f ca="1"/>
        <v>46301</v>
      </c>
      <c r="AV14" s="196">
        <v>12</v>
      </c>
      <c r="AW14" s="195">
        <f ca="1"/>
        <v>46335</v>
      </c>
      <c r="AX14">
        <v>18</v>
      </c>
      <c r="AZ14" s="197">
        <f t="shared" ca="1" si="2"/>
        <v>46299</v>
      </c>
      <c r="BA14" s="197" t="str">
        <f t="shared" ca="1" si="3"/>
        <v/>
      </c>
      <c r="BB14" s="197">
        <v>46035</v>
      </c>
    </row>
    <row r="15" spans="1:54">
      <c r="A15" s="2" t="s">
        <v>384</v>
      </c>
      <c r="B15" s="2"/>
      <c r="C15" s="2"/>
      <c r="D15" s="2"/>
      <c r="E15" s="2"/>
      <c r="F15" s="2" t="s">
        <v>224</v>
      </c>
      <c r="G15" s="2"/>
      <c r="H15" s="2"/>
      <c r="I15" s="2"/>
      <c r="J15" s="2"/>
      <c r="K15" s="2"/>
      <c r="L15" s="2"/>
      <c r="M15" s="2" t="s">
        <v>2571</v>
      </c>
      <c r="N15" t="s">
        <v>270</v>
      </c>
      <c r="P15" s="1"/>
      <c r="Q15" s="1"/>
      <c r="R15" s="1"/>
      <c r="X15">
        <f>IF(LEFT('Decision Queue'!A16,4)="DEC-",IFERROR(VALUE(MID('Decision Queue'!A16,5,20)),0),0)</f>
        <v>0</v>
      </c>
      <c r="Y15">
        <f>IF(LEFT('Decision Register'!A16,4)="DEC-",IFERROR(VALUE(MID('Decision Register'!A16,5,20)),0),0)</f>
        <v>0</v>
      </c>
      <c r="AT15">
        <v>-13</v>
      </c>
      <c r="AU15" s="195">
        <f ca="1"/>
        <v>46300</v>
      </c>
      <c r="AV15" s="196">
        <v>13</v>
      </c>
      <c r="AW15" s="195">
        <f ca="1"/>
        <v>46336</v>
      </c>
      <c r="AX15">
        <v>17</v>
      </c>
      <c r="AZ15" s="197">
        <f t="shared" ca="1" si="2"/>
        <v>46300</v>
      </c>
      <c r="BA15" s="197" t="str">
        <f t="shared" ca="1" si="3"/>
        <v/>
      </c>
      <c r="BB15" s="197">
        <v>46036</v>
      </c>
    </row>
    <row r="16" spans="1:54">
      <c r="A16" s="2" t="s">
        <v>230</v>
      </c>
      <c r="B16" s="2"/>
      <c r="C16" s="2"/>
      <c r="D16" s="51"/>
      <c r="E16" s="2"/>
      <c r="F16" s="2"/>
      <c r="G16" s="2"/>
      <c r="H16" s="2"/>
      <c r="I16" s="2"/>
      <c r="J16" s="2"/>
      <c r="K16" s="2"/>
      <c r="L16" s="2"/>
      <c r="M16" s="2" t="s">
        <v>302</v>
      </c>
      <c r="N16" t="s">
        <v>2572</v>
      </c>
      <c r="P16" s="1"/>
      <c r="Q16" s="1"/>
      <c r="R16" s="1"/>
      <c r="X16">
        <f>IF(LEFT('Decision Queue'!A17,4)="DEC-",IFERROR(VALUE(MID('Decision Queue'!A17,5,20)),0),0)</f>
        <v>0</v>
      </c>
      <c r="Y16">
        <f>IF(LEFT('Decision Register'!A17,4)="DEC-",IFERROR(VALUE(MID('Decision Register'!A17,5,20)),0),0)</f>
        <v>0</v>
      </c>
      <c r="AT16">
        <v>-14</v>
      </c>
      <c r="AU16" s="195">
        <f ca="1"/>
        <v>46297</v>
      </c>
      <c r="AV16" s="196">
        <v>14</v>
      </c>
      <c r="AW16" s="195">
        <f ca="1"/>
        <v>46337</v>
      </c>
      <c r="AX16">
        <v>16</v>
      </c>
      <c r="AZ16" s="197">
        <f t="shared" ca="1" si="2"/>
        <v>46301</v>
      </c>
      <c r="BA16" s="197" t="str">
        <f t="shared" ca="1" si="3"/>
        <v/>
      </c>
      <c r="BB16" s="197">
        <v>46037</v>
      </c>
    </row>
    <row r="17" spans="1:54">
      <c r="A17" s="2" t="s">
        <v>2573</v>
      </c>
      <c r="B17" s="2"/>
      <c r="C17" s="2"/>
      <c r="D17" s="2"/>
      <c r="E17" s="2"/>
      <c r="F17" s="2"/>
      <c r="G17" s="2"/>
      <c r="H17" s="2"/>
      <c r="I17" s="2"/>
      <c r="J17" s="2"/>
      <c r="K17" s="2"/>
      <c r="L17" s="2"/>
      <c r="M17" s="2" t="s">
        <v>2574</v>
      </c>
      <c r="P17" s="1"/>
      <c r="Q17" s="1"/>
      <c r="R17" s="1"/>
      <c r="X17">
        <f>IF(LEFT('Decision Queue'!A18,4)="DEC-",IFERROR(VALUE(MID('Decision Queue'!A18,5,20)),0),0)</f>
        <v>0</v>
      </c>
      <c r="Y17">
        <f>IF(LEFT('Decision Register'!A18,4)="DEC-",IFERROR(VALUE(MID('Decision Register'!A18,5,20)),0),0)</f>
        <v>0</v>
      </c>
      <c r="AT17">
        <v>-15</v>
      </c>
      <c r="AU17" s="195">
        <f ca="1"/>
        <v>46296</v>
      </c>
      <c r="AV17" s="196">
        <v>15</v>
      </c>
      <c r="AW17" s="195">
        <f ca="1"/>
        <v>46338</v>
      </c>
      <c r="AX17">
        <v>15</v>
      </c>
      <c r="AZ17" s="197">
        <f t="shared" ca="1" si="2"/>
        <v>46302</v>
      </c>
      <c r="BA17" s="197" t="str">
        <f t="shared" ca="1" si="3"/>
        <v/>
      </c>
      <c r="BB17" s="197">
        <v>46038</v>
      </c>
    </row>
    <row r="18" spans="1:54">
      <c r="A18" s="2"/>
      <c r="B18" s="2"/>
      <c r="C18" s="2"/>
      <c r="D18" s="2"/>
      <c r="E18" s="2"/>
      <c r="F18" s="2"/>
      <c r="G18" s="2"/>
      <c r="H18" s="2"/>
      <c r="I18" s="2"/>
      <c r="J18" s="2"/>
      <c r="K18" s="2"/>
      <c r="L18" s="2"/>
      <c r="M18" s="2" t="s">
        <v>170</v>
      </c>
      <c r="P18" s="1"/>
      <c r="Q18" s="1"/>
      <c r="R18" s="1"/>
      <c r="X18">
        <f>IF(LEFT('Decision Queue'!A19,4)="DEC-",IFERROR(VALUE(MID('Decision Queue'!A19,5,20)),0),0)</f>
        <v>0</v>
      </c>
      <c r="Y18">
        <f>IF(LEFT('Decision Register'!A19,4)="DEC-",IFERROR(VALUE(MID('Decision Register'!A19,5,20)),0),0)</f>
        <v>0</v>
      </c>
      <c r="AT18">
        <v>-16</v>
      </c>
      <c r="AU18" s="195">
        <f ca="1"/>
        <v>46295</v>
      </c>
      <c r="AV18" s="196">
        <v>16</v>
      </c>
      <c r="AW18" s="195">
        <f ca="1"/>
        <v>46339</v>
      </c>
      <c r="AX18">
        <v>14</v>
      </c>
      <c r="AZ18" s="197">
        <f t="shared" ca="1" si="2"/>
        <v>46303</v>
      </c>
      <c r="BA18" s="197" t="str">
        <f t="shared" ca="1" si="3"/>
        <v/>
      </c>
      <c r="BB18" s="197">
        <v>46039</v>
      </c>
    </row>
    <row r="19" spans="1:54">
      <c r="A19" s="2"/>
      <c r="B19" s="2"/>
      <c r="C19" s="2"/>
      <c r="D19" s="2"/>
      <c r="E19" s="2"/>
      <c r="F19" s="2"/>
      <c r="G19" s="2"/>
      <c r="H19" s="2"/>
      <c r="I19" s="2"/>
      <c r="J19" s="2"/>
      <c r="K19" s="2"/>
      <c r="L19" s="2"/>
      <c r="M19" s="2" t="s">
        <v>180</v>
      </c>
      <c r="P19" s="1"/>
      <c r="Q19" s="1"/>
      <c r="R19" s="1"/>
      <c r="X19">
        <f>IF(LEFT('Decision Queue'!A20,4)="DEC-",IFERROR(VALUE(MID('Decision Queue'!A20,5,20)),0),0)</f>
        <v>0</v>
      </c>
      <c r="Y19">
        <f>IF(LEFT('Decision Register'!A20,4)="DEC-",IFERROR(VALUE(MID('Decision Register'!A20,5,20)),0),0)</f>
        <v>0</v>
      </c>
      <c r="AT19">
        <v>-17</v>
      </c>
      <c r="AU19" s="195">
        <f ca="1"/>
        <v>46294</v>
      </c>
      <c r="AV19" s="196">
        <v>17</v>
      </c>
      <c r="AW19" s="195">
        <f ca="1"/>
        <v>46342</v>
      </c>
      <c r="AX19">
        <v>13</v>
      </c>
      <c r="AZ19" s="197">
        <f t="shared" ca="1" si="2"/>
        <v>46304</v>
      </c>
      <c r="BA19" s="197" t="str">
        <f t="shared" ca="1" si="3"/>
        <v/>
      </c>
      <c r="BB19" s="197">
        <v>46040</v>
      </c>
    </row>
    <row r="20" spans="1:54">
      <c r="A20" s="2"/>
      <c r="B20" s="2"/>
      <c r="C20" s="2"/>
      <c r="D20" s="2"/>
      <c r="E20" s="2"/>
      <c r="F20" s="2"/>
      <c r="G20" s="2"/>
      <c r="H20" s="2"/>
      <c r="I20" s="2"/>
      <c r="J20" s="2"/>
      <c r="K20" s="2"/>
      <c r="L20" s="2"/>
      <c r="M20" s="2" t="s">
        <v>139</v>
      </c>
      <c r="P20" s="1"/>
      <c r="Q20" s="1"/>
      <c r="R20" s="1"/>
      <c r="X20">
        <f>IF(LEFT('Decision Queue'!A21,4)="DEC-",IFERROR(VALUE(MID('Decision Queue'!A21,5,20)),0),0)</f>
        <v>0</v>
      </c>
      <c r="Y20">
        <f>IF(LEFT('Decision Register'!A21,4)="DEC-",IFERROR(VALUE(MID('Decision Register'!A21,5,20)),0),0)</f>
        <v>0</v>
      </c>
      <c r="AT20">
        <v>-18</v>
      </c>
      <c r="AU20" s="195">
        <f ca="1"/>
        <v>46293</v>
      </c>
      <c r="AV20" s="196">
        <v>18</v>
      </c>
      <c r="AW20" s="195">
        <f ca="1"/>
        <v>46343</v>
      </c>
      <c r="AX20">
        <v>12</v>
      </c>
      <c r="AZ20" s="197">
        <f t="shared" ca="1" si="2"/>
        <v>46305</v>
      </c>
      <c r="BA20" s="197" t="str">
        <f t="shared" ca="1" si="3"/>
        <v/>
      </c>
      <c r="BB20" s="197">
        <v>46041</v>
      </c>
    </row>
    <row r="21" spans="1:54">
      <c r="D21" s="2"/>
      <c r="E21" s="2"/>
      <c r="M21" t="s">
        <v>2575</v>
      </c>
      <c r="P21" s="1"/>
      <c r="Q21" s="1"/>
      <c r="R21" s="1"/>
      <c r="X21">
        <f>IF(LEFT('Decision Queue'!A22,4)="DEC-",IFERROR(VALUE(MID('Decision Queue'!A22,5,20)),0),0)</f>
        <v>0</v>
      </c>
      <c r="Y21">
        <f>IF(LEFT('Decision Register'!A22,4)="DEC-",IFERROR(VALUE(MID('Decision Register'!A22,5,20)),0),0)</f>
        <v>0</v>
      </c>
      <c r="AT21">
        <v>-19</v>
      </c>
      <c r="AU21" s="195">
        <f ca="1"/>
        <v>46290</v>
      </c>
      <c r="AV21" s="196">
        <v>19</v>
      </c>
      <c r="AW21" s="195">
        <f ca="1"/>
        <v>46344</v>
      </c>
      <c r="AX21">
        <v>11</v>
      </c>
      <c r="AZ21" s="197">
        <f t="shared" ca="1" si="2"/>
        <v>46306</v>
      </c>
      <c r="BA21" s="197" t="str">
        <f t="shared" ca="1" si="3"/>
        <v/>
      </c>
      <c r="BB21" s="197">
        <v>46042</v>
      </c>
    </row>
    <row r="22" spans="1:54">
      <c r="P22" s="1"/>
      <c r="Q22" s="1"/>
      <c r="R22" s="1"/>
      <c r="X22">
        <f>IF(LEFT('Decision Queue'!A23,4)="DEC-",IFERROR(VALUE(MID('Decision Queue'!A23,5,20)),0),0)</f>
        <v>0</v>
      </c>
      <c r="Y22">
        <f>IF(LEFT('Decision Register'!A23,4)="DEC-",IFERROR(VALUE(MID('Decision Register'!A23,5,20)),0),0)</f>
        <v>0</v>
      </c>
      <c r="AT22">
        <v>-20</v>
      </c>
      <c r="AU22" s="195">
        <f ca="1"/>
        <v>46289</v>
      </c>
      <c r="AV22" s="196">
        <v>20</v>
      </c>
      <c r="AW22" s="195">
        <f ca="1"/>
        <v>46345</v>
      </c>
      <c r="AX22">
        <v>10</v>
      </c>
      <c r="AZ22" s="197">
        <f t="shared" ca="1" si="2"/>
        <v>46307</v>
      </c>
      <c r="BA22" s="197" t="str">
        <f t="shared" ca="1" si="3"/>
        <v/>
      </c>
      <c r="BB22" s="197">
        <v>46043</v>
      </c>
    </row>
    <row r="23" spans="1:54">
      <c r="P23" s="1"/>
      <c r="Q23" s="1"/>
      <c r="R23" s="1"/>
      <c r="X23">
        <f>IF(LEFT('Decision Queue'!A24,4)="DEC-",IFERROR(VALUE(MID('Decision Queue'!A24,5,20)),0),0)</f>
        <v>0</v>
      </c>
      <c r="Y23">
        <f>IF(LEFT('Decision Register'!A24,4)="DEC-",IFERROR(VALUE(MID('Decision Register'!A24,5,20)),0),0)</f>
        <v>0</v>
      </c>
      <c r="AT23">
        <v>-21</v>
      </c>
      <c r="AU23" s="195">
        <f ca="1"/>
        <v>46288</v>
      </c>
      <c r="AV23" s="196">
        <v>21</v>
      </c>
      <c r="AW23" s="195">
        <f ca="1"/>
        <v>46346</v>
      </c>
      <c r="AX23">
        <v>9</v>
      </c>
      <c r="AZ23" s="197">
        <f t="shared" ca="1" si="2"/>
        <v>46308</v>
      </c>
      <c r="BA23" s="197" t="str">
        <f t="shared" ca="1" si="3"/>
        <v/>
      </c>
      <c r="BB23" s="197">
        <v>46044</v>
      </c>
    </row>
    <row r="24" spans="1:54">
      <c r="P24" s="1"/>
      <c r="Q24" s="1"/>
      <c r="R24" s="1"/>
      <c r="X24">
        <f>IF(LEFT('Decision Queue'!A25,4)="DEC-",IFERROR(VALUE(MID('Decision Queue'!A25,5,20)),0),0)</f>
        <v>0</v>
      </c>
      <c r="Y24">
        <f>IF(LEFT('Decision Register'!A25,4)="DEC-",IFERROR(VALUE(MID('Decision Register'!A25,5,20)),0),0)</f>
        <v>0</v>
      </c>
      <c r="AT24">
        <v>-22</v>
      </c>
      <c r="AU24" s="195">
        <f ca="1"/>
        <v>46287</v>
      </c>
      <c r="AV24" s="196">
        <v>22</v>
      </c>
      <c r="AW24" s="195">
        <f ca="1"/>
        <v>46349</v>
      </c>
      <c r="AX24">
        <v>8</v>
      </c>
      <c r="AZ24" s="197">
        <f t="shared" ca="1" si="2"/>
        <v>46309</v>
      </c>
      <c r="BA24" s="197" t="str">
        <f t="shared" ca="1" si="3"/>
        <v/>
      </c>
      <c r="BB24" s="197">
        <v>46045</v>
      </c>
    </row>
    <row r="25" spans="1:54">
      <c r="P25" s="1"/>
      <c r="Q25" s="1"/>
      <c r="R25" s="1"/>
      <c r="X25">
        <f>IF(LEFT('Decision Queue'!A26,4)="DEC-",IFERROR(VALUE(MID('Decision Queue'!A26,5,20)),0),0)</f>
        <v>0</v>
      </c>
      <c r="Y25">
        <f>IF(LEFT('Decision Register'!A26,4)="DEC-",IFERROR(VALUE(MID('Decision Register'!A26,5,20)),0),0)</f>
        <v>0</v>
      </c>
      <c r="AT25">
        <v>-23</v>
      </c>
      <c r="AU25" s="195">
        <f ca="1"/>
        <v>46286</v>
      </c>
      <c r="AV25" s="196">
        <v>23</v>
      </c>
      <c r="AW25" s="195">
        <f ca="1"/>
        <v>46350</v>
      </c>
      <c r="AX25">
        <v>7</v>
      </c>
      <c r="AZ25" s="197">
        <f t="shared" ca="1" si="2"/>
        <v>46310</v>
      </c>
      <c r="BA25" s="197" t="str">
        <f t="shared" ca="1" si="3"/>
        <v/>
      </c>
      <c r="BB25" s="197">
        <v>46046</v>
      </c>
    </row>
    <row r="26" spans="1:54">
      <c r="P26" s="1"/>
      <c r="Q26" s="1"/>
      <c r="R26" s="1"/>
      <c r="X26">
        <f>IF(LEFT('Decision Queue'!A27,4)="DEC-",IFERROR(VALUE(MID('Decision Queue'!A27,5,20)),0),0)</f>
        <v>0</v>
      </c>
      <c r="Y26">
        <f>IF(LEFT('Decision Register'!A27,4)="DEC-",IFERROR(VALUE(MID('Decision Register'!A27,5,20)),0),0)</f>
        <v>0</v>
      </c>
      <c r="AT26">
        <v>-24</v>
      </c>
      <c r="AU26" s="195">
        <f ca="1"/>
        <v>46283</v>
      </c>
      <c r="AV26" s="196">
        <v>24</v>
      </c>
      <c r="AW26" s="195">
        <f ca="1"/>
        <v>46351</v>
      </c>
      <c r="AX26">
        <v>6</v>
      </c>
      <c r="AZ26" s="197">
        <f t="shared" ca="1" si="2"/>
        <v>46311</v>
      </c>
      <c r="BA26" s="197" t="str">
        <f t="shared" ca="1" si="3"/>
        <v/>
      </c>
      <c r="BB26" s="197">
        <v>46047</v>
      </c>
    </row>
    <row r="27" spans="1:54">
      <c r="P27" s="1"/>
      <c r="Q27" s="1"/>
      <c r="R27" s="1"/>
      <c r="X27">
        <f>IF(LEFT('Decision Queue'!A28,4)="DEC-",IFERROR(VALUE(MID('Decision Queue'!A28,5,20)),0),0)</f>
        <v>0</v>
      </c>
      <c r="Y27">
        <f>IF(LEFT('Decision Register'!A28,4)="DEC-",IFERROR(VALUE(MID('Decision Register'!A28,5,20)),0),0)</f>
        <v>0</v>
      </c>
      <c r="AT27">
        <v>-25</v>
      </c>
      <c r="AU27" s="195">
        <f ca="1"/>
        <v>46282</v>
      </c>
      <c r="AV27" s="196">
        <v>25</v>
      </c>
      <c r="AW27" s="195">
        <f ca="1"/>
        <v>46352</v>
      </c>
      <c r="AX27">
        <v>5</v>
      </c>
      <c r="AZ27" s="197">
        <f t="shared" ca="1" si="2"/>
        <v>46312</v>
      </c>
      <c r="BA27" s="197" t="str">
        <f t="shared" ca="1" si="3"/>
        <v/>
      </c>
      <c r="BB27" s="197">
        <v>46048</v>
      </c>
    </row>
    <row r="28" spans="1:54">
      <c r="P28" s="1"/>
      <c r="Q28" s="1"/>
      <c r="R28" s="1"/>
      <c r="X28">
        <f>IF(LEFT('Decision Queue'!A29,4)="DEC-",IFERROR(VALUE(MID('Decision Queue'!A29,5,20)),0),0)</f>
        <v>0</v>
      </c>
      <c r="Y28">
        <f>IF(LEFT('Decision Register'!A29,4)="DEC-",IFERROR(VALUE(MID('Decision Register'!A29,5,20)),0),0)</f>
        <v>0</v>
      </c>
      <c r="AT28">
        <v>-26</v>
      </c>
      <c r="AU28" s="195">
        <f ca="1"/>
        <v>46281</v>
      </c>
      <c r="AV28" s="196">
        <v>26</v>
      </c>
      <c r="AW28" s="195">
        <f ca="1"/>
        <v>46353</v>
      </c>
      <c r="AX28">
        <v>4</v>
      </c>
      <c r="AZ28" s="197">
        <f t="shared" ca="1" si="2"/>
        <v>46313</v>
      </c>
      <c r="BA28" s="197" t="str">
        <f t="shared" ca="1" si="3"/>
        <v/>
      </c>
      <c r="BB28" s="197">
        <v>46049</v>
      </c>
    </row>
    <row r="29" spans="1:54">
      <c r="P29" s="1"/>
      <c r="Q29" s="1"/>
      <c r="R29" s="1"/>
      <c r="X29">
        <f>IF(LEFT('Decision Queue'!A30,4)="DEC-",IFERROR(VALUE(MID('Decision Queue'!A30,5,20)),0),0)</f>
        <v>0</v>
      </c>
      <c r="Y29">
        <f>IF(LEFT('Decision Register'!A30,4)="DEC-",IFERROR(VALUE(MID('Decision Register'!A30,5,20)),0),0)</f>
        <v>0</v>
      </c>
      <c r="AT29">
        <v>-27</v>
      </c>
      <c r="AU29" s="195">
        <f ca="1"/>
        <v>46280</v>
      </c>
      <c r="AV29" s="196">
        <v>27</v>
      </c>
      <c r="AW29" s="195">
        <f ca="1"/>
        <v>46356</v>
      </c>
      <c r="AX29">
        <v>3</v>
      </c>
      <c r="AZ29" s="197">
        <f t="shared" ca="1" si="2"/>
        <v>46314</v>
      </c>
      <c r="BA29" s="197" t="str">
        <f t="shared" ca="1" si="3"/>
        <v/>
      </c>
      <c r="BB29" s="197">
        <v>46050</v>
      </c>
    </row>
    <row r="30" spans="1:54">
      <c r="P30" s="1"/>
      <c r="Q30" s="1"/>
      <c r="R30" s="1"/>
      <c r="X30">
        <f>IF(LEFT('Decision Queue'!A31,4)="DEC-",IFERROR(VALUE(MID('Decision Queue'!A31,5,20)),0),0)</f>
        <v>0</v>
      </c>
      <c r="Y30">
        <f>IF(LEFT('Decision Register'!A31,4)="DEC-",IFERROR(VALUE(MID('Decision Register'!A31,5,20)),0),0)</f>
        <v>0</v>
      </c>
      <c r="AT30">
        <v>-28</v>
      </c>
      <c r="AU30" s="195">
        <f ca="1"/>
        <v>46279</v>
      </c>
      <c r="AV30" s="196">
        <v>28</v>
      </c>
      <c r="AW30" s="195">
        <f ca="1"/>
        <v>46357</v>
      </c>
      <c r="AX30">
        <v>2</v>
      </c>
      <c r="AZ30" s="197">
        <f t="shared" ca="1" si="2"/>
        <v>46315</v>
      </c>
      <c r="BA30" s="197" t="str">
        <f t="shared" ca="1" si="3"/>
        <v/>
      </c>
      <c r="BB30" s="197">
        <v>46051</v>
      </c>
    </row>
    <row r="31" spans="1:54">
      <c r="P31" s="1"/>
      <c r="Q31" s="1"/>
      <c r="R31" s="1"/>
      <c r="X31">
        <f>IF(LEFT('Decision Queue'!A32,4)="DEC-",IFERROR(VALUE(MID('Decision Queue'!A32,5,20)),0),0)</f>
        <v>0</v>
      </c>
      <c r="Y31">
        <f>IF(LEFT('Decision Register'!A32,4)="DEC-",IFERROR(VALUE(MID('Decision Register'!A32,5,20)),0),0)</f>
        <v>0</v>
      </c>
      <c r="AT31">
        <v>-29</v>
      </c>
      <c r="AU31" s="195">
        <f ca="1"/>
        <v>46276</v>
      </c>
      <c r="AV31" s="196">
        <v>29</v>
      </c>
      <c r="AW31" s="195">
        <f ca="1"/>
        <v>46358</v>
      </c>
      <c r="AX31">
        <v>1</v>
      </c>
      <c r="AZ31" s="197">
        <f t="shared" ca="1" si="2"/>
        <v>46316</v>
      </c>
      <c r="BA31" s="197" t="str">
        <f t="shared" ca="1" si="3"/>
        <v/>
      </c>
      <c r="BB31" s="197">
        <v>46052</v>
      </c>
    </row>
    <row r="32" spans="1:54">
      <c r="P32" s="1"/>
      <c r="Q32" s="1"/>
      <c r="R32" s="1"/>
      <c r="X32">
        <f>IF(LEFT('Decision Queue'!A33,4)="DEC-",IFERROR(VALUE(MID('Decision Queue'!A33,5,20)),0),0)</f>
        <v>0</v>
      </c>
      <c r="Y32">
        <f>IF(LEFT('Decision Register'!A33,4)="DEC-",IFERROR(VALUE(MID('Decision Register'!A33,5,20)),0),0)</f>
        <v>0</v>
      </c>
      <c r="AT32">
        <v>-30</v>
      </c>
      <c r="AU32" s="195">
        <f ca="1"/>
        <v>46275</v>
      </c>
      <c r="AV32" s="196">
        <v>30</v>
      </c>
      <c r="AW32" s="195">
        <f ca="1"/>
        <v>46359</v>
      </c>
      <c r="AX32">
        <v>0</v>
      </c>
      <c r="AZ32" s="197">
        <f t="shared" ca="1" si="2"/>
        <v>46317</v>
      </c>
      <c r="BA32" s="197" t="str">
        <f t="shared" ca="1" si="3"/>
        <v/>
      </c>
      <c r="BB32" s="197">
        <v>46053</v>
      </c>
    </row>
    <row r="33" spans="1:54">
      <c r="P33" s="1"/>
      <c r="Q33" s="1"/>
      <c r="R33" s="1"/>
      <c r="X33">
        <f>IF(LEFT('Decision Queue'!A34,4)="DEC-",IFERROR(VALUE(MID('Decision Queue'!A34,5,20)),0),0)</f>
        <v>0</v>
      </c>
      <c r="Y33">
        <f>IF(LEFT('Decision Register'!A34,4)="DEC-",IFERROR(VALUE(MID('Decision Register'!A34,5,20)),0),0)</f>
        <v>0</v>
      </c>
      <c r="AT33">
        <v>-31</v>
      </c>
      <c r="AU33" s="195">
        <f ca="1"/>
        <v>46274</v>
      </c>
      <c r="AV33" s="196">
        <v>31</v>
      </c>
      <c r="AW33" s="195">
        <f ca="1"/>
        <v>46360</v>
      </c>
      <c r="AX33">
        <v>-1</v>
      </c>
      <c r="AZ33" s="197">
        <f t="shared" ca="1" si="2"/>
        <v>46318</v>
      </c>
      <c r="BA33" s="197" t="str">
        <f t="shared" ca="1" si="3"/>
        <v/>
      </c>
      <c r="BB33" s="197">
        <v>46054</v>
      </c>
    </row>
    <row r="34" spans="1:54">
      <c r="P34" s="1"/>
      <c r="Q34" s="1"/>
      <c r="R34" s="1"/>
      <c r="X34">
        <f>IF(LEFT('Decision Queue'!A35,4)="DEC-",IFERROR(VALUE(MID('Decision Queue'!A35,5,20)),0),0)</f>
        <v>0</v>
      </c>
      <c r="Y34">
        <f>IF(LEFT('Decision Register'!A35,4)="DEC-",IFERROR(VALUE(MID('Decision Register'!A35,5,20)),0),0)</f>
        <v>0</v>
      </c>
      <c r="AT34">
        <v>-32</v>
      </c>
      <c r="AU34" s="195">
        <f ca="1"/>
        <v>46273</v>
      </c>
      <c r="AV34" s="196">
        <v>32</v>
      </c>
      <c r="AW34" s="195">
        <f ca="1"/>
        <v>46363</v>
      </c>
      <c r="AX34">
        <v>-2</v>
      </c>
      <c r="AZ34" s="197">
        <f t="shared" ca="1" si="2"/>
        <v>46319</v>
      </c>
      <c r="BA34" s="197" t="str">
        <f t="shared" ca="1" si="3"/>
        <v/>
      </c>
      <c r="BB34" s="197">
        <v>46055</v>
      </c>
    </row>
    <row r="35" spans="1:54">
      <c r="P35" s="1"/>
      <c r="Q35" s="1"/>
      <c r="R35" s="1"/>
      <c r="X35">
        <f>IF(LEFT('Decision Queue'!A36,4)="DEC-",IFERROR(VALUE(MID('Decision Queue'!A36,5,20)),0),0)</f>
        <v>0</v>
      </c>
      <c r="Y35">
        <f>IF(LEFT('Decision Register'!A36,4)="DEC-",IFERROR(VALUE(MID('Decision Register'!A36,5,20)),0),0)</f>
        <v>0</v>
      </c>
      <c r="AT35">
        <v>-33</v>
      </c>
      <c r="AU35" s="195">
        <f ca="1"/>
        <v>46272</v>
      </c>
      <c r="AV35" s="196">
        <v>33</v>
      </c>
      <c r="AW35" s="195">
        <f ca="1"/>
        <v>46364</v>
      </c>
      <c r="AX35">
        <v>-3</v>
      </c>
      <c r="AZ35" s="197">
        <f t="shared" ca="1" si="2"/>
        <v>46320</v>
      </c>
      <c r="BA35" s="197" t="str">
        <f t="shared" ca="1" si="3"/>
        <v/>
      </c>
      <c r="BB35" s="197">
        <v>46056</v>
      </c>
    </row>
    <row r="36" spans="1:54">
      <c r="P36" s="1"/>
      <c r="Q36" s="1"/>
      <c r="R36" s="1"/>
      <c r="X36">
        <f>IF(LEFT('Decision Queue'!A37,4)="DEC-",IFERROR(VALUE(MID('Decision Queue'!A37,5,20)),0),0)</f>
        <v>0</v>
      </c>
      <c r="Y36">
        <f>IF(LEFT('Decision Register'!A37,4)="DEC-",IFERROR(VALUE(MID('Decision Register'!A37,5,20)),0),0)</f>
        <v>0</v>
      </c>
      <c r="AT36">
        <v>-34</v>
      </c>
      <c r="AU36" s="195">
        <f ca="1"/>
        <v>46269</v>
      </c>
      <c r="AV36" s="196">
        <v>34</v>
      </c>
      <c r="AW36" s="195">
        <f ca="1"/>
        <v>46365</v>
      </c>
      <c r="AX36">
        <v>-4</v>
      </c>
      <c r="AZ36" s="197">
        <f t="shared" ca="1" si="2"/>
        <v>46321</v>
      </c>
      <c r="BA36" s="197" t="str">
        <f t="shared" ca="1" si="3"/>
        <v/>
      </c>
      <c r="BB36" s="197">
        <v>46057</v>
      </c>
    </row>
    <row r="37" spans="1:54">
      <c r="P37" s="1"/>
      <c r="Q37" s="1"/>
      <c r="R37" s="1"/>
      <c r="X37">
        <f>IF(LEFT('Decision Queue'!A38,4)="DEC-",IFERROR(VALUE(MID('Decision Queue'!A38,5,20)),0),0)</f>
        <v>0</v>
      </c>
      <c r="Y37">
        <f>IF(LEFT('Decision Register'!A38,4)="DEC-",IFERROR(VALUE(MID('Decision Register'!A38,5,20)),0),0)</f>
        <v>0</v>
      </c>
      <c r="AT37">
        <v>-35</v>
      </c>
      <c r="AU37" s="195">
        <f ca="1"/>
        <v>46268</v>
      </c>
      <c r="AV37" s="196">
        <v>35</v>
      </c>
      <c r="AW37" s="195">
        <f ca="1"/>
        <v>46366</v>
      </c>
      <c r="AX37">
        <v>-5</v>
      </c>
      <c r="AZ37" s="197">
        <f t="shared" ca="1" si="2"/>
        <v>46322</v>
      </c>
      <c r="BA37" s="197" t="str">
        <f t="shared" ca="1" si="3"/>
        <v/>
      </c>
      <c r="BB37" s="197">
        <v>46058</v>
      </c>
    </row>
    <row r="38" spans="1:54">
      <c r="P38" s="1"/>
      <c r="Q38" s="1"/>
      <c r="R38" s="1"/>
      <c r="X38">
        <f>IF(LEFT('Decision Queue'!A39,4)="DEC-",IFERROR(VALUE(MID('Decision Queue'!A39,5,20)),0),0)</f>
        <v>0</v>
      </c>
      <c r="Y38">
        <f>IF(LEFT('Decision Register'!A39,4)="DEC-",IFERROR(VALUE(MID('Decision Register'!A39,5,20)),0),0)</f>
        <v>0</v>
      </c>
      <c r="AT38">
        <v>-36</v>
      </c>
      <c r="AU38" s="195">
        <f ca="1"/>
        <v>46267</v>
      </c>
      <c r="AV38" s="196">
        <v>36</v>
      </c>
      <c r="AW38" s="195">
        <f ca="1"/>
        <v>46367</v>
      </c>
      <c r="AX38">
        <v>-6</v>
      </c>
      <c r="AZ38" s="197">
        <f t="shared" ca="1" si="2"/>
        <v>46323</v>
      </c>
      <c r="BA38" s="197" t="str">
        <f t="shared" ca="1" si="3"/>
        <v/>
      </c>
      <c r="BB38" s="197">
        <v>46059</v>
      </c>
    </row>
    <row r="39" spans="1:54">
      <c r="P39" s="1"/>
      <c r="Q39" s="1"/>
      <c r="R39" s="1"/>
      <c r="X39">
        <f>IF(LEFT('Decision Queue'!A40,4)="DEC-",IFERROR(VALUE(MID('Decision Queue'!A40,5,20)),0),0)</f>
        <v>0</v>
      </c>
      <c r="Y39">
        <f>IF(LEFT('Decision Register'!A40,4)="DEC-",IFERROR(VALUE(MID('Decision Register'!A40,5,20)),0),0)</f>
        <v>0</v>
      </c>
      <c r="AT39">
        <v>-37</v>
      </c>
      <c r="AU39" s="195">
        <f ca="1"/>
        <v>46266</v>
      </c>
      <c r="AV39" s="196">
        <v>37</v>
      </c>
      <c r="AW39" s="195">
        <f ca="1"/>
        <v>46370</v>
      </c>
      <c r="AX39">
        <v>-7</v>
      </c>
      <c r="AZ39" s="197">
        <f t="shared" ca="1" si="2"/>
        <v>46324</v>
      </c>
      <c r="BA39" s="197" t="str">
        <f t="shared" ca="1" si="3"/>
        <v/>
      </c>
      <c r="BB39" s="197">
        <v>46060</v>
      </c>
    </row>
    <row r="40" spans="1:54">
      <c r="P40" s="1"/>
      <c r="Q40" s="1"/>
      <c r="R40" s="1"/>
      <c r="X40">
        <f>IF(LEFT('Decision Queue'!A41,4)="DEC-",IFERROR(VALUE(MID('Decision Queue'!A41,5,20)),0),0)</f>
        <v>0</v>
      </c>
      <c r="Y40">
        <f>IF(LEFT('Decision Register'!A41,4)="DEC-",IFERROR(VALUE(MID('Decision Register'!A41,5,20)),0),0)</f>
        <v>0</v>
      </c>
      <c r="AT40">
        <v>-38</v>
      </c>
      <c r="AU40" s="195">
        <f ca="1"/>
        <v>46265</v>
      </c>
      <c r="AV40" s="196">
        <v>38</v>
      </c>
      <c r="AW40" s="195">
        <f ca="1"/>
        <v>46371</v>
      </c>
      <c r="AX40">
        <v>-8</v>
      </c>
      <c r="AZ40" s="197">
        <f t="shared" ca="1" si="2"/>
        <v>46325</v>
      </c>
      <c r="BA40" s="197" t="str">
        <f t="shared" ca="1" si="3"/>
        <v/>
      </c>
      <c r="BB40" s="197">
        <v>46061</v>
      </c>
    </row>
    <row r="41" spans="1:54">
      <c r="P41" s="1"/>
      <c r="Q41" s="1"/>
      <c r="R41" s="1"/>
      <c r="X41">
        <f>IF(LEFT('Decision Queue'!A42,4)="DEC-",IFERROR(VALUE(MID('Decision Queue'!A42,5,20)),0),0)</f>
        <v>0</v>
      </c>
      <c r="Y41">
        <f>IF(LEFT('Decision Register'!A42,4)="DEC-",IFERROR(VALUE(MID('Decision Register'!A42,5,20)),0),0)</f>
        <v>0</v>
      </c>
      <c r="AT41">
        <v>-39</v>
      </c>
      <c r="AU41" s="195">
        <f ca="1"/>
        <v>46262</v>
      </c>
      <c r="AV41" s="196">
        <v>39</v>
      </c>
      <c r="AW41" s="195">
        <f ca="1"/>
        <v>46372</v>
      </c>
      <c r="AX41">
        <v>-9</v>
      </c>
      <c r="AZ41" s="197">
        <f t="shared" ca="1" si="2"/>
        <v>46326</v>
      </c>
      <c r="BA41" s="197" t="str">
        <f t="shared" ca="1" si="3"/>
        <v/>
      </c>
      <c r="BB41" s="197">
        <v>46062</v>
      </c>
    </row>
    <row r="42" spans="1:54">
      <c r="P42" s="1"/>
      <c r="Q42" s="1"/>
      <c r="R42" s="1"/>
      <c r="X42">
        <f>IF(LEFT('Decision Queue'!A43,4)="DEC-",IFERROR(VALUE(MID('Decision Queue'!A43,5,20)),0),0)</f>
        <v>0</v>
      </c>
      <c r="Y42">
        <f>IF(LEFT('Decision Register'!A43,4)="DEC-",IFERROR(VALUE(MID('Decision Register'!A43,5,20)),0),0)</f>
        <v>0</v>
      </c>
      <c r="AT42">
        <v>-40</v>
      </c>
      <c r="AU42" s="195">
        <f ca="1"/>
        <v>46261</v>
      </c>
      <c r="AV42" s="196">
        <v>40</v>
      </c>
      <c r="AW42" s="195">
        <f ca="1"/>
        <v>46373</v>
      </c>
      <c r="AX42">
        <v>-10</v>
      </c>
      <c r="AZ42" s="197">
        <f t="shared" ca="1" si="2"/>
        <v>46327</v>
      </c>
      <c r="BA42" s="197" t="str">
        <f t="shared" ca="1" si="3"/>
        <v/>
      </c>
      <c r="BB42" s="197">
        <v>46063</v>
      </c>
    </row>
    <row r="43" spans="1:54">
      <c r="P43" s="1"/>
      <c r="Q43" s="1"/>
      <c r="R43" s="1"/>
      <c r="X43">
        <f>IF(LEFT('Decision Queue'!A44,4)="DEC-",IFERROR(VALUE(MID('Decision Queue'!A44,5,20)),0),0)</f>
        <v>0</v>
      </c>
      <c r="Y43">
        <f>IF(LEFT('Decision Register'!A44,4)="DEC-",IFERROR(VALUE(MID('Decision Register'!A44,5,20)),0),0)</f>
        <v>0</v>
      </c>
      <c r="AT43">
        <v>-41</v>
      </c>
      <c r="AU43" s="195">
        <f ca="1"/>
        <v>46260</v>
      </c>
      <c r="AV43" s="196">
        <v>41</v>
      </c>
      <c r="AW43" s="195">
        <f ca="1"/>
        <v>46374</v>
      </c>
      <c r="AX43">
        <v>-11</v>
      </c>
      <c r="AZ43" s="197">
        <f t="shared" ca="1" si="2"/>
        <v>46328</v>
      </c>
      <c r="BA43" s="197" t="str">
        <f t="shared" ca="1" si="3"/>
        <v/>
      </c>
      <c r="BB43" s="197">
        <v>46064</v>
      </c>
    </row>
    <row r="44" spans="1:54">
      <c r="P44" s="1"/>
      <c r="Q44" s="1"/>
      <c r="R44" s="1"/>
      <c r="X44">
        <f>IF(LEFT('Decision Queue'!A45,4)="DEC-",IFERROR(VALUE(MID('Decision Queue'!A45,5,20)),0),0)</f>
        <v>0</v>
      </c>
      <c r="Y44">
        <f>IF(LEFT('Decision Register'!A45,4)="DEC-",IFERROR(VALUE(MID('Decision Register'!A45,5,20)),0),0)</f>
        <v>0</v>
      </c>
      <c r="AT44">
        <v>-42</v>
      </c>
      <c r="AU44" s="195">
        <f ca="1"/>
        <v>46259</v>
      </c>
      <c r="AV44" s="196">
        <v>42</v>
      </c>
      <c r="AW44" s="195">
        <f ca="1"/>
        <v>46377</v>
      </c>
      <c r="AX44">
        <v>-12</v>
      </c>
      <c r="AZ44" s="197">
        <f t="shared" ca="1" si="2"/>
        <v>46329</v>
      </c>
      <c r="BA44" s="197" t="str">
        <f t="shared" ca="1" si="3"/>
        <v/>
      </c>
      <c r="BB44" s="197">
        <v>46065</v>
      </c>
    </row>
    <row r="45" spans="1:54">
      <c r="P45" s="1"/>
      <c r="Q45" s="1"/>
      <c r="R45" s="1"/>
      <c r="X45">
        <f>IF(LEFT('Decision Queue'!A46,4)="DEC-",IFERROR(VALUE(MID('Decision Queue'!A46,5,20)),0),0)</f>
        <v>0</v>
      </c>
      <c r="Y45">
        <f>IF(LEFT('Decision Register'!A46,4)="DEC-",IFERROR(VALUE(MID('Decision Register'!A46,5,20)),0),0)</f>
        <v>0</v>
      </c>
      <c r="AT45">
        <v>-43</v>
      </c>
      <c r="AU45" s="195">
        <f ca="1"/>
        <v>46258</v>
      </c>
      <c r="AV45" s="196">
        <v>43</v>
      </c>
      <c r="AX45">
        <v>-13</v>
      </c>
      <c r="AZ45" s="197">
        <f t="shared" ca="1" si="2"/>
        <v>46330</v>
      </c>
      <c r="BA45" s="197" t="str">
        <f t="shared" ca="1" si="3"/>
        <v/>
      </c>
      <c r="BB45" s="197">
        <v>46066</v>
      </c>
    </row>
    <row r="46" spans="1:54">
      <c r="A46" t="s">
        <v>55</v>
      </c>
      <c r="B46" t="s">
        <v>159</v>
      </c>
      <c r="C46" t="s">
        <v>2576</v>
      </c>
      <c r="P46" s="1"/>
      <c r="Q46" s="1"/>
      <c r="R46" s="1"/>
      <c r="X46">
        <f>IF(LEFT('Decision Queue'!A47,4)="DEC-",IFERROR(VALUE(MID('Decision Queue'!A47,5,20)),0),0)</f>
        <v>0</v>
      </c>
      <c r="Y46">
        <f>IF(LEFT('Decision Register'!A47,4)="DEC-",IFERROR(VALUE(MID('Decision Register'!A47,5,20)),0),0)</f>
        <v>0</v>
      </c>
      <c r="AT46">
        <v>-44</v>
      </c>
      <c r="AV46" s="196">
        <v>44</v>
      </c>
      <c r="AX46">
        <v>-14</v>
      </c>
      <c r="AZ46" s="197">
        <f t="shared" ca="1" si="2"/>
        <v>46331</v>
      </c>
      <c r="BA46" s="197" t="str">
        <f t="shared" ca="1" si="3"/>
        <v/>
      </c>
      <c r="BB46" s="197">
        <v>46067</v>
      </c>
    </row>
    <row r="47" spans="1:54">
      <c r="A47" t="s">
        <v>2549</v>
      </c>
      <c r="C47" t="s">
        <v>2577</v>
      </c>
      <c r="D47" t="s">
        <v>2578</v>
      </c>
      <c r="P47" s="1"/>
      <c r="Q47" s="1"/>
      <c r="R47" s="1"/>
      <c r="X47">
        <f>IF(LEFT('Decision Queue'!A48,4)="DEC-",IFERROR(VALUE(MID('Decision Queue'!A48,5,20)),0),0)</f>
        <v>0</v>
      </c>
      <c r="Y47">
        <f>IF(LEFT('Decision Register'!A48,4)="DEC-",IFERROR(VALUE(MID('Decision Register'!A48,5,20)),0),0)</f>
        <v>0</v>
      </c>
      <c r="AT47">
        <v>-45</v>
      </c>
      <c r="AV47" s="196">
        <v>45</v>
      </c>
      <c r="AX47">
        <v>-15</v>
      </c>
      <c r="AZ47" s="197">
        <f t="shared" ca="1" si="2"/>
        <v>46332</v>
      </c>
      <c r="BA47" s="197" t="str">
        <f t="shared" ca="1" si="3"/>
        <v/>
      </c>
      <c r="BB47" s="197">
        <v>46068</v>
      </c>
    </row>
    <row r="48" spans="1:54">
      <c r="A48" t="s">
        <v>183</v>
      </c>
      <c r="B48" t="s">
        <v>183</v>
      </c>
      <c r="C48" t="s">
        <v>2579</v>
      </c>
      <c r="D48" t="s">
        <v>2580</v>
      </c>
      <c r="P48" s="1"/>
      <c r="Q48" s="1"/>
      <c r="R48" s="1"/>
      <c r="X48">
        <f>IF(LEFT('Decision Queue'!A49,4)="DEC-",IFERROR(VALUE(MID('Decision Queue'!A49,5,20)),0),0)</f>
        <v>0</v>
      </c>
      <c r="Y48">
        <f>IF(LEFT('Decision Register'!A49,4)="DEC-",IFERROR(VALUE(MID('Decision Register'!A49,5,20)),0),0)</f>
        <v>0</v>
      </c>
      <c r="AT48">
        <v>-46</v>
      </c>
      <c r="AV48" s="196">
        <v>46</v>
      </c>
      <c r="AX48">
        <v>-16</v>
      </c>
      <c r="AZ48" s="197">
        <f t="shared" ca="1" si="2"/>
        <v>46333</v>
      </c>
      <c r="BA48" s="197" t="str">
        <f t="shared" ca="1" si="3"/>
        <v/>
      </c>
      <c r="BB48" s="197">
        <v>46069</v>
      </c>
    </row>
    <row r="49" spans="1:54">
      <c r="A49" t="s">
        <v>173</v>
      </c>
      <c r="B49" t="s">
        <v>173</v>
      </c>
      <c r="C49" t="s">
        <v>2581</v>
      </c>
      <c r="D49" t="s">
        <v>2582</v>
      </c>
      <c r="P49" s="1"/>
      <c r="Q49" s="1"/>
      <c r="R49" s="1"/>
      <c r="X49">
        <f>IF(LEFT('Decision Queue'!A50,4)="DEC-",IFERROR(VALUE(MID('Decision Queue'!A50,5,20)),0),0)</f>
        <v>0</v>
      </c>
      <c r="Y49">
        <f>IF(LEFT('Decision Register'!A50,4)="DEC-",IFERROR(VALUE(MID('Decision Register'!A50,5,20)),0),0)</f>
        <v>0</v>
      </c>
      <c r="AT49">
        <v>-47</v>
      </c>
      <c r="AV49" s="196">
        <v>47</v>
      </c>
      <c r="AX49">
        <v>-17</v>
      </c>
      <c r="AZ49" s="197">
        <f t="shared" ca="1" si="2"/>
        <v>46334</v>
      </c>
      <c r="BA49" s="197" t="str">
        <f t="shared" ca="1" si="3"/>
        <v/>
      </c>
      <c r="BB49" s="197">
        <v>46070</v>
      </c>
    </row>
    <row r="50" spans="1:54">
      <c r="A50" t="s">
        <v>190</v>
      </c>
      <c r="B50" t="s">
        <v>190</v>
      </c>
      <c r="C50" t="s">
        <v>2583</v>
      </c>
      <c r="D50" t="s">
        <v>2584</v>
      </c>
      <c r="P50" s="1"/>
      <c r="Q50" s="1"/>
      <c r="R50" s="1"/>
      <c r="X50">
        <f>IF(LEFT('Decision Queue'!A51,4)="DEC-",IFERROR(VALUE(MID('Decision Queue'!A51,5,20)),0),0)</f>
        <v>0</v>
      </c>
      <c r="Y50">
        <f>IF(LEFT('Decision Register'!A51,4)="DEC-",IFERROR(VALUE(MID('Decision Register'!A51,5,20)),0),0)</f>
        <v>0</v>
      </c>
      <c r="AT50">
        <v>-48</v>
      </c>
      <c r="AV50" s="196">
        <v>48</v>
      </c>
      <c r="AX50">
        <v>-18</v>
      </c>
      <c r="AZ50" s="197">
        <f t="shared" ca="1" si="2"/>
        <v>46335</v>
      </c>
      <c r="BA50" s="197" t="str">
        <f t="shared" ca="1" si="3"/>
        <v/>
      </c>
      <c r="BB50" s="197">
        <v>46071</v>
      </c>
    </row>
    <row r="51" spans="1:54">
      <c r="P51" s="1"/>
      <c r="Q51" s="1"/>
      <c r="R51" s="1"/>
      <c r="X51">
        <f>IF(LEFT('Decision Queue'!A52,4)="DEC-",IFERROR(VALUE(MID('Decision Queue'!A52,5,20)),0),0)</f>
        <v>0</v>
      </c>
      <c r="Y51">
        <f>IF(LEFT('Decision Register'!A52,4)="DEC-",IFERROR(VALUE(MID('Decision Register'!A52,5,20)),0),0)</f>
        <v>0</v>
      </c>
      <c r="AT51">
        <v>-49</v>
      </c>
      <c r="AV51" s="196">
        <v>49</v>
      </c>
      <c r="AX51">
        <v>-19</v>
      </c>
      <c r="AZ51" s="197">
        <f t="shared" ca="1" si="2"/>
        <v>46336</v>
      </c>
      <c r="BA51" s="197" t="str">
        <f t="shared" ca="1" si="3"/>
        <v/>
      </c>
      <c r="BB51" s="197">
        <v>46072</v>
      </c>
    </row>
    <row r="52" spans="1:54">
      <c r="P52" s="1"/>
      <c r="Q52" s="1"/>
      <c r="R52" s="1"/>
      <c r="X52">
        <f>IF(LEFT('Decision Queue'!A53,4)="DEC-",IFERROR(VALUE(MID('Decision Queue'!A53,5,20)),0),0)</f>
        <v>0</v>
      </c>
      <c r="Y52">
        <f>IF(LEFT('Decision Register'!A53,4)="DEC-",IFERROR(VALUE(MID('Decision Register'!A53,5,20)),0),0)</f>
        <v>0</v>
      </c>
      <c r="AT52">
        <v>-50</v>
      </c>
      <c r="AV52" s="196">
        <v>50</v>
      </c>
      <c r="AX52">
        <v>-20</v>
      </c>
      <c r="AZ52" s="197">
        <f t="shared" ca="1" si="2"/>
        <v>46337</v>
      </c>
      <c r="BA52" s="197" t="str">
        <f t="shared" ca="1" si="3"/>
        <v/>
      </c>
      <c r="BB52" s="197">
        <v>46073</v>
      </c>
    </row>
    <row r="53" spans="1:54">
      <c r="P53" s="1"/>
      <c r="Q53" s="1"/>
      <c r="R53" s="1"/>
      <c r="X53">
        <f>IF(LEFT('Decision Queue'!A54,4)="DEC-",IFERROR(VALUE(MID('Decision Queue'!A54,5,20)),0),0)</f>
        <v>0</v>
      </c>
      <c r="Y53">
        <f>IF(LEFT('Decision Register'!A54,4)="DEC-",IFERROR(VALUE(MID('Decision Register'!A54,5,20)),0),0)</f>
        <v>0</v>
      </c>
      <c r="AT53">
        <v>-51</v>
      </c>
      <c r="AV53" s="196">
        <v>51</v>
      </c>
      <c r="AX53">
        <v>-21</v>
      </c>
      <c r="AZ53" s="197">
        <f t="shared" ca="1" si="2"/>
        <v>46338</v>
      </c>
      <c r="BA53" s="197" t="str">
        <f t="shared" ca="1" si="3"/>
        <v/>
      </c>
      <c r="BB53" s="197">
        <v>46074</v>
      </c>
    </row>
    <row r="54" spans="1:54">
      <c r="P54" s="1"/>
      <c r="Q54" s="1"/>
      <c r="R54" s="1"/>
      <c r="X54">
        <f>IF(LEFT('Decision Queue'!A55,4)="DEC-",IFERROR(VALUE(MID('Decision Queue'!A55,5,20)),0),0)</f>
        <v>0</v>
      </c>
      <c r="Y54">
        <f>IF(LEFT('Decision Register'!A55,4)="DEC-",IFERROR(VALUE(MID('Decision Register'!A55,5,20)),0),0)</f>
        <v>0</v>
      </c>
      <c r="AT54">
        <v>-52</v>
      </c>
      <c r="AV54" s="196">
        <v>52</v>
      </c>
      <c r="AX54">
        <v>-22</v>
      </c>
      <c r="AZ54" s="197">
        <f t="shared" ca="1" si="2"/>
        <v>46339</v>
      </c>
      <c r="BA54" s="197" t="str">
        <f t="shared" ca="1" si="3"/>
        <v/>
      </c>
      <c r="BB54" s="197">
        <v>46075</v>
      </c>
    </row>
    <row r="55" spans="1:54">
      <c r="P55" s="1"/>
      <c r="Q55" s="1"/>
      <c r="R55" s="1"/>
      <c r="X55">
        <f>IF(LEFT('Decision Queue'!A56,4)="DEC-",IFERROR(VALUE(MID('Decision Queue'!A56,5,20)),0),0)</f>
        <v>0</v>
      </c>
      <c r="Y55">
        <f>IF(LEFT('Decision Register'!A56,4)="DEC-",IFERROR(VALUE(MID('Decision Register'!A56,5,20)),0),0)</f>
        <v>0</v>
      </c>
      <c r="AT55">
        <v>-53</v>
      </c>
      <c r="AV55" s="196">
        <v>53</v>
      </c>
      <c r="AX55">
        <v>-23</v>
      </c>
      <c r="AZ55" s="197">
        <f t="shared" ca="1" si="2"/>
        <v>46340</v>
      </c>
      <c r="BA55" s="197" t="str">
        <f t="shared" ca="1" si="3"/>
        <v/>
      </c>
      <c r="BB55" s="197">
        <v>46076</v>
      </c>
    </row>
    <row r="56" spans="1:54">
      <c r="P56" s="1"/>
      <c r="Q56" s="1"/>
      <c r="R56" s="1"/>
      <c r="X56">
        <f>IF(LEFT('Decision Queue'!A57,4)="DEC-",IFERROR(VALUE(MID('Decision Queue'!A57,5,20)),0),0)</f>
        <v>0</v>
      </c>
      <c r="Y56">
        <f>IF(LEFT('Decision Register'!A57,4)="DEC-",IFERROR(VALUE(MID('Decision Register'!A57,5,20)),0),0)</f>
        <v>0</v>
      </c>
      <c r="AT56">
        <v>-54</v>
      </c>
      <c r="AV56" s="196">
        <v>54</v>
      </c>
      <c r="AX56">
        <v>-24</v>
      </c>
      <c r="AZ56" s="197">
        <f t="shared" ca="1" si="2"/>
        <v>46341</v>
      </c>
      <c r="BA56" s="197" t="str">
        <f t="shared" ca="1" si="3"/>
        <v/>
      </c>
      <c r="BB56" s="197">
        <v>46077</v>
      </c>
    </row>
    <row r="57" spans="1:54">
      <c r="P57" s="1"/>
      <c r="Q57" s="1"/>
      <c r="R57" s="1"/>
      <c r="X57">
        <f>IF(LEFT('Decision Queue'!A58,4)="DEC-",IFERROR(VALUE(MID('Decision Queue'!A58,5,20)),0),0)</f>
        <v>0</v>
      </c>
      <c r="Y57">
        <f>IF(LEFT('Decision Register'!A58,4)="DEC-",IFERROR(VALUE(MID('Decision Register'!A58,5,20)),0),0)</f>
        <v>0</v>
      </c>
      <c r="AT57">
        <v>-55</v>
      </c>
      <c r="AV57" s="196">
        <v>55</v>
      </c>
      <c r="AX57">
        <v>-25</v>
      </c>
      <c r="AZ57" s="197">
        <f t="shared" ca="1" si="2"/>
        <v>46342</v>
      </c>
      <c r="BA57" s="197" t="str">
        <f t="shared" ca="1" si="3"/>
        <v/>
      </c>
      <c r="BB57" s="197">
        <v>46078</v>
      </c>
    </row>
    <row r="58" spans="1:54">
      <c r="P58" s="1"/>
      <c r="Q58" s="1"/>
      <c r="R58" s="1"/>
      <c r="X58">
        <f>IF(LEFT('Decision Queue'!A59,4)="DEC-",IFERROR(VALUE(MID('Decision Queue'!A59,5,20)),0),0)</f>
        <v>0</v>
      </c>
      <c r="Y58">
        <f>IF(LEFT('Decision Register'!A59,4)="DEC-",IFERROR(VALUE(MID('Decision Register'!A59,5,20)),0),0)</f>
        <v>0</v>
      </c>
      <c r="AT58">
        <v>-56</v>
      </c>
      <c r="AV58" s="196">
        <v>56</v>
      </c>
      <c r="AX58">
        <v>-26</v>
      </c>
      <c r="AZ58" s="197">
        <f t="shared" ca="1" si="2"/>
        <v>46343</v>
      </c>
      <c r="BA58" s="197" t="str">
        <f t="shared" ca="1" si="3"/>
        <v/>
      </c>
      <c r="BB58" s="197">
        <v>46079</v>
      </c>
    </row>
    <row r="59" spans="1:54">
      <c r="P59" s="1"/>
      <c r="Q59" s="1"/>
      <c r="R59" s="1"/>
      <c r="X59">
        <f>IF(LEFT('Decision Queue'!A60,4)="DEC-",IFERROR(VALUE(MID('Decision Queue'!A60,5,20)),0),0)</f>
        <v>0</v>
      </c>
      <c r="Y59">
        <f>IF(LEFT('Decision Register'!A60,4)="DEC-",IFERROR(VALUE(MID('Decision Register'!A60,5,20)),0),0)</f>
        <v>0</v>
      </c>
      <c r="AT59">
        <v>-57</v>
      </c>
      <c r="AV59" s="196">
        <v>57</v>
      </c>
      <c r="AX59">
        <v>-27</v>
      </c>
      <c r="AZ59" s="197">
        <f t="shared" ca="1" si="2"/>
        <v>46344</v>
      </c>
      <c r="BA59" s="197" t="str">
        <f t="shared" ca="1" si="3"/>
        <v/>
      </c>
      <c r="BB59" s="197">
        <v>46080</v>
      </c>
    </row>
    <row r="60" spans="1:54">
      <c r="P60" s="1"/>
      <c r="Q60" s="1"/>
      <c r="R60" s="1"/>
      <c r="X60">
        <f>IF(LEFT('Decision Queue'!A61,4)="DEC-",IFERROR(VALUE(MID('Decision Queue'!A61,5,20)),0),0)</f>
        <v>0</v>
      </c>
      <c r="Y60">
        <f>IF(LEFT('Decision Register'!A61,4)="DEC-",IFERROR(VALUE(MID('Decision Register'!A61,5,20)),0),0)</f>
        <v>0</v>
      </c>
      <c r="AT60">
        <v>-58</v>
      </c>
      <c r="AV60" s="196">
        <v>58</v>
      </c>
      <c r="AX60">
        <v>-28</v>
      </c>
      <c r="AZ60" s="197">
        <f t="shared" ca="1" si="2"/>
        <v>46345</v>
      </c>
      <c r="BA60" s="197" t="str">
        <f t="shared" ca="1" si="3"/>
        <v/>
      </c>
      <c r="BB60" s="197">
        <v>46081</v>
      </c>
    </row>
    <row r="61" spans="1:54">
      <c r="P61" s="1"/>
      <c r="Q61" s="1"/>
      <c r="R61" s="1"/>
      <c r="X61">
        <f>IF(LEFT('Decision Queue'!A62,4)="DEC-",IFERROR(VALUE(MID('Decision Queue'!A62,5,20)),0),0)</f>
        <v>0</v>
      </c>
      <c r="Y61">
        <f>IF(LEFT('Decision Register'!A62,4)="DEC-",IFERROR(VALUE(MID('Decision Register'!A62,5,20)),0),0)</f>
        <v>0</v>
      </c>
      <c r="AT61">
        <v>-59</v>
      </c>
      <c r="AV61" s="196">
        <v>59</v>
      </c>
      <c r="AX61">
        <v>-29</v>
      </c>
      <c r="AZ61" s="197">
        <f t="shared" ca="1" si="2"/>
        <v>46346</v>
      </c>
      <c r="BA61" s="197" t="str">
        <f t="shared" ca="1" si="3"/>
        <v/>
      </c>
      <c r="BB61" s="197">
        <v>46082</v>
      </c>
    </row>
    <row r="62" spans="1:54">
      <c r="P62" s="1"/>
      <c r="Q62" s="1"/>
      <c r="R62" s="1"/>
      <c r="X62">
        <f>IF(LEFT('Decision Queue'!A63,4)="DEC-",IFERROR(VALUE(MID('Decision Queue'!A63,5,20)),0),0)</f>
        <v>0</v>
      </c>
      <c r="Y62">
        <f>IF(LEFT('Decision Register'!A63,4)="DEC-",IFERROR(VALUE(MID('Decision Register'!A63,5,20)),0),0)</f>
        <v>0</v>
      </c>
      <c r="AT62">
        <v>-60</v>
      </c>
      <c r="AV62" s="196">
        <v>60</v>
      </c>
      <c r="AX62">
        <v>-30</v>
      </c>
      <c r="AZ62" s="197">
        <f t="shared" ca="1" si="2"/>
        <v>46347</v>
      </c>
      <c r="BA62" s="197" t="str">
        <f t="shared" ca="1" si="3"/>
        <v/>
      </c>
      <c r="BB62" s="197">
        <v>46083</v>
      </c>
    </row>
    <row r="63" spans="1:54">
      <c r="P63" s="1"/>
      <c r="Q63" s="1"/>
      <c r="R63" s="1"/>
      <c r="X63">
        <f>IF(LEFT('Decision Queue'!A64,4)="DEC-",IFERROR(VALUE(MID('Decision Queue'!A64,5,20)),0),0)</f>
        <v>0</v>
      </c>
      <c r="Y63">
        <f>IF(LEFT('Decision Register'!A64,4)="DEC-",IFERROR(VALUE(MID('Decision Register'!A64,5,20)),0),0)</f>
        <v>0</v>
      </c>
      <c r="AT63">
        <v>-61</v>
      </c>
      <c r="AV63" s="196">
        <v>61</v>
      </c>
      <c r="BA63" s="197" t="str">
        <f t="shared" ca="1" si="3"/>
        <v/>
      </c>
      <c r="BB63" s="197">
        <v>46084</v>
      </c>
    </row>
    <row r="64" spans="1:54">
      <c r="P64" s="1"/>
      <c r="Q64" s="1"/>
      <c r="R64" s="1"/>
      <c r="X64">
        <f>IF(LEFT('Decision Queue'!A65,4)="DEC-",IFERROR(VALUE(MID('Decision Queue'!A65,5,20)),0),0)</f>
        <v>0</v>
      </c>
      <c r="Y64">
        <f>IF(LEFT('Decision Register'!A65,4)="DEC-",IFERROR(VALUE(MID('Decision Register'!A65,5,20)),0),0)</f>
        <v>0</v>
      </c>
      <c r="AT64">
        <v>-62</v>
      </c>
      <c r="AV64" s="196">
        <v>62</v>
      </c>
      <c r="BA64" s="197" t="str">
        <f t="shared" ca="1" si="3"/>
        <v/>
      </c>
      <c r="BB64" s="197">
        <v>46085</v>
      </c>
    </row>
    <row r="65" spans="16:54">
      <c r="P65" s="1"/>
      <c r="Q65" s="1"/>
      <c r="R65" s="1"/>
      <c r="X65">
        <f>IF(LEFT('Decision Queue'!A66,4)="DEC-",IFERROR(VALUE(MID('Decision Queue'!A66,5,20)),0),0)</f>
        <v>0</v>
      </c>
      <c r="Y65">
        <f>IF(LEFT('Decision Register'!A66,4)="DEC-",IFERROR(VALUE(MID('Decision Register'!A66,5,20)),0),0)</f>
        <v>0</v>
      </c>
      <c r="AV65" s="196">
        <v>63</v>
      </c>
      <c r="BA65" s="197" t="str">
        <f t="shared" ca="1" si="3"/>
        <v/>
      </c>
      <c r="BB65" s="197">
        <v>46086</v>
      </c>
    </row>
    <row r="66" spans="16:54">
      <c r="P66" s="1"/>
      <c r="Q66" s="1"/>
      <c r="R66" s="1"/>
      <c r="X66">
        <f>IF(LEFT('Decision Queue'!A67,4)="DEC-",IFERROR(VALUE(MID('Decision Queue'!A67,5,20)),0),0)</f>
        <v>0</v>
      </c>
      <c r="Y66">
        <f>IF(LEFT('Decision Register'!A67,4)="DEC-",IFERROR(VALUE(MID('Decision Register'!A67,5,20)),0),0)</f>
        <v>0</v>
      </c>
      <c r="AV66" s="196">
        <v>64</v>
      </c>
      <c r="BA66" s="197" t="str">
        <f t="shared" ca="1" si="3"/>
        <v/>
      </c>
      <c r="BB66" s="197">
        <v>46087</v>
      </c>
    </row>
    <row r="67" spans="16:54">
      <c r="P67" s="1"/>
      <c r="Q67" s="1"/>
      <c r="R67" s="1"/>
      <c r="X67">
        <f>IF(LEFT('Decision Queue'!A68,4)="DEC-",IFERROR(VALUE(MID('Decision Queue'!A68,5,20)),0),0)</f>
        <v>0</v>
      </c>
      <c r="Y67">
        <f>IF(LEFT('Decision Register'!A68,4)="DEC-",IFERROR(VALUE(MID('Decision Register'!A68,5,20)),0),0)</f>
        <v>0</v>
      </c>
      <c r="AV67" s="196">
        <v>65</v>
      </c>
      <c r="BA67" s="197" t="str">
        <f t="shared" ref="BA67:BA130" ca="1" si="4">IF(TODAY()=BB67,BB67,"")</f>
        <v/>
      </c>
      <c r="BB67" s="197">
        <v>46088</v>
      </c>
    </row>
    <row r="68" spans="16:54">
      <c r="P68" s="1"/>
      <c r="Q68" s="1"/>
      <c r="R68" s="1"/>
      <c r="X68">
        <f>IF(LEFT('Decision Queue'!A69,4)="DEC-",IFERROR(VALUE(MID('Decision Queue'!A69,5,20)),0),0)</f>
        <v>0</v>
      </c>
      <c r="Y68">
        <f>IF(LEFT('Decision Register'!A69,4)="DEC-",IFERROR(VALUE(MID('Decision Register'!A69,5,20)),0),0)</f>
        <v>0</v>
      </c>
      <c r="AV68" s="196">
        <v>66</v>
      </c>
      <c r="BA68" s="197" t="str">
        <f t="shared" ca="1" si="4"/>
        <v/>
      </c>
      <c r="BB68" s="197">
        <v>46089</v>
      </c>
    </row>
    <row r="69" spans="16:54">
      <c r="P69" s="1"/>
      <c r="Q69" s="1"/>
      <c r="R69" s="1"/>
      <c r="X69">
        <f>IF(LEFT('Decision Queue'!A70,4)="DEC-",IFERROR(VALUE(MID('Decision Queue'!A70,5,20)),0),0)</f>
        <v>0</v>
      </c>
      <c r="Y69">
        <f>IF(LEFT('Decision Register'!A70,4)="DEC-",IFERROR(VALUE(MID('Decision Register'!A70,5,20)),0),0)</f>
        <v>0</v>
      </c>
      <c r="AV69" s="196">
        <v>67</v>
      </c>
      <c r="BA69" s="197" t="str">
        <f t="shared" ca="1" si="4"/>
        <v/>
      </c>
      <c r="BB69" s="197">
        <v>46090</v>
      </c>
    </row>
    <row r="70" spans="16:54">
      <c r="P70" s="1"/>
      <c r="Q70" s="1"/>
      <c r="R70" s="1"/>
      <c r="X70">
        <f>IF(LEFT('Decision Queue'!A71,4)="DEC-",IFERROR(VALUE(MID('Decision Queue'!A71,5,20)),0),0)</f>
        <v>0</v>
      </c>
      <c r="Y70">
        <f>IF(LEFT('Decision Register'!A71,4)="DEC-",IFERROR(VALUE(MID('Decision Register'!A71,5,20)),0),0)</f>
        <v>0</v>
      </c>
      <c r="AV70" s="196">
        <v>68</v>
      </c>
      <c r="BA70" s="197" t="str">
        <f t="shared" ca="1" si="4"/>
        <v/>
      </c>
      <c r="BB70" s="197">
        <v>46091</v>
      </c>
    </row>
    <row r="71" spans="16:54">
      <c r="P71" s="1"/>
      <c r="Q71" s="1"/>
      <c r="R71" s="1"/>
      <c r="X71">
        <f>IF(LEFT('Decision Queue'!A72,4)="DEC-",IFERROR(VALUE(MID('Decision Queue'!A72,5,20)),0),0)</f>
        <v>0</v>
      </c>
      <c r="Y71">
        <f>IF(LEFT('Decision Register'!A72,4)="DEC-",IFERROR(VALUE(MID('Decision Register'!A72,5,20)),0),0)</f>
        <v>0</v>
      </c>
      <c r="AV71" s="196">
        <v>69</v>
      </c>
      <c r="BA71" s="197" t="str">
        <f t="shared" ca="1" si="4"/>
        <v/>
      </c>
      <c r="BB71" s="197">
        <v>46092</v>
      </c>
    </row>
    <row r="72" spans="16:54">
      <c r="P72" s="1"/>
      <c r="Q72" s="1"/>
      <c r="R72" s="1"/>
      <c r="X72">
        <f>IF(LEFT('Decision Queue'!A73,4)="DEC-",IFERROR(VALUE(MID('Decision Queue'!A73,5,20)),0),0)</f>
        <v>0</v>
      </c>
      <c r="Y72">
        <f>IF(LEFT('Decision Register'!A73,4)="DEC-",IFERROR(VALUE(MID('Decision Register'!A73,5,20)),0),0)</f>
        <v>0</v>
      </c>
      <c r="AV72" s="196">
        <v>70</v>
      </c>
      <c r="BA72" s="197" t="str">
        <f t="shared" ca="1" si="4"/>
        <v/>
      </c>
      <c r="BB72" s="197">
        <v>46093</v>
      </c>
    </row>
    <row r="73" spans="16:54">
      <c r="P73" s="1"/>
      <c r="Q73" s="1"/>
      <c r="R73" s="1"/>
      <c r="X73">
        <f>IF(LEFT('Decision Queue'!A74,4)="DEC-",IFERROR(VALUE(MID('Decision Queue'!A74,5,20)),0),0)</f>
        <v>0</v>
      </c>
      <c r="Y73">
        <f>IF(LEFT('Decision Register'!A74,4)="DEC-",IFERROR(VALUE(MID('Decision Register'!A74,5,20)),0),0)</f>
        <v>0</v>
      </c>
      <c r="AV73" s="196">
        <v>71</v>
      </c>
      <c r="BA73" s="197" t="str">
        <f t="shared" ca="1" si="4"/>
        <v/>
      </c>
      <c r="BB73" s="197">
        <v>46094</v>
      </c>
    </row>
    <row r="74" spans="16:54">
      <c r="P74" s="1"/>
      <c r="Q74" s="1"/>
      <c r="R74" s="1"/>
      <c r="X74">
        <f>IF(LEFT('Decision Queue'!A75,4)="DEC-",IFERROR(VALUE(MID('Decision Queue'!A75,5,20)),0),0)</f>
        <v>0</v>
      </c>
      <c r="Y74">
        <f>IF(LEFT('Decision Register'!A75,4)="DEC-",IFERROR(VALUE(MID('Decision Register'!A75,5,20)),0),0)</f>
        <v>0</v>
      </c>
      <c r="AV74" s="196">
        <v>72</v>
      </c>
      <c r="BA74" s="197" t="str">
        <f t="shared" ca="1" si="4"/>
        <v/>
      </c>
      <c r="BB74" s="197">
        <v>46095</v>
      </c>
    </row>
    <row r="75" spans="16:54">
      <c r="P75" s="1"/>
      <c r="Q75" s="1"/>
      <c r="R75" s="1"/>
      <c r="X75">
        <f>IF(LEFT('Decision Queue'!A76,4)="DEC-",IFERROR(VALUE(MID('Decision Queue'!A76,5,20)),0),0)</f>
        <v>0</v>
      </c>
      <c r="Y75">
        <f>IF(LEFT('Decision Register'!A76,4)="DEC-",IFERROR(VALUE(MID('Decision Register'!A76,5,20)),0),0)</f>
        <v>0</v>
      </c>
      <c r="AV75" s="196">
        <v>73</v>
      </c>
      <c r="BA75" s="197" t="str">
        <f t="shared" ca="1" si="4"/>
        <v/>
      </c>
      <c r="BB75" s="197">
        <v>46096</v>
      </c>
    </row>
    <row r="76" spans="16:54">
      <c r="P76" s="1"/>
      <c r="Q76" s="1"/>
      <c r="R76" s="1"/>
      <c r="X76">
        <f>IF(LEFT('Decision Queue'!A77,4)="DEC-",IFERROR(VALUE(MID('Decision Queue'!A77,5,20)),0),0)</f>
        <v>0</v>
      </c>
      <c r="Y76">
        <f>IF(LEFT('Decision Register'!A77,4)="DEC-",IFERROR(VALUE(MID('Decision Register'!A77,5,20)),0),0)</f>
        <v>0</v>
      </c>
      <c r="AV76" s="196">
        <v>74</v>
      </c>
      <c r="BA76" s="197" t="str">
        <f t="shared" ca="1" si="4"/>
        <v/>
      </c>
      <c r="BB76" s="197">
        <v>46097</v>
      </c>
    </row>
    <row r="77" spans="16:54">
      <c r="P77" s="1"/>
      <c r="Q77" s="1"/>
      <c r="R77" s="1"/>
      <c r="X77">
        <f>IF(LEFT('Decision Queue'!A78,4)="DEC-",IFERROR(VALUE(MID('Decision Queue'!A78,5,20)),0),0)</f>
        <v>0</v>
      </c>
      <c r="Y77">
        <f>IF(LEFT('Decision Register'!A78,4)="DEC-",IFERROR(VALUE(MID('Decision Register'!A78,5,20)),0),0)</f>
        <v>0</v>
      </c>
      <c r="AV77" s="196">
        <v>75</v>
      </c>
      <c r="BA77" s="197" t="str">
        <f t="shared" ca="1" si="4"/>
        <v/>
      </c>
      <c r="BB77" s="197">
        <v>46098</v>
      </c>
    </row>
    <row r="78" spans="16:54">
      <c r="P78" s="1"/>
      <c r="Q78" s="1"/>
      <c r="R78" s="1"/>
      <c r="X78">
        <f>IF(LEFT('Decision Queue'!A79,4)="DEC-",IFERROR(VALUE(MID('Decision Queue'!A79,5,20)),0),0)</f>
        <v>0</v>
      </c>
      <c r="Y78">
        <f>IF(LEFT('Decision Register'!A79,4)="DEC-",IFERROR(VALUE(MID('Decision Register'!A79,5,20)),0),0)</f>
        <v>0</v>
      </c>
      <c r="AV78" s="196">
        <v>76</v>
      </c>
      <c r="BA78" s="197" t="str">
        <f t="shared" ca="1" si="4"/>
        <v/>
      </c>
      <c r="BB78" s="197">
        <v>46099</v>
      </c>
    </row>
    <row r="79" spans="16:54">
      <c r="P79" s="1"/>
      <c r="Q79" s="1"/>
      <c r="R79" s="1"/>
      <c r="X79">
        <f>IF(LEFT('Decision Queue'!A80,4)="DEC-",IFERROR(VALUE(MID('Decision Queue'!A80,5,20)),0),0)</f>
        <v>0</v>
      </c>
      <c r="Y79">
        <f>IF(LEFT('Decision Register'!A80,4)="DEC-",IFERROR(VALUE(MID('Decision Register'!A80,5,20)),0),0)</f>
        <v>0</v>
      </c>
      <c r="AV79" s="196">
        <v>77</v>
      </c>
      <c r="BA79" s="197" t="str">
        <f t="shared" ca="1" si="4"/>
        <v/>
      </c>
      <c r="BB79" s="197">
        <v>46100</v>
      </c>
    </row>
    <row r="80" spans="16:54">
      <c r="P80" s="1"/>
      <c r="Q80" s="1"/>
      <c r="R80" s="1"/>
      <c r="X80">
        <f>IF(LEFT('Decision Queue'!A81,4)="DEC-",IFERROR(VALUE(MID('Decision Queue'!A81,5,20)),0),0)</f>
        <v>0</v>
      </c>
      <c r="Y80">
        <f>IF(LEFT('Decision Register'!A81,4)="DEC-",IFERROR(VALUE(MID('Decision Register'!A81,5,20)),0),0)</f>
        <v>0</v>
      </c>
      <c r="AV80" s="196">
        <v>78</v>
      </c>
      <c r="BA80" s="197" t="str">
        <f t="shared" ca="1" si="4"/>
        <v/>
      </c>
      <c r="BB80" s="197">
        <v>46101</v>
      </c>
    </row>
    <row r="81" spans="16:54">
      <c r="P81" s="1"/>
      <c r="Q81" s="1"/>
      <c r="R81" s="1"/>
      <c r="X81">
        <f>IF(LEFT('Decision Queue'!A82,4)="DEC-",IFERROR(VALUE(MID('Decision Queue'!A82,5,20)),0),0)</f>
        <v>0</v>
      </c>
      <c r="Y81">
        <f>IF(LEFT('Decision Register'!A82,4)="DEC-",IFERROR(VALUE(MID('Decision Register'!A82,5,20)),0),0)</f>
        <v>0</v>
      </c>
      <c r="AV81" s="196">
        <v>79</v>
      </c>
      <c r="BA81" s="197" t="str">
        <f t="shared" ca="1" si="4"/>
        <v/>
      </c>
      <c r="BB81" s="197">
        <v>46102</v>
      </c>
    </row>
    <row r="82" spans="16:54">
      <c r="P82" s="1"/>
      <c r="Q82" s="1"/>
      <c r="R82" s="1"/>
      <c r="X82">
        <f>IF(LEFT('Decision Queue'!A83,4)="DEC-",IFERROR(VALUE(MID('Decision Queue'!A83,5,20)),0),0)</f>
        <v>0</v>
      </c>
      <c r="Y82">
        <f>IF(LEFT('Decision Register'!A83,4)="DEC-",IFERROR(VALUE(MID('Decision Register'!A83,5,20)),0),0)</f>
        <v>0</v>
      </c>
      <c r="AV82" s="196">
        <v>80</v>
      </c>
      <c r="BA82" s="197" t="str">
        <f t="shared" ca="1" si="4"/>
        <v/>
      </c>
      <c r="BB82" s="197">
        <v>46103</v>
      </c>
    </row>
    <row r="83" spans="16:54">
      <c r="P83" s="1"/>
      <c r="Q83" s="1"/>
      <c r="R83" s="1"/>
      <c r="X83">
        <f>IF(LEFT('Decision Queue'!A84,4)="DEC-",IFERROR(VALUE(MID('Decision Queue'!A84,5,20)),0),0)</f>
        <v>0</v>
      </c>
      <c r="Y83">
        <f>IF(LEFT('Decision Register'!A84,4)="DEC-",IFERROR(VALUE(MID('Decision Register'!A84,5,20)),0),0)</f>
        <v>0</v>
      </c>
      <c r="AV83" s="196">
        <v>81</v>
      </c>
      <c r="BA83" s="197" t="str">
        <f t="shared" ca="1" si="4"/>
        <v/>
      </c>
      <c r="BB83" s="197">
        <v>46104</v>
      </c>
    </row>
    <row r="84" spans="16:54">
      <c r="P84" s="1"/>
      <c r="Q84" s="1"/>
      <c r="R84" s="1"/>
      <c r="X84">
        <f>IF(LEFT('Decision Queue'!A85,4)="DEC-",IFERROR(VALUE(MID('Decision Queue'!A85,5,20)),0),0)</f>
        <v>0</v>
      </c>
      <c r="Y84">
        <f>IF(LEFT('Decision Register'!A85,4)="DEC-",IFERROR(VALUE(MID('Decision Register'!A85,5,20)),0),0)</f>
        <v>0</v>
      </c>
      <c r="AV84" s="196">
        <v>82</v>
      </c>
      <c r="BA84" s="197" t="str">
        <f t="shared" ca="1" si="4"/>
        <v/>
      </c>
      <c r="BB84" s="197">
        <v>46105</v>
      </c>
    </row>
    <row r="85" spans="16:54">
      <c r="P85" s="1"/>
      <c r="Q85" s="1"/>
      <c r="R85" s="1"/>
      <c r="X85">
        <f>IF(LEFT('Decision Queue'!A86,4)="DEC-",IFERROR(VALUE(MID('Decision Queue'!A86,5,20)),0),0)</f>
        <v>0</v>
      </c>
      <c r="Y85">
        <f>IF(LEFT('Decision Register'!A86,4)="DEC-",IFERROR(VALUE(MID('Decision Register'!A86,5,20)),0),0)</f>
        <v>0</v>
      </c>
      <c r="AV85" s="196">
        <v>83</v>
      </c>
      <c r="BA85" s="197" t="str">
        <f t="shared" ca="1" si="4"/>
        <v/>
      </c>
      <c r="BB85" s="197">
        <v>46106</v>
      </c>
    </row>
    <row r="86" spans="16:54">
      <c r="P86" s="1"/>
      <c r="Q86" s="1"/>
      <c r="R86" s="1"/>
      <c r="X86">
        <f>IF(LEFT('Decision Queue'!A87,4)="DEC-",IFERROR(VALUE(MID('Decision Queue'!A87,5,20)),0),0)</f>
        <v>0</v>
      </c>
      <c r="Y86">
        <f>IF(LEFT('Decision Register'!A87,4)="DEC-",IFERROR(VALUE(MID('Decision Register'!A87,5,20)),0),0)</f>
        <v>0</v>
      </c>
      <c r="AV86" s="196">
        <v>84</v>
      </c>
      <c r="BA86" s="197" t="str">
        <f t="shared" ca="1" si="4"/>
        <v/>
      </c>
      <c r="BB86" s="197">
        <v>46107</v>
      </c>
    </row>
    <row r="87" spans="16:54">
      <c r="P87" s="1"/>
      <c r="Q87" s="1"/>
      <c r="R87" s="1"/>
      <c r="X87">
        <f>IF(LEFT('Decision Queue'!A88,4)="DEC-",IFERROR(VALUE(MID('Decision Queue'!A88,5,20)),0),0)</f>
        <v>0</v>
      </c>
      <c r="Y87">
        <f>IF(LEFT('Decision Register'!A88,4)="DEC-",IFERROR(VALUE(MID('Decision Register'!A88,5,20)),0),0)</f>
        <v>0</v>
      </c>
      <c r="AV87" s="196">
        <v>85</v>
      </c>
      <c r="BA87" s="197" t="str">
        <f t="shared" ca="1" si="4"/>
        <v/>
      </c>
      <c r="BB87" s="197">
        <v>46108</v>
      </c>
    </row>
    <row r="88" spans="16:54">
      <c r="P88" s="1"/>
      <c r="Q88" s="1"/>
      <c r="R88" s="1"/>
      <c r="X88">
        <f>IF(LEFT('Decision Queue'!A89,4)="DEC-",IFERROR(VALUE(MID('Decision Queue'!A89,5,20)),0),0)</f>
        <v>0</v>
      </c>
      <c r="Y88">
        <f>IF(LEFT('Decision Register'!A89,4)="DEC-",IFERROR(VALUE(MID('Decision Register'!A89,5,20)),0),0)</f>
        <v>0</v>
      </c>
      <c r="AV88" s="196">
        <v>86</v>
      </c>
      <c r="BA88" s="197" t="str">
        <f t="shared" ca="1" si="4"/>
        <v/>
      </c>
      <c r="BB88" s="197">
        <v>46109</v>
      </c>
    </row>
    <row r="89" spans="16:54">
      <c r="P89" s="1"/>
      <c r="Q89" s="1"/>
      <c r="R89" s="1"/>
      <c r="X89">
        <f>IF(LEFT('Decision Queue'!A90,4)="DEC-",IFERROR(VALUE(MID('Decision Queue'!A90,5,20)),0),0)</f>
        <v>0</v>
      </c>
      <c r="Y89">
        <f>IF(LEFT('Decision Register'!A90,4)="DEC-",IFERROR(VALUE(MID('Decision Register'!A90,5,20)),0),0)</f>
        <v>0</v>
      </c>
      <c r="AV89" s="196">
        <v>87</v>
      </c>
      <c r="BA89" s="197" t="str">
        <f t="shared" ca="1" si="4"/>
        <v/>
      </c>
      <c r="BB89" s="197">
        <v>46110</v>
      </c>
    </row>
    <row r="90" spans="16:54">
      <c r="P90" s="1"/>
      <c r="Q90" s="1"/>
      <c r="R90" s="1"/>
      <c r="X90">
        <f>IF(LEFT('Decision Queue'!A91,4)="DEC-",IFERROR(VALUE(MID('Decision Queue'!A91,5,20)),0),0)</f>
        <v>0</v>
      </c>
      <c r="Y90">
        <f>IF(LEFT('Decision Register'!A91,4)="DEC-",IFERROR(VALUE(MID('Decision Register'!A91,5,20)),0),0)</f>
        <v>0</v>
      </c>
      <c r="AV90" s="196">
        <v>88</v>
      </c>
      <c r="BA90" s="197" t="str">
        <f t="shared" ca="1" si="4"/>
        <v/>
      </c>
      <c r="BB90" s="197">
        <v>46111</v>
      </c>
    </row>
    <row r="91" spans="16:54">
      <c r="P91" s="1"/>
      <c r="Q91" s="1"/>
      <c r="R91" s="1"/>
      <c r="X91">
        <f>IF(LEFT('Decision Queue'!A92,4)="DEC-",IFERROR(VALUE(MID('Decision Queue'!A92,5,20)),0),0)</f>
        <v>0</v>
      </c>
      <c r="Y91">
        <f>IF(LEFT('Decision Register'!A92,4)="DEC-",IFERROR(VALUE(MID('Decision Register'!A92,5,20)),0),0)</f>
        <v>0</v>
      </c>
      <c r="AV91" s="196">
        <v>89</v>
      </c>
      <c r="BA91" s="197" t="str">
        <f t="shared" ca="1" si="4"/>
        <v/>
      </c>
      <c r="BB91" s="197">
        <v>46112</v>
      </c>
    </row>
    <row r="92" spans="16:54">
      <c r="P92" s="1"/>
      <c r="Q92" s="1"/>
      <c r="R92" s="1"/>
      <c r="X92">
        <f>IF(LEFT('Decision Queue'!A93,4)="DEC-",IFERROR(VALUE(MID('Decision Queue'!A93,5,20)),0),0)</f>
        <v>0</v>
      </c>
      <c r="Y92">
        <f>IF(LEFT('Decision Register'!A93,4)="DEC-",IFERROR(VALUE(MID('Decision Register'!A93,5,20)),0),0)</f>
        <v>0</v>
      </c>
      <c r="AV92" s="196">
        <v>90</v>
      </c>
      <c r="BA92" s="197" t="str">
        <f t="shared" ca="1" si="4"/>
        <v/>
      </c>
      <c r="BB92" s="197">
        <v>46113</v>
      </c>
    </row>
    <row r="93" spans="16:54">
      <c r="P93" s="1"/>
      <c r="Q93" s="1"/>
      <c r="R93" s="1"/>
      <c r="X93">
        <f>IF(LEFT('Decision Queue'!A94,4)="DEC-",IFERROR(VALUE(MID('Decision Queue'!A94,5,20)),0),0)</f>
        <v>0</v>
      </c>
      <c r="Y93">
        <f>IF(LEFT('Decision Register'!A94,4)="DEC-",IFERROR(VALUE(MID('Decision Register'!A94,5,20)),0),0)</f>
        <v>0</v>
      </c>
      <c r="AV93" s="196">
        <v>91</v>
      </c>
      <c r="BA93" s="197" t="str">
        <f t="shared" ca="1" si="4"/>
        <v/>
      </c>
      <c r="BB93" s="197">
        <v>46114</v>
      </c>
    </row>
    <row r="94" spans="16:54">
      <c r="P94" s="1"/>
      <c r="Q94" s="1"/>
      <c r="R94" s="1"/>
      <c r="X94">
        <f>IF(LEFT('Decision Queue'!A95,4)="DEC-",IFERROR(VALUE(MID('Decision Queue'!A95,5,20)),0),0)</f>
        <v>0</v>
      </c>
      <c r="Y94">
        <f>IF(LEFT('Decision Register'!A95,4)="DEC-",IFERROR(VALUE(MID('Decision Register'!A95,5,20)),0),0)</f>
        <v>0</v>
      </c>
      <c r="AV94" s="196">
        <v>92</v>
      </c>
      <c r="BA94" s="197" t="str">
        <f t="shared" ca="1" si="4"/>
        <v/>
      </c>
      <c r="BB94" s="197">
        <v>46115</v>
      </c>
    </row>
    <row r="95" spans="16:54">
      <c r="P95" s="1"/>
      <c r="Q95" s="1"/>
      <c r="R95" s="1"/>
      <c r="X95">
        <f>IF(LEFT('Decision Queue'!A96,4)="DEC-",IFERROR(VALUE(MID('Decision Queue'!A96,5,20)),0),0)</f>
        <v>0</v>
      </c>
      <c r="Y95">
        <f>IF(LEFT('Decision Register'!A96,4)="DEC-",IFERROR(VALUE(MID('Decision Register'!A96,5,20)),0),0)</f>
        <v>0</v>
      </c>
      <c r="AV95" s="196">
        <v>93</v>
      </c>
      <c r="BA95" s="197" t="str">
        <f t="shared" ca="1" si="4"/>
        <v/>
      </c>
      <c r="BB95" s="197">
        <v>46116</v>
      </c>
    </row>
    <row r="96" spans="16:54">
      <c r="P96" s="1"/>
      <c r="Q96" s="1"/>
      <c r="R96" s="1"/>
      <c r="X96">
        <f>IF(LEFT('Decision Queue'!A97,4)="DEC-",IFERROR(VALUE(MID('Decision Queue'!A97,5,20)),0),0)</f>
        <v>0</v>
      </c>
      <c r="Y96">
        <f>IF(LEFT('Decision Register'!A97,4)="DEC-",IFERROR(VALUE(MID('Decision Register'!A97,5,20)),0),0)</f>
        <v>0</v>
      </c>
      <c r="AV96" s="196">
        <v>94</v>
      </c>
      <c r="BA96" s="197" t="str">
        <f t="shared" ca="1" si="4"/>
        <v/>
      </c>
      <c r="BB96" s="197">
        <v>46117</v>
      </c>
    </row>
    <row r="97" spans="16:54">
      <c r="P97" s="1"/>
      <c r="Q97" s="1"/>
      <c r="R97" s="1"/>
      <c r="X97">
        <f>IF(LEFT('Decision Queue'!A98,4)="DEC-",IFERROR(VALUE(MID('Decision Queue'!A98,5,20)),0),0)</f>
        <v>0</v>
      </c>
      <c r="Y97">
        <f>IF(LEFT('Decision Register'!A98,4)="DEC-",IFERROR(VALUE(MID('Decision Register'!A98,5,20)),0),0)</f>
        <v>0</v>
      </c>
      <c r="AV97" s="196">
        <v>95</v>
      </c>
      <c r="BA97" s="197" t="str">
        <f t="shared" ca="1" si="4"/>
        <v/>
      </c>
      <c r="BB97" s="197">
        <v>46118</v>
      </c>
    </row>
    <row r="98" spans="16:54">
      <c r="P98" s="1"/>
      <c r="Q98" s="1"/>
      <c r="R98" s="1"/>
      <c r="X98">
        <f>IF(LEFT('Decision Queue'!A99,4)="DEC-",IFERROR(VALUE(MID('Decision Queue'!A99,5,20)),0),0)</f>
        <v>0</v>
      </c>
      <c r="Y98">
        <f>IF(LEFT('Decision Register'!A99,4)="DEC-",IFERROR(VALUE(MID('Decision Register'!A99,5,20)),0),0)</f>
        <v>0</v>
      </c>
      <c r="AV98" s="196">
        <v>96</v>
      </c>
      <c r="BA98" s="197" t="str">
        <f t="shared" ca="1" si="4"/>
        <v/>
      </c>
      <c r="BB98" s="197">
        <v>46119</v>
      </c>
    </row>
    <row r="99" spans="16:54">
      <c r="P99" s="1"/>
      <c r="Q99" s="1"/>
      <c r="R99" s="1"/>
      <c r="X99">
        <f>IF(LEFT('Decision Queue'!A100,4)="DEC-",IFERROR(VALUE(MID('Decision Queue'!A100,5,20)),0),0)</f>
        <v>0</v>
      </c>
      <c r="Y99">
        <f>IF(LEFT('Decision Register'!A100,4)="DEC-",IFERROR(VALUE(MID('Decision Register'!A100,5,20)),0),0)</f>
        <v>0</v>
      </c>
      <c r="AV99" s="196">
        <v>97</v>
      </c>
      <c r="BA99" s="197" t="str">
        <f t="shared" ca="1" si="4"/>
        <v/>
      </c>
      <c r="BB99" s="197">
        <v>46120</v>
      </c>
    </row>
    <row r="100" spans="16:54">
      <c r="P100" s="1"/>
      <c r="Q100" s="1"/>
      <c r="R100" s="1"/>
      <c r="X100">
        <f>IF(LEFT('Decision Queue'!A101,4)="DEC-",IFERROR(VALUE(MID('Decision Queue'!A101,5,20)),0),0)</f>
        <v>0</v>
      </c>
      <c r="Y100">
        <f>IF(LEFT('Decision Register'!A101,4)="DEC-",IFERROR(VALUE(MID('Decision Register'!A101,5,20)),0),0)</f>
        <v>0</v>
      </c>
      <c r="AV100" s="196">
        <v>98</v>
      </c>
      <c r="BA100" s="197" t="str">
        <f t="shared" ca="1" si="4"/>
        <v/>
      </c>
      <c r="BB100" s="197">
        <v>46121</v>
      </c>
    </row>
    <row r="101" spans="16:54">
      <c r="P101" s="1"/>
      <c r="Q101" s="1"/>
      <c r="R101" s="1"/>
      <c r="X101">
        <f>IF(LEFT('Decision Queue'!A102,4)="DEC-",IFERROR(VALUE(MID('Decision Queue'!A102,5,20)),0),0)</f>
        <v>0</v>
      </c>
      <c r="Y101">
        <f>IF(LEFT('Decision Register'!A102,4)="DEC-",IFERROR(VALUE(MID('Decision Register'!A102,5,20)),0),0)</f>
        <v>0</v>
      </c>
      <c r="AV101" s="196">
        <v>99</v>
      </c>
      <c r="BA101" s="197" t="str">
        <f t="shared" ca="1" si="4"/>
        <v/>
      </c>
      <c r="BB101" s="197">
        <v>46122</v>
      </c>
    </row>
    <row r="102" spans="16:54">
      <c r="P102" s="1"/>
      <c r="Q102" s="1"/>
      <c r="R102" s="1"/>
      <c r="X102">
        <f>IF(LEFT('Decision Queue'!A103,4)="DEC-",IFERROR(VALUE(MID('Decision Queue'!A103,5,20)),0),0)</f>
        <v>0</v>
      </c>
      <c r="Y102">
        <f>IF(LEFT('Decision Register'!A103,4)="DEC-",IFERROR(VALUE(MID('Decision Register'!A103,5,20)),0),0)</f>
        <v>0</v>
      </c>
      <c r="AV102" s="196">
        <v>100</v>
      </c>
      <c r="BA102" s="197" t="str">
        <f t="shared" ca="1" si="4"/>
        <v/>
      </c>
      <c r="BB102" s="197">
        <v>46123</v>
      </c>
    </row>
    <row r="103" spans="16:54">
      <c r="P103" s="1"/>
      <c r="Q103" s="1"/>
      <c r="R103" s="1"/>
      <c r="X103">
        <f>IF(LEFT('Decision Queue'!A104,4)="DEC-",IFERROR(VALUE(MID('Decision Queue'!A104,5,20)),0),0)</f>
        <v>0</v>
      </c>
      <c r="Y103">
        <f>IF(LEFT('Decision Register'!A104,4)="DEC-",IFERROR(VALUE(MID('Decision Register'!A104,5,20)),0),0)</f>
        <v>0</v>
      </c>
      <c r="BA103" s="197" t="str">
        <f t="shared" ca="1" si="4"/>
        <v/>
      </c>
      <c r="BB103" s="197">
        <v>46124</v>
      </c>
    </row>
    <row r="104" spans="16:54">
      <c r="P104" s="1"/>
      <c r="Q104" s="1"/>
      <c r="R104" s="1"/>
      <c r="X104">
        <f>IF(LEFT('Decision Queue'!A105,4)="DEC-",IFERROR(VALUE(MID('Decision Queue'!A105,5,20)),0),0)</f>
        <v>0</v>
      </c>
      <c r="Y104">
        <f>IF(LEFT('Decision Register'!A105,4)="DEC-",IFERROR(VALUE(MID('Decision Register'!A105,5,20)),0),0)</f>
        <v>0</v>
      </c>
      <c r="BA104" s="197" t="str">
        <f t="shared" ca="1" si="4"/>
        <v/>
      </c>
      <c r="BB104" s="197">
        <v>46125</v>
      </c>
    </row>
    <row r="105" spans="16:54">
      <c r="P105" s="1"/>
      <c r="Q105" s="1"/>
      <c r="R105" s="1"/>
      <c r="X105">
        <f>IF(LEFT('Decision Queue'!A106,4)="DEC-",IFERROR(VALUE(MID('Decision Queue'!A106,5,20)),0),0)</f>
        <v>0</v>
      </c>
      <c r="Y105">
        <f>IF(LEFT('Decision Register'!A106,4)="DEC-",IFERROR(VALUE(MID('Decision Register'!A106,5,20)),0),0)</f>
        <v>0</v>
      </c>
      <c r="BA105" s="197" t="str">
        <f t="shared" ca="1" si="4"/>
        <v/>
      </c>
      <c r="BB105" s="197">
        <v>46126</v>
      </c>
    </row>
    <row r="106" spans="16:54">
      <c r="P106" s="1"/>
      <c r="Q106" s="1"/>
      <c r="R106" s="1"/>
      <c r="X106">
        <f>IF(LEFT('Decision Queue'!A107,4)="DEC-",IFERROR(VALUE(MID('Decision Queue'!A107,5,20)),0),0)</f>
        <v>0</v>
      </c>
      <c r="Y106">
        <f>IF(LEFT('Decision Register'!A107,4)="DEC-",IFERROR(VALUE(MID('Decision Register'!A107,5,20)),0),0)</f>
        <v>0</v>
      </c>
      <c r="BA106" s="197" t="str">
        <f t="shared" ca="1" si="4"/>
        <v/>
      </c>
      <c r="BB106" s="197">
        <v>46127</v>
      </c>
    </row>
    <row r="107" spans="16:54">
      <c r="P107" s="1"/>
      <c r="Q107" s="1"/>
      <c r="R107" s="1"/>
      <c r="X107">
        <f>IF(LEFT('Decision Queue'!A108,4)="DEC-",IFERROR(VALUE(MID('Decision Queue'!A108,5,20)),0),0)</f>
        <v>0</v>
      </c>
      <c r="Y107">
        <f>IF(LEFT('Decision Register'!A108,4)="DEC-",IFERROR(VALUE(MID('Decision Register'!A108,5,20)),0),0)</f>
        <v>0</v>
      </c>
      <c r="BA107" s="197" t="str">
        <f t="shared" ca="1" si="4"/>
        <v/>
      </c>
      <c r="BB107" s="197">
        <v>46128</v>
      </c>
    </row>
    <row r="108" spans="16:54">
      <c r="P108" s="1"/>
      <c r="Q108" s="1"/>
      <c r="R108" s="1"/>
      <c r="X108">
        <f>IF(LEFT('Decision Queue'!A109,4)="DEC-",IFERROR(VALUE(MID('Decision Queue'!A109,5,20)),0),0)</f>
        <v>0</v>
      </c>
      <c r="Y108">
        <f>IF(LEFT('Decision Register'!A109,4)="DEC-",IFERROR(VALUE(MID('Decision Register'!A109,5,20)),0),0)</f>
        <v>0</v>
      </c>
      <c r="BA108" s="197" t="str">
        <f t="shared" ca="1" si="4"/>
        <v/>
      </c>
      <c r="BB108" s="197">
        <v>46129</v>
      </c>
    </row>
    <row r="109" spans="16:54">
      <c r="P109" s="1"/>
      <c r="Q109" s="1"/>
      <c r="R109" s="1"/>
      <c r="X109">
        <f>IF(LEFT('Decision Queue'!A110,4)="DEC-",IFERROR(VALUE(MID('Decision Queue'!A110,5,20)),0),0)</f>
        <v>0</v>
      </c>
      <c r="Y109">
        <f>IF(LEFT('Decision Register'!A110,4)="DEC-",IFERROR(VALUE(MID('Decision Register'!A110,5,20)),0),0)</f>
        <v>0</v>
      </c>
      <c r="BA109" s="197" t="str">
        <f t="shared" ca="1" si="4"/>
        <v/>
      </c>
      <c r="BB109" s="197">
        <v>46130</v>
      </c>
    </row>
    <row r="110" spans="16:54">
      <c r="P110" s="1"/>
      <c r="Q110" s="1"/>
      <c r="R110" s="1"/>
      <c r="X110">
        <f>IF(LEFT('Decision Queue'!A111,4)="DEC-",IFERROR(VALUE(MID('Decision Queue'!A111,5,20)),0),0)</f>
        <v>0</v>
      </c>
      <c r="Y110">
        <f>IF(LEFT('Decision Register'!A111,4)="DEC-",IFERROR(VALUE(MID('Decision Register'!A111,5,20)),0),0)</f>
        <v>0</v>
      </c>
      <c r="BA110" s="197" t="str">
        <f t="shared" ca="1" si="4"/>
        <v/>
      </c>
      <c r="BB110" s="197">
        <v>46131</v>
      </c>
    </row>
    <row r="111" spans="16:54">
      <c r="P111" s="1"/>
      <c r="Q111" s="1"/>
      <c r="R111" s="1"/>
      <c r="X111">
        <f>IF(LEFT('Decision Queue'!A112,4)="DEC-",IFERROR(VALUE(MID('Decision Queue'!A112,5,20)),0),0)</f>
        <v>0</v>
      </c>
      <c r="Y111">
        <f>IF(LEFT('Decision Register'!A112,4)="DEC-",IFERROR(VALUE(MID('Decision Register'!A112,5,20)),0),0)</f>
        <v>0</v>
      </c>
      <c r="BA111" s="197" t="str">
        <f t="shared" ca="1" si="4"/>
        <v/>
      </c>
      <c r="BB111" s="197">
        <v>46132</v>
      </c>
    </row>
    <row r="112" spans="16:54">
      <c r="P112" s="1"/>
      <c r="Q112" s="1"/>
      <c r="R112" s="1"/>
      <c r="X112">
        <f>IF(LEFT('Decision Queue'!A113,4)="DEC-",IFERROR(VALUE(MID('Decision Queue'!A113,5,20)),0),0)</f>
        <v>0</v>
      </c>
      <c r="Y112">
        <f>IF(LEFT('Decision Register'!A113,4)="DEC-",IFERROR(VALUE(MID('Decision Register'!A113,5,20)),0),0)</f>
        <v>0</v>
      </c>
      <c r="BA112" s="197" t="str">
        <f t="shared" ca="1" si="4"/>
        <v/>
      </c>
      <c r="BB112" s="197">
        <v>46133</v>
      </c>
    </row>
    <row r="113" spans="16:54">
      <c r="P113" s="1"/>
      <c r="Q113" s="1"/>
      <c r="R113" s="1"/>
      <c r="X113">
        <f>IF(LEFT('Decision Queue'!A114,4)="DEC-",IFERROR(VALUE(MID('Decision Queue'!A114,5,20)),0),0)</f>
        <v>0</v>
      </c>
      <c r="Y113">
        <f>IF(LEFT('Decision Register'!A114,4)="DEC-",IFERROR(VALUE(MID('Decision Register'!A114,5,20)),0),0)</f>
        <v>0</v>
      </c>
      <c r="BA113" s="197" t="str">
        <f t="shared" ca="1" si="4"/>
        <v/>
      </c>
      <c r="BB113" s="197">
        <v>46134</v>
      </c>
    </row>
    <row r="114" spans="16:54">
      <c r="P114" s="1"/>
      <c r="Q114" s="1"/>
      <c r="R114" s="1"/>
      <c r="X114">
        <f>IF(LEFT('Decision Queue'!A115,4)="DEC-",IFERROR(VALUE(MID('Decision Queue'!A115,5,20)),0),0)</f>
        <v>0</v>
      </c>
      <c r="Y114">
        <f>IF(LEFT('Decision Register'!A115,4)="DEC-",IFERROR(VALUE(MID('Decision Register'!A115,5,20)),0),0)</f>
        <v>0</v>
      </c>
      <c r="BA114" s="197" t="str">
        <f t="shared" ca="1" si="4"/>
        <v/>
      </c>
      <c r="BB114" s="197">
        <v>46135</v>
      </c>
    </row>
    <row r="115" spans="16:54">
      <c r="P115" s="1"/>
      <c r="Q115" s="1"/>
      <c r="R115" s="1"/>
      <c r="X115">
        <f>IF(LEFT('Decision Queue'!A116,4)="DEC-",IFERROR(VALUE(MID('Decision Queue'!A116,5,20)),0),0)</f>
        <v>0</v>
      </c>
      <c r="Y115">
        <f>IF(LEFT('Decision Register'!A116,4)="DEC-",IFERROR(VALUE(MID('Decision Register'!A116,5,20)),0),0)</f>
        <v>0</v>
      </c>
      <c r="BA115" s="197" t="str">
        <f t="shared" ca="1" si="4"/>
        <v/>
      </c>
      <c r="BB115" s="197">
        <v>46136</v>
      </c>
    </row>
    <row r="116" spans="16:54">
      <c r="P116" s="1"/>
      <c r="Q116" s="1"/>
      <c r="R116" s="1"/>
      <c r="X116">
        <f>IF(LEFT('Decision Queue'!A117,4)="DEC-",IFERROR(VALUE(MID('Decision Queue'!A117,5,20)),0),0)</f>
        <v>0</v>
      </c>
      <c r="Y116">
        <f>IF(LEFT('Decision Register'!A117,4)="DEC-",IFERROR(VALUE(MID('Decision Register'!A117,5,20)),0),0)</f>
        <v>0</v>
      </c>
      <c r="BA116" s="197" t="str">
        <f t="shared" ca="1" si="4"/>
        <v/>
      </c>
      <c r="BB116" s="197">
        <v>46137</v>
      </c>
    </row>
    <row r="117" spans="16:54">
      <c r="P117" s="1"/>
      <c r="Q117" s="1"/>
      <c r="R117" s="1"/>
      <c r="X117">
        <f>IF(LEFT('Decision Queue'!A118,4)="DEC-",IFERROR(VALUE(MID('Decision Queue'!A118,5,20)),0),0)</f>
        <v>0</v>
      </c>
      <c r="Y117">
        <f>IF(LEFT('Decision Register'!A118,4)="DEC-",IFERROR(VALUE(MID('Decision Register'!A118,5,20)),0),0)</f>
        <v>0</v>
      </c>
      <c r="BA117" s="197" t="str">
        <f t="shared" ca="1" si="4"/>
        <v/>
      </c>
      <c r="BB117" s="197">
        <v>46138</v>
      </c>
    </row>
    <row r="118" spans="16:54">
      <c r="P118" s="1"/>
      <c r="Q118" s="1"/>
      <c r="R118" s="1"/>
      <c r="X118">
        <f>IF(LEFT('Decision Queue'!A119,4)="DEC-",IFERROR(VALUE(MID('Decision Queue'!A119,5,20)),0),0)</f>
        <v>0</v>
      </c>
      <c r="Y118">
        <f>IF(LEFT('Decision Register'!A119,4)="DEC-",IFERROR(VALUE(MID('Decision Register'!A119,5,20)),0),0)</f>
        <v>0</v>
      </c>
      <c r="BA118" s="197" t="str">
        <f t="shared" ca="1" si="4"/>
        <v/>
      </c>
      <c r="BB118" s="197">
        <v>46139</v>
      </c>
    </row>
    <row r="119" spans="16:54">
      <c r="P119" s="1"/>
      <c r="Q119" s="1"/>
      <c r="R119" s="1"/>
      <c r="X119">
        <f>IF(LEFT('Decision Queue'!A120,4)="DEC-",IFERROR(VALUE(MID('Decision Queue'!A120,5,20)),0),0)</f>
        <v>0</v>
      </c>
      <c r="Y119">
        <f>IF(LEFT('Decision Register'!A120,4)="DEC-",IFERROR(VALUE(MID('Decision Register'!A120,5,20)),0),0)</f>
        <v>0</v>
      </c>
      <c r="BA119" s="197" t="str">
        <f t="shared" ca="1" si="4"/>
        <v/>
      </c>
      <c r="BB119" s="197">
        <v>46140</v>
      </c>
    </row>
    <row r="120" spans="16:54">
      <c r="P120" s="1"/>
      <c r="Q120" s="1"/>
      <c r="R120" s="1"/>
      <c r="X120">
        <f>IF(LEFT('Decision Queue'!A121,4)="DEC-",IFERROR(VALUE(MID('Decision Queue'!A121,5,20)),0),0)</f>
        <v>0</v>
      </c>
      <c r="Y120">
        <f>IF(LEFT('Decision Register'!A121,4)="DEC-",IFERROR(VALUE(MID('Decision Register'!A121,5,20)),0),0)</f>
        <v>0</v>
      </c>
      <c r="BA120" s="197" t="str">
        <f t="shared" ca="1" si="4"/>
        <v/>
      </c>
      <c r="BB120" s="197">
        <v>46141</v>
      </c>
    </row>
    <row r="121" spans="16:54">
      <c r="P121" s="1"/>
      <c r="Q121" s="1"/>
      <c r="R121" s="1"/>
      <c r="X121">
        <f>IF(LEFT('Decision Queue'!A122,4)="DEC-",IFERROR(VALUE(MID('Decision Queue'!A122,5,20)),0),0)</f>
        <v>0</v>
      </c>
      <c r="Y121">
        <f>IF(LEFT('Decision Register'!A122,4)="DEC-",IFERROR(VALUE(MID('Decision Register'!A122,5,20)),0),0)</f>
        <v>0</v>
      </c>
      <c r="BA121" s="197" t="str">
        <f t="shared" ca="1" si="4"/>
        <v/>
      </c>
      <c r="BB121" s="197">
        <v>46142</v>
      </c>
    </row>
    <row r="122" spans="16:54">
      <c r="P122" s="1"/>
      <c r="Q122" s="1"/>
      <c r="R122" s="1"/>
      <c r="X122">
        <f>IF(LEFT('Decision Queue'!A123,4)="DEC-",IFERROR(VALUE(MID('Decision Queue'!A123,5,20)),0),0)</f>
        <v>0</v>
      </c>
      <c r="Y122">
        <f>IF(LEFT('Decision Register'!A123,4)="DEC-",IFERROR(VALUE(MID('Decision Register'!A123,5,20)),0),0)</f>
        <v>0</v>
      </c>
      <c r="BA122" s="197" t="str">
        <f t="shared" ca="1" si="4"/>
        <v/>
      </c>
      <c r="BB122" s="197">
        <v>46143</v>
      </c>
    </row>
    <row r="123" spans="16:54">
      <c r="P123" s="1"/>
      <c r="Q123" s="1"/>
      <c r="R123" s="1"/>
      <c r="X123">
        <f>IF(LEFT('Decision Queue'!A124,4)="DEC-",IFERROR(VALUE(MID('Decision Queue'!A124,5,20)),0),0)</f>
        <v>0</v>
      </c>
      <c r="Y123">
        <f>IF(LEFT('Decision Register'!A124,4)="DEC-",IFERROR(VALUE(MID('Decision Register'!A124,5,20)),0),0)</f>
        <v>0</v>
      </c>
      <c r="BA123" s="197" t="str">
        <f t="shared" ca="1" si="4"/>
        <v/>
      </c>
      <c r="BB123" s="197">
        <v>46144</v>
      </c>
    </row>
    <row r="124" spans="16:54">
      <c r="P124" s="1"/>
      <c r="Q124" s="1"/>
      <c r="R124" s="1"/>
      <c r="X124">
        <f>IF(LEFT('Decision Queue'!A125,4)="DEC-",IFERROR(VALUE(MID('Decision Queue'!A125,5,20)),0),0)</f>
        <v>0</v>
      </c>
      <c r="Y124">
        <f>IF(LEFT('Decision Register'!A125,4)="DEC-",IFERROR(VALUE(MID('Decision Register'!A125,5,20)),0),0)</f>
        <v>0</v>
      </c>
      <c r="BA124" s="197" t="str">
        <f t="shared" ca="1" si="4"/>
        <v/>
      </c>
      <c r="BB124" s="197">
        <v>46145</v>
      </c>
    </row>
    <row r="125" spans="16:54">
      <c r="P125" s="1"/>
      <c r="Q125" s="1"/>
      <c r="R125" s="1"/>
      <c r="X125">
        <f>IF(LEFT('Decision Queue'!A126,4)="DEC-",IFERROR(VALUE(MID('Decision Queue'!A126,5,20)),0),0)</f>
        <v>0</v>
      </c>
      <c r="Y125">
        <f>IF(LEFT('Decision Register'!A126,4)="DEC-",IFERROR(VALUE(MID('Decision Register'!A126,5,20)),0),0)</f>
        <v>0</v>
      </c>
      <c r="BA125" s="197" t="str">
        <f t="shared" ca="1" si="4"/>
        <v/>
      </c>
      <c r="BB125" s="197">
        <v>46146</v>
      </c>
    </row>
    <row r="126" spans="16:54">
      <c r="P126" s="1"/>
      <c r="Q126" s="1"/>
      <c r="R126" s="1"/>
      <c r="X126">
        <f>IF(LEFT('Decision Queue'!A127,4)="DEC-",IFERROR(VALUE(MID('Decision Queue'!A127,5,20)),0),0)</f>
        <v>0</v>
      </c>
      <c r="Y126">
        <f>IF(LEFT('Decision Register'!A127,4)="DEC-",IFERROR(VALUE(MID('Decision Register'!A127,5,20)),0),0)</f>
        <v>0</v>
      </c>
      <c r="BA126" s="197" t="str">
        <f t="shared" ca="1" si="4"/>
        <v/>
      </c>
      <c r="BB126" s="197">
        <v>46147</v>
      </c>
    </row>
    <row r="127" spans="16:54">
      <c r="P127" s="1"/>
      <c r="Q127" s="1"/>
      <c r="R127" s="1"/>
      <c r="X127">
        <f>IF(LEFT('Decision Queue'!A128,4)="DEC-",IFERROR(VALUE(MID('Decision Queue'!A128,5,20)),0),0)</f>
        <v>0</v>
      </c>
      <c r="Y127">
        <f>IF(LEFT('Decision Register'!A128,4)="DEC-",IFERROR(VALUE(MID('Decision Register'!A128,5,20)),0),0)</f>
        <v>0</v>
      </c>
      <c r="BA127" s="197" t="str">
        <f t="shared" ca="1" si="4"/>
        <v/>
      </c>
      <c r="BB127" s="197">
        <v>46148</v>
      </c>
    </row>
    <row r="128" spans="16:54">
      <c r="P128" s="1"/>
      <c r="Q128" s="1"/>
      <c r="R128" s="1"/>
      <c r="X128">
        <f>IF(LEFT('Decision Queue'!A129,4)="DEC-",IFERROR(VALUE(MID('Decision Queue'!A129,5,20)),0),0)</f>
        <v>0</v>
      </c>
      <c r="Y128">
        <f>IF(LEFT('Decision Register'!A129,4)="DEC-",IFERROR(VALUE(MID('Decision Register'!A129,5,20)),0),0)</f>
        <v>0</v>
      </c>
      <c r="BA128" s="197" t="str">
        <f t="shared" ca="1" si="4"/>
        <v/>
      </c>
      <c r="BB128" s="197">
        <v>46149</v>
      </c>
    </row>
    <row r="129" spans="16:54">
      <c r="P129" s="1"/>
      <c r="Q129" s="1"/>
      <c r="R129" s="1"/>
      <c r="X129">
        <f>IF(LEFT('Decision Queue'!A130,4)="DEC-",IFERROR(VALUE(MID('Decision Queue'!A130,5,20)),0),0)</f>
        <v>0</v>
      </c>
      <c r="Y129">
        <f>IF(LEFT('Decision Register'!A130,4)="DEC-",IFERROR(VALUE(MID('Decision Register'!A130,5,20)),0),0)</f>
        <v>0</v>
      </c>
      <c r="BA129" s="197" t="str">
        <f t="shared" ca="1" si="4"/>
        <v/>
      </c>
      <c r="BB129" s="197">
        <v>46150</v>
      </c>
    </row>
    <row r="130" spans="16:54">
      <c r="P130" s="1"/>
      <c r="Q130" s="1"/>
      <c r="R130" s="1"/>
      <c r="X130">
        <f>IF(LEFT('Decision Queue'!A131,4)="DEC-",IFERROR(VALUE(MID('Decision Queue'!A131,5,20)),0),0)</f>
        <v>0</v>
      </c>
      <c r="Y130">
        <f>IF(LEFT('Decision Register'!A131,4)="DEC-",IFERROR(VALUE(MID('Decision Register'!A131,5,20)),0),0)</f>
        <v>0</v>
      </c>
      <c r="BA130" s="197" t="str">
        <f t="shared" ca="1" si="4"/>
        <v/>
      </c>
      <c r="BB130" s="197">
        <v>46151</v>
      </c>
    </row>
    <row r="131" spans="16:54">
      <c r="P131" s="1"/>
      <c r="Q131" s="1"/>
      <c r="R131" s="1"/>
      <c r="X131">
        <f>IF(LEFT('Decision Queue'!A132,4)="DEC-",IFERROR(VALUE(MID('Decision Queue'!A132,5,20)),0),0)</f>
        <v>0</v>
      </c>
      <c r="Y131">
        <f>IF(LEFT('Decision Register'!A132,4)="DEC-",IFERROR(VALUE(MID('Decision Register'!A132,5,20)),0),0)</f>
        <v>0</v>
      </c>
      <c r="BA131" s="197" t="str">
        <f t="shared" ref="BA131:BA194" ca="1" si="5">IF(TODAY()=BB131,BB131,"")</f>
        <v/>
      </c>
      <c r="BB131" s="197">
        <v>46152</v>
      </c>
    </row>
    <row r="132" spans="16:54">
      <c r="P132" s="1"/>
      <c r="Q132" s="1"/>
      <c r="R132" s="1"/>
      <c r="X132">
        <f>IF(LEFT('Decision Queue'!A133,4)="DEC-",IFERROR(VALUE(MID('Decision Queue'!A133,5,20)),0),0)</f>
        <v>0</v>
      </c>
      <c r="Y132">
        <f>IF(LEFT('Decision Register'!A133,4)="DEC-",IFERROR(VALUE(MID('Decision Register'!A133,5,20)),0),0)</f>
        <v>0</v>
      </c>
      <c r="BA132" s="197" t="str">
        <f t="shared" ca="1" si="5"/>
        <v/>
      </c>
      <c r="BB132" s="197">
        <v>46153</v>
      </c>
    </row>
    <row r="133" spans="16:54">
      <c r="P133" s="1"/>
      <c r="Q133" s="1"/>
      <c r="R133" s="1"/>
      <c r="X133">
        <f>IF(LEFT('Decision Queue'!A134,4)="DEC-",IFERROR(VALUE(MID('Decision Queue'!A134,5,20)),0),0)</f>
        <v>0</v>
      </c>
      <c r="Y133">
        <f>IF(LEFT('Decision Register'!A134,4)="DEC-",IFERROR(VALUE(MID('Decision Register'!A134,5,20)),0),0)</f>
        <v>0</v>
      </c>
      <c r="BA133" s="197" t="str">
        <f t="shared" ca="1" si="5"/>
        <v/>
      </c>
      <c r="BB133" s="197">
        <v>46154</v>
      </c>
    </row>
    <row r="134" spans="16:54">
      <c r="P134" s="1"/>
      <c r="Q134" s="1"/>
      <c r="R134" s="1"/>
      <c r="X134">
        <f>IF(LEFT('Decision Queue'!A135,4)="DEC-",IFERROR(VALUE(MID('Decision Queue'!A135,5,20)),0),0)</f>
        <v>0</v>
      </c>
      <c r="Y134">
        <f>IF(LEFT('Decision Register'!A135,4)="DEC-",IFERROR(VALUE(MID('Decision Register'!A135,5,20)),0),0)</f>
        <v>0</v>
      </c>
      <c r="BA134" s="197" t="str">
        <f t="shared" ca="1" si="5"/>
        <v/>
      </c>
      <c r="BB134" s="197">
        <v>46155</v>
      </c>
    </row>
    <row r="135" spans="16:54">
      <c r="P135" s="1"/>
      <c r="Q135" s="1"/>
      <c r="R135" s="1"/>
      <c r="X135">
        <f>IF(LEFT('Decision Queue'!A136,4)="DEC-",IFERROR(VALUE(MID('Decision Queue'!A136,5,20)),0),0)</f>
        <v>0</v>
      </c>
      <c r="Y135">
        <f>IF(LEFT('Decision Register'!A136,4)="DEC-",IFERROR(VALUE(MID('Decision Register'!A136,5,20)),0),0)</f>
        <v>0</v>
      </c>
      <c r="BA135" s="197" t="str">
        <f t="shared" ca="1" si="5"/>
        <v/>
      </c>
      <c r="BB135" s="197">
        <v>46156</v>
      </c>
    </row>
    <row r="136" spans="16:54">
      <c r="P136" s="1"/>
      <c r="Q136" s="1"/>
      <c r="R136" s="1"/>
      <c r="X136">
        <f>IF(LEFT('Decision Queue'!A137,4)="DEC-",IFERROR(VALUE(MID('Decision Queue'!A137,5,20)),0),0)</f>
        <v>0</v>
      </c>
      <c r="Y136">
        <f>IF(LEFT('Decision Register'!A137,4)="DEC-",IFERROR(VALUE(MID('Decision Register'!A137,5,20)),0),0)</f>
        <v>0</v>
      </c>
      <c r="BA136" s="197" t="str">
        <f t="shared" ca="1" si="5"/>
        <v/>
      </c>
      <c r="BB136" s="197">
        <v>46157</v>
      </c>
    </row>
    <row r="137" spans="16:54">
      <c r="P137" s="1"/>
      <c r="Q137" s="1"/>
      <c r="R137" s="1"/>
      <c r="X137">
        <f>IF(LEFT('Decision Queue'!A138,4)="DEC-",IFERROR(VALUE(MID('Decision Queue'!A138,5,20)),0),0)</f>
        <v>0</v>
      </c>
      <c r="Y137">
        <f>IF(LEFT('Decision Register'!A138,4)="DEC-",IFERROR(VALUE(MID('Decision Register'!A138,5,20)),0),0)</f>
        <v>0</v>
      </c>
      <c r="BA137" s="197" t="str">
        <f t="shared" ca="1" si="5"/>
        <v/>
      </c>
      <c r="BB137" s="197">
        <v>46158</v>
      </c>
    </row>
    <row r="138" spans="16:54">
      <c r="P138" s="1"/>
      <c r="Q138" s="1"/>
      <c r="R138" s="1"/>
      <c r="X138">
        <f>IF(LEFT('Decision Queue'!A139,4)="DEC-",IFERROR(VALUE(MID('Decision Queue'!A139,5,20)),0),0)</f>
        <v>0</v>
      </c>
      <c r="Y138">
        <f>IF(LEFT('Decision Register'!A139,4)="DEC-",IFERROR(VALUE(MID('Decision Register'!A139,5,20)),0),0)</f>
        <v>0</v>
      </c>
      <c r="BA138" s="197" t="str">
        <f t="shared" ca="1" si="5"/>
        <v/>
      </c>
      <c r="BB138" s="197">
        <v>46159</v>
      </c>
    </row>
    <row r="139" spans="16:54">
      <c r="P139" s="1"/>
      <c r="Q139" s="1"/>
      <c r="R139" s="1"/>
      <c r="X139">
        <f>IF(LEFT('Decision Queue'!A140,4)="DEC-",IFERROR(VALUE(MID('Decision Queue'!A140,5,20)),0),0)</f>
        <v>0</v>
      </c>
      <c r="Y139">
        <f>IF(LEFT('Decision Register'!A140,4)="DEC-",IFERROR(VALUE(MID('Decision Register'!A140,5,20)),0),0)</f>
        <v>0</v>
      </c>
      <c r="BA139" s="197" t="str">
        <f t="shared" ca="1" si="5"/>
        <v/>
      </c>
      <c r="BB139" s="197">
        <v>46160</v>
      </c>
    </row>
    <row r="140" spans="16:54">
      <c r="P140" s="1"/>
      <c r="Q140" s="1"/>
      <c r="R140" s="1"/>
      <c r="X140">
        <f>IF(LEFT('Decision Queue'!A141,4)="DEC-",IFERROR(VALUE(MID('Decision Queue'!A141,5,20)),0),0)</f>
        <v>0</v>
      </c>
      <c r="Y140">
        <f>IF(LEFT('Decision Register'!A141,4)="DEC-",IFERROR(VALUE(MID('Decision Register'!A141,5,20)),0),0)</f>
        <v>0</v>
      </c>
      <c r="BA140" s="197" t="str">
        <f t="shared" ca="1" si="5"/>
        <v/>
      </c>
      <c r="BB140" s="197">
        <v>46161</v>
      </c>
    </row>
    <row r="141" spans="16:54">
      <c r="P141" s="1"/>
      <c r="Q141" s="1"/>
      <c r="R141" s="1"/>
      <c r="X141">
        <f>IF(LEFT('Decision Queue'!A142,4)="DEC-",IFERROR(VALUE(MID('Decision Queue'!A142,5,20)),0),0)</f>
        <v>0</v>
      </c>
      <c r="Y141">
        <f>IF(LEFT('Decision Register'!A142,4)="DEC-",IFERROR(VALUE(MID('Decision Register'!A142,5,20)),0),0)</f>
        <v>0</v>
      </c>
      <c r="BA141" s="197" t="str">
        <f t="shared" ca="1" si="5"/>
        <v/>
      </c>
      <c r="BB141" s="197">
        <v>46162</v>
      </c>
    </row>
    <row r="142" spans="16:54">
      <c r="P142" s="1"/>
      <c r="Q142" s="1"/>
      <c r="R142" s="1"/>
      <c r="X142">
        <f>IF(LEFT('Decision Queue'!A143,4)="DEC-",IFERROR(VALUE(MID('Decision Queue'!A143,5,20)),0),0)</f>
        <v>0</v>
      </c>
      <c r="Y142">
        <f>IF(LEFT('Decision Register'!A143,4)="DEC-",IFERROR(VALUE(MID('Decision Register'!A143,5,20)),0),0)</f>
        <v>0</v>
      </c>
      <c r="BA142" s="197" t="str">
        <f t="shared" ca="1" si="5"/>
        <v/>
      </c>
      <c r="BB142" s="197">
        <v>46163</v>
      </c>
    </row>
    <row r="143" spans="16:54">
      <c r="P143" s="1"/>
      <c r="Q143" s="1"/>
      <c r="R143" s="1"/>
      <c r="X143">
        <f>IF(LEFT('Decision Queue'!A144,4)="DEC-",IFERROR(VALUE(MID('Decision Queue'!A144,5,20)),0),0)</f>
        <v>0</v>
      </c>
      <c r="Y143">
        <f>IF(LEFT('Decision Register'!A144,4)="DEC-",IFERROR(VALUE(MID('Decision Register'!A144,5,20)),0),0)</f>
        <v>0</v>
      </c>
      <c r="BA143" s="197" t="str">
        <f t="shared" ca="1" si="5"/>
        <v/>
      </c>
      <c r="BB143" s="197">
        <v>46164</v>
      </c>
    </row>
    <row r="144" spans="16:54">
      <c r="P144" s="1"/>
      <c r="Q144" s="1"/>
      <c r="R144" s="1"/>
      <c r="X144">
        <f>IF(LEFT('Decision Queue'!A145,4)="DEC-",IFERROR(VALUE(MID('Decision Queue'!A145,5,20)),0),0)</f>
        <v>0</v>
      </c>
      <c r="Y144">
        <f>IF(LEFT('Decision Register'!A145,4)="DEC-",IFERROR(VALUE(MID('Decision Register'!A145,5,20)),0),0)</f>
        <v>0</v>
      </c>
      <c r="BA144" s="197" t="str">
        <f t="shared" ca="1" si="5"/>
        <v/>
      </c>
      <c r="BB144" s="197">
        <v>46165</v>
      </c>
    </row>
    <row r="145" spans="16:54">
      <c r="P145" s="1"/>
      <c r="Q145" s="1"/>
      <c r="R145" s="1"/>
      <c r="X145">
        <f>IF(LEFT('Decision Queue'!A146,4)="DEC-",IFERROR(VALUE(MID('Decision Queue'!A146,5,20)),0),0)</f>
        <v>0</v>
      </c>
      <c r="Y145">
        <f>IF(LEFT('Decision Register'!A146,4)="DEC-",IFERROR(VALUE(MID('Decision Register'!A146,5,20)),0),0)</f>
        <v>0</v>
      </c>
      <c r="BA145" s="197" t="str">
        <f t="shared" ca="1" si="5"/>
        <v/>
      </c>
      <c r="BB145" s="197">
        <v>46166</v>
      </c>
    </row>
    <row r="146" spans="16:54">
      <c r="P146" s="1"/>
      <c r="Q146" s="1"/>
      <c r="R146" s="1"/>
      <c r="X146">
        <f>IF(LEFT('Decision Queue'!A147,4)="DEC-",IFERROR(VALUE(MID('Decision Queue'!A147,5,20)),0),0)</f>
        <v>0</v>
      </c>
      <c r="Y146">
        <f>IF(LEFT('Decision Register'!A147,4)="DEC-",IFERROR(VALUE(MID('Decision Register'!A147,5,20)),0),0)</f>
        <v>0</v>
      </c>
      <c r="BA146" s="197" t="str">
        <f t="shared" ca="1" si="5"/>
        <v/>
      </c>
      <c r="BB146" s="197">
        <v>46167</v>
      </c>
    </row>
    <row r="147" spans="16:54">
      <c r="P147" s="1"/>
      <c r="Q147" s="1"/>
      <c r="R147" s="1"/>
      <c r="X147">
        <f>IF(LEFT('Decision Queue'!A148,4)="DEC-",IFERROR(VALUE(MID('Decision Queue'!A148,5,20)),0),0)</f>
        <v>0</v>
      </c>
      <c r="Y147">
        <f>IF(LEFT('Decision Register'!A148,4)="DEC-",IFERROR(VALUE(MID('Decision Register'!A148,5,20)),0),0)</f>
        <v>0</v>
      </c>
      <c r="BA147" s="197" t="str">
        <f t="shared" ca="1" si="5"/>
        <v/>
      </c>
      <c r="BB147" s="197">
        <v>46168</v>
      </c>
    </row>
    <row r="148" spans="16:54">
      <c r="P148" s="1"/>
      <c r="Q148" s="1"/>
      <c r="R148" s="1"/>
      <c r="X148">
        <f>IF(LEFT('Decision Queue'!A149,4)="DEC-",IFERROR(VALUE(MID('Decision Queue'!A149,5,20)),0),0)</f>
        <v>0</v>
      </c>
      <c r="Y148">
        <f>IF(LEFT('Decision Register'!A149,4)="DEC-",IFERROR(VALUE(MID('Decision Register'!A149,5,20)),0),0)</f>
        <v>0</v>
      </c>
      <c r="BA148" s="197" t="str">
        <f t="shared" ca="1" si="5"/>
        <v/>
      </c>
      <c r="BB148" s="197">
        <v>46169</v>
      </c>
    </row>
    <row r="149" spans="16:54">
      <c r="P149" s="1"/>
      <c r="Q149" s="1"/>
      <c r="R149" s="1"/>
      <c r="X149">
        <f>IF(LEFT('Decision Queue'!A150,4)="DEC-",IFERROR(VALUE(MID('Decision Queue'!A150,5,20)),0),0)</f>
        <v>0</v>
      </c>
      <c r="Y149">
        <f>IF(LEFT('Decision Register'!A150,4)="DEC-",IFERROR(VALUE(MID('Decision Register'!A150,5,20)),0),0)</f>
        <v>0</v>
      </c>
      <c r="BA149" s="197" t="str">
        <f t="shared" ca="1" si="5"/>
        <v/>
      </c>
      <c r="BB149" s="197">
        <v>46170</v>
      </c>
    </row>
    <row r="150" spans="16:54">
      <c r="P150" s="1"/>
      <c r="Q150" s="1"/>
      <c r="R150" s="1"/>
      <c r="X150">
        <f>IF(LEFT('Decision Queue'!A151,4)="DEC-",IFERROR(VALUE(MID('Decision Queue'!A151,5,20)),0),0)</f>
        <v>0</v>
      </c>
      <c r="Y150">
        <f>IF(LEFT('Decision Register'!A151,4)="DEC-",IFERROR(VALUE(MID('Decision Register'!A151,5,20)),0),0)</f>
        <v>0</v>
      </c>
      <c r="BA150" s="197" t="str">
        <f t="shared" ca="1" si="5"/>
        <v/>
      </c>
      <c r="BB150" s="197">
        <v>46171</v>
      </c>
    </row>
    <row r="151" spans="16:54">
      <c r="X151">
        <f>IF(LEFT('Decision Queue'!A152,4)="DEC-",IFERROR(VALUE(MID('Decision Queue'!A152,5,20)),0),0)</f>
        <v>0</v>
      </c>
      <c r="Y151">
        <f>IF(LEFT('Decision Register'!A152,4)="DEC-",IFERROR(VALUE(MID('Decision Register'!A152,5,20)),0),0)</f>
        <v>0</v>
      </c>
      <c r="BA151" s="197" t="str">
        <f t="shared" ca="1" si="5"/>
        <v/>
      </c>
      <c r="BB151" s="197">
        <v>46172</v>
      </c>
    </row>
    <row r="152" spans="16:54">
      <c r="X152">
        <f>IF(LEFT('Decision Queue'!A153,4)="DEC-",IFERROR(VALUE(MID('Decision Queue'!A153,5,20)),0),0)</f>
        <v>0</v>
      </c>
      <c r="Y152">
        <f>IF(LEFT('Decision Register'!A153,4)="DEC-",IFERROR(VALUE(MID('Decision Register'!A153,5,20)),0),0)</f>
        <v>0</v>
      </c>
      <c r="BA152" s="197" t="str">
        <f t="shared" ca="1" si="5"/>
        <v/>
      </c>
      <c r="BB152" s="197">
        <v>46173</v>
      </c>
    </row>
    <row r="153" spans="16:54">
      <c r="X153">
        <f>IF(LEFT('Decision Queue'!A154,4)="DEC-",IFERROR(VALUE(MID('Decision Queue'!A154,5,20)),0),0)</f>
        <v>0</v>
      </c>
      <c r="Y153">
        <f>IF(LEFT('Decision Register'!A154,4)="DEC-",IFERROR(VALUE(MID('Decision Register'!A154,5,20)),0),0)</f>
        <v>0</v>
      </c>
      <c r="BA153" s="197" t="str">
        <f t="shared" ca="1" si="5"/>
        <v/>
      </c>
      <c r="BB153" s="197">
        <v>46174</v>
      </c>
    </row>
    <row r="154" spans="16:54">
      <c r="X154">
        <f>IF(LEFT('Decision Queue'!A155,4)="DEC-",IFERROR(VALUE(MID('Decision Queue'!A155,5,20)),0),0)</f>
        <v>0</v>
      </c>
      <c r="Y154">
        <f>IF(LEFT('Decision Register'!A155,4)="DEC-",IFERROR(VALUE(MID('Decision Register'!A155,5,20)),0),0)</f>
        <v>0</v>
      </c>
      <c r="BA154" s="197" t="str">
        <f t="shared" ca="1" si="5"/>
        <v/>
      </c>
      <c r="BB154" s="197">
        <v>46175</v>
      </c>
    </row>
    <row r="155" spans="16:54">
      <c r="X155">
        <f>IF(LEFT('Decision Queue'!A156,4)="DEC-",IFERROR(VALUE(MID('Decision Queue'!A156,5,20)),0),0)</f>
        <v>0</v>
      </c>
      <c r="Y155">
        <f>IF(LEFT('Decision Register'!A156,4)="DEC-",IFERROR(VALUE(MID('Decision Register'!A156,5,20)),0),0)</f>
        <v>0</v>
      </c>
      <c r="BA155" s="197" t="str">
        <f t="shared" ca="1" si="5"/>
        <v/>
      </c>
      <c r="BB155" s="197">
        <v>46176</v>
      </c>
    </row>
    <row r="156" spans="16:54">
      <c r="X156">
        <f>IF(LEFT('Decision Queue'!A157,4)="DEC-",IFERROR(VALUE(MID('Decision Queue'!A157,5,20)),0),0)</f>
        <v>0</v>
      </c>
      <c r="Y156">
        <f>IF(LEFT('Decision Register'!A157,4)="DEC-",IFERROR(VALUE(MID('Decision Register'!A157,5,20)),0),0)</f>
        <v>0</v>
      </c>
      <c r="BA156" s="197" t="str">
        <f t="shared" ca="1" si="5"/>
        <v/>
      </c>
      <c r="BB156" s="197">
        <v>46177</v>
      </c>
    </row>
    <row r="157" spans="16:54">
      <c r="X157">
        <f>IF(LEFT('Decision Queue'!A158,4)="DEC-",IFERROR(VALUE(MID('Decision Queue'!A158,5,20)),0),0)</f>
        <v>0</v>
      </c>
      <c r="Y157">
        <f>IF(LEFT('Decision Register'!A158,4)="DEC-",IFERROR(VALUE(MID('Decision Register'!A158,5,20)),0),0)</f>
        <v>0</v>
      </c>
      <c r="BA157" s="197" t="str">
        <f t="shared" ca="1" si="5"/>
        <v/>
      </c>
      <c r="BB157" s="197">
        <v>46178</v>
      </c>
    </row>
    <row r="158" spans="16:54">
      <c r="X158">
        <f>IF(LEFT('Decision Queue'!A159,4)="DEC-",IFERROR(VALUE(MID('Decision Queue'!A159,5,20)),0),0)</f>
        <v>0</v>
      </c>
      <c r="Y158">
        <f>IF(LEFT('Decision Register'!A159,4)="DEC-",IFERROR(VALUE(MID('Decision Register'!A159,5,20)),0),0)</f>
        <v>0</v>
      </c>
      <c r="BA158" s="197" t="str">
        <f t="shared" ca="1" si="5"/>
        <v/>
      </c>
      <c r="BB158" s="197">
        <v>46179</v>
      </c>
    </row>
    <row r="159" spans="16:54">
      <c r="X159">
        <f>IF(LEFT('Decision Queue'!A160,4)="DEC-",IFERROR(VALUE(MID('Decision Queue'!A160,5,20)),0),0)</f>
        <v>0</v>
      </c>
      <c r="Y159">
        <f>IF(LEFT('Decision Register'!A160,4)="DEC-",IFERROR(VALUE(MID('Decision Register'!A160,5,20)),0),0)</f>
        <v>0</v>
      </c>
      <c r="BA159" s="197" t="str">
        <f t="shared" ca="1" si="5"/>
        <v/>
      </c>
      <c r="BB159" s="197">
        <v>46180</v>
      </c>
    </row>
    <row r="160" spans="16:54">
      <c r="X160">
        <f>IF(LEFT('Decision Queue'!A161,4)="DEC-",IFERROR(VALUE(MID('Decision Queue'!A161,5,20)),0),0)</f>
        <v>0</v>
      </c>
      <c r="Y160">
        <f>IF(LEFT('Decision Register'!A161,4)="DEC-",IFERROR(VALUE(MID('Decision Register'!A161,5,20)),0),0)</f>
        <v>0</v>
      </c>
      <c r="BA160" s="197" t="str">
        <f t="shared" ca="1" si="5"/>
        <v/>
      </c>
      <c r="BB160" s="197">
        <v>46181</v>
      </c>
    </row>
    <row r="161" spans="24:54">
      <c r="X161">
        <f>IF(LEFT('Decision Queue'!A162,4)="DEC-",IFERROR(VALUE(MID('Decision Queue'!A162,5,20)),0),0)</f>
        <v>0</v>
      </c>
      <c r="Y161">
        <f>IF(LEFT('Decision Register'!A162,4)="DEC-",IFERROR(VALUE(MID('Decision Register'!A162,5,20)),0),0)</f>
        <v>0</v>
      </c>
      <c r="BA161" s="197" t="str">
        <f t="shared" ca="1" si="5"/>
        <v/>
      </c>
      <c r="BB161" s="197">
        <v>46182</v>
      </c>
    </row>
    <row r="162" spans="24:54">
      <c r="X162">
        <f>IF(LEFT('Decision Queue'!A163,4)="DEC-",IFERROR(VALUE(MID('Decision Queue'!A163,5,20)),0),0)</f>
        <v>0</v>
      </c>
      <c r="Y162">
        <f>IF(LEFT('Decision Register'!A163,4)="DEC-",IFERROR(VALUE(MID('Decision Register'!A163,5,20)),0),0)</f>
        <v>0</v>
      </c>
      <c r="BA162" s="197" t="str">
        <f t="shared" ca="1" si="5"/>
        <v/>
      </c>
      <c r="BB162" s="197">
        <v>46183</v>
      </c>
    </row>
    <row r="163" spans="24:54">
      <c r="X163">
        <f>IF(LEFT('Decision Queue'!A164,4)="DEC-",IFERROR(VALUE(MID('Decision Queue'!A164,5,20)),0),0)</f>
        <v>0</v>
      </c>
      <c r="Y163">
        <f>IF(LEFT('Decision Register'!A164,4)="DEC-",IFERROR(VALUE(MID('Decision Register'!A164,5,20)),0),0)</f>
        <v>0</v>
      </c>
      <c r="BA163" s="197" t="str">
        <f t="shared" ca="1" si="5"/>
        <v/>
      </c>
      <c r="BB163" s="197">
        <v>46184</v>
      </c>
    </row>
    <row r="164" spans="24:54">
      <c r="X164">
        <f>IF(LEFT('Decision Queue'!A165,4)="DEC-",IFERROR(VALUE(MID('Decision Queue'!A165,5,20)),0),0)</f>
        <v>0</v>
      </c>
      <c r="Y164">
        <f>IF(LEFT('Decision Register'!A165,4)="DEC-",IFERROR(VALUE(MID('Decision Register'!A165,5,20)),0),0)</f>
        <v>0</v>
      </c>
      <c r="BA164" s="197" t="str">
        <f t="shared" ca="1" si="5"/>
        <v/>
      </c>
      <c r="BB164" s="197">
        <v>46185</v>
      </c>
    </row>
    <row r="165" spans="24:54">
      <c r="X165">
        <f>IF(LEFT('Decision Queue'!A166,4)="DEC-",IFERROR(VALUE(MID('Decision Queue'!A166,5,20)),0),0)</f>
        <v>0</v>
      </c>
      <c r="Y165">
        <f>IF(LEFT('Decision Register'!A166,4)="DEC-",IFERROR(VALUE(MID('Decision Register'!A166,5,20)),0),0)</f>
        <v>0</v>
      </c>
      <c r="BA165" s="197" t="str">
        <f t="shared" ca="1" si="5"/>
        <v/>
      </c>
      <c r="BB165" s="197">
        <v>46186</v>
      </c>
    </row>
    <row r="166" spans="24:54">
      <c r="X166">
        <f>IF(LEFT('Decision Queue'!A167,4)="DEC-",IFERROR(VALUE(MID('Decision Queue'!A167,5,20)),0),0)</f>
        <v>0</v>
      </c>
      <c r="Y166">
        <f>IF(LEFT('Decision Register'!A167,4)="DEC-",IFERROR(VALUE(MID('Decision Register'!A167,5,20)),0),0)</f>
        <v>0</v>
      </c>
      <c r="BA166" s="197" t="str">
        <f t="shared" ca="1" si="5"/>
        <v/>
      </c>
      <c r="BB166" s="197">
        <v>46187</v>
      </c>
    </row>
    <row r="167" spans="24:54">
      <c r="X167">
        <f>IF(LEFT('Decision Queue'!A168,4)="DEC-",IFERROR(VALUE(MID('Decision Queue'!A168,5,20)),0),0)</f>
        <v>0</v>
      </c>
      <c r="Y167">
        <f>IF(LEFT('Decision Register'!A168,4)="DEC-",IFERROR(VALUE(MID('Decision Register'!A168,5,20)),0),0)</f>
        <v>0</v>
      </c>
      <c r="BA167" s="197" t="str">
        <f t="shared" ca="1" si="5"/>
        <v/>
      </c>
      <c r="BB167" s="197">
        <v>46188</v>
      </c>
    </row>
    <row r="168" spans="24:54">
      <c r="X168">
        <f>IF(LEFT('Decision Queue'!A169,4)="DEC-",IFERROR(VALUE(MID('Decision Queue'!A169,5,20)),0),0)</f>
        <v>0</v>
      </c>
      <c r="Y168">
        <f>IF(LEFT('Decision Register'!A169,4)="DEC-",IFERROR(VALUE(MID('Decision Register'!A169,5,20)),0),0)</f>
        <v>0</v>
      </c>
      <c r="BA168" s="197" t="str">
        <f t="shared" ca="1" si="5"/>
        <v/>
      </c>
      <c r="BB168" s="197">
        <v>46189</v>
      </c>
    </row>
    <row r="169" spans="24:54">
      <c r="X169">
        <f>IF(LEFT('Decision Queue'!A170,4)="DEC-",IFERROR(VALUE(MID('Decision Queue'!A170,5,20)),0),0)</f>
        <v>0</v>
      </c>
      <c r="Y169">
        <f>IF(LEFT('Decision Register'!A170,4)="DEC-",IFERROR(VALUE(MID('Decision Register'!A170,5,20)),0),0)</f>
        <v>0</v>
      </c>
      <c r="BA169" s="197" t="str">
        <f t="shared" ca="1" si="5"/>
        <v/>
      </c>
      <c r="BB169" s="197">
        <v>46190</v>
      </c>
    </row>
    <row r="170" spans="24:54">
      <c r="X170">
        <f>IF(LEFT('Decision Queue'!A171,4)="DEC-",IFERROR(VALUE(MID('Decision Queue'!A171,5,20)),0),0)</f>
        <v>0</v>
      </c>
      <c r="Y170">
        <f>IF(LEFT('Decision Register'!A171,4)="DEC-",IFERROR(VALUE(MID('Decision Register'!A171,5,20)),0),0)</f>
        <v>0</v>
      </c>
      <c r="BA170" s="197" t="str">
        <f t="shared" ca="1" si="5"/>
        <v/>
      </c>
      <c r="BB170" s="197">
        <v>46191</v>
      </c>
    </row>
    <row r="171" spans="24:54">
      <c r="X171">
        <f>IF(LEFT('Decision Queue'!A172,4)="DEC-",IFERROR(VALUE(MID('Decision Queue'!A172,5,20)),0),0)</f>
        <v>0</v>
      </c>
      <c r="Y171">
        <f>IF(LEFT('Decision Register'!A172,4)="DEC-",IFERROR(VALUE(MID('Decision Register'!A172,5,20)),0),0)</f>
        <v>0</v>
      </c>
      <c r="BA171" s="197" t="str">
        <f t="shared" ca="1" si="5"/>
        <v/>
      </c>
      <c r="BB171" s="197">
        <v>46192</v>
      </c>
    </row>
    <row r="172" spans="24:54">
      <c r="X172">
        <f>IF(LEFT('Decision Queue'!A173,4)="DEC-",IFERROR(VALUE(MID('Decision Queue'!A173,5,20)),0),0)</f>
        <v>0</v>
      </c>
      <c r="Y172">
        <f>IF(LEFT('Decision Register'!A173,4)="DEC-",IFERROR(VALUE(MID('Decision Register'!A173,5,20)),0),0)</f>
        <v>0</v>
      </c>
      <c r="BA172" s="197" t="str">
        <f t="shared" ca="1" si="5"/>
        <v/>
      </c>
      <c r="BB172" s="197">
        <v>46193</v>
      </c>
    </row>
    <row r="173" spans="24:54">
      <c r="X173">
        <f>IF(LEFT('Decision Queue'!A174,4)="DEC-",IFERROR(VALUE(MID('Decision Queue'!A174,5,20)),0),0)</f>
        <v>0</v>
      </c>
      <c r="Y173">
        <f>IF(LEFT('Decision Register'!A174,4)="DEC-",IFERROR(VALUE(MID('Decision Register'!A174,5,20)),0),0)</f>
        <v>0</v>
      </c>
      <c r="BA173" s="197" t="str">
        <f t="shared" ca="1" si="5"/>
        <v/>
      </c>
      <c r="BB173" s="197">
        <v>46194</v>
      </c>
    </row>
    <row r="174" spans="24:54">
      <c r="X174">
        <f>IF(LEFT('Decision Queue'!A175,4)="DEC-",IFERROR(VALUE(MID('Decision Queue'!A175,5,20)),0),0)</f>
        <v>0</v>
      </c>
      <c r="Y174">
        <f>IF(LEFT('Decision Register'!A175,4)="DEC-",IFERROR(VALUE(MID('Decision Register'!A175,5,20)),0),0)</f>
        <v>0</v>
      </c>
      <c r="BA174" s="197" t="str">
        <f t="shared" ca="1" si="5"/>
        <v/>
      </c>
      <c r="BB174" s="197">
        <v>46195</v>
      </c>
    </row>
    <row r="175" spans="24:54">
      <c r="X175">
        <f>IF(LEFT('Decision Queue'!A176,4)="DEC-",IFERROR(VALUE(MID('Decision Queue'!A176,5,20)),0),0)</f>
        <v>0</v>
      </c>
      <c r="Y175">
        <f>IF(LEFT('Decision Register'!A176,4)="DEC-",IFERROR(VALUE(MID('Decision Register'!A176,5,20)),0),0)</f>
        <v>0</v>
      </c>
      <c r="BA175" s="197" t="str">
        <f t="shared" ca="1" si="5"/>
        <v/>
      </c>
      <c r="BB175" s="197">
        <v>46196</v>
      </c>
    </row>
    <row r="176" spans="24:54">
      <c r="X176">
        <f>IF(LEFT('Decision Queue'!A177,4)="DEC-",IFERROR(VALUE(MID('Decision Queue'!A177,5,20)),0),0)</f>
        <v>0</v>
      </c>
      <c r="Y176">
        <f>IF(LEFT('Decision Register'!A177,4)="DEC-",IFERROR(VALUE(MID('Decision Register'!A177,5,20)),0),0)</f>
        <v>0</v>
      </c>
      <c r="BA176" s="197" t="str">
        <f t="shared" ca="1" si="5"/>
        <v/>
      </c>
      <c r="BB176" s="197">
        <v>46197</v>
      </c>
    </row>
    <row r="177" spans="24:54">
      <c r="X177">
        <f>IF(LEFT('Decision Queue'!A178,4)="DEC-",IFERROR(VALUE(MID('Decision Queue'!A178,5,20)),0),0)</f>
        <v>0</v>
      </c>
      <c r="Y177">
        <f>IF(LEFT('Decision Register'!A178,4)="DEC-",IFERROR(VALUE(MID('Decision Register'!A178,5,20)),0),0)</f>
        <v>0</v>
      </c>
      <c r="BA177" s="197" t="str">
        <f t="shared" ca="1" si="5"/>
        <v/>
      </c>
      <c r="BB177" s="197">
        <v>46198</v>
      </c>
    </row>
    <row r="178" spans="24:54">
      <c r="X178">
        <f>IF(LEFT('Decision Queue'!A179,4)="DEC-",IFERROR(VALUE(MID('Decision Queue'!A179,5,20)),0),0)</f>
        <v>0</v>
      </c>
      <c r="Y178">
        <f>IF(LEFT('Decision Register'!A179,4)="DEC-",IFERROR(VALUE(MID('Decision Register'!A179,5,20)),0),0)</f>
        <v>0</v>
      </c>
      <c r="BA178" s="197" t="str">
        <f t="shared" ca="1" si="5"/>
        <v/>
      </c>
      <c r="BB178" s="197">
        <v>46199</v>
      </c>
    </row>
    <row r="179" spans="24:54">
      <c r="X179">
        <f>IF(LEFT('Decision Queue'!A180,4)="DEC-",IFERROR(VALUE(MID('Decision Queue'!A180,5,20)),0),0)</f>
        <v>0</v>
      </c>
      <c r="Y179">
        <f>IF(LEFT('Decision Register'!A180,4)="DEC-",IFERROR(VALUE(MID('Decision Register'!A180,5,20)),0),0)</f>
        <v>0</v>
      </c>
      <c r="BA179" s="197" t="str">
        <f t="shared" ca="1" si="5"/>
        <v/>
      </c>
      <c r="BB179" s="197">
        <v>46200</v>
      </c>
    </row>
    <row r="180" spans="24:54">
      <c r="X180">
        <f>IF(LEFT('Decision Queue'!A181,4)="DEC-",IFERROR(VALUE(MID('Decision Queue'!A181,5,20)),0),0)</f>
        <v>0</v>
      </c>
      <c r="Y180">
        <f>IF(LEFT('Decision Register'!A181,4)="DEC-",IFERROR(VALUE(MID('Decision Register'!A181,5,20)),0),0)</f>
        <v>0</v>
      </c>
      <c r="BA180" s="197" t="str">
        <f t="shared" ca="1" si="5"/>
        <v/>
      </c>
      <c r="BB180" s="197">
        <v>46201</v>
      </c>
    </row>
    <row r="181" spans="24:54">
      <c r="X181">
        <f>IF(LEFT('Decision Queue'!A182,4)="DEC-",IFERROR(VALUE(MID('Decision Queue'!A182,5,20)),0),0)</f>
        <v>0</v>
      </c>
      <c r="Y181">
        <f>IF(LEFT('Decision Register'!A182,4)="DEC-",IFERROR(VALUE(MID('Decision Register'!A182,5,20)),0),0)</f>
        <v>0</v>
      </c>
      <c r="BA181" s="197" t="str">
        <f t="shared" ca="1" si="5"/>
        <v/>
      </c>
      <c r="BB181" s="197">
        <v>46202</v>
      </c>
    </row>
    <row r="182" spans="24:54">
      <c r="X182">
        <f>IF(LEFT('Decision Queue'!A183,4)="DEC-",IFERROR(VALUE(MID('Decision Queue'!A183,5,20)),0),0)</f>
        <v>0</v>
      </c>
      <c r="Y182">
        <f>IF(LEFT('Decision Register'!A183,4)="DEC-",IFERROR(VALUE(MID('Decision Register'!A183,5,20)),0),0)</f>
        <v>0</v>
      </c>
      <c r="BA182" s="197" t="str">
        <f t="shared" ca="1" si="5"/>
        <v/>
      </c>
      <c r="BB182" s="197">
        <v>46203</v>
      </c>
    </row>
    <row r="183" spans="24:54">
      <c r="X183">
        <f>IF(LEFT('Decision Queue'!A184,4)="DEC-",IFERROR(VALUE(MID('Decision Queue'!A184,5,20)),0),0)</f>
        <v>0</v>
      </c>
      <c r="Y183">
        <f>IF(LEFT('Decision Register'!A184,4)="DEC-",IFERROR(VALUE(MID('Decision Register'!A184,5,20)),0),0)</f>
        <v>0</v>
      </c>
      <c r="BA183" s="197" t="str">
        <f t="shared" ca="1" si="5"/>
        <v/>
      </c>
      <c r="BB183" s="197">
        <v>46204</v>
      </c>
    </row>
    <row r="184" spans="24:54">
      <c r="X184">
        <f>IF(LEFT('Decision Queue'!A185,4)="DEC-",IFERROR(VALUE(MID('Decision Queue'!A185,5,20)),0),0)</f>
        <v>0</v>
      </c>
      <c r="Y184">
        <f>IF(LEFT('Decision Register'!A185,4)="DEC-",IFERROR(VALUE(MID('Decision Register'!A185,5,20)),0),0)</f>
        <v>0</v>
      </c>
      <c r="BA184" s="197" t="str">
        <f t="shared" ca="1" si="5"/>
        <v/>
      </c>
      <c r="BB184" s="197">
        <v>46205</v>
      </c>
    </row>
    <row r="185" spans="24:54">
      <c r="X185">
        <f>IF(LEFT('Decision Queue'!A186,4)="DEC-",IFERROR(VALUE(MID('Decision Queue'!A186,5,20)),0),0)</f>
        <v>0</v>
      </c>
      <c r="Y185">
        <f>IF(LEFT('Decision Register'!A186,4)="DEC-",IFERROR(VALUE(MID('Decision Register'!A186,5,20)),0),0)</f>
        <v>0</v>
      </c>
      <c r="BA185" s="197" t="str">
        <f t="shared" ca="1" si="5"/>
        <v/>
      </c>
      <c r="BB185" s="197">
        <v>46206</v>
      </c>
    </row>
    <row r="186" spans="24:54">
      <c r="X186">
        <f>IF(LEFT('Decision Queue'!A187,4)="DEC-",IFERROR(VALUE(MID('Decision Queue'!A187,5,20)),0),0)</f>
        <v>0</v>
      </c>
      <c r="Y186">
        <f>IF(LEFT('Decision Register'!A187,4)="DEC-",IFERROR(VALUE(MID('Decision Register'!A187,5,20)),0),0)</f>
        <v>0</v>
      </c>
      <c r="BA186" s="197" t="str">
        <f t="shared" ca="1" si="5"/>
        <v/>
      </c>
      <c r="BB186" s="197">
        <v>46207</v>
      </c>
    </row>
    <row r="187" spans="24:54">
      <c r="X187">
        <f>IF(LEFT('Decision Queue'!A188,4)="DEC-",IFERROR(VALUE(MID('Decision Queue'!A188,5,20)),0),0)</f>
        <v>0</v>
      </c>
      <c r="Y187">
        <f>IF(LEFT('Decision Register'!A188,4)="DEC-",IFERROR(VALUE(MID('Decision Register'!A188,5,20)),0),0)</f>
        <v>0</v>
      </c>
      <c r="BA187" s="197" t="str">
        <f t="shared" ca="1" si="5"/>
        <v/>
      </c>
      <c r="BB187" s="197">
        <v>46208</v>
      </c>
    </row>
    <row r="188" spans="24:54">
      <c r="X188">
        <f>IF(LEFT('Decision Queue'!A189,4)="DEC-",IFERROR(VALUE(MID('Decision Queue'!A189,5,20)),0),0)</f>
        <v>0</v>
      </c>
      <c r="Y188">
        <f>IF(LEFT('Decision Register'!A189,4)="DEC-",IFERROR(VALUE(MID('Decision Register'!A189,5,20)),0),0)</f>
        <v>0</v>
      </c>
      <c r="BA188" s="197" t="str">
        <f t="shared" ca="1" si="5"/>
        <v/>
      </c>
      <c r="BB188" s="197">
        <v>46209</v>
      </c>
    </row>
    <row r="189" spans="24:54">
      <c r="X189">
        <f>IF(LEFT('Decision Queue'!A190,4)="DEC-",IFERROR(VALUE(MID('Decision Queue'!A190,5,20)),0),0)</f>
        <v>0</v>
      </c>
      <c r="Y189">
        <f>IF(LEFT('Decision Register'!A190,4)="DEC-",IFERROR(VALUE(MID('Decision Register'!A190,5,20)),0),0)</f>
        <v>0</v>
      </c>
      <c r="BA189" s="197" t="str">
        <f t="shared" ca="1" si="5"/>
        <v/>
      </c>
      <c r="BB189" s="197">
        <v>46210</v>
      </c>
    </row>
    <row r="190" spans="24:54">
      <c r="X190">
        <f>IF(LEFT('Decision Queue'!A191,4)="DEC-",IFERROR(VALUE(MID('Decision Queue'!A191,5,20)),0),0)</f>
        <v>0</v>
      </c>
      <c r="Y190">
        <f>IF(LEFT('Decision Register'!A191,4)="DEC-",IFERROR(VALUE(MID('Decision Register'!A191,5,20)),0),0)</f>
        <v>0</v>
      </c>
      <c r="BA190" s="197" t="str">
        <f t="shared" ca="1" si="5"/>
        <v/>
      </c>
      <c r="BB190" s="197">
        <v>46211</v>
      </c>
    </row>
    <row r="191" spans="24:54">
      <c r="X191">
        <f>IF(LEFT('Decision Queue'!A192,4)="DEC-",IFERROR(VALUE(MID('Decision Queue'!A192,5,20)),0),0)</f>
        <v>0</v>
      </c>
      <c r="Y191">
        <f>IF(LEFT('Decision Register'!A192,4)="DEC-",IFERROR(VALUE(MID('Decision Register'!A192,5,20)),0),0)</f>
        <v>0</v>
      </c>
      <c r="BA191" s="197" t="str">
        <f t="shared" ca="1" si="5"/>
        <v/>
      </c>
      <c r="BB191" s="197">
        <v>46212</v>
      </c>
    </row>
    <row r="192" spans="24:54">
      <c r="X192">
        <f>IF(LEFT('Decision Queue'!A193,4)="DEC-",IFERROR(VALUE(MID('Decision Queue'!A193,5,20)),0),0)</f>
        <v>0</v>
      </c>
      <c r="Y192">
        <f>IF(LEFT('Decision Register'!A193,4)="DEC-",IFERROR(VALUE(MID('Decision Register'!A193,5,20)),0),0)</f>
        <v>0</v>
      </c>
      <c r="BA192" s="197" t="str">
        <f t="shared" ca="1" si="5"/>
        <v/>
      </c>
      <c r="BB192" s="197">
        <v>46213</v>
      </c>
    </row>
    <row r="193" spans="24:54">
      <c r="X193">
        <f>IF(LEFT('Decision Queue'!A194,4)="DEC-",IFERROR(VALUE(MID('Decision Queue'!A194,5,20)),0),0)</f>
        <v>0</v>
      </c>
      <c r="Y193">
        <f>IF(LEFT('Decision Register'!A194,4)="DEC-",IFERROR(VALUE(MID('Decision Register'!A194,5,20)),0),0)</f>
        <v>0</v>
      </c>
      <c r="BA193" s="197" t="str">
        <f t="shared" ca="1" si="5"/>
        <v/>
      </c>
      <c r="BB193" s="197">
        <v>46214</v>
      </c>
    </row>
    <row r="194" spans="24:54">
      <c r="X194">
        <f>IF(LEFT('Decision Queue'!A195,4)="DEC-",IFERROR(VALUE(MID('Decision Queue'!A195,5,20)),0),0)</f>
        <v>0</v>
      </c>
      <c r="Y194">
        <f>IF(LEFT('Decision Register'!A195,4)="DEC-",IFERROR(VALUE(MID('Decision Register'!A195,5,20)),0),0)</f>
        <v>0</v>
      </c>
      <c r="BA194" s="197" t="str">
        <f t="shared" ca="1" si="5"/>
        <v/>
      </c>
      <c r="BB194" s="197">
        <v>46215</v>
      </c>
    </row>
    <row r="195" spans="24:54">
      <c r="X195">
        <f>IF(LEFT('Decision Queue'!A196,4)="DEC-",IFERROR(VALUE(MID('Decision Queue'!A196,5,20)),0),0)</f>
        <v>0</v>
      </c>
      <c r="Y195">
        <f>IF(LEFT('Decision Register'!A196,4)="DEC-",IFERROR(VALUE(MID('Decision Register'!A196,5,20)),0),0)</f>
        <v>0</v>
      </c>
      <c r="BA195" s="197" t="str">
        <f t="shared" ref="BA195:BA258" ca="1" si="6">IF(TODAY()=BB195,BB195,"")</f>
        <v/>
      </c>
      <c r="BB195" s="197">
        <v>46216</v>
      </c>
    </row>
    <row r="196" spans="24:54">
      <c r="X196">
        <f>IF(LEFT('Decision Queue'!A197,4)="DEC-",IFERROR(VALUE(MID('Decision Queue'!A197,5,20)),0),0)</f>
        <v>0</v>
      </c>
      <c r="Y196">
        <f>IF(LEFT('Decision Register'!A197,4)="DEC-",IFERROR(VALUE(MID('Decision Register'!A197,5,20)),0),0)</f>
        <v>0</v>
      </c>
      <c r="BA196" s="197" t="str">
        <f t="shared" ca="1" si="6"/>
        <v/>
      </c>
      <c r="BB196" s="197">
        <v>46217</v>
      </c>
    </row>
    <row r="197" spans="24:54">
      <c r="X197">
        <f>IF(LEFT('Decision Queue'!A198,4)="DEC-",IFERROR(VALUE(MID('Decision Queue'!A198,5,20)),0),0)</f>
        <v>0</v>
      </c>
      <c r="Y197">
        <f>IF(LEFT('Decision Register'!A198,4)="DEC-",IFERROR(VALUE(MID('Decision Register'!A198,5,20)),0),0)</f>
        <v>0</v>
      </c>
      <c r="BA197" s="197" t="str">
        <f t="shared" ca="1" si="6"/>
        <v/>
      </c>
      <c r="BB197" s="197">
        <v>46218</v>
      </c>
    </row>
    <row r="198" spans="24:54">
      <c r="X198">
        <f>IF(LEFT('Decision Queue'!A199,4)="DEC-",IFERROR(VALUE(MID('Decision Queue'!A199,5,20)),0),0)</f>
        <v>0</v>
      </c>
      <c r="Y198">
        <f>IF(LEFT('Decision Register'!A199,4)="DEC-",IFERROR(VALUE(MID('Decision Register'!A199,5,20)),0),0)</f>
        <v>0</v>
      </c>
      <c r="BA198" s="197" t="str">
        <f t="shared" ca="1" si="6"/>
        <v/>
      </c>
      <c r="BB198" s="197">
        <v>46219</v>
      </c>
    </row>
    <row r="199" spans="24:54">
      <c r="X199">
        <f>IF(LEFT('Decision Queue'!A200,4)="DEC-",IFERROR(VALUE(MID('Decision Queue'!A200,5,20)),0),0)</f>
        <v>0</v>
      </c>
      <c r="Y199">
        <f>IF(LEFT('Decision Register'!A200,4)="DEC-",IFERROR(VALUE(MID('Decision Register'!A200,5,20)),0),0)</f>
        <v>0</v>
      </c>
      <c r="BA199" s="197" t="str">
        <f t="shared" ca="1" si="6"/>
        <v/>
      </c>
      <c r="BB199" s="197">
        <v>46220</v>
      </c>
    </row>
    <row r="200" spans="24:54">
      <c r="X200">
        <f>IF(LEFT('Decision Queue'!A201,4)="DEC-",IFERROR(VALUE(MID('Decision Queue'!A201,5,20)),0),0)</f>
        <v>0</v>
      </c>
      <c r="Y200">
        <f>IF(LEFT('Decision Register'!A201,4)="DEC-",IFERROR(VALUE(MID('Decision Register'!A201,5,20)),0),0)</f>
        <v>0</v>
      </c>
      <c r="BA200" s="197" t="str">
        <f t="shared" ca="1" si="6"/>
        <v/>
      </c>
      <c r="BB200" s="197">
        <v>46221</v>
      </c>
    </row>
    <row r="201" spans="24:54">
      <c r="X201">
        <f>IF(LEFT('Decision Queue'!A202,4)="DEC-",IFERROR(VALUE(MID('Decision Queue'!A202,5,20)),0),0)</f>
        <v>0</v>
      </c>
      <c r="Y201">
        <f>IF(LEFT('Decision Register'!A202,4)="DEC-",IFERROR(VALUE(MID('Decision Register'!A202,5,20)),0),0)</f>
        <v>0</v>
      </c>
      <c r="BA201" s="197" t="str">
        <f t="shared" ca="1" si="6"/>
        <v/>
      </c>
      <c r="BB201" s="197">
        <v>46222</v>
      </c>
    </row>
    <row r="202" spans="24:54">
      <c r="X202">
        <f>IF(LEFT('Decision Queue'!A203,4)="DEC-",IFERROR(VALUE(MID('Decision Queue'!A203,5,20)),0),0)</f>
        <v>0</v>
      </c>
      <c r="Y202">
        <f>IF(LEFT('Decision Register'!A203,4)="DEC-",IFERROR(VALUE(MID('Decision Register'!A203,5,20)),0),0)</f>
        <v>0</v>
      </c>
      <c r="BA202" s="197" t="str">
        <f t="shared" ca="1" si="6"/>
        <v/>
      </c>
      <c r="BB202" s="197">
        <v>46223</v>
      </c>
    </row>
    <row r="203" spans="24:54">
      <c r="X203">
        <f>IF(LEFT('Decision Queue'!A204,4)="DEC-",IFERROR(VALUE(MID('Decision Queue'!A204,5,20)),0),0)</f>
        <v>0</v>
      </c>
      <c r="Y203">
        <f>IF(LEFT('Decision Register'!A204,4)="DEC-",IFERROR(VALUE(MID('Decision Register'!A204,5,20)),0),0)</f>
        <v>0</v>
      </c>
      <c r="BA203" s="197" t="str">
        <f t="shared" ca="1" si="6"/>
        <v/>
      </c>
      <c r="BB203" s="197">
        <v>46224</v>
      </c>
    </row>
    <row r="204" spans="24:54">
      <c r="Y204">
        <f>IF(LEFT('Decision Register'!A205,4)="DEC-",IFERROR(VALUE(MID('Decision Register'!A205,5,20)),0),0)</f>
        <v>0</v>
      </c>
      <c r="BA204" s="197" t="str">
        <f t="shared" ca="1" si="6"/>
        <v/>
      </c>
      <c r="BB204" s="197">
        <v>46225</v>
      </c>
    </row>
    <row r="205" spans="24:54">
      <c r="Y205">
        <f>IF(LEFT('Decision Register'!A206,4)="DEC-",IFERROR(VALUE(MID('Decision Register'!A206,5,20)),0),0)</f>
        <v>0</v>
      </c>
      <c r="BA205" s="197" t="str">
        <f t="shared" ca="1" si="6"/>
        <v/>
      </c>
      <c r="BB205" s="197">
        <v>46226</v>
      </c>
    </row>
    <row r="206" spans="24:54">
      <c r="Y206">
        <f>IF(LEFT('Decision Register'!A207,4)="DEC-",IFERROR(VALUE(MID('Decision Register'!A207,5,20)),0),0)</f>
        <v>0</v>
      </c>
      <c r="BA206" s="197" t="str">
        <f t="shared" ca="1" si="6"/>
        <v/>
      </c>
      <c r="BB206" s="197">
        <v>46227</v>
      </c>
    </row>
    <row r="207" spans="24:54">
      <c r="Y207">
        <f>IF(LEFT('Decision Register'!A208,4)="DEC-",IFERROR(VALUE(MID('Decision Register'!A208,5,20)),0),0)</f>
        <v>0</v>
      </c>
      <c r="BA207" s="197" t="str">
        <f t="shared" ca="1" si="6"/>
        <v/>
      </c>
      <c r="BB207" s="197">
        <v>46228</v>
      </c>
    </row>
    <row r="208" spans="24:54">
      <c r="Y208">
        <f>IF(LEFT('Decision Register'!A209,4)="DEC-",IFERROR(VALUE(MID('Decision Register'!A209,5,20)),0),0)</f>
        <v>0</v>
      </c>
      <c r="BA208" s="197" t="str">
        <f t="shared" ca="1" si="6"/>
        <v/>
      </c>
      <c r="BB208" s="197">
        <v>46229</v>
      </c>
    </row>
    <row r="209" spans="25:54">
      <c r="Y209">
        <f>IF(LEFT('Decision Register'!A210,4)="DEC-",IFERROR(VALUE(MID('Decision Register'!A210,5,20)),0),0)</f>
        <v>0</v>
      </c>
      <c r="BA209" s="197" t="str">
        <f t="shared" ca="1" si="6"/>
        <v/>
      </c>
      <c r="BB209" s="197">
        <v>46230</v>
      </c>
    </row>
    <row r="210" spans="25:54">
      <c r="Y210">
        <f>IF(LEFT('Decision Register'!A211,4)="DEC-",IFERROR(VALUE(MID('Decision Register'!A211,5,20)),0),0)</f>
        <v>0</v>
      </c>
      <c r="BA210" s="197" t="str">
        <f t="shared" ca="1" si="6"/>
        <v/>
      </c>
      <c r="BB210" s="197">
        <v>46231</v>
      </c>
    </row>
    <row r="211" spans="25:54">
      <c r="Y211">
        <f>IF(LEFT('Decision Register'!A212,4)="DEC-",IFERROR(VALUE(MID('Decision Register'!A212,5,20)),0),0)</f>
        <v>0</v>
      </c>
      <c r="BA211" s="197" t="str">
        <f t="shared" ca="1" si="6"/>
        <v/>
      </c>
      <c r="BB211" s="197">
        <v>46232</v>
      </c>
    </row>
    <row r="212" spans="25:54">
      <c r="Y212">
        <f>IF(LEFT('Decision Register'!A213,4)="DEC-",IFERROR(VALUE(MID('Decision Register'!A213,5,20)),0),0)</f>
        <v>0</v>
      </c>
      <c r="BA212" s="197" t="str">
        <f t="shared" ca="1" si="6"/>
        <v/>
      </c>
      <c r="BB212" s="197">
        <v>46233</v>
      </c>
    </row>
    <row r="213" spans="25:54">
      <c r="Y213">
        <f>IF(LEFT('Decision Register'!A214,4)="DEC-",IFERROR(VALUE(MID('Decision Register'!A214,5,20)),0),0)</f>
        <v>0</v>
      </c>
      <c r="BA213" s="197" t="str">
        <f t="shared" ca="1" si="6"/>
        <v/>
      </c>
      <c r="BB213" s="197">
        <v>46234</v>
      </c>
    </row>
    <row r="214" spans="25:54">
      <c r="Y214">
        <f>IF(LEFT('Decision Register'!A215,4)="DEC-",IFERROR(VALUE(MID('Decision Register'!A215,5,20)),0),0)</f>
        <v>0</v>
      </c>
      <c r="BA214" s="197" t="str">
        <f t="shared" ca="1" si="6"/>
        <v/>
      </c>
      <c r="BB214" s="197">
        <v>46235</v>
      </c>
    </row>
    <row r="215" spans="25:54">
      <c r="Y215">
        <f>IF(LEFT('Decision Register'!A216,4)="DEC-",IFERROR(VALUE(MID('Decision Register'!A216,5,20)),0),0)</f>
        <v>0</v>
      </c>
      <c r="BA215" s="197" t="str">
        <f t="shared" ca="1" si="6"/>
        <v/>
      </c>
      <c r="BB215" s="197">
        <v>46236</v>
      </c>
    </row>
    <row r="216" spans="25:54">
      <c r="Y216">
        <f>IF(LEFT('Decision Register'!A217,4)="DEC-",IFERROR(VALUE(MID('Decision Register'!A217,5,20)),0),0)</f>
        <v>0</v>
      </c>
      <c r="BA216" s="197" t="str">
        <f t="shared" ca="1" si="6"/>
        <v/>
      </c>
      <c r="BB216" s="197">
        <v>46237</v>
      </c>
    </row>
    <row r="217" spans="25:54">
      <c r="Y217">
        <f>IF(LEFT('Decision Register'!A218,4)="DEC-",IFERROR(VALUE(MID('Decision Register'!A218,5,20)),0),0)</f>
        <v>0</v>
      </c>
      <c r="BA217" s="197" t="str">
        <f t="shared" ca="1" si="6"/>
        <v/>
      </c>
      <c r="BB217" s="197">
        <v>46238</v>
      </c>
    </row>
    <row r="218" spans="25:54">
      <c r="Y218">
        <f>IF(LEFT('Decision Register'!A219,4)="DEC-",IFERROR(VALUE(MID('Decision Register'!A219,5,20)),0),0)</f>
        <v>0</v>
      </c>
      <c r="BA218" s="197" t="str">
        <f t="shared" ca="1" si="6"/>
        <v/>
      </c>
      <c r="BB218" s="197">
        <v>46239</v>
      </c>
    </row>
    <row r="219" spans="25:54">
      <c r="Y219">
        <f>IF(LEFT('Decision Register'!A220,4)="DEC-",IFERROR(VALUE(MID('Decision Register'!A220,5,20)),0),0)</f>
        <v>0</v>
      </c>
      <c r="BA219" s="197" t="str">
        <f t="shared" ca="1" si="6"/>
        <v/>
      </c>
      <c r="BB219" s="197">
        <v>46240</v>
      </c>
    </row>
    <row r="220" spans="25:54">
      <c r="Y220">
        <f>IF(LEFT('Decision Register'!A221,4)="DEC-",IFERROR(VALUE(MID('Decision Register'!A221,5,20)),0),0)</f>
        <v>0</v>
      </c>
      <c r="BA220" s="197" t="str">
        <f t="shared" ca="1" si="6"/>
        <v/>
      </c>
      <c r="BB220" s="197">
        <v>46241</v>
      </c>
    </row>
    <row r="221" spans="25:54">
      <c r="Y221">
        <f>IF(LEFT('Decision Register'!A222,4)="DEC-",IFERROR(VALUE(MID('Decision Register'!A222,5,20)),0),0)</f>
        <v>0</v>
      </c>
      <c r="BA221" s="197" t="str">
        <f t="shared" ca="1" si="6"/>
        <v/>
      </c>
      <c r="BB221" s="197">
        <v>46242</v>
      </c>
    </row>
    <row r="222" spans="25:54">
      <c r="Y222">
        <f>IF(LEFT('Decision Register'!A223,4)="DEC-",IFERROR(VALUE(MID('Decision Register'!A223,5,20)),0),0)</f>
        <v>0</v>
      </c>
      <c r="BA222" s="197" t="str">
        <f t="shared" ca="1" si="6"/>
        <v/>
      </c>
      <c r="BB222" s="197">
        <v>46243</v>
      </c>
    </row>
    <row r="223" spans="25:54">
      <c r="Y223">
        <f>IF(LEFT('Decision Register'!A224,4)="DEC-",IFERROR(VALUE(MID('Decision Register'!A224,5,20)),0),0)</f>
        <v>0</v>
      </c>
      <c r="BA223" s="197" t="str">
        <f t="shared" ca="1" si="6"/>
        <v/>
      </c>
      <c r="BB223" s="197">
        <v>46244</v>
      </c>
    </row>
    <row r="224" spans="25:54">
      <c r="Y224">
        <f>IF(LEFT('Decision Register'!A225,4)="DEC-",IFERROR(VALUE(MID('Decision Register'!A225,5,20)),0),0)</f>
        <v>0</v>
      </c>
      <c r="BA224" s="197" t="str">
        <f t="shared" ca="1" si="6"/>
        <v/>
      </c>
      <c r="BB224" s="197">
        <v>46245</v>
      </c>
    </row>
    <row r="225" spans="25:54">
      <c r="Y225">
        <f>IF(LEFT('Decision Register'!A226,4)="DEC-",IFERROR(VALUE(MID('Decision Register'!A226,5,20)),0),0)</f>
        <v>0</v>
      </c>
      <c r="BA225" s="197" t="str">
        <f t="shared" ca="1" si="6"/>
        <v/>
      </c>
      <c r="BB225" s="197">
        <v>46246</v>
      </c>
    </row>
    <row r="226" spans="25:54">
      <c r="Y226">
        <f>IF(LEFT('Decision Register'!A227,4)="DEC-",IFERROR(VALUE(MID('Decision Register'!A227,5,20)),0),0)</f>
        <v>0</v>
      </c>
      <c r="BA226" s="197" t="str">
        <f t="shared" ca="1" si="6"/>
        <v/>
      </c>
      <c r="BB226" s="197">
        <v>46247</v>
      </c>
    </row>
    <row r="227" spans="25:54">
      <c r="Y227">
        <f>IF(LEFT('Decision Register'!A228,4)="DEC-",IFERROR(VALUE(MID('Decision Register'!A228,5,20)),0),0)</f>
        <v>0</v>
      </c>
      <c r="BA227" s="197" t="str">
        <f t="shared" ca="1" si="6"/>
        <v/>
      </c>
      <c r="BB227" s="197">
        <v>46248</v>
      </c>
    </row>
    <row r="228" spans="25:54">
      <c r="Y228">
        <f>IF(LEFT('Decision Register'!A229,4)="DEC-",IFERROR(VALUE(MID('Decision Register'!A229,5,20)),0),0)</f>
        <v>0</v>
      </c>
      <c r="BA228" s="197" t="str">
        <f t="shared" ca="1" si="6"/>
        <v/>
      </c>
      <c r="BB228" s="197">
        <v>46249</v>
      </c>
    </row>
    <row r="229" spans="25:54">
      <c r="Y229">
        <f>IF(LEFT('Decision Register'!A230,4)="DEC-",IFERROR(VALUE(MID('Decision Register'!A230,5,20)),0),0)</f>
        <v>0</v>
      </c>
      <c r="BA229" s="197" t="str">
        <f t="shared" ca="1" si="6"/>
        <v/>
      </c>
      <c r="BB229" s="197">
        <v>46250</v>
      </c>
    </row>
    <row r="230" spans="25:54">
      <c r="Y230">
        <f>IF(LEFT('Decision Register'!A231,4)="DEC-",IFERROR(VALUE(MID('Decision Register'!A231,5,20)),0),0)</f>
        <v>0</v>
      </c>
      <c r="BA230" s="197" t="str">
        <f t="shared" ca="1" si="6"/>
        <v/>
      </c>
      <c r="BB230" s="197">
        <v>46251</v>
      </c>
    </row>
    <row r="231" spans="25:54">
      <c r="Y231">
        <f>IF(LEFT('Decision Register'!A232,4)="DEC-",IFERROR(VALUE(MID('Decision Register'!A232,5,20)),0),0)</f>
        <v>0</v>
      </c>
      <c r="BA231" s="197" t="str">
        <f t="shared" ca="1" si="6"/>
        <v/>
      </c>
      <c r="BB231" s="197">
        <v>46252</v>
      </c>
    </row>
    <row r="232" spans="25:54">
      <c r="Y232">
        <f>IF(LEFT('Decision Register'!A233,4)="DEC-",IFERROR(VALUE(MID('Decision Register'!A233,5,20)),0),0)</f>
        <v>0</v>
      </c>
      <c r="BA232" s="197" t="str">
        <f t="shared" ca="1" si="6"/>
        <v/>
      </c>
      <c r="BB232" s="197">
        <v>46253</v>
      </c>
    </row>
    <row r="233" spans="25:54">
      <c r="Y233">
        <f>IF(LEFT('Decision Register'!A234,4)="DEC-",IFERROR(VALUE(MID('Decision Register'!A234,5,20)),0),0)</f>
        <v>0</v>
      </c>
      <c r="BA233" s="197" t="str">
        <f t="shared" ca="1" si="6"/>
        <v/>
      </c>
      <c r="BB233" s="197">
        <v>46254</v>
      </c>
    </row>
    <row r="234" spans="25:54">
      <c r="Y234">
        <f>IF(LEFT('Decision Register'!A235,4)="DEC-",IFERROR(VALUE(MID('Decision Register'!A235,5,20)),0),0)</f>
        <v>0</v>
      </c>
      <c r="BA234" s="197" t="str">
        <f t="shared" ca="1" si="6"/>
        <v/>
      </c>
      <c r="BB234" s="197">
        <v>46255</v>
      </c>
    </row>
    <row r="235" spans="25:54">
      <c r="Y235">
        <f>IF(LEFT('Decision Register'!A236,4)="DEC-",IFERROR(VALUE(MID('Decision Register'!A236,5,20)),0),0)</f>
        <v>0</v>
      </c>
      <c r="BA235" s="197" t="str">
        <f t="shared" ca="1" si="6"/>
        <v/>
      </c>
      <c r="BB235" s="197">
        <v>46256</v>
      </c>
    </row>
    <row r="236" spans="25:54">
      <c r="Y236">
        <f>IF(LEFT('Decision Register'!A237,4)="DEC-",IFERROR(VALUE(MID('Decision Register'!A237,5,20)),0),0)</f>
        <v>0</v>
      </c>
      <c r="BA236" s="197" t="str">
        <f t="shared" ca="1" si="6"/>
        <v/>
      </c>
      <c r="BB236" s="197">
        <v>46257</v>
      </c>
    </row>
    <row r="237" spans="25:54">
      <c r="Y237">
        <f>IF(LEFT('Decision Register'!A238,4)="DEC-",IFERROR(VALUE(MID('Decision Register'!A238,5,20)),0),0)</f>
        <v>0</v>
      </c>
      <c r="BA237" s="197" t="str">
        <f t="shared" ca="1" si="6"/>
        <v/>
      </c>
      <c r="BB237" s="197">
        <v>46258</v>
      </c>
    </row>
    <row r="238" spans="25:54">
      <c r="Y238">
        <f>IF(LEFT('Decision Register'!A239,4)="DEC-",IFERROR(VALUE(MID('Decision Register'!A239,5,20)),0),0)</f>
        <v>0</v>
      </c>
      <c r="BA238" s="197" t="str">
        <f t="shared" ca="1" si="6"/>
        <v/>
      </c>
      <c r="BB238" s="197">
        <v>46259</v>
      </c>
    </row>
    <row r="239" spans="25:54">
      <c r="Y239">
        <f>IF(LEFT('Decision Register'!A240,4)="DEC-",IFERROR(VALUE(MID('Decision Register'!A240,5,20)),0),0)</f>
        <v>0</v>
      </c>
      <c r="BA239" s="197" t="str">
        <f t="shared" ca="1" si="6"/>
        <v/>
      </c>
      <c r="BB239" s="197">
        <v>46260</v>
      </c>
    </row>
    <row r="240" spans="25:54">
      <c r="Y240">
        <f>IF(LEFT('Decision Register'!A241,4)="DEC-",IFERROR(VALUE(MID('Decision Register'!A241,5,20)),0),0)</f>
        <v>0</v>
      </c>
      <c r="BA240" s="197" t="str">
        <f t="shared" ca="1" si="6"/>
        <v/>
      </c>
      <c r="BB240" s="197">
        <v>46261</v>
      </c>
    </row>
    <row r="241" spans="25:54">
      <c r="Y241">
        <f>IF(LEFT('Decision Register'!A242,4)="DEC-",IFERROR(VALUE(MID('Decision Register'!A242,5,20)),0),0)</f>
        <v>0</v>
      </c>
      <c r="BA241" s="197" t="str">
        <f t="shared" ca="1" si="6"/>
        <v/>
      </c>
      <c r="BB241" s="197">
        <v>46262</v>
      </c>
    </row>
    <row r="242" spans="25:54">
      <c r="Y242">
        <f>IF(LEFT('Decision Register'!A243,4)="DEC-",IFERROR(VALUE(MID('Decision Register'!A243,5,20)),0),0)</f>
        <v>0</v>
      </c>
      <c r="BA242" s="197" t="str">
        <f t="shared" ca="1" si="6"/>
        <v/>
      </c>
      <c r="BB242" s="197">
        <v>46263</v>
      </c>
    </row>
    <row r="243" spans="25:54">
      <c r="Y243">
        <f>IF(LEFT('Decision Register'!A244,4)="DEC-",IFERROR(VALUE(MID('Decision Register'!A244,5,20)),0),0)</f>
        <v>0</v>
      </c>
      <c r="BA243" s="197" t="str">
        <f t="shared" ca="1" si="6"/>
        <v/>
      </c>
      <c r="BB243" s="197">
        <v>46264</v>
      </c>
    </row>
    <row r="244" spans="25:54">
      <c r="Y244">
        <f>IF(LEFT('Decision Register'!A245,4)="DEC-",IFERROR(VALUE(MID('Decision Register'!A245,5,20)),0),0)</f>
        <v>0</v>
      </c>
      <c r="BA244" s="197" t="str">
        <f t="shared" ca="1" si="6"/>
        <v/>
      </c>
      <c r="BB244" s="197">
        <v>46265</v>
      </c>
    </row>
    <row r="245" spans="25:54">
      <c r="Y245">
        <f>IF(LEFT('Decision Register'!A246,4)="DEC-",IFERROR(VALUE(MID('Decision Register'!A246,5,20)),0),0)</f>
        <v>0</v>
      </c>
      <c r="BA245" s="197" t="str">
        <f t="shared" ca="1" si="6"/>
        <v/>
      </c>
      <c r="BB245" s="197">
        <v>46266</v>
      </c>
    </row>
    <row r="246" spans="25:54">
      <c r="Y246">
        <f>IF(LEFT('Decision Register'!A247,4)="DEC-",IFERROR(VALUE(MID('Decision Register'!A247,5,20)),0),0)</f>
        <v>0</v>
      </c>
      <c r="BA246" s="197" t="str">
        <f t="shared" ca="1" si="6"/>
        <v/>
      </c>
      <c r="BB246" s="197">
        <v>46267</v>
      </c>
    </row>
    <row r="247" spans="25:54">
      <c r="Y247">
        <f>IF(LEFT('Decision Register'!A248,4)="DEC-",IFERROR(VALUE(MID('Decision Register'!A248,5,20)),0),0)</f>
        <v>0</v>
      </c>
      <c r="BA247" s="197" t="str">
        <f t="shared" ca="1" si="6"/>
        <v/>
      </c>
      <c r="BB247" s="197">
        <v>46268</v>
      </c>
    </row>
    <row r="248" spans="25:54">
      <c r="Y248">
        <f>IF(LEFT('Decision Register'!A249,4)="DEC-",IFERROR(VALUE(MID('Decision Register'!A249,5,20)),0),0)</f>
        <v>0</v>
      </c>
      <c r="BA248" s="197" t="str">
        <f t="shared" ca="1" si="6"/>
        <v/>
      </c>
      <c r="BB248" s="197">
        <v>46269</v>
      </c>
    </row>
    <row r="249" spans="25:54">
      <c r="Y249">
        <f>IF(LEFT('Decision Register'!A250,4)="DEC-",IFERROR(VALUE(MID('Decision Register'!A250,5,20)),0),0)</f>
        <v>0</v>
      </c>
      <c r="BA249" s="197" t="str">
        <f t="shared" ca="1" si="6"/>
        <v/>
      </c>
      <c r="BB249" s="197">
        <v>46270</v>
      </c>
    </row>
    <row r="250" spans="25:54">
      <c r="Y250">
        <f>IF(LEFT('Decision Register'!A251,4)="DEC-",IFERROR(VALUE(MID('Decision Register'!A251,5,20)),0),0)</f>
        <v>0</v>
      </c>
      <c r="BA250" s="197" t="str">
        <f t="shared" ca="1" si="6"/>
        <v/>
      </c>
      <c r="BB250" s="197">
        <v>46271</v>
      </c>
    </row>
    <row r="251" spans="25:54">
      <c r="Y251">
        <f>IF(LEFT('Decision Register'!A252,4)="DEC-",IFERROR(VALUE(MID('Decision Register'!A252,5,20)),0),0)</f>
        <v>0</v>
      </c>
      <c r="BA251" s="197" t="str">
        <f t="shared" ca="1" si="6"/>
        <v/>
      </c>
      <c r="BB251" s="197">
        <v>46272</v>
      </c>
    </row>
    <row r="252" spans="25:54">
      <c r="Y252">
        <f>IF(LEFT('Decision Register'!A253,4)="DEC-",IFERROR(VALUE(MID('Decision Register'!A253,5,20)),0),0)</f>
        <v>0</v>
      </c>
      <c r="BA252" s="197" t="str">
        <f t="shared" ca="1" si="6"/>
        <v/>
      </c>
      <c r="BB252" s="197">
        <v>46273</v>
      </c>
    </row>
    <row r="253" spans="25:54">
      <c r="Y253">
        <f>IF(LEFT('Decision Register'!A254,4)="DEC-",IFERROR(VALUE(MID('Decision Register'!A254,5,20)),0),0)</f>
        <v>0</v>
      </c>
      <c r="BA253" s="197" t="str">
        <f t="shared" ca="1" si="6"/>
        <v/>
      </c>
      <c r="BB253" s="197">
        <v>46274</v>
      </c>
    </row>
    <row r="254" spans="25:54">
      <c r="Y254">
        <f>IF(LEFT('Decision Register'!A255,4)="DEC-",IFERROR(VALUE(MID('Decision Register'!A255,5,20)),0),0)</f>
        <v>0</v>
      </c>
      <c r="BA254" s="197" t="str">
        <f t="shared" ca="1" si="6"/>
        <v/>
      </c>
      <c r="BB254" s="197">
        <v>46275</v>
      </c>
    </row>
    <row r="255" spans="25:54">
      <c r="Y255">
        <f>IF(LEFT('Decision Register'!A256,4)="DEC-",IFERROR(VALUE(MID('Decision Register'!A256,5,20)),0),0)</f>
        <v>0</v>
      </c>
      <c r="BA255" s="197" t="str">
        <f t="shared" ca="1" si="6"/>
        <v/>
      </c>
      <c r="BB255" s="197">
        <v>46276</v>
      </c>
    </row>
    <row r="256" spans="25:54">
      <c r="Y256">
        <f>IF(LEFT('Decision Register'!A257,4)="DEC-",IFERROR(VALUE(MID('Decision Register'!A257,5,20)),0),0)</f>
        <v>0</v>
      </c>
      <c r="BA256" s="197" t="str">
        <f t="shared" ca="1" si="6"/>
        <v/>
      </c>
      <c r="BB256" s="197">
        <v>46277</v>
      </c>
    </row>
    <row r="257" spans="25:54">
      <c r="Y257">
        <f>IF(LEFT('Decision Register'!A258,4)="DEC-",IFERROR(VALUE(MID('Decision Register'!A258,5,20)),0),0)</f>
        <v>0</v>
      </c>
      <c r="BA257" s="197" t="str">
        <f t="shared" ca="1" si="6"/>
        <v/>
      </c>
      <c r="BB257" s="197">
        <v>46278</v>
      </c>
    </row>
    <row r="258" spans="25:54">
      <c r="Y258">
        <f>IF(LEFT('Decision Register'!A259,4)="DEC-",IFERROR(VALUE(MID('Decision Register'!A259,5,20)),0),0)</f>
        <v>0</v>
      </c>
      <c r="BA258" s="197" t="str">
        <f t="shared" ca="1" si="6"/>
        <v/>
      </c>
      <c r="BB258" s="197">
        <v>46279</v>
      </c>
    </row>
    <row r="259" spans="25:54">
      <c r="Y259">
        <f>IF(LEFT('Decision Register'!A260,4)="DEC-",IFERROR(VALUE(MID('Decision Register'!A260,5,20)),0),0)</f>
        <v>0</v>
      </c>
      <c r="BA259" s="197" t="str">
        <f t="shared" ref="BA259:BA322" ca="1" si="7">IF(TODAY()=BB259,BB259,"")</f>
        <v/>
      </c>
      <c r="BB259" s="197">
        <v>46280</v>
      </c>
    </row>
    <row r="260" spans="25:54">
      <c r="Y260">
        <f>IF(LEFT('Decision Register'!A261,4)="DEC-",IFERROR(VALUE(MID('Decision Register'!A261,5,20)),0),0)</f>
        <v>0</v>
      </c>
      <c r="BA260" s="197" t="str">
        <f t="shared" ca="1" si="7"/>
        <v/>
      </c>
      <c r="BB260" s="197">
        <v>46281</v>
      </c>
    </row>
    <row r="261" spans="25:54">
      <c r="Y261">
        <f>IF(LEFT('Decision Register'!A262,4)="DEC-",IFERROR(VALUE(MID('Decision Register'!A262,5,20)),0),0)</f>
        <v>0</v>
      </c>
      <c r="BA261" s="197" t="str">
        <f t="shared" ca="1" si="7"/>
        <v/>
      </c>
      <c r="BB261" s="197">
        <v>46282</v>
      </c>
    </row>
    <row r="262" spans="25:54">
      <c r="Y262">
        <f>IF(LEFT('Decision Register'!A263,4)="DEC-",IFERROR(VALUE(MID('Decision Register'!A263,5,20)),0),0)</f>
        <v>0</v>
      </c>
      <c r="BA262" s="197" t="str">
        <f t="shared" ca="1" si="7"/>
        <v/>
      </c>
      <c r="BB262" s="197">
        <v>46283</v>
      </c>
    </row>
    <row r="263" spans="25:54">
      <c r="Y263">
        <f>IF(LEFT('Decision Register'!A264,4)="DEC-",IFERROR(VALUE(MID('Decision Register'!A264,5,20)),0),0)</f>
        <v>0</v>
      </c>
      <c r="BA263" s="197" t="str">
        <f t="shared" ca="1" si="7"/>
        <v/>
      </c>
      <c r="BB263" s="197">
        <v>46284</v>
      </c>
    </row>
    <row r="264" spans="25:54">
      <c r="Y264">
        <f>IF(LEFT('Decision Register'!A265,4)="DEC-",IFERROR(VALUE(MID('Decision Register'!A265,5,20)),0),0)</f>
        <v>0</v>
      </c>
      <c r="BA264" s="197" t="str">
        <f t="shared" ca="1" si="7"/>
        <v/>
      </c>
      <c r="BB264" s="197">
        <v>46285</v>
      </c>
    </row>
    <row r="265" spans="25:54">
      <c r="Y265">
        <f>IF(LEFT('Decision Register'!A266,4)="DEC-",IFERROR(VALUE(MID('Decision Register'!A266,5,20)),0),0)</f>
        <v>0</v>
      </c>
      <c r="BA265" s="197" t="str">
        <f t="shared" ca="1" si="7"/>
        <v/>
      </c>
      <c r="BB265" s="197">
        <v>46286</v>
      </c>
    </row>
    <row r="266" spans="25:54">
      <c r="Y266">
        <f>IF(LEFT('Decision Register'!A267,4)="DEC-",IFERROR(VALUE(MID('Decision Register'!A267,5,20)),0),0)</f>
        <v>0</v>
      </c>
      <c r="BA266" s="197" t="str">
        <f t="shared" ca="1" si="7"/>
        <v/>
      </c>
      <c r="BB266" s="197">
        <v>46287</v>
      </c>
    </row>
    <row r="267" spans="25:54">
      <c r="Y267">
        <f>IF(LEFT('Decision Register'!A268,4)="DEC-",IFERROR(VALUE(MID('Decision Register'!A268,5,20)),0),0)</f>
        <v>0</v>
      </c>
      <c r="BA267" s="197" t="str">
        <f t="shared" ca="1" si="7"/>
        <v/>
      </c>
      <c r="BB267" s="197">
        <v>46288</v>
      </c>
    </row>
    <row r="268" spans="25:54">
      <c r="Y268">
        <f>IF(LEFT('Decision Register'!A269,4)="DEC-",IFERROR(VALUE(MID('Decision Register'!A269,5,20)),0),0)</f>
        <v>0</v>
      </c>
      <c r="BA268" s="197" t="str">
        <f t="shared" ca="1" si="7"/>
        <v/>
      </c>
      <c r="BB268" s="197">
        <v>46289</v>
      </c>
    </row>
    <row r="269" spans="25:54">
      <c r="Y269">
        <f>IF(LEFT('Decision Register'!A270,4)="DEC-",IFERROR(VALUE(MID('Decision Register'!A270,5,20)),0),0)</f>
        <v>0</v>
      </c>
      <c r="BA269" s="197" t="str">
        <f t="shared" ca="1" si="7"/>
        <v/>
      </c>
      <c r="BB269" s="197">
        <v>46290</v>
      </c>
    </row>
    <row r="270" spans="25:54">
      <c r="Y270">
        <f>IF(LEFT('Decision Register'!A271,4)="DEC-",IFERROR(VALUE(MID('Decision Register'!A271,5,20)),0),0)</f>
        <v>0</v>
      </c>
      <c r="BA270" s="197" t="str">
        <f t="shared" ca="1" si="7"/>
        <v/>
      </c>
      <c r="BB270" s="197">
        <v>46291</v>
      </c>
    </row>
    <row r="271" spans="25:54">
      <c r="Y271">
        <f>IF(LEFT('Decision Register'!A272,4)="DEC-",IFERROR(VALUE(MID('Decision Register'!A272,5,20)),0),0)</f>
        <v>0</v>
      </c>
      <c r="BA271" s="197" t="str">
        <f t="shared" ca="1" si="7"/>
        <v/>
      </c>
      <c r="BB271" s="197">
        <v>46292</v>
      </c>
    </row>
    <row r="272" spans="25:54">
      <c r="Y272">
        <f>IF(LEFT('Decision Register'!A273,4)="DEC-",IFERROR(VALUE(MID('Decision Register'!A273,5,20)),0),0)</f>
        <v>0</v>
      </c>
      <c r="BA272" s="197" t="str">
        <f t="shared" ca="1" si="7"/>
        <v/>
      </c>
      <c r="BB272" s="197">
        <v>46293</v>
      </c>
    </row>
    <row r="273" spans="25:54">
      <c r="Y273">
        <f>IF(LEFT('Decision Register'!A274,4)="DEC-",IFERROR(VALUE(MID('Decision Register'!A274,5,20)),0),0)</f>
        <v>0</v>
      </c>
      <c r="BA273" s="197" t="str">
        <f t="shared" ca="1" si="7"/>
        <v/>
      </c>
      <c r="BB273" s="197">
        <v>46294</v>
      </c>
    </row>
    <row r="274" spans="25:54">
      <c r="Y274">
        <f>IF(LEFT('Decision Register'!A275,4)="DEC-",IFERROR(VALUE(MID('Decision Register'!A275,5,20)),0),0)</f>
        <v>0</v>
      </c>
      <c r="BA274" s="197" t="str">
        <f t="shared" ca="1" si="7"/>
        <v/>
      </c>
      <c r="BB274" s="197">
        <v>46295</v>
      </c>
    </row>
    <row r="275" spans="25:54">
      <c r="Y275">
        <f>IF(LEFT('Decision Register'!A276,4)="DEC-",IFERROR(VALUE(MID('Decision Register'!A276,5,20)),0),0)</f>
        <v>0</v>
      </c>
      <c r="BA275" s="197" t="str">
        <f t="shared" ca="1" si="7"/>
        <v/>
      </c>
      <c r="BB275" s="197">
        <v>46296</v>
      </c>
    </row>
    <row r="276" spans="25:54">
      <c r="Y276">
        <f>IF(LEFT('Decision Register'!A277,4)="DEC-",IFERROR(VALUE(MID('Decision Register'!A277,5,20)),0),0)</f>
        <v>0</v>
      </c>
      <c r="BA276" s="197" t="str">
        <f t="shared" ca="1" si="7"/>
        <v/>
      </c>
      <c r="BB276" s="197">
        <v>46297</v>
      </c>
    </row>
    <row r="277" spans="25:54">
      <c r="Y277">
        <f>IF(LEFT('Decision Register'!A278,4)="DEC-",IFERROR(VALUE(MID('Decision Register'!A278,5,20)),0),0)</f>
        <v>0</v>
      </c>
      <c r="BA277" s="197" t="str">
        <f t="shared" ca="1" si="7"/>
        <v/>
      </c>
      <c r="BB277" s="197">
        <v>46298</v>
      </c>
    </row>
    <row r="278" spans="25:54">
      <c r="Y278">
        <f>IF(LEFT('Decision Register'!A279,4)="DEC-",IFERROR(VALUE(MID('Decision Register'!A279,5,20)),0),0)</f>
        <v>0</v>
      </c>
      <c r="BA278" s="197" t="str">
        <f t="shared" ca="1" si="7"/>
        <v/>
      </c>
      <c r="BB278" s="197">
        <v>46299</v>
      </c>
    </row>
    <row r="279" spans="25:54">
      <c r="Y279">
        <f>IF(LEFT('Decision Register'!A280,4)="DEC-",IFERROR(VALUE(MID('Decision Register'!A280,5,20)),0),0)</f>
        <v>0</v>
      </c>
      <c r="BA279" s="197" t="str">
        <f t="shared" ca="1" si="7"/>
        <v/>
      </c>
      <c r="BB279" s="197">
        <v>46300</v>
      </c>
    </row>
    <row r="280" spans="25:54">
      <c r="Y280">
        <f>IF(LEFT('Decision Register'!A281,4)="DEC-",IFERROR(VALUE(MID('Decision Register'!A281,5,20)),0),0)</f>
        <v>0</v>
      </c>
      <c r="BA280" s="197" t="str">
        <f t="shared" ca="1" si="7"/>
        <v/>
      </c>
      <c r="BB280" s="197">
        <v>46301</v>
      </c>
    </row>
    <row r="281" spans="25:54">
      <c r="Y281">
        <f>IF(LEFT('Decision Register'!A282,4)="DEC-",IFERROR(VALUE(MID('Decision Register'!A282,5,20)),0),0)</f>
        <v>0</v>
      </c>
      <c r="BA281" s="197" t="str">
        <f t="shared" ca="1" si="7"/>
        <v/>
      </c>
      <c r="BB281" s="197">
        <v>46302</v>
      </c>
    </row>
    <row r="282" spans="25:54">
      <c r="Y282">
        <f>IF(LEFT('Decision Register'!A283,4)="DEC-",IFERROR(VALUE(MID('Decision Register'!A283,5,20)),0),0)</f>
        <v>0</v>
      </c>
      <c r="BA282" s="197" t="str">
        <f t="shared" ca="1" si="7"/>
        <v/>
      </c>
      <c r="BB282" s="197">
        <v>46303</v>
      </c>
    </row>
    <row r="283" spans="25:54">
      <c r="Y283">
        <f>IF(LEFT('Decision Register'!A284,4)="DEC-",IFERROR(VALUE(MID('Decision Register'!A284,5,20)),0),0)</f>
        <v>0</v>
      </c>
      <c r="BA283" s="197" t="str">
        <f t="shared" ca="1" si="7"/>
        <v/>
      </c>
      <c r="BB283" s="197">
        <v>46304</v>
      </c>
    </row>
    <row r="284" spans="25:54">
      <c r="Y284">
        <f>IF(LEFT('Decision Register'!A285,4)="DEC-",IFERROR(VALUE(MID('Decision Register'!A285,5,20)),0),0)</f>
        <v>0</v>
      </c>
      <c r="BA284" s="197" t="str">
        <f t="shared" ca="1" si="7"/>
        <v/>
      </c>
      <c r="BB284" s="197">
        <v>46305</v>
      </c>
    </row>
    <row r="285" spans="25:54">
      <c r="Y285">
        <f>IF(LEFT('Decision Register'!A286,4)="DEC-",IFERROR(VALUE(MID('Decision Register'!A286,5,20)),0),0)</f>
        <v>0</v>
      </c>
      <c r="BA285" s="197" t="str">
        <f t="shared" ca="1" si="7"/>
        <v/>
      </c>
      <c r="BB285" s="197">
        <v>46306</v>
      </c>
    </row>
    <row r="286" spans="25:54">
      <c r="Y286">
        <f>IF(LEFT('Decision Register'!A287,4)="DEC-",IFERROR(VALUE(MID('Decision Register'!A287,5,20)),0),0)</f>
        <v>0</v>
      </c>
      <c r="BA286" s="197" t="str">
        <f t="shared" ca="1" si="7"/>
        <v/>
      </c>
      <c r="BB286" s="197">
        <v>46307</v>
      </c>
    </row>
    <row r="287" spans="25:54">
      <c r="Y287">
        <f>IF(LEFT('Decision Register'!A288,4)="DEC-",IFERROR(VALUE(MID('Decision Register'!A288,5,20)),0),0)</f>
        <v>0</v>
      </c>
      <c r="BA287" s="197" t="str">
        <f t="shared" ca="1" si="7"/>
        <v/>
      </c>
      <c r="BB287" s="197">
        <v>46308</v>
      </c>
    </row>
    <row r="288" spans="25:54">
      <c r="Y288">
        <f>IF(LEFT('Decision Register'!A289,4)="DEC-",IFERROR(VALUE(MID('Decision Register'!A289,5,20)),0),0)</f>
        <v>0</v>
      </c>
      <c r="BA288" s="197" t="str">
        <f t="shared" ca="1" si="7"/>
        <v/>
      </c>
      <c r="BB288" s="197">
        <v>46309</v>
      </c>
    </row>
    <row r="289" spans="25:54">
      <c r="Y289">
        <f>IF(LEFT('Decision Register'!A290,4)="DEC-",IFERROR(VALUE(MID('Decision Register'!A290,5,20)),0),0)</f>
        <v>0</v>
      </c>
      <c r="BA289" s="197" t="str">
        <f t="shared" ca="1" si="7"/>
        <v/>
      </c>
      <c r="BB289" s="197">
        <v>46310</v>
      </c>
    </row>
    <row r="290" spans="25:54">
      <c r="Y290">
        <f>IF(LEFT('Decision Register'!A291,4)="DEC-",IFERROR(VALUE(MID('Decision Register'!A291,5,20)),0),0)</f>
        <v>0</v>
      </c>
      <c r="BA290" s="197" t="str">
        <f t="shared" ca="1" si="7"/>
        <v/>
      </c>
      <c r="BB290" s="197">
        <v>46311</v>
      </c>
    </row>
    <row r="291" spans="25:54">
      <c r="Y291">
        <f>IF(LEFT('Decision Register'!A292,4)="DEC-",IFERROR(VALUE(MID('Decision Register'!A292,5,20)),0),0)</f>
        <v>0</v>
      </c>
      <c r="BA291" s="197" t="str">
        <f t="shared" ca="1" si="7"/>
        <v/>
      </c>
      <c r="BB291" s="197">
        <v>46312</v>
      </c>
    </row>
    <row r="292" spans="25:54">
      <c r="Y292">
        <f>IF(LEFT('Decision Register'!A293,4)="DEC-",IFERROR(VALUE(MID('Decision Register'!A293,5,20)),0),0)</f>
        <v>0</v>
      </c>
      <c r="BA292" s="197" t="str">
        <f t="shared" ca="1" si="7"/>
        <v/>
      </c>
      <c r="BB292" s="197">
        <v>46313</v>
      </c>
    </row>
    <row r="293" spans="25:54">
      <c r="Y293">
        <f>IF(LEFT('Decision Register'!A294,4)="DEC-",IFERROR(VALUE(MID('Decision Register'!A294,5,20)),0),0)</f>
        <v>0</v>
      </c>
      <c r="BA293" s="197" t="str">
        <f t="shared" ca="1" si="7"/>
        <v/>
      </c>
      <c r="BB293" s="197">
        <v>46314</v>
      </c>
    </row>
    <row r="294" spans="25:54">
      <c r="Y294">
        <f>IF(LEFT('Decision Register'!A295,4)="DEC-",IFERROR(VALUE(MID('Decision Register'!A295,5,20)),0),0)</f>
        <v>0</v>
      </c>
      <c r="BA294" s="197" t="str">
        <f t="shared" ca="1" si="7"/>
        <v/>
      </c>
      <c r="BB294" s="197">
        <v>46315</v>
      </c>
    </row>
    <row r="295" spans="25:54">
      <c r="Y295">
        <f>IF(LEFT('Decision Register'!A296,4)="DEC-",IFERROR(VALUE(MID('Decision Register'!A296,5,20)),0),0)</f>
        <v>0</v>
      </c>
      <c r="BA295" s="197" t="str">
        <f t="shared" ca="1" si="7"/>
        <v/>
      </c>
      <c r="BB295" s="197">
        <v>46316</v>
      </c>
    </row>
    <row r="296" spans="25:54">
      <c r="Y296">
        <f>IF(LEFT('Decision Register'!A297,4)="DEC-",IFERROR(VALUE(MID('Decision Register'!A297,5,20)),0),0)</f>
        <v>0</v>
      </c>
      <c r="BA296" s="197">
        <f t="shared" ca="1" si="7"/>
        <v>46317</v>
      </c>
      <c r="BB296" s="197">
        <v>46317</v>
      </c>
    </row>
    <row r="297" spans="25:54">
      <c r="Y297">
        <f>IF(LEFT('Decision Register'!A298,4)="DEC-",IFERROR(VALUE(MID('Decision Register'!A298,5,20)),0),0)</f>
        <v>0</v>
      </c>
      <c r="BA297" s="197" t="str">
        <f t="shared" ca="1" si="7"/>
        <v/>
      </c>
      <c r="BB297" s="197">
        <v>46318</v>
      </c>
    </row>
    <row r="298" spans="25:54">
      <c r="Y298">
        <f>IF(LEFT('Decision Register'!A299,4)="DEC-",IFERROR(VALUE(MID('Decision Register'!A299,5,20)),0),0)</f>
        <v>0</v>
      </c>
      <c r="BA298" s="197" t="str">
        <f t="shared" ca="1" si="7"/>
        <v/>
      </c>
      <c r="BB298" s="197">
        <v>46319</v>
      </c>
    </row>
    <row r="299" spans="25:54">
      <c r="Y299">
        <f>IF(LEFT('Decision Register'!A300,4)="DEC-",IFERROR(VALUE(MID('Decision Register'!A300,5,20)),0),0)</f>
        <v>0</v>
      </c>
      <c r="BA299" s="197" t="str">
        <f t="shared" ca="1" si="7"/>
        <v/>
      </c>
      <c r="BB299" s="197">
        <v>46320</v>
      </c>
    </row>
    <row r="300" spans="25:54">
      <c r="Y300">
        <f>IF(LEFT('Decision Register'!A301,4)="DEC-",IFERROR(VALUE(MID('Decision Register'!A301,5,20)),0),0)</f>
        <v>0</v>
      </c>
      <c r="BA300" s="197" t="str">
        <f t="shared" ca="1" si="7"/>
        <v/>
      </c>
      <c r="BB300" s="197">
        <v>46321</v>
      </c>
    </row>
    <row r="301" spans="25:54">
      <c r="Y301">
        <f>IF(LEFT('Decision Register'!A302,4)="DEC-",IFERROR(VALUE(MID('Decision Register'!A302,5,20)),0),0)</f>
        <v>0</v>
      </c>
      <c r="BA301" s="197" t="str">
        <f t="shared" ca="1" si="7"/>
        <v/>
      </c>
      <c r="BB301" s="197">
        <v>46322</v>
      </c>
    </row>
    <row r="302" spans="25:54">
      <c r="Y302">
        <f>IF(LEFT('Decision Register'!A303,4)="DEC-",IFERROR(VALUE(MID('Decision Register'!A303,5,20)),0),0)</f>
        <v>0</v>
      </c>
      <c r="BA302" s="197" t="str">
        <f t="shared" ca="1" si="7"/>
        <v/>
      </c>
      <c r="BB302" s="197">
        <v>46323</v>
      </c>
    </row>
    <row r="303" spans="25:54">
      <c r="Y303">
        <f>IF(LEFT('Decision Register'!A304,4)="DEC-",IFERROR(VALUE(MID('Decision Register'!A304,5,20)),0),0)</f>
        <v>0</v>
      </c>
      <c r="BA303" s="197" t="str">
        <f t="shared" ca="1" si="7"/>
        <v/>
      </c>
      <c r="BB303" s="197">
        <v>46324</v>
      </c>
    </row>
    <row r="304" spans="25:54">
      <c r="BA304" s="197" t="str">
        <f t="shared" ca="1" si="7"/>
        <v/>
      </c>
      <c r="BB304" s="197">
        <v>46325</v>
      </c>
    </row>
    <row r="305" spans="53:54">
      <c r="BA305" s="197" t="str">
        <f t="shared" ca="1" si="7"/>
        <v/>
      </c>
      <c r="BB305" s="197">
        <v>46326</v>
      </c>
    </row>
    <row r="306" spans="53:54">
      <c r="BA306" s="197" t="str">
        <f t="shared" ca="1" si="7"/>
        <v/>
      </c>
      <c r="BB306" s="197">
        <v>46327</v>
      </c>
    </row>
    <row r="307" spans="53:54">
      <c r="BA307" s="197" t="str">
        <f t="shared" ca="1" si="7"/>
        <v/>
      </c>
      <c r="BB307" s="197">
        <v>46328</v>
      </c>
    </row>
    <row r="308" spans="53:54">
      <c r="BA308" s="197" t="str">
        <f t="shared" ca="1" si="7"/>
        <v/>
      </c>
      <c r="BB308" s="197">
        <v>46329</v>
      </c>
    </row>
    <row r="309" spans="53:54">
      <c r="BA309" s="197" t="str">
        <f t="shared" ca="1" si="7"/>
        <v/>
      </c>
      <c r="BB309" s="197">
        <v>46330</v>
      </c>
    </row>
    <row r="310" spans="53:54">
      <c r="BA310" s="197" t="str">
        <f t="shared" ca="1" si="7"/>
        <v/>
      </c>
      <c r="BB310" s="197">
        <v>46331</v>
      </c>
    </row>
    <row r="311" spans="53:54">
      <c r="BA311" s="197" t="str">
        <f t="shared" ca="1" si="7"/>
        <v/>
      </c>
      <c r="BB311" s="197">
        <v>46332</v>
      </c>
    </row>
    <row r="312" spans="53:54">
      <c r="BA312" s="197" t="str">
        <f t="shared" ca="1" si="7"/>
        <v/>
      </c>
      <c r="BB312" s="197">
        <v>46333</v>
      </c>
    </row>
    <row r="313" spans="53:54">
      <c r="BA313" s="197" t="str">
        <f t="shared" ca="1" si="7"/>
        <v/>
      </c>
      <c r="BB313" s="197">
        <v>46334</v>
      </c>
    </row>
    <row r="314" spans="53:54">
      <c r="BA314" s="197" t="str">
        <f t="shared" ca="1" si="7"/>
        <v/>
      </c>
      <c r="BB314" s="197">
        <v>46335</v>
      </c>
    </row>
    <row r="315" spans="53:54">
      <c r="BA315" s="197" t="str">
        <f t="shared" ca="1" si="7"/>
        <v/>
      </c>
      <c r="BB315" s="197">
        <v>46336</v>
      </c>
    </row>
    <row r="316" spans="53:54">
      <c r="BA316" s="197" t="str">
        <f t="shared" ca="1" si="7"/>
        <v/>
      </c>
      <c r="BB316" s="197">
        <v>46337</v>
      </c>
    </row>
    <row r="317" spans="53:54">
      <c r="BA317" s="197" t="str">
        <f t="shared" ca="1" si="7"/>
        <v/>
      </c>
      <c r="BB317" s="197">
        <v>46338</v>
      </c>
    </row>
    <row r="318" spans="53:54">
      <c r="BA318" s="197" t="str">
        <f t="shared" ca="1" si="7"/>
        <v/>
      </c>
      <c r="BB318" s="197">
        <v>46339</v>
      </c>
    </row>
    <row r="319" spans="53:54">
      <c r="BA319" s="197" t="str">
        <f t="shared" ca="1" si="7"/>
        <v/>
      </c>
      <c r="BB319" s="197">
        <v>46340</v>
      </c>
    </row>
    <row r="320" spans="53:54">
      <c r="BA320" s="197" t="str">
        <f t="shared" ca="1" si="7"/>
        <v/>
      </c>
      <c r="BB320" s="197">
        <v>46341</v>
      </c>
    </row>
    <row r="321" spans="53:54">
      <c r="BA321" s="197" t="str">
        <f t="shared" ca="1" si="7"/>
        <v/>
      </c>
      <c r="BB321" s="197">
        <v>46342</v>
      </c>
    </row>
    <row r="322" spans="53:54">
      <c r="BA322" s="197" t="str">
        <f t="shared" ca="1" si="7"/>
        <v/>
      </c>
      <c r="BB322" s="197">
        <v>46343</v>
      </c>
    </row>
    <row r="323" spans="53:54">
      <c r="BA323" s="197" t="str">
        <f t="shared" ref="BA323:BA386" ca="1" si="8">IF(TODAY()=BB323,BB323,"")</f>
        <v/>
      </c>
      <c r="BB323" s="197">
        <v>46344</v>
      </c>
    </row>
    <row r="324" spans="53:54">
      <c r="BA324" s="197" t="str">
        <f t="shared" ca="1" si="8"/>
        <v/>
      </c>
      <c r="BB324" s="197">
        <v>46345</v>
      </c>
    </row>
    <row r="325" spans="53:54">
      <c r="BA325" s="197" t="str">
        <f t="shared" ca="1" si="8"/>
        <v/>
      </c>
      <c r="BB325" s="197">
        <v>46346</v>
      </c>
    </row>
    <row r="326" spans="53:54">
      <c r="BA326" s="197" t="str">
        <f t="shared" ca="1" si="8"/>
        <v/>
      </c>
      <c r="BB326" s="197">
        <v>46347</v>
      </c>
    </row>
    <row r="327" spans="53:54">
      <c r="BA327" s="197" t="str">
        <f t="shared" ca="1" si="8"/>
        <v/>
      </c>
      <c r="BB327" s="197">
        <v>46348</v>
      </c>
    </row>
    <row r="328" spans="53:54">
      <c r="BA328" s="197" t="str">
        <f t="shared" ca="1" si="8"/>
        <v/>
      </c>
      <c r="BB328" s="197">
        <v>46349</v>
      </c>
    </row>
    <row r="329" spans="53:54">
      <c r="BA329" s="197" t="str">
        <f t="shared" ca="1" si="8"/>
        <v/>
      </c>
      <c r="BB329" s="197">
        <v>46350</v>
      </c>
    </row>
    <row r="330" spans="53:54">
      <c r="BA330" s="197" t="str">
        <f t="shared" ca="1" si="8"/>
        <v/>
      </c>
      <c r="BB330" s="197">
        <v>46351</v>
      </c>
    </row>
    <row r="331" spans="53:54">
      <c r="BA331" s="197" t="str">
        <f t="shared" ca="1" si="8"/>
        <v/>
      </c>
      <c r="BB331" s="197">
        <v>46352</v>
      </c>
    </row>
    <row r="332" spans="53:54">
      <c r="BA332" s="197" t="str">
        <f t="shared" ca="1" si="8"/>
        <v/>
      </c>
      <c r="BB332" s="197">
        <v>46353</v>
      </c>
    </row>
    <row r="333" spans="53:54">
      <c r="BA333" s="197" t="str">
        <f t="shared" ca="1" si="8"/>
        <v/>
      </c>
      <c r="BB333" s="197">
        <v>46354</v>
      </c>
    </row>
    <row r="334" spans="53:54">
      <c r="BA334" s="197" t="str">
        <f t="shared" ca="1" si="8"/>
        <v/>
      </c>
      <c r="BB334" s="197">
        <v>46355</v>
      </c>
    </row>
    <row r="335" spans="53:54">
      <c r="BA335" s="197" t="str">
        <f t="shared" ca="1" si="8"/>
        <v/>
      </c>
      <c r="BB335" s="197">
        <v>46356</v>
      </c>
    </row>
    <row r="336" spans="53:54">
      <c r="BA336" s="197" t="str">
        <f t="shared" ca="1" si="8"/>
        <v/>
      </c>
      <c r="BB336" s="197">
        <v>46357</v>
      </c>
    </row>
    <row r="337" spans="53:54">
      <c r="BA337" s="197" t="str">
        <f t="shared" ca="1" si="8"/>
        <v/>
      </c>
      <c r="BB337" s="197">
        <v>46358</v>
      </c>
    </row>
    <row r="338" spans="53:54">
      <c r="BA338" s="197" t="str">
        <f t="shared" ca="1" si="8"/>
        <v/>
      </c>
      <c r="BB338" s="197">
        <v>46359</v>
      </c>
    </row>
    <row r="339" spans="53:54">
      <c r="BA339" s="197" t="str">
        <f t="shared" ca="1" si="8"/>
        <v/>
      </c>
      <c r="BB339" s="197">
        <v>46360</v>
      </c>
    </row>
    <row r="340" spans="53:54">
      <c r="BA340" s="197" t="str">
        <f t="shared" ca="1" si="8"/>
        <v/>
      </c>
      <c r="BB340" s="197">
        <v>46361</v>
      </c>
    </row>
    <row r="341" spans="53:54">
      <c r="BA341" s="197" t="str">
        <f t="shared" ca="1" si="8"/>
        <v/>
      </c>
      <c r="BB341" s="197">
        <v>46362</v>
      </c>
    </row>
    <row r="342" spans="53:54">
      <c r="BA342" s="197" t="str">
        <f t="shared" ca="1" si="8"/>
        <v/>
      </c>
      <c r="BB342" s="197">
        <v>46363</v>
      </c>
    </row>
    <row r="343" spans="53:54">
      <c r="BA343" s="197" t="str">
        <f t="shared" ca="1" si="8"/>
        <v/>
      </c>
      <c r="BB343" s="197">
        <v>46364</v>
      </c>
    </row>
    <row r="344" spans="53:54">
      <c r="BA344" s="197" t="str">
        <f t="shared" ca="1" si="8"/>
        <v/>
      </c>
      <c r="BB344" s="197">
        <v>46365</v>
      </c>
    </row>
    <row r="345" spans="53:54">
      <c r="BA345" s="197" t="str">
        <f t="shared" ca="1" si="8"/>
        <v/>
      </c>
      <c r="BB345" s="197">
        <v>46366</v>
      </c>
    </row>
    <row r="346" spans="53:54">
      <c r="BA346" s="197" t="str">
        <f t="shared" ca="1" si="8"/>
        <v/>
      </c>
      <c r="BB346" s="197">
        <v>46367</v>
      </c>
    </row>
    <row r="347" spans="53:54">
      <c r="BA347" s="197" t="str">
        <f t="shared" ca="1" si="8"/>
        <v/>
      </c>
      <c r="BB347" s="197">
        <v>46368</v>
      </c>
    </row>
    <row r="348" spans="53:54">
      <c r="BA348" s="197" t="str">
        <f t="shared" ca="1" si="8"/>
        <v/>
      </c>
      <c r="BB348" s="197">
        <v>46369</v>
      </c>
    </row>
    <row r="349" spans="53:54">
      <c r="BA349" s="197" t="str">
        <f t="shared" ca="1" si="8"/>
        <v/>
      </c>
      <c r="BB349" s="197">
        <v>46370</v>
      </c>
    </row>
    <row r="350" spans="53:54">
      <c r="BA350" s="197" t="str">
        <f t="shared" ca="1" si="8"/>
        <v/>
      </c>
      <c r="BB350" s="197">
        <v>46371</v>
      </c>
    </row>
    <row r="351" spans="53:54">
      <c r="BA351" s="197" t="str">
        <f t="shared" ca="1" si="8"/>
        <v/>
      </c>
      <c r="BB351" s="197">
        <v>46372</v>
      </c>
    </row>
    <row r="352" spans="53:54">
      <c r="BA352" s="197" t="str">
        <f t="shared" ca="1" si="8"/>
        <v/>
      </c>
      <c r="BB352" s="197">
        <v>46373</v>
      </c>
    </row>
    <row r="353" spans="53:54">
      <c r="BA353" s="197" t="str">
        <f t="shared" ca="1" si="8"/>
        <v/>
      </c>
      <c r="BB353" s="197">
        <v>46374</v>
      </c>
    </row>
    <row r="354" spans="53:54">
      <c r="BA354" s="197" t="str">
        <f t="shared" ca="1" si="8"/>
        <v/>
      </c>
      <c r="BB354" s="197">
        <v>46375</v>
      </c>
    </row>
    <row r="355" spans="53:54">
      <c r="BA355" s="197" t="str">
        <f t="shared" ca="1" si="8"/>
        <v/>
      </c>
      <c r="BB355" s="197">
        <v>46376</v>
      </c>
    </row>
    <row r="356" spans="53:54">
      <c r="BA356" s="197" t="str">
        <f t="shared" ca="1" si="8"/>
        <v/>
      </c>
      <c r="BB356" s="197">
        <v>46377</v>
      </c>
    </row>
    <row r="357" spans="53:54">
      <c r="BA357" s="197" t="str">
        <f t="shared" ca="1" si="8"/>
        <v/>
      </c>
      <c r="BB357" s="197">
        <v>46378</v>
      </c>
    </row>
    <row r="358" spans="53:54">
      <c r="BA358" s="197" t="str">
        <f t="shared" ca="1" si="8"/>
        <v/>
      </c>
      <c r="BB358" s="197">
        <v>46379</v>
      </c>
    </row>
    <row r="359" spans="53:54">
      <c r="BA359" s="197" t="str">
        <f t="shared" ca="1" si="8"/>
        <v/>
      </c>
      <c r="BB359" s="197">
        <v>46380</v>
      </c>
    </row>
    <row r="360" spans="53:54">
      <c r="BA360" s="197" t="str">
        <f t="shared" ca="1" si="8"/>
        <v/>
      </c>
      <c r="BB360" s="197">
        <v>46381</v>
      </c>
    </row>
    <row r="361" spans="53:54">
      <c r="BA361" s="197" t="str">
        <f t="shared" ca="1" si="8"/>
        <v/>
      </c>
      <c r="BB361" s="197">
        <v>46382</v>
      </c>
    </row>
    <row r="362" spans="53:54">
      <c r="BA362" s="197" t="str">
        <f t="shared" ca="1" si="8"/>
        <v/>
      </c>
      <c r="BB362" s="197">
        <v>46383</v>
      </c>
    </row>
    <row r="363" spans="53:54">
      <c r="BA363" s="197" t="str">
        <f t="shared" ca="1" si="8"/>
        <v/>
      </c>
      <c r="BB363" s="197">
        <v>46384</v>
      </c>
    </row>
    <row r="364" spans="53:54">
      <c r="BA364" s="197" t="str">
        <f t="shared" ca="1" si="8"/>
        <v/>
      </c>
      <c r="BB364" s="197">
        <v>46385</v>
      </c>
    </row>
    <row r="365" spans="53:54">
      <c r="BA365" s="197" t="str">
        <f t="shared" ca="1" si="8"/>
        <v/>
      </c>
      <c r="BB365" s="197">
        <v>46386</v>
      </c>
    </row>
    <row r="366" spans="53:54">
      <c r="BA366" s="197" t="str">
        <f t="shared" ca="1" si="8"/>
        <v/>
      </c>
      <c r="BB366" s="197">
        <v>46387</v>
      </c>
    </row>
    <row r="367" spans="53:54">
      <c r="BA367" s="197" t="str">
        <f t="shared" ca="1" si="8"/>
        <v/>
      </c>
      <c r="BB367" s="197">
        <v>46388</v>
      </c>
    </row>
    <row r="368" spans="53:54">
      <c r="BA368" s="197" t="str">
        <f t="shared" ca="1" si="8"/>
        <v/>
      </c>
      <c r="BB368" s="197">
        <v>46389</v>
      </c>
    </row>
    <row r="369" spans="53:54">
      <c r="BA369" s="197" t="str">
        <f t="shared" ca="1" si="8"/>
        <v/>
      </c>
      <c r="BB369" s="197">
        <v>46390</v>
      </c>
    </row>
    <row r="370" spans="53:54">
      <c r="BA370" s="197" t="str">
        <f t="shared" ca="1" si="8"/>
        <v/>
      </c>
      <c r="BB370" s="197">
        <v>46391</v>
      </c>
    </row>
    <row r="371" spans="53:54">
      <c r="BA371" s="197" t="str">
        <f t="shared" ca="1" si="8"/>
        <v/>
      </c>
      <c r="BB371" s="197">
        <v>46392</v>
      </c>
    </row>
    <row r="372" spans="53:54">
      <c r="BA372" s="197" t="str">
        <f t="shared" ca="1" si="8"/>
        <v/>
      </c>
      <c r="BB372" s="197">
        <v>46393</v>
      </c>
    </row>
    <row r="373" spans="53:54">
      <c r="BA373" s="197" t="str">
        <f t="shared" ca="1" si="8"/>
        <v/>
      </c>
      <c r="BB373" s="197">
        <v>46394</v>
      </c>
    </row>
    <row r="374" spans="53:54">
      <c r="BA374" s="197" t="str">
        <f t="shared" ca="1" si="8"/>
        <v/>
      </c>
      <c r="BB374" s="197">
        <v>46395</v>
      </c>
    </row>
    <row r="375" spans="53:54">
      <c r="BA375" s="197" t="str">
        <f t="shared" ca="1" si="8"/>
        <v/>
      </c>
      <c r="BB375" s="197">
        <v>46396</v>
      </c>
    </row>
    <row r="376" spans="53:54">
      <c r="BA376" s="197" t="str">
        <f t="shared" ca="1" si="8"/>
        <v/>
      </c>
      <c r="BB376" s="197">
        <v>46397</v>
      </c>
    </row>
    <row r="377" spans="53:54">
      <c r="BA377" s="197" t="str">
        <f t="shared" ca="1" si="8"/>
        <v/>
      </c>
      <c r="BB377" s="197">
        <v>46398</v>
      </c>
    </row>
    <row r="378" spans="53:54">
      <c r="BA378" s="197" t="str">
        <f t="shared" ca="1" si="8"/>
        <v/>
      </c>
      <c r="BB378" s="197">
        <v>46399</v>
      </c>
    </row>
    <row r="379" spans="53:54">
      <c r="BA379" s="197" t="str">
        <f t="shared" ca="1" si="8"/>
        <v/>
      </c>
      <c r="BB379" s="197">
        <v>46400</v>
      </c>
    </row>
    <row r="380" spans="53:54">
      <c r="BA380" s="197" t="str">
        <f t="shared" ca="1" si="8"/>
        <v/>
      </c>
      <c r="BB380" s="197">
        <v>46401</v>
      </c>
    </row>
    <row r="381" spans="53:54">
      <c r="BA381" s="197" t="str">
        <f t="shared" ca="1" si="8"/>
        <v/>
      </c>
      <c r="BB381" s="197">
        <v>46402</v>
      </c>
    </row>
    <row r="382" spans="53:54">
      <c r="BA382" s="197" t="str">
        <f t="shared" ca="1" si="8"/>
        <v/>
      </c>
      <c r="BB382" s="197">
        <v>46403</v>
      </c>
    </row>
    <row r="383" spans="53:54">
      <c r="BA383" s="197" t="str">
        <f t="shared" ca="1" si="8"/>
        <v/>
      </c>
      <c r="BB383" s="197">
        <v>46404</v>
      </c>
    </row>
    <row r="384" spans="53:54">
      <c r="BA384" s="197" t="str">
        <f t="shared" ca="1" si="8"/>
        <v/>
      </c>
      <c r="BB384" s="197">
        <v>46405</v>
      </c>
    </row>
    <row r="385" spans="53:54">
      <c r="BA385" s="197" t="str">
        <f t="shared" ca="1" si="8"/>
        <v/>
      </c>
      <c r="BB385" s="197">
        <v>46406</v>
      </c>
    </row>
    <row r="386" spans="53:54">
      <c r="BA386" s="197" t="str">
        <f t="shared" ca="1" si="8"/>
        <v/>
      </c>
      <c r="BB386" s="197">
        <v>46407</v>
      </c>
    </row>
    <row r="387" spans="53:54">
      <c r="BA387" s="197" t="str">
        <f t="shared" ref="BA387:BA450" ca="1" si="9">IF(TODAY()=BB387,BB387,"")</f>
        <v/>
      </c>
      <c r="BB387" s="197">
        <v>46408</v>
      </c>
    </row>
    <row r="388" spans="53:54">
      <c r="BA388" s="197" t="str">
        <f t="shared" ca="1" si="9"/>
        <v/>
      </c>
      <c r="BB388" s="197">
        <v>46409</v>
      </c>
    </row>
    <row r="389" spans="53:54">
      <c r="BA389" s="197" t="str">
        <f t="shared" ca="1" si="9"/>
        <v/>
      </c>
      <c r="BB389" s="197">
        <v>46410</v>
      </c>
    </row>
    <row r="390" spans="53:54">
      <c r="BA390" s="197" t="str">
        <f t="shared" ca="1" si="9"/>
        <v/>
      </c>
      <c r="BB390" s="197">
        <v>46411</v>
      </c>
    </row>
    <row r="391" spans="53:54">
      <c r="BA391" s="197" t="str">
        <f t="shared" ca="1" si="9"/>
        <v/>
      </c>
      <c r="BB391" s="197">
        <v>46412</v>
      </c>
    </row>
    <row r="392" spans="53:54">
      <c r="BA392" s="197" t="str">
        <f t="shared" ca="1" si="9"/>
        <v/>
      </c>
      <c r="BB392" s="197">
        <v>46413</v>
      </c>
    </row>
    <row r="393" spans="53:54">
      <c r="BA393" s="197" t="str">
        <f t="shared" ca="1" si="9"/>
        <v/>
      </c>
      <c r="BB393" s="197">
        <v>46414</v>
      </c>
    </row>
    <row r="394" spans="53:54">
      <c r="BA394" s="197" t="str">
        <f t="shared" ca="1" si="9"/>
        <v/>
      </c>
      <c r="BB394" s="197">
        <v>46415</v>
      </c>
    </row>
    <row r="395" spans="53:54">
      <c r="BA395" s="197" t="str">
        <f t="shared" ca="1" si="9"/>
        <v/>
      </c>
      <c r="BB395" s="197">
        <v>46416</v>
      </c>
    </row>
    <row r="396" spans="53:54">
      <c r="BA396" s="197" t="str">
        <f t="shared" ca="1" si="9"/>
        <v/>
      </c>
      <c r="BB396" s="197">
        <v>46417</v>
      </c>
    </row>
    <row r="397" spans="53:54">
      <c r="BA397" s="197" t="str">
        <f t="shared" ca="1" si="9"/>
        <v/>
      </c>
      <c r="BB397" s="197">
        <v>46418</v>
      </c>
    </row>
    <row r="398" spans="53:54">
      <c r="BA398" s="197" t="str">
        <f t="shared" ca="1" si="9"/>
        <v/>
      </c>
      <c r="BB398" s="197">
        <v>46419</v>
      </c>
    </row>
    <row r="399" spans="53:54">
      <c r="BA399" s="197" t="str">
        <f t="shared" ca="1" si="9"/>
        <v/>
      </c>
      <c r="BB399" s="197">
        <v>46420</v>
      </c>
    </row>
    <row r="400" spans="53:54">
      <c r="BA400" s="197" t="str">
        <f t="shared" ca="1" si="9"/>
        <v/>
      </c>
      <c r="BB400" s="197">
        <v>46421</v>
      </c>
    </row>
    <row r="401" spans="53:54">
      <c r="BA401" s="197" t="str">
        <f t="shared" ca="1" si="9"/>
        <v/>
      </c>
      <c r="BB401" s="197">
        <v>46422</v>
      </c>
    </row>
    <row r="402" spans="53:54">
      <c r="BA402" s="197" t="str">
        <f t="shared" ca="1" si="9"/>
        <v/>
      </c>
      <c r="BB402" s="197">
        <v>46423</v>
      </c>
    </row>
    <row r="403" spans="53:54">
      <c r="BA403" s="197" t="str">
        <f t="shared" ca="1" si="9"/>
        <v/>
      </c>
      <c r="BB403" s="197">
        <v>46424</v>
      </c>
    </row>
    <row r="404" spans="53:54">
      <c r="BA404" s="197" t="str">
        <f t="shared" ca="1" si="9"/>
        <v/>
      </c>
      <c r="BB404" s="197">
        <v>46425</v>
      </c>
    </row>
    <row r="405" spans="53:54">
      <c r="BA405" s="197" t="str">
        <f t="shared" ca="1" si="9"/>
        <v/>
      </c>
      <c r="BB405" s="197">
        <v>46426</v>
      </c>
    </row>
    <row r="406" spans="53:54">
      <c r="BA406" s="197" t="str">
        <f t="shared" ca="1" si="9"/>
        <v/>
      </c>
      <c r="BB406" s="197">
        <v>46427</v>
      </c>
    </row>
    <row r="407" spans="53:54">
      <c r="BA407" s="197" t="str">
        <f t="shared" ca="1" si="9"/>
        <v/>
      </c>
      <c r="BB407" s="197">
        <v>46428</v>
      </c>
    </row>
    <row r="408" spans="53:54">
      <c r="BA408" s="197" t="str">
        <f t="shared" ca="1" si="9"/>
        <v/>
      </c>
      <c r="BB408" s="197">
        <v>46429</v>
      </c>
    </row>
    <row r="409" spans="53:54">
      <c r="BA409" s="197" t="str">
        <f t="shared" ca="1" si="9"/>
        <v/>
      </c>
      <c r="BB409" s="197">
        <v>46430</v>
      </c>
    </row>
    <row r="410" spans="53:54">
      <c r="BA410" s="197" t="str">
        <f t="shared" ca="1" si="9"/>
        <v/>
      </c>
      <c r="BB410" s="197">
        <v>46431</v>
      </c>
    </row>
    <row r="411" spans="53:54">
      <c r="BA411" s="197" t="str">
        <f t="shared" ca="1" si="9"/>
        <v/>
      </c>
      <c r="BB411" s="197">
        <v>46432</v>
      </c>
    </row>
    <row r="412" spans="53:54">
      <c r="BA412" s="197" t="str">
        <f t="shared" ca="1" si="9"/>
        <v/>
      </c>
      <c r="BB412" s="197">
        <v>46433</v>
      </c>
    </row>
    <row r="413" spans="53:54">
      <c r="BA413" s="197" t="str">
        <f t="shared" ca="1" si="9"/>
        <v/>
      </c>
      <c r="BB413" s="197">
        <v>46434</v>
      </c>
    </row>
    <row r="414" spans="53:54">
      <c r="BA414" s="197" t="str">
        <f t="shared" ca="1" si="9"/>
        <v/>
      </c>
      <c r="BB414" s="197">
        <v>46435</v>
      </c>
    </row>
    <row r="415" spans="53:54">
      <c r="BA415" s="197" t="str">
        <f t="shared" ca="1" si="9"/>
        <v/>
      </c>
      <c r="BB415" s="197">
        <v>46436</v>
      </c>
    </row>
    <row r="416" spans="53:54">
      <c r="BA416" s="197" t="str">
        <f t="shared" ca="1" si="9"/>
        <v/>
      </c>
      <c r="BB416" s="197">
        <v>46437</v>
      </c>
    </row>
    <row r="417" spans="53:54">
      <c r="BA417" s="197" t="str">
        <f t="shared" ca="1" si="9"/>
        <v/>
      </c>
      <c r="BB417" s="197">
        <v>46438</v>
      </c>
    </row>
    <row r="418" spans="53:54">
      <c r="BA418" s="197" t="str">
        <f t="shared" ca="1" si="9"/>
        <v/>
      </c>
      <c r="BB418" s="197">
        <v>46439</v>
      </c>
    </row>
    <row r="419" spans="53:54">
      <c r="BA419" s="197" t="str">
        <f t="shared" ca="1" si="9"/>
        <v/>
      </c>
      <c r="BB419" s="197">
        <v>46440</v>
      </c>
    </row>
    <row r="420" spans="53:54">
      <c r="BA420" s="197" t="str">
        <f t="shared" ca="1" si="9"/>
        <v/>
      </c>
      <c r="BB420" s="197">
        <v>46441</v>
      </c>
    </row>
    <row r="421" spans="53:54">
      <c r="BA421" s="197" t="str">
        <f t="shared" ca="1" si="9"/>
        <v/>
      </c>
      <c r="BB421" s="197">
        <v>46442</v>
      </c>
    </row>
    <row r="422" spans="53:54">
      <c r="BA422" s="197" t="str">
        <f t="shared" ca="1" si="9"/>
        <v/>
      </c>
      <c r="BB422" s="197">
        <v>46443</v>
      </c>
    </row>
    <row r="423" spans="53:54">
      <c r="BA423" s="197" t="str">
        <f t="shared" ca="1" si="9"/>
        <v/>
      </c>
      <c r="BB423" s="197">
        <v>46444</v>
      </c>
    </row>
    <row r="424" spans="53:54">
      <c r="BA424" s="197" t="str">
        <f t="shared" ca="1" si="9"/>
        <v/>
      </c>
      <c r="BB424" s="197">
        <v>46445</v>
      </c>
    </row>
    <row r="425" spans="53:54">
      <c r="BA425" s="197" t="str">
        <f t="shared" ca="1" si="9"/>
        <v/>
      </c>
      <c r="BB425" s="197">
        <v>46446</v>
      </c>
    </row>
    <row r="426" spans="53:54">
      <c r="BA426" s="197" t="str">
        <f t="shared" ca="1" si="9"/>
        <v/>
      </c>
      <c r="BB426" s="197">
        <v>46447</v>
      </c>
    </row>
    <row r="427" spans="53:54">
      <c r="BA427" s="197" t="str">
        <f t="shared" ca="1" si="9"/>
        <v/>
      </c>
      <c r="BB427" s="197">
        <v>46448</v>
      </c>
    </row>
    <row r="428" spans="53:54">
      <c r="BA428" s="197" t="str">
        <f t="shared" ca="1" si="9"/>
        <v/>
      </c>
      <c r="BB428" s="197">
        <v>46449</v>
      </c>
    </row>
    <row r="429" spans="53:54">
      <c r="BA429" s="197" t="str">
        <f t="shared" ca="1" si="9"/>
        <v/>
      </c>
      <c r="BB429" s="197">
        <v>46450</v>
      </c>
    </row>
    <row r="430" spans="53:54">
      <c r="BA430" s="197" t="str">
        <f t="shared" ca="1" si="9"/>
        <v/>
      </c>
      <c r="BB430" s="197">
        <v>46451</v>
      </c>
    </row>
    <row r="431" spans="53:54">
      <c r="BA431" s="197" t="str">
        <f t="shared" ca="1" si="9"/>
        <v/>
      </c>
      <c r="BB431" s="197">
        <v>46452</v>
      </c>
    </row>
    <row r="432" spans="53:54">
      <c r="BA432" s="197" t="str">
        <f t="shared" ca="1" si="9"/>
        <v/>
      </c>
      <c r="BB432" s="197">
        <v>46453</v>
      </c>
    </row>
    <row r="433" spans="53:54">
      <c r="BA433" s="197" t="str">
        <f t="shared" ca="1" si="9"/>
        <v/>
      </c>
      <c r="BB433" s="197">
        <v>46454</v>
      </c>
    </row>
    <row r="434" spans="53:54">
      <c r="BA434" s="197" t="str">
        <f t="shared" ca="1" si="9"/>
        <v/>
      </c>
      <c r="BB434" s="197">
        <v>46455</v>
      </c>
    </row>
    <row r="435" spans="53:54">
      <c r="BA435" s="197" t="str">
        <f t="shared" ca="1" si="9"/>
        <v/>
      </c>
      <c r="BB435" s="197">
        <v>46456</v>
      </c>
    </row>
    <row r="436" spans="53:54">
      <c r="BA436" s="197" t="str">
        <f t="shared" ca="1" si="9"/>
        <v/>
      </c>
      <c r="BB436" s="197">
        <v>46457</v>
      </c>
    </row>
    <row r="437" spans="53:54">
      <c r="BA437" s="197" t="str">
        <f t="shared" ca="1" si="9"/>
        <v/>
      </c>
      <c r="BB437" s="197">
        <v>46458</v>
      </c>
    </row>
    <row r="438" spans="53:54">
      <c r="BA438" s="197" t="str">
        <f t="shared" ca="1" si="9"/>
        <v/>
      </c>
      <c r="BB438" s="197">
        <v>46459</v>
      </c>
    </row>
    <row r="439" spans="53:54">
      <c r="BA439" s="197" t="str">
        <f t="shared" ca="1" si="9"/>
        <v/>
      </c>
      <c r="BB439" s="197">
        <v>46460</v>
      </c>
    </row>
    <row r="440" spans="53:54">
      <c r="BA440" s="197" t="str">
        <f t="shared" ca="1" si="9"/>
        <v/>
      </c>
      <c r="BB440" s="197">
        <v>46461</v>
      </c>
    </row>
    <row r="441" spans="53:54">
      <c r="BA441" s="197" t="str">
        <f t="shared" ca="1" si="9"/>
        <v/>
      </c>
      <c r="BB441" s="197">
        <v>46462</v>
      </c>
    </row>
    <row r="442" spans="53:54">
      <c r="BA442" s="197" t="str">
        <f t="shared" ca="1" si="9"/>
        <v/>
      </c>
      <c r="BB442" s="197">
        <v>46463</v>
      </c>
    </row>
    <row r="443" spans="53:54">
      <c r="BA443" s="197" t="str">
        <f t="shared" ca="1" si="9"/>
        <v/>
      </c>
      <c r="BB443" s="197">
        <v>46464</v>
      </c>
    </row>
    <row r="444" spans="53:54">
      <c r="BA444" s="197" t="str">
        <f t="shared" ca="1" si="9"/>
        <v/>
      </c>
      <c r="BB444" s="197">
        <v>46465</v>
      </c>
    </row>
    <row r="445" spans="53:54">
      <c r="BA445" s="197" t="str">
        <f t="shared" ca="1" si="9"/>
        <v/>
      </c>
      <c r="BB445" s="197">
        <v>46466</v>
      </c>
    </row>
    <row r="446" spans="53:54">
      <c r="BA446" s="197" t="str">
        <f t="shared" ca="1" si="9"/>
        <v/>
      </c>
      <c r="BB446" s="197">
        <v>46467</v>
      </c>
    </row>
    <row r="447" spans="53:54">
      <c r="BA447" s="197" t="str">
        <f t="shared" ca="1" si="9"/>
        <v/>
      </c>
      <c r="BB447" s="197">
        <v>46468</v>
      </c>
    </row>
    <row r="448" spans="53:54">
      <c r="BA448" s="197" t="str">
        <f t="shared" ca="1" si="9"/>
        <v/>
      </c>
      <c r="BB448" s="197">
        <v>46469</v>
      </c>
    </row>
    <row r="449" spans="53:54">
      <c r="BA449" s="197" t="str">
        <f t="shared" ca="1" si="9"/>
        <v/>
      </c>
      <c r="BB449" s="197">
        <v>46470</v>
      </c>
    </row>
    <row r="450" spans="53:54">
      <c r="BA450" s="197" t="str">
        <f t="shared" ca="1" si="9"/>
        <v/>
      </c>
      <c r="BB450" s="197">
        <v>46471</v>
      </c>
    </row>
    <row r="451" spans="53:54">
      <c r="BA451" s="197" t="str">
        <f t="shared" ref="BA451:BA461" ca="1" si="10">IF(TODAY()=BB451,BB451,"")</f>
        <v/>
      </c>
      <c r="BB451" s="197">
        <v>46472</v>
      </c>
    </row>
    <row r="452" spans="53:54">
      <c r="BA452" s="197" t="str">
        <f t="shared" ca="1" si="10"/>
        <v/>
      </c>
      <c r="BB452" s="197">
        <v>46473</v>
      </c>
    </row>
    <row r="453" spans="53:54">
      <c r="BA453" s="197" t="str">
        <f t="shared" ca="1" si="10"/>
        <v/>
      </c>
      <c r="BB453" s="197">
        <v>46474</v>
      </c>
    </row>
    <row r="454" spans="53:54">
      <c r="BA454" s="197" t="str">
        <f t="shared" ca="1" si="10"/>
        <v/>
      </c>
      <c r="BB454" s="197">
        <v>46475</v>
      </c>
    </row>
    <row r="455" spans="53:54">
      <c r="BA455" s="197" t="str">
        <f t="shared" ca="1" si="10"/>
        <v/>
      </c>
      <c r="BB455" s="197">
        <v>46476</v>
      </c>
    </row>
    <row r="456" spans="53:54">
      <c r="BA456" s="197" t="str">
        <f t="shared" ca="1" si="10"/>
        <v/>
      </c>
      <c r="BB456" s="197">
        <v>46477</v>
      </c>
    </row>
    <row r="457" spans="53:54">
      <c r="BA457" s="197" t="str">
        <f t="shared" ca="1" si="10"/>
        <v/>
      </c>
      <c r="BB457" s="197">
        <v>46478</v>
      </c>
    </row>
    <row r="458" spans="53:54">
      <c r="BA458" s="197" t="str">
        <f t="shared" ca="1" si="10"/>
        <v/>
      </c>
      <c r="BB458" s="197">
        <v>46479</v>
      </c>
    </row>
    <row r="459" spans="53:54">
      <c r="BA459" s="197" t="str">
        <f t="shared" ca="1" si="10"/>
        <v/>
      </c>
      <c r="BB459" s="197">
        <v>46480</v>
      </c>
    </row>
    <row r="460" spans="53:54">
      <c r="BA460" s="197" t="str">
        <f t="shared" ca="1" si="10"/>
        <v/>
      </c>
      <c r="BB460" s="197">
        <v>46481</v>
      </c>
    </row>
    <row r="461" spans="53:54">
      <c r="BA461" s="197" t="str">
        <f t="shared" ca="1" si="10"/>
        <v/>
      </c>
      <c r="BB461" s="197">
        <v>46482</v>
      </c>
    </row>
    <row r="462" spans="53:54">
      <c r="BB462" s="197">
        <v>46483</v>
      </c>
    </row>
    <row r="463" spans="53:54">
      <c r="BB463" s="197">
        <v>46484</v>
      </c>
    </row>
    <row r="464" spans="53:54">
      <c r="BB464" s="197">
        <v>46485</v>
      </c>
    </row>
    <row r="465" spans="54:54">
      <c r="BB465" s="197">
        <v>46486</v>
      </c>
    </row>
    <row r="466" spans="54:54">
      <c r="BB466" s="197">
        <v>46487</v>
      </c>
    </row>
    <row r="467" spans="54:54">
      <c r="BB467" s="197">
        <v>46488</v>
      </c>
    </row>
    <row r="468" spans="54:54">
      <c r="BB468" s="197">
        <v>46489</v>
      </c>
    </row>
    <row r="469" spans="54:54">
      <c r="BB469" s="197">
        <v>46490</v>
      </c>
    </row>
    <row r="470" spans="54:54">
      <c r="BB470" s="197">
        <v>46491</v>
      </c>
    </row>
    <row r="471" spans="54:54">
      <c r="BB471" s="197">
        <v>46492</v>
      </c>
    </row>
    <row r="472" spans="54:54">
      <c r="BB472" s="197">
        <v>46493</v>
      </c>
    </row>
    <row r="473" spans="54:54">
      <c r="BB473" s="197">
        <v>46494</v>
      </c>
    </row>
    <row r="474" spans="54:54">
      <c r="BB474" s="197">
        <v>46495</v>
      </c>
    </row>
    <row r="475" spans="54:54">
      <c r="BB475" s="197">
        <v>46496</v>
      </c>
    </row>
    <row r="476" spans="54:54">
      <c r="BB476" s="197">
        <v>46497</v>
      </c>
    </row>
    <row r="477" spans="54:54">
      <c r="BB477" s="197">
        <v>46498</v>
      </c>
    </row>
    <row r="478" spans="54:54">
      <c r="BB478" s="197">
        <v>46499</v>
      </c>
    </row>
    <row r="479" spans="54:54">
      <c r="BB479" s="197">
        <v>46500</v>
      </c>
    </row>
    <row r="480" spans="54:54">
      <c r="BB480" s="197">
        <v>46501</v>
      </c>
    </row>
    <row r="481" spans="54:54">
      <c r="BB481" s="197">
        <v>46502</v>
      </c>
    </row>
    <row r="482" spans="54:54">
      <c r="BB482" s="197">
        <v>46503</v>
      </c>
    </row>
    <row r="483" spans="54:54">
      <c r="BB483" s="197">
        <v>46504</v>
      </c>
    </row>
    <row r="484" spans="54:54">
      <c r="BB484" s="197">
        <v>46505</v>
      </c>
    </row>
    <row r="485" spans="54:54">
      <c r="BB485" s="197">
        <v>46506</v>
      </c>
    </row>
    <row r="486" spans="54:54">
      <c r="BB486" s="197">
        <v>46507</v>
      </c>
    </row>
    <row r="487" spans="54:54">
      <c r="BB487" s="197">
        <v>46508</v>
      </c>
    </row>
    <row r="488" spans="54:54">
      <c r="BB488" s="197">
        <v>46509</v>
      </c>
    </row>
    <row r="489" spans="54:54">
      <c r="BB489" s="197">
        <v>46510</v>
      </c>
    </row>
    <row r="490" spans="54:54">
      <c r="BB490" s="197">
        <v>46511</v>
      </c>
    </row>
    <row r="491" spans="54:54">
      <c r="BB491" s="197">
        <v>46512</v>
      </c>
    </row>
    <row r="492" spans="54:54">
      <c r="BB492" s="197">
        <v>46513</v>
      </c>
    </row>
    <row r="493" spans="54:54">
      <c r="BB493" s="197">
        <v>46514</v>
      </c>
    </row>
    <row r="494" spans="54:54">
      <c r="BB494" s="197">
        <v>46515</v>
      </c>
    </row>
    <row r="495" spans="54:54">
      <c r="BB495" s="197">
        <v>46516</v>
      </c>
    </row>
    <row r="496" spans="54:54">
      <c r="BB496" s="197">
        <v>46517</v>
      </c>
    </row>
    <row r="497" spans="54:54">
      <c r="BB497" s="197">
        <v>46518</v>
      </c>
    </row>
    <row r="498" spans="54:54">
      <c r="BB498" s="197">
        <v>46519</v>
      </c>
    </row>
    <row r="499" spans="54:54">
      <c r="BB499" s="197">
        <v>46520</v>
      </c>
    </row>
    <row r="500" spans="54:54">
      <c r="BB500" s="197">
        <v>46521</v>
      </c>
    </row>
    <row r="501" spans="54:54">
      <c r="BB501" s="197">
        <v>46522</v>
      </c>
    </row>
    <row r="502" spans="54:54">
      <c r="BB502" s="197">
        <v>46523</v>
      </c>
    </row>
    <row r="503" spans="54:54">
      <c r="BB503" s="197">
        <v>46524</v>
      </c>
    </row>
    <row r="504" spans="54:54">
      <c r="BB504" s="197">
        <v>46525</v>
      </c>
    </row>
    <row r="505" spans="54:54">
      <c r="BB505" s="197">
        <v>46526</v>
      </c>
    </row>
    <row r="506" spans="54:54">
      <c r="BB506" s="197">
        <v>46527</v>
      </c>
    </row>
    <row r="507" spans="54:54">
      <c r="BB507" s="197">
        <v>46528</v>
      </c>
    </row>
    <row r="508" spans="54:54">
      <c r="BB508" s="197">
        <v>46529</v>
      </c>
    </row>
    <row r="509" spans="54:54">
      <c r="BB509" s="197">
        <v>46530</v>
      </c>
    </row>
    <row r="510" spans="54:54">
      <c r="BB510" s="197">
        <v>46531</v>
      </c>
    </row>
    <row r="511" spans="54:54">
      <c r="BB511" s="197">
        <v>46532</v>
      </c>
    </row>
    <row r="512" spans="54:54">
      <c r="BB512" s="197">
        <v>46533</v>
      </c>
    </row>
    <row r="513" spans="54:54">
      <c r="BB513" s="197">
        <v>46534</v>
      </c>
    </row>
    <row r="514" spans="54:54">
      <c r="BB514" s="197">
        <v>46535</v>
      </c>
    </row>
    <row r="515" spans="54:54">
      <c r="BB515" s="197">
        <v>46536</v>
      </c>
    </row>
    <row r="516" spans="54:54">
      <c r="BB516" s="197">
        <v>46537</v>
      </c>
    </row>
    <row r="517" spans="54:54">
      <c r="BB517" s="197">
        <v>46538</v>
      </c>
    </row>
    <row r="518" spans="54:54">
      <c r="BB518" s="197">
        <v>46539</v>
      </c>
    </row>
    <row r="519" spans="54:54">
      <c r="BB519" s="197">
        <v>46540</v>
      </c>
    </row>
    <row r="520" spans="54:54">
      <c r="BB520" s="197">
        <v>46541</v>
      </c>
    </row>
    <row r="521" spans="54:54">
      <c r="BB521" s="197">
        <v>46542</v>
      </c>
    </row>
    <row r="522" spans="54:54">
      <c r="BB522" s="197">
        <v>46543</v>
      </c>
    </row>
    <row r="523" spans="54:54">
      <c r="BB523" s="197">
        <v>46544</v>
      </c>
    </row>
    <row r="524" spans="54:54">
      <c r="BB524" s="197">
        <v>46545</v>
      </c>
    </row>
    <row r="525" spans="54:54">
      <c r="BB525" s="197">
        <v>46546</v>
      </c>
    </row>
    <row r="526" spans="54:54">
      <c r="BB526" s="197">
        <v>46547</v>
      </c>
    </row>
    <row r="527" spans="54:54">
      <c r="BB527" s="197">
        <v>46548</v>
      </c>
    </row>
    <row r="528" spans="54:54">
      <c r="BB528" s="197">
        <v>46549</v>
      </c>
    </row>
    <row r="529" spans="54:54">
      <c r="BB529" s="197">
        <v>46550</v>
      </c>
    </row>
    <row r="530" spans="54:54">
      <c r="BB530" s="197">
        <v>46551</v>
      </c>
    </row>
    <row r="531" spans="54:54">
      <c r="BB531" s="197">
        <v>46552</v>
      </c>
    </row>
    <row r="532" spans="54:54">
      <c r="BB532" s="197">
        <v>46553</v>
      </c>
    </row>
    <row r="533" spans="54:54">
      <c r="BB533" s="197">
        <v>46554</v>
      </c>
    </row>
    <row r="534" spans="54:54">
      <c r="BB534" s="197">
        <v>46555</v>
      </c>
    </row>
    <row r="535" spans="54:54">
      <c r="BB535" s="197">
        <v>46556</v>
      </c>
    </row>
    <row r="536" spans="54:54">
      <c r="BB536" s="197">
        <v>46557</v>
      </c>
    </row>
    <row r="537" spans="54:54">
      <c r="BB537" s="197">
        <v>46558</v>
      </c>
    </row>
    <row r="538" spans="54:54">
      <c r="BB538" s="197">
        <v>46559</v>
      </c>
    </row>
    <row r="539" spans="54:54">
      <c r="BB539" s="197">
        <v>46560</v>
      </c>
    </row>
    <row r="540" spans="54:54">
      <c r="BB540" s="197">
        <v>46561</v>
      </c>
    </row>
    <row r="541" spans="54:54">
      <c r="BB541" s="197">
        <v>46562</v>
      </c>
    </row>
    <row r="542" spans="54:54">
      <c r="BB542" s="197">
        <v>46563</v>
      </c>
    </row>
    <row r="543" spans="54:54">
      <c r="BB543" s="197">
        <v>46564</v>
      </c>
    </row>
    <row r="544" spans="54:54">
      <c r="BB544" s="197">
        <v>46565</v>
      </c>
    </row>
    <row r="545" spans="54:54">
      <c r="BB545" s="197">
        <v>46566</v>
      </c>
    </row>
    <row r="546" spans="54:54">
      <c r="BB546" s="197">
        <v>46567</v>
      </c>
    </row>
    <row r="547" spans="54:54">
      <c r="BB547" s="197">
        <v>46568</v>
      </c>
    </row>
    <row r="548" spans="54:54">
      <c r="BB548" s="197">
        <v>46569</v>
      </c>
    </row>
    <row r="549" spans="54:54">
      <c r="BB549" s="197">
        <v>46570</v>
      </c>
    </row>
    <row r="550" spans="54:54">
      <c r="BB550" s="197">
        <v>46571</v>
      </c>
    </row>
    <row r="551" spans="54:54">
      <c r="BB551" s="197">
        <v>46572</v>
      </c>
    </row>
    <row r="552" spans="54:54">
      <c r="BB552" s="197">
        <v>46573</v>
      </c>
    </row>
    <row r="553" spans="54:54">
      <c r="BB553" s="197">
        <v>46574</v>
      </c>
    </row>
    <row r="554" spans="54:54">
      <c r="BB554" s="197">
        <v>46575</v>
      </c>
    </row>
    <row r="555" spans="54:54">
      <c r="BB555" s="197">
        <v>46576</v>
      </c>
    </row>
    <row r="556" spans="54:54">
      <c r="BB556" s="197">
        <v>46577</v>
      </c>
    </row>
    <row r="557" spans="54:54">
      <c r="BB557" s="197">
        <v>46578</v>
      </c>
    </row>
    <row r="558" spans="54:54">
      <c r="BB558" s="197">
        <v>46579</v>
      </c>
    </row>
    <row r="559" spans="54:54">
      <c r="BB559" s="197">
        <v>46580</v>
      </c>
    </row>
    <row r="560" spans="54:54">
      <c r="BB560" s="197">
        <v>46581</v>
      </c>
    </row>
    <row r="561" spans="54:54">
      <c r="BB561" s="197">
        <v>46582</v>
      </c>
    </row>
    <row r="562" spans="54:54">
      <c r="BB562" s="197">
        <v>46583</v>
      </c>
    </row>
    <row r="563" spans="54:54">
      <c r="BB563" s="197">
        <v>46584</v>
      </c>
    </row>
    <row r="564" spans="54:54">
      <c r="BB564" s="197">
        <v>46585</v>
      </c>
    </row>
    <row r="565" spans="54:54">
      <c r="BB565" s="197">
        <v>46586</v>
      </c>
    </row>
    <row r="566" spans="54:54">
      <c r="BB566" s="197">
        <v>46587</v>
      </c>
    </row>
    <row r="567" spans="54:54">
      <c r="BB567" s="197">
        <v>46588</v>
      </c>
    </row>
    <row r="568" spans="54:54">
      <c r="BB568" s="197">
        <v>46589</v>
      </c>
    </row>
    <row r="569" spans="54:54">
      <c r="BB569" s="197">
        <v>46590</v>
      </c>
    </row>
    <row r="570" spans="54:54">
      <c r="BB570" s="197">
        <v>46591</v>
      </c>
    </row>
    <row r="571" spans="54:54">
      <c r="BB571" s="197">
        <v>46592</v>
      </c>
    </row>
    <row r="572" spans="54:54">
      <c r="BB572" s="197">
        <v>46593</v>
      </c>
    </row>
    <row r="573" spans="54:54">
      <c r="BB573" s="197">
        <v>46594</v>
      </c>
    </row>
    <row r="574" spans="54:54">
      <c r="BB574" s="197">
        <v>46595</v>
      </c>
    </row>
    <row r="575" spans="54:54">
      <c r="BB575" s="197">
        <v>46596</v>
      </c>
    </row>
    <row r="576" spans="54:54">
      <c r="BB576" s="197">
        <v>46597</v>
      </c>
    </row>
    <row r="577" spans="54:54">
      <c r="BB577" s="197">
        <v>46598</v>
      </c>
    </row>
    <row r="578" spans="54:54">
      <c r="BB578" s="197">
        <v>46599</v>
      </c>
    </row>
    <row r="579" spans="54:54">
      <c r="BB579" s="197">
        <v>46600</v>
      </c>
    </row>
    <row r="580" spans="54:54">
      <c r="BB580" s="197">
        <v>46601</v>
      </c>
    </row>
    <row r="581" spans="54:54">
      <c r="BB581" s="197">
        <v>46602</v>
      </c>
    </row>
    <row r="582" spans="54:54">
      <c r="BB582" s="197">
        <v>46603</v>
      </c>
    </row>
    <row r="583" spans="54:54">
      <c r="BB583" s="197">
        <v>46604</v>
      </c>
    </row>
    <row r="584" spans="54:54">
      <c r="BB584" s="197">
        <v>46605</v>
      </c>
    </row>
    <row r="585" spans="54:54">
      <c r="BB585" s="197">
        <v>46606</v>
      </c>
    </row>
    <row r="586" spans="54:54">
      <c r="BB586" s="197">
        <v>46607</v>
      </c>
    </row>
    <row r="587" spans="54:54">
      <c r="BB587" s="197">
        <v>46608</v>
      </c>
    </row>
    <row r="588" spans="54:54">
      <c r="BB588" s="197">
        <v>46609</v>
      </c>
    </row>
    <row r="589" spans="54:54">
      <c r="BB589" s="197">
        <v>46610</v>
      </c>
    </row>
    <row r="590" spans="54:54">
      <c r="BB590" s="197">
        <v>46611</v>
      </c>
    </row>
    <row r="591" spans="54:54">
      <c r="BB591" s="197">
        <v>46612</v>
      </c>
    </row>
    <row r="592" spans="54:54">
      <c r="BB592" s="197">
        <v>46613</v>
      </c>
    </row>
    <row r="593" spans="54:54">
      <c r="BB593" s="197">
        <v>46614</v>
      </c>
    </row>
    <row r="594" spans="54:54">
      <c r="BB594" s="197">
        <v>46615</v>
      </c>
    </row>
    <row r="595" spans="54:54">
      <c r="BB595" s="197">
        <v>46616</v>
      </c>
    </row>
    <row r="596" spans="54:54">
      <c r="BB596" s="197">
        <v>46617</v>
      </c>
    </row>
    <row r="597" spans="54:54">
      <c r="BB597" s="197">
        <v>46618</v>
      </c>
    </row>
    <row r="598" spans="54:54">
      <c r="BB598" s="197">
        <v>46619</v>
      </c>
    </row>
    <row r="599" spans="54:54">
      <c r="BB599" s="197">
        <v>46620</v>
      </c>
    </row>
    <row r="600" spans="54:54">
      <c r="BB600" s="197">
        <v>46621</v>
      </c>
    </row>
    <row r="601" spans="54:54">
      <c r="BB601" s="197">
        <v>46622</v>
      </c>
    </row>
    <row r="602" spans="54:54">
      <c r="BB602" s="197">
        <v>46623</v>
      </c>
    </row>
    <row r="603" spans="54:54">
      <c r="BB603" s="197">
        <v>46624</v>
      </c>
    </row>
    <row r="604" spans="54:54">
      <c r="BB604" s="197">
        <v>46625</v>
      </c>
    </row>
    <row r="605" spans="54:54">
      <c r="BB605" s="197">
        <v>46626</v>
      </c>
    </row>
    <row r="606" spans="54:54">
      <c r="BB606" s="197">
        <v>46627</v>
      </c>
    </row>
    <row r="607" spans="54:54">
      <c r="BB607" s="197">
        <v>46628</v>
      </c>
    </row>
    <row r="608" spans="54:54">
      <c r="BB608" s="197">
        <v>46629</v>
      </c>
    </row>
    <row r="609" spans="54:54">
      <c r="BB609" s="197">
        <v>46630</v>
      </c>
    </row>
    <row r="610" spans="54:54">
      <c r="BB610" s="197">
        <v>46631</v>
      </c>
    </row>
    <row r="611" spans="54:54">
      <c r="BB611" s="197">
        <v>46632</v>
      </c>
    </row>
    <row r="612" spans="54:54">
      <c r="BB612" s="197">
        <v>46633</v>
      </c>
    </row>
    <row r="613" spans="54:54">
      <c r="BB613" s="197">
        <v>46634</v>
      </c>
    </row>
    <row r="614" spans="54:54">
      <c r="BB614" s="197">
        <v>46635</v>
      </c>
    </row>
    <row r="615" spans="54:54">
      <c r="BB615" s="197">
        <v>46636</v>
      </c>
    </row>
    <row r="616" spans="54:54">
      <c r="BB616" s="197">
        <v>46637</v>
      </c>
    </row>
    <row r="617" spans="54:54">
      <c r="BB617" s="197">
        <v>46638</v>
      </c>
    </row>
    <row r="618" spans="54:54">
      <c r="BB618" s="197">
        <v>46639</v>
      </c>
    </row>
    <row r="619" spans="54:54">
      <c r="BB619" s="197">
        <v>46640</v>
      </c>
    </row>
    <row r="620" spans="54:54">
      <c r="BB620" s="197">
        <v>46641</v>
      </c>
    </row>
    <row r="621" spans="54:54">
      <c r="BB621" s="197">
        <v>46642</v>
      </c>
    </row>
    <row r="622" spans="54:54">
      <c r="BB622" s="197">
        <v>46643</v>
      </c>
    </row>
    <row r="623" spans="54:54">
      <c r="BB623" s="197">
        <v>46644</v>
      </c>
    </row>
    <row r="624" spans="54:54">
      <c r="BB624" s="197">
        <v>46645</v>
      </c>
    </row>
    <row r="625" spans="54:54">
      <c r="BB625" s="197">
        <v>46646</v>
      </c>
    </row>
    <row r="626" spans="54:54">
      <c r="BB626" s="197">
        <v>46647</v>
      </c>
    </row>
    <row r="627" spans="54:54">
      <c r="BB627" s="197">
        <v>46648</v>
      </c>
    </row>
    <row r="628" spans="54:54">
      <c r="BB628" s="197">
        <v>46649</v>
      </c>
    </row>
    <row r="629" spans="54:54">
      <c r="BB629" s="197">
        <v>46650</v>
      </c>
    </row>
    <row r="630" spans="54:54">
      <c r="BB630" s="197">
        <v>46651</v>
      </c>
    </row>
    <row r="631" spans="54:54">
      <c r="BB631" s="197">
        <v>46652</v>
      </c>
    </row>
    <row r="632" spans="54:54">
      <c r="BB632" s="197">
        <v>46653</v>
      </c>
    </row>
    <row r="633" spans="54:54">
      <c r="BB633" s="197">
        <v>46654</v>
      </c>
    </row>
    <row r="634" spans="54:54">
      <c r="BB634" s="197">
        <v>46655</v>
      </c>
    </row>
    <row r="635" spans="54:54">
      <c r="BB635" s="197">
        <v>46656</v>
      </c>
    </row>
    <row r="636" spans="54:54">
      <c r="BB636" s="197">
        <v>46657</v>
      </c>
    </row>
    <row r="637" spans="54:54">
      <c r="BB637" s="197">
        <v>46658</v>
      </c>
    </row>
    <row r="638" spans="54:54">
      <c r="BB638" s="197">
        <v>46659</v>
      </c>
    </row>
    <row r="639" spans="54:54">
      <c r="BB639" s="197">
        <v>46660</v>
      </c>
    </row>
    <row r="640" spans="54:54">
      <c r="BB640" s="197">
        <v>46661</v>
      </c>
    </row>
    <row r="641" spans="54:54">
      <c r="BB641" s="197">
        <v>46662</v>
      </c>
    </row>
    <row r="642" spans="54:54">
      <c r="BB642" s="197">
        <v>46663</v>
      </c>
    </row>
    <row r="643" spans="54:54">
      <c r="BB643" s="197">
        <v>46664</v>
      </c>
    </row>
    <row r="644" spans="54:54">
      <c r="BB644" s="197">
        <v>46665</v>
      </c>
    </row>
    <row r="645" spans="54:54">
      <c r="BB645" s="197">
        <v>46666</v>
      </c>
    </row>
    <row r="646" spans="54:54">
      <c r="BB646" s="197">
        <v>46667</v>
      </c>
    </row>
    <row r="647" spans="54:54">
      <c r="BB647" s="197">
        <v>46668</v>
      </c>
    </row>
    <row r="648" spans="54:54">
      <c r="BB648" s="197">
        <v>46669</v>
      </c>
    </row>
    <row r="649" spans="54:54">
      <c r="BB649" s="197">
        <v>46670</v>
      </c>
    </row>
    <row r="650" spans="54:54">
      <c r="BB650" s="197">
        <v>46671</v>
      </c>
    </row>
    <row r="651" spans="54:54">
      <c r="BB651" s="197">
        <v>46672</v>
      </c>
    </row>
    <row r="652" spans="54:54">
      <c r="BB652" s="197">
        <v>46673</v>
      </c>
    </row>
    <row r="653" spans="54:54">
      <c r="BB653" s="197">
        <v>46674</v>
      </c>
    </row>
    <row r="654" spans="54:54">
      <c r="BB654" s="197">
        <v>46675</v>
      </c>
    </row>
    <row r="655" spans="54:54">
      <c r="BB655" s="197">
        <v>46676</v>
      </c>
    </row>
    <row r="656" spans="54:54">
      <c r="BB656" s="197">
        <v>46677</v>
      </c>
    </row>
    <row r="657" spans="54:54">
      <c r="BB657" s="197">
        <v>46678</v>
      </c>
    </row>
    <row r="658" spans="54:54">
      <c r="BB658" s="197">
        <v>46679</v>
      </c>
    </row>
    <row r="659" spans="54:54">
      <c r="BB659" s="197">
        <v>46680</v>
      </c>
    </row>
    <row r="660" spans="54:54">
      <c r="BB660" s="197">
        <v>46681</v>
      </c>
    </row>
    <row r="661" spans="54:54">
      <c r="BB661" s="197">
        <v>46682</v>
      </c>
    </row>
    <row r="662" spans="54:54">
      <c r="BB662" s="197">
        <v>46683</v>
      </c>
    </row>
    <row r="663" spans="54:54">
      <c r="BB663" s="197">
        <v>46684</v>
      </c>
    </row>
    <row r="664" spans="54:54">
      <c r="BB664" s="197">
        <v>46685</v>
      </c>
    </row>
    <row r="665" spans="54:54">
      <c r="BB665" s="197">
        <v>46686</v>
      </c>
    </row>
    <row r="666" spans="54:54">
      <c r="BB666" s="197">
        <v>46687</v>
      </c>
    </row>
    <row r="667" spans="54:54">
      <c r="BB667" s="197">
        <v>46688</v>
      </c>
    </row>
    <row r="668" spans="54:54">
      <c r="BB668" s="197">
        <v>46689</v>
      </c>
    </row>
    <row r="669" spans="54:54">
      <c r="BB669" s="197">
        <v>46690</v>
      </c>
    </row>
    <row r="670" spans="54:54">
      <c r="BB670" s="197">
        <v>46691</v>
      </c>
    </row>
    <row r="671" spans="54:54">
      <c r="BB671" s="197">
        <v>46692</v>
      </c>
    </row>
    <row r="672" spans="54:54">
      <c r="BB672" s="197">
        <v>46693</v>
      </c>
    </row>
    <row r="673" spans="54:54">
      <c r="BB673" s="197">
        <v>46694</v>
      </c>
    </row>
    <row r="674" spans="54:54">
      <c r="BB674" s="197">
        <v>46695</v>
      </c>
    </row>
    <row r="675" spans="54:54">
      <c r="BB675" s="197">
        <v>46696</v>
      </c>
    </row>
    <row r="676" spans="54:54">
      <c r="BB676" s="197">
        <v>46697</v>
      </c>
    </row>
    <row r="677" spans="54:54">
      <c r="BB677" s="197">
        <v>46698</v>
      </c>
    </row>
    <row r="678" spans="54:54">
      <c r="BB678" s="197">
        <v>46699</v>
      </c>
    </row>
    <row r="679" spans="54:54">
      <c r="BB679" s="197">
        <v>46700</v>
      </c>
    </row>
    <row r="680" spans="54:54">
      <c r="BB680" s="197">
        <v>46701</v>
      </c>
    </row>
    <row r="681" spans="54:54">
      <c r="BB681" s="197">
        <v>46702</v>
      </c>
    </row>
    <row r="682" spans="54:54">
      <c r="BB682" s="197">
        <v>46703</v>
      </c>
    </row>
    <row r="683" spans="54:54">
      <c r="BB683" s="197">
        <v>46704</v>
      </c>
    </row>
    <row r="684" spans="54:54">
      <c r="BB684" s="197">
        <v>46705</v>
      </c>
    </row>
    <row r="685" spans="54:54">
      <c r="BB685" s="197">
        <v>46706</v>
      </c>
    </row>
    <row r="686" spans="54:54">
      <c r="BB686" s="197">
        <v>46707</v>
      </c>
    </row>
    <row r="687" spans="54:54">
      <c r="BB687" s="197">
        <v>46708</v>
      </c>
    </row>
    <row r="688" spans="54:54">
      <c r="BB688" s="197">
        <v>46709</v>
      </c>
    </row>
    <row r="689" spans="54:54">
      <c r="BB689" s="197">
        <v>46710</v>
      </c>
    </row>
    <row r="690" spans="54:54">
      <c r="BB690" s="197">
        <v>46711</v>
      </c>
    </row>
    <row r="691" spans="54:54">
      <c r="BB691" s="197">
        <v>46712</v>
      </c>
    </row>
    <row r="692" spans="54:54">
      <c r="BB692" s="197">
        <v>46713</v>
      </c>
    </row>
    <row r="693" spans="54:54">
      <c r="BB693" s="197">
        <v>46714</v>
      </c>
    </row>
    <row r="694" spans="54:54">
      <c r="BB694" s="197">
        <v>46715</v>
      </c>
    </row>
    <row r="695" spans="54:54">
      <c r="BB695" s="197">
        <v>46716</v>
      </c>
    </row>
    <row r="696" spans="54:54">
      <c r="BB696" s="197">
        <v>46717</v>
      </c>
    </row>
    <row r="697" spans="54:54">
      <c r="BB697" s="197">
        <v>46718</v>
      </c>
    </row>
    <row r="698" spans="54:54">
      <c r="BB698" s="197">
        <v>46719</v>
      </c>
    </row>
    <row r="699" spans="54:54">
      <c r="BB699" s="197">
        <v>46720</v>
      </c>
    </row>
    <row r="700" spans="54:54">
      <c r="BB700" s="197">
        <v>46721</v>
      </c>
    </row>
    <row r="701" spans="54:54">
      <c r="BB701" s="197">
        <v>46722</v>
      </c>
    </row>
    <row r="702" spans="54:54">
      <c r="BB702" s="197">
        <v>46723</v>
      </c>
    </row>
    <row r="703" spans="54:54">
      <c r="BB703" s="197">
        <v>46724</v>
      </c>
    </row>
    <row r="704" spans="54:54">
      <c r="BB704" s="197">
        <v>46725</v>
      </c>
    </row>
    <row r="705" spans="54:54">
      <c r="BB705" s="197">
        <v>46726</v>
      </c>
    </row>
    <row r="706" spans="54:54">
      <c r="BB706" s="197">
        <v>46727</v>
      </c>
    </row>
    <row r="707" spans="54:54">
      <c r="BB707" s="197">
        <v>46728</v>
      </c>
    </row>
    <row r="708" spans="54:54">
      <c r="BB708" s="197">
        <v>46729</v>
      </c>
    </row>
    <row r="709" spans="54:54">
      <c r="BB709" s="197">
        <v>46730</v>
      </c>
    </row>
    <row r="710" spans="54:54">
      <c r="BB710" s="197">
        <v>46731</v>
      </c>
    </row>
    <row r="711" spans="54:54">
      <c r="BB711" s="197">
        <v>46732</v>
      </c>
    </row>
    <row r="712" spans="54:54">
      <c r="BB712" s="197">
        <v>46733</v>
      </c>
    </row>
    <row r="713" spans="54:54">
      <c r="BB713" s="197">
        <v>46734</v>
      </c>
    </row>
    <row r="714" spans="54:54">
      <c r="BB714" s="197">
        <v>46735</v>
      </c>
    </row>
    <row r="715" spans="54:54">
      <c r="BB715" s="197">
        <v>46736</v>
      </c>
    </row>
    <row r="716" spans="54:54">
      <c r="BB716" s="197">
        <v>46737</v>
      </c>
    </row>
    <row r="717" spans="54:54">
      <c r="BB717" s="197">
        <v>46738</v>
      </c>
    </row>
    <row r="718" spans="54:54">
      <c r="BB718" s="197">
        <v>46739</v>
      </c>
    </row>
    <row r="719" spans="54:54">
      <c r="BB719" s="197">
        <v>46740</v>
      </c>
    </row>
    <row r="720" spans="54:54">
      <c r="BB720" s="197">
        <v>46741</v>
      </c>
    </row>
    <row r="721" spans="54:54">
      <c r="BB721" s="197">
        <v>46742</v>
      </c>
    </row>
    <row r="722" spans="54:54">
      <c r="BB722" s="197">
        <v>46743</v>
      </c>
    </row>
    <row r="723" spans="54:54">
      <c r="BB723" s="197">
        <v>46744</v>
      </c>
    </row>
    <row r="724" spans="54:54">
      <c r="BB724" s="197">
        <v>46745</v>
      </c>
    </row>
    <row r="725" spans="54:54">
      <c r="BB725" s="197">
        <v>46746</v>
      </c>
    </row>
    <row r="726" spans="54:54">
      <c r="BB726" s="197">
        <v>46747</v>
      </c>
    </row>
    <row r="727" spans="54:54">
      <c r="BB727" s="197">
        <v>46748</v>
      </c>
    </row>
    <row r="728" spans="54:54">
      <c r="BB728" s="197">
        <v>46749</v>
      </c>
    </row>
    <row r="729" spans="54:54">
      <c r="BB729" s="197">
        <v>46750</v>
      </c>
    </row>
    <row r="730" spans="54:54">
      <c r="BB730" s="197">
        <v>46751</v>
      </c>
    </row>
    <row r="731" spans="54:54">
      <c r="BB731" s="197">
        <v>46752</v>
      </c>
    </row>
    <row r="732" spans="54:54">
      <c r="BB732" s="197">
        <v>46753</v>
      </c>
    </row>
    <row r="733" spans="54:54">
      <c r="BB733" s="197">
        <v>46754</v>
      </c>
    </row>
    <row r="734" spans="54:54">
      <c r="BB734" s="197">
        <v>46755</v>
      </c>
    </row>
    <row r="735" spans="54:54">
      <c r="BB735" s="197">
        <v>46756</v>
      </c>
    </row>
    <row r="736" spans="54:54">
      <c r="BB736" s="197">
        <v>46757</v>
      </c>
    </row>
    <row r="737" spans="54:54">
      <c r="BB737" s="197">
        <v>46758</v>
      </c>
    </row>
    <row r="738" spans="54:54">
      <c r="BB738" s="197">
        <v>46759</v>
      </c>
    </row>
    <row r="739" spans="54:54">
      <c r="BB739" s="197">
        <v>46760</v>
      </c>
    </row>
    <row r="740" spans="54:54">
      <c r="BB740" s="197">
        <v>46761</v>
      </c>
    </row>
    <row r="741" spans="54:54">
      <c r="BB741" s="197">
        <v>46762</v>
      </c>
    </row>
    <row r="742" spans="54:54">
      <c r="BB742" s="197">
        <v>46763</v>
      </c>
    </row>
    <row r="743" spans="54:54">
      <c r="BB743" s="197">
        <v>46764</v>
      </c>
    </row>
    <row r="744" spans="54:54">
      <c r="BB744" s="197">
        <v>46765</v>
      </c>
    </row>
    <row r="745" spans="54:54">
      <c r="BB745" s="197">
        <v>46766</v>
      </c>
    </row>
    <row r="746" spans="54:54">
      <c r="BB746" s="197">
        <v>46767</v>
      </c>
    </row>
    <row r="747" spans="54:54">
      <c r="BB747" s="197">
        <v>46768</v>
      </c>
    </row>
    <row r="748" spans="54:54">
      <c r="BB748" s="197">
        <v>46769</v>
      </c>
    </row>
    <row r="749" spans="54:54">
      <c r="BB749" s="197">
        <v>46770</v>
      </c>
    </row>
    <row r="750" spans="54:54">
      <c r="BB750" s="197">
        <v>46771</v>
      </c>
    </row>
    <row r="751" spans="54:54">
      <c r="BB751" s="197">
        <v>46772</v>
      </c>
    </row>
    <row r="752" spans="54:54">
      <c r="BB752" s="197">
        <v>46773</v>
      </c>
    </row>
    <row r="753" spans="54:54">
      <c r="BB753" s="197">
        <v>46774</v>
      </c>
    </row>
    <row r="754" spans="54:54">
      <c r="BB754" s="197">
        <v>46775</v>
      </c>
    </row>
    <row r="755" spans="54:54">
      <c r="BB755" s="197">
        <v>46776</v>
      </c>
    </row>
    <row r="756" spans="54:54">
      <c r="BB756" s="197">
        <v>46777</v>
      </c>
    </row>
    <row r="757" spans="54:54">
      <c r="BB757" s="197">
        <v>46778</v>
      </c>
    </row>
    <row r="758" spans="54:54">
      <c r="BB758" s="197">
        <v>46779</v>
      </c>
    </row>
    <row r="759" spans="54:54">
      <c r="BB759" s="197">
        <v>46780</v>
      </c>
    </row>
    <row r="760" spans="54:54">
      <c r="BB760" s="197">
        <v>46781</v>
      </c>
    </row>
    <row r="761" spans="54:54">
      <c r="BB761" s="197">
        <v>46782</v>
      </c>
    </row>
    <row r="762" spans="54:54">
      <c r="BB762" s="197">
        <v>46783</v>
      </c>
    </row>
    <row r="763" spans="54:54">
      <c r="BB763" s="197">
        <v>46784</v>
      </c>
    </row>
    <row r="764" spans="54:54">
      <c r="BB764" s="197">
        <v>46785</v>
      </c>
    </row>
    <row r="765" spans="54:54">
      <c r="BB765" s="197">
        <v>46786</v>
      </c>
    </row>
    <row r="766" spans="54:54">
      <c r="BB766" s="197">
        <v>46787</v>
      </c>
    </row>
    <row r="767" spans="54:54">
      <c r="BB767" s="197">
        <v>46788</v>
      </c>
    </row>
    <row r="768" spans="54:54">
      <c r="BB768" s="197">
        <v>46789</v>
      </c>
    </row>
    <row r="769" spans="54:54">
      <c r="BB769" s="197">
        <v>46790</v>
      </c>
    </row>
    <row r="770" spans="54:54">
      <c r="BB770" s="197">
        <v>46791</v>
      </c>
    </row>
    <row r="771" spans="54:54">
      <c r="BB771" s="197">
        <v>46792</v>
      </c>
    </row>
    <row r="772" spans="54:54">
      <c r="BB772" s="197">
        <v>46793</v>
      </c>
    </row>
    <row r="773" spans="54:54">
      <c r="BB773" s="197">
        <v>46794</v>
      </c>
    </row>
    <row r="774" spans="54:54">
      <c r="BB774" s="197">
        <v>46795</v>
      </c>
    </row>
    <row r="775" spans="54:54">
      <c r="BB775" s="197">
        <v>46796</v>
      </c>
    </row>
    <row r="776" spans="54:54">
      <c r="BB776" s="197">
        <v>46797</v>
      </c>
    </row>
    <row r="777" spans="54:54">
      <c r="BB777" s="197">
        <v>46798</v>
      </c>
    </row>
    <row r="778" spans="54:54">
      <c r="BB778" s="197">
        <v>46799</v>
      </c>
    </row>
    <row r="779" spans="54:54">
      <c r="BB779" s="197">
        <v>46800</v>
      </c>
    </row>
    <row r="780" spans="54:54">
      <c r="BB780" s="197">
        <v>46801</v>
      </c>
    </row>
    <row r="781" spans="54:54">
      <c r="BB781" s="197">
        <v>46802</v>
      </c>
    </row>
    <row r="782" spans="54:54">
      <c r="BB782" s="197">
        <v>46803</v>
      </c>
    </row>
    <row r="783" spans="54:54">
      <c r="BB783" s="197">
        <v>46804</v>
      </c>
    </row>
    <row r="784" spans="54:54">
      <c r="BB784" s="197">
        <v>46805</v>
      </c>
    </row>
    <row r="785" spans="54:54">
      <c r="BB785" s="197">
        <v>46806</v>
      </c>
    </row>
    <row r="786" spans="54:54">
      <c r="BB786" s="197">
        <v>46807</v>
      </c>
    </row>
    <row r="787" spans="54:54">
      <c r="BB787" s="197">
        <v>46808</v>
      </c>
    </row>
    <row r="788" spans="54:54">
      <c r="BB788" s="197">
        <v>46809</v>
      </c>
    </row>
    <row r="789" spans="54:54">
      <c r="BB789" s="197">
        <v>46810</v>
      </c>
    </row>
    <row r="790" spans="54:54">
      <c r="BB790" s="197">
        <v>46811</v>
      </c>
    </row>
    <row r="791" spans="54:54">
      <c r="BB791" s="197">
        <v>46812</v>
      </c>
    </row>
    <row r="792" spans="54:54">
      <c r="BB792" s="197">
        <v>46813</v>
      </c>
    </row>
    <row r="793" spans="54:54">
      <c r="BB793" s="197">
        <v>46814</v>
      </c>
    </row>
    <row r="794" spans="54:54">
      <c r="BB794" s="197">
        <v>46815</v>
      </c>
    </row>
    <row r="795" spans="54:54">
      <c r="BB795" s="197">
        <v>46816</v>
      </c>
    </row>
    <row r="796" spans="54:54">
      <c r="BB796" s="197">
        <v>46817</v>
      </c>
    </row>
    <row r="797" spans="54:54">
      <c r="BB797" s="197">
        <v>46818</v>
      </c>
    </row>
    <row r="798" spans="54:54">
      <c r="BB798" s="197">
        <v>46819</v>
      </c>
    </row>
    <row r="799" spans="54:54">
      <c r="BB799" s="197">
        <v>46820</v>
      </c>
    </row>
    <row r="800" spans="54:54">
      <c r="BB800" s="197">
        <v>46821</v>
      </c>
    </row>
    <row r="801" spans="54:54">
      <c r="BB801" s="197">
        <v>46822</v>
      </c>
    </row>
    <row r="802" spans="54:54">
      <c r="BB802" s="197">
        <v>46823</v>
      </c>
    </row>
    <row r="803" spans="54:54">
      <c r="BB803" s="197">
        <v>46824</v>
      </c>
    </row>
    <row r="804" spans="54:54">
      <c r="BB804" s="197">
        <v>46825</v>
      </c>
    </row>
    <row r="805" spans="54:54">
      <c r="BB805" s="197">
        <v>46826</v>
      </c>
    </row>
    <row r="806" spans="54:54">
      <c r="BB806" s="197">
        <v>46827</v>
      </c>
    </row>
    <row r="807" spans="54:54">
      <c r="BB807" s="197">
        <v>46828</v>
      </c>
    </row>
    <row r="808" spans="54:54">
      <c r="BB808" s="197">
        <v>46829</v>
      </c>
    </row>
    <row r="809" spans="54:54">
      <c r="BB809" s="197">
        <v>46830</v>
      </c>
    </row>
    <row r="810" spans="54:54">
      <c r="BB810" s="197">
        <v>46831</v>
      </c>
    </row>
    <row r="811" spans="54:54">
      <c r="BB811" s="197">
        <v>46832</v>
      </c>
    </row>
    <row r="812" spans="54:54">
      <c r="BB812" s="197">
        <v>46833</v>
      </c>
    </row>
    <row r="813" spans="54:54">
      <c r="BB813" s="197">
        <v>46834</v>
      </c>
    </row>
    <row r="814" spans="54:54">
      <c r="BB814" s="197">
        <v>46835</v>
      </c>
    </row>
    <row r="815" spans="54:54">
      <c r="BB815" s="197">
        <v>46836</v>
      </c>
    </row>
    <row r="816" spans="54:54">
      <c r="BB816" s="197">
        <v>46837</v>
      </c>
    </row>
    <row r="817" spans="54:54">
      <c r="BB817" s="197">
        <v>46838</v>
      </c>
    </row>
    <row r="818" spans="54:54">
      <c r="BB818" s="197">
        <v>46839</v>
      </c>
    </row>
    <row r="819" spans="54:54">
      <c r="BB819" s="197">
        <v>46840</v>
      </c>
    </row>
    <row r="820" spans="54:54">
      <c r="BB820" s="197">
        <v>46841</v>
      </c>
    </row>
    <row r="821" spans="54:54">
      <c r="BB821" s="197">
        <v>46842</v>
      </c>
    </row>
    <row r="822" spans="54:54">
      <c r="BB822" s="197">
        <v>46843</v>
      </c>
    </row>
    <row r="823" spans="54:54">
      <c r="BB823" s="197">
        <v>46844</v>
      </c>
    </row>
    <row r="824" spans="54:54">
      <c r="BB824" s="197">
        <v>46845</v>
      </c>
    </row>
    <row r="825" spans="54:54">
      <c r="BB825" s="197">
        <v>46846</v>
      </c>
    </row>
    <row r="826" spans="54:54">
      <c r="BB826" s="197">
        <v>46847</v>
      </c>
    </row>
    <row r="827" spans="54:54">
      <c r="BB827" s="197">
        <v>46848</v>
      </c>
    </row>
    <row r="828" spans="54:54">
      <c r="BB828" s="197">
        <v>46849</v>
      </c>
    </row>
    <row r="829" spans="54:54">
      <c r="BB829" s="197">
        <v>46850</v>
      </c>
    </row>
    <row r="830" spans="54:54">
      <c r="BB830" s="197">
        <v>46851</v>
      </c>
    </row>
    <row r="831" spans="54:54">
      <c r="BB831" s="197">
        <v>46852</v>
      </c>
    </row>
    <row r="832" spans="54:54">
      <c r="BB832" s="197">
        <v>46853</v>
      </c>
    </row>
    <row r="833" spans="54:54">
      <c r="BB833" s="197">
        <v>46854</v>
      </c>
    </row>
    <row r="834" spans="54:54">
      <c r="BB834" s="197">
        <v>46855</v>
      </c>
    </row>
    <row r="835" spans="54:54">
      <c r="BB835" s="197">
        <v>46856</v>
      </c>
    </row>
    <row r="836" spans="54:54">
      <c r="BB836" s="197">
        <v>46857</v>
      </c>
    </row>
    <row r="837" spans="54:54">
      <c r="BB837" s="197">
        <v>46858</v>
      </c>
    </row>
    <row r="838" spans="54:54">
      <c r="BB838" s="197">
        <v>46859</v>
      </c>
    </row>
    <row r="839" spans="54:54">
      <c r="BB839" s="197">
        <v>46860</v>
      </c>
    </row>
    <row r="840" spans="54:54">
      <c r="BB840" s="197">
        <v>46861</v>
      </c>
    </row>
    <row r="841" spans="54:54">
      <c r="BB841" s="197">
        <v>46862</v>
      </c>
    </row>
    <row r="842" spans="54:54">
      <c r="BB842" s="197">
        <v>46863</v>
      </c>
    </row>
    <row r="843" spans="54:54">
      <c r="BB843" s="197">
        <v>46864</v>
      </c>
    </row>
    <row r="844" spans="54:54">
      <c r="BB844" s="197">
        <v>46865</v>
      </c>
    </row>
    <row r="845" spans="54:54">
      <c r="BB845" s="197">
        <v>46866</v>
      </c>
    </row>
    <row r="846" spans="54:54">
      <c r="BB846" s="197">
        <v>46867</v>
      </c>
    </row>
    <row r="847" spans="54:54">
      <c r="BB847" s="197">
        <v>46868</v>
      </c>
    </row>
    <row r="848" spans="54:54">
      <c r="BB848" s="197">
        <v>46869</v>
      </c>
    </row>
    <row r="849" spans="54:54">
      <c r="BB849" s="197">
        <v>46870</v>
      </c>
    </row>
    <row r="850" spans="54:54">
      <c r="BB850" s="197">
        <v>46871</v>
      </c>
    </row>
    <row r="851" spans="54:54">
      <c r="BB851" s="197">
        <v>46872</v>
      </c>
    </row>
    <row r="852" spans="54:54">
      <c r="BB852" s="197">
        <v>46873</v>
      </c>
    </row>
    <row r="853" spans="54:54">
      <c r="BB853" s="197">
        <v>46874</v>
      </c>
    </row>
    <row r="854" spans="54:54">
      <c r="BB854" s="197">
        <v>46875</v>
      </c>
    </row>
    <row r="855" spans="54:54">
      <c r="BB855" s="197">
        <v>46876</v>
      </c>
    </row>
    <row r="856" spans="54:54">
      <c r="BB856" s="197">
        <v>46877</v>
      </c>
    </row>
    <row r="857" spans="54:54">
      <c r="BB857" s="197">
        <v>46878</v>
      </c>
    </row>
    <row r="858" spans="54:54">
      <c r="BB858" s="197">
        <v>46879</v>
      </c>
    </row>
    <row r="859" spans="54:54">
      <c r="BB859" s="197">
        <v>46880</v>
      </c>
    </row>
    <row r="860" spans="54:54">
      <c r="BB860" s="197">
        <v>46881</v>
      </c>
    </row>
    <row r="861" spans="54:54">
      <c r="BB861" s="197">
        <v>46882</v>
      </c>
    </row>
    <row r="862" spans="54:54">
      <c r="BB862" s="197">
        <v>46883</v>
      </c>
    </row>
    <row r="863" spans="54:54">
      <c r="BB863" s="197">
        <v>46884</v>
      </c>
    </row>
    <row r="864" spans="54:54">
      <c r="BB864" s="197">
        <v>46885</v>
      </c>
    </row>
    <row r="865" spans="54:54">
      <c r="BB865" s="197">
        <v>46886</v>
      </c>
    </row>
    <row r="866" spans="54:54">
      <c r="BB866" s="197">
        <v>46887</v>
      </c>
    </row>
    <row r="867" spans="54:54">
      <c r="BB867" s="197">
        <v>46888</v>
      </c>
    </row>
    <row r="868" spans="54:54">
      <c r="BB868" s="197">
        <v>46889</v>
      </c>
    </row>
    <row r="869" spans="54:54">
      <c r="BB869" s="197">
        <v>46890</v>
      </c>
    </row>
    <row r="870" spans="54:54">
      <c r="BB870" s="197">
        <v>46891</v>
      </c>
    </row>
    <row r="871" spans="54:54">
      <c r="BB871" s="197">
        <v>46892</v>
      </c>
    </row>
    <row r="872" spans="54:54">
      <c r="BB872" s="197">
        <v>46893</v>
      </c>
    </row>
    <row r="873" spans="54:54">
      <c r="BB873" s="197">
        <v>46894</v>
      </c>
    </row>
    <row r="874" spans="54:54">
      <c r="BB874" s="197">
        <v>46895</v>
      </c>
    </row>
    <row r="875" spans="54:54">
      <c r="BB875" s="197">
        <v>46896</v>
      </c>
    </row>
    <row r="876" spans="54:54">
      <c r="BB876" s="197">
        <v>46897</v>
      </c>
    </row>
    <row r="877" spans="54:54">
      <c r="BB877" s="197">
        <v>46898</v>
      </c>
    </row>
    <row r="878" spans="54:54">
      <c r="BB878" s="197">
        <v>46899</v>
      </c>
    </row>
    <row r="879" spans="54:54">
      <c r="BB879" s="197">
        <v>46900</v>
      </c>
    </row>
    <row r="880" spans="54:54">
      <c r="BB880" s="197">
        <v>46901</v>
      </c>
    </row>
    <row r="881" spans="54:54">
      <c r="BB881" s="197">
        <v>46902</v>
      </c>
    </row>
    <row r="882" spans="54:54">
      <c r="BB882" s="197">
        <v>46903</v>
      </c>
    </row>
    <row r="883" spans="54:54">
      <c r="BB883" s="197">
        <v>46904</v>
      </c>
    </row>
    <row r="884" spans="54:54">
      <c r="BB884" s="197">
        <v>46905</v>
      </c>
    </row>
    <row r="885" spans="54:54">
      <c r="BB885" s="197">
        <v>46906</v>
      </c>
    </row>
    <row r="886" spans="54:54">
      <c r="BB886" s="197">
        <v>46907</v>
      </c>
    </row>
    <row r="887" spans="54:54">
      <c r="BB887" s="197">
        <v>46908</v>
      </c>
    </row>
    <row r="888" spans="54:54">
      <c r="BB888" s="197">
        <v>46909</v>
      </c>
    </row>
    <row r="889" spans="54:54">
      <c r="BB889" s="197">
        <v>46910</v>
      </c>
    </row>
    <row r="890" spans="54:54">
      <c r="BB890" s="197">
        <v>46911</v>
      </c>
    </row>
    <row r="891" spans="54:54">
      <c r="BB891" s="197">
        <v>46912</v>
      </c>
    </row>
    <row r="892" spans="54:54">
      <c r="BB892" s="197">
        <v>46913</v>
      </c>
    </row>
    <row r="893" spans="54:54">
      <c r="BB893" s="197">
        <v>46914</v>
      </c>
    </row>
    <row r="894" spans="54:54">
      <c r="BB894" s="197">
        <v>46915</v>
      </c>
    </row>
    <row r="895" spans="54:54">
      <c r="BB895" s="197">
        <v>46916</v>
      </c>
    </row>
    <row r="896" spans="54:54">
      <c r="BB896" s="197">
        <v>46917</v>
      </c>
    </row>
    <row r="897" spans="54:54">
      <c r="BB897" s="197">
        <v>46918</v>
      </c>
    </row>
    <row r="898" spans="54:54">
      <c r="BB898" s="197">
        <v>46919</v>
      </c>
    </row>
    <row r="899" spans="54:54">
      <c r="BB899" s="197">
        <v>46920</v>
      </c>
    </row>
    <row r="900" spans="54:54">
      <c r="BB900" s="197">
        <v>46921</v>
      </c>
    </row>
    <row r="901" spans="54:54">
      <c r="BB901" s="197">
        <v>46922</v>
      </c>
    </row>
    <row r="902" spans="54:54">
      <c r="BB902" s="197">
        <v>46923</v>
      </c>
    </row>
    <row r="903" spans="54:54">
      <c r="BB903" s="197">
        <v>46924</v>
      </c>
    </row>
    <row r="904" spans="54:54">
      <c r="BB904" s="197">
        <v>46925</v>
      </c>
    </row>
    <row r="905" spans="54:54">
      <c r="BB905" s="197">
        <v>46926</v>
      </c>
    </row>
    <row r="906" spans="54:54">
      <c r="BB906" s="197">
        <v>46927</v>
      </c>
    </row>
    <row r="907" spans="54:54">
      <c r="BB907" s="197">
        <v>46928</v>
      </c>
    </row>
    <row r="908" spans="54:54">
      <c r="BB908" s="197">
        <v>46929</v>
      </c>
    </row>
    <row r="909" spans="54:54">
      <c r="BB909" s="197">
        <v>46930</v>
      </c>
    </row>
    <row r="910" spans="54:54">
      <c r="BB910" s="197">
        <v>46931</v>
      </c>
    </row>
    <row r="911" spans="54:54">
      <c r="BB911" s="197">
        <v>46932</v>
      </c>
    </row>
    <row r="912" spans="54:54">
      <c r="BB912" s="197">
        <v>46933</v>
      </c>
    </row>
    <row r="913" spans="54:54">
      <c r="BB913" s="197">
        <v>46934</v>
      </c>
    </row>
    <row r="914" spans="54:54">
      <c r="BB914" s="197">
        <v>46935</v>
      </c>
    </row>
    <row r="915" spans="54:54">
      <c r="BB915" s="197">
        <v>46936</v>
      </c>
    </row>
    <row r="916" spans="54:54">
      <c r="BB916" s="197">
        <v>46937</v>
      </c>
    </row>
    <row r="917" spans="54:54">
      <c r="BB917" s="197">
        <v>46938</v>
      </c>
    </row>
    <row r="918" spans="54:54">
      <c r="BB918" s="197">
        <v>46939</v>
      </c>
    </row>
    <row r="919" spans="54:54">
      <c r="BB919" s="197">
        <v>46940</v>
      </c>
    </row>
    <row r="920" spans="54:54">
      <c r="BB920" s="197">
        <v>46941</v>
      </c>
    </row>
    <row r="921" spans="54:54">
      <c r="BB921" s="197">
        <v>46942</v>
      </c>
    </row>
    <row r="922" spans="54:54">
      <c r="BB922" s="197">
        <v>46943</v>
      </c>
    </row>
    <row r="923" spans="54:54">
      <c r="BB923" s="197">
        <v>46944</v>
      </c>
    </row>
    <row r="924" spans="54:54">
      <c r="BB924" s="197">
        <v>46945</v>
      </c>
    </row>
    <row r="925" spans="54:54">
      <c r="BB925" s="197">
        <v>46946</v>
      </c>
    </row>
    <row r="926" spans="54:54">
      <c r="BB926" s="197">
        <v>46947</v>
      </c>
    </row>
    <row r="927" spans="54:54">
      <c r="BB927" s="197">
        <v>46948</v>
      </c>
    </row>
    <row r="928" spans="54:54">
      <c r="BB928" s="197">
        <v>46949</v>
      </c>
    </row>
    <row r="929" spans="54:54">
      <c r="BB929" s="197">
        <v>46950</v>
      </c>
    </row>
    <row r="930" spans="54:54">
      <c r="BB930" s="197">
        <v>46951</v>
      </c>
    </row>
    <row r="931" spans="54:54">
      <c r="BB931" s="197">
        <v>46952</v>
      </c>
    </row>
    <row r="932" spans="54:54">
      <c r="BB932" s="197">
        <v>46953</v>
      </c>
    </row>
    <row r="933" spans="54:54">
      <c r="BB933" s="197">
        <v>46954</v>
      </c>
    </row>
    <row r="934" spans="54:54">
      <c r="BB934" s="197">
        <v>46955</v>
      </c>
    </row>
    <row r="935" spans="54:54">
      <c r="BB935" s="197">
        <v>46956</v>
      </c>
    </row>
    <row r="936" spans="54:54">
      <c r="BB936" s="197">
        <v>46957</v>
      </c>
    </row>
    <row r="937" spans="54:54">
      <c r="BB937" s="197">
        <v>46958</v>
      </c>
    </row>
    <row r="938" spans="54:54">
      <c r="BB938" s="197">
        <v>46959</v>
      </c>
    </row>
    <row r="939" spans="54:54">
      <c r="BB939" s="197">
        <v>46960</v>
      </c>
    </row>
    <row r="940" spans="54:54">
      <c r="BB940" s="197">
        <v>46961</v>
      </c>
    </row>
    <row r="941" spans="54:54">
      <c r="BB941" s="197">
        <v>46962</v>
      </c>
    </row>
    <row r="942" spans="54:54">
      <c r="BB942" s="197">
        <v>46963</v>
      </c>
    </row>
    <row r="943" spans="54:54">
      <c r="BB943" s="197">
        <v>46964</v>
      </c>
    </row>
    <row r="944" spans="54:54">
      <c r="BB944" s="197">
        <v>46965</v>
      </c>
    </row>
    <row r="945" spans="54:54">
      <c r="BB945" s="197">
        <v>46966</v>
      </c>
    </row>
    <row r="946" spans="54:54">
      <c r="BB946" s="197">
        <v>46967</v>
      </c>
    </row>
    <row r="947" spans="54:54">
      <c r="BB947" s="197">
        <v>46968</v>
      </c>
    </row>
    <row r="948" spans="54:54">
      <c r="BB948" s="197">
        <v>46969</v>
      </c>
    </row>
    <row r="949" spans="54:54">
      <c r="BB949" s="197">
        <v>46970</v>
      </c>
    </row>
    <row r="950" spans="54:54">
      <c r="BB950" s="197">
        <v>46971</v>
      </c>
    </row>
    <row r="951" spans="54:54">
      <c r="BB951" s="197">
        <v>46972</v>
      </c>
    </row>
    <row r="952" spans="54:54">
      <c r="BB952" s="197">
        <v>46973</v>
      </c>
    </row>
    <row r="953" spans="54:54">
      <c r="BB953" s="197">
        <v>46974</v>
      </c>
    </row>
    <row r="954" spans="54:54">
      <c r="BB954" s="197">
        <v>46975</v>
      </c>
    </row>
    <row r="955" spans="54:54">
      <c r="BB955" s="197">
        <v>46976</v>
      </c>
    </row>
    <row r="956" spans="54:54">
      <c r="BB956" s="197">
        <v>46977</v>
      </c>
    </row>
    <row r="957" spans="54:54">
      <c r="BB957" s="197">
        <v>46978</v>
      </c>
    </row>
    <row r="958" spans="54:54">
      <c r="BB958" s="197">
        <v>46979</v>
      </c>
    </row>
    <row r="959" spans="54:54">
      <c r="BB959" s="197">
        <v>46980</v>
      </c>
    </row>
    <row r="960" spans="54:54">
      <c r="BB960" s="197">
        <v>46981</v>
      </c>
    </row>
    <row r="961" spans="54:54">
      <c r="BB961" s="197">
        <v>46982</v>
      </c>
    </row>
    <row r="962" spans="54:54">
      <c r="BB962" s="197">
        <v>46983</v>
      </c>
    </row>
    <row r="963" spans="54:54">
      <c r="BB963" s="197">
        <v>46984</v>
      </c>
    </row>
    <row r="964" spans="54:54">
      <c r="BB964" s="197">
        <v>46985</v>
      </c>
    </row>
    <row r="965" spans="54:54">
      <c r="BB965" s="197">
        <v>46986</v>
      </c>
    </row>
    <row r="966" spans="54:54">
      <c r="BB966" s="197">
        <v>46987</v>
      </c>
    </row>
    <row r="967" spans="54:54">
      <c r="BB967" s="197">
        <v>46988</v>
      </c>
    </row>
    <row r="968" spans="54:54">
      <c r="BB968" s="197">
        <v>46989</v>
      </c>
    </row>
    <row r="969" spans="54:54">
      <c r="BB969" s="197">
        <v>46990</v>
      </c>
    </row>
    <row r="970" spans="54:54">
      <c r="BB970" s="197">
        <v>46991</v>
      </c>
    </row>
    <row r="971" spans="54:54">
      <c r="BB971" s="197">
        <v>46992</v>
      </c>
    </row>
    <row r="972" spans="54:54">
      <c r="BB972" s="197">
        <v>46993</v>
      </c>
    </row>
    <row r="973" spans="54:54">
      <c r="BB973" s="197">
        <v>46994</v>
      </c>
    </row>
    <row r="974" spans="54:54">
      <c r="BB974" s="197">
        <v>46995</v>
      </c>
    </row>
    <row r="975" spans="54:54">
      <c r="BB975" s="197">
        <v>46996</v>
      </c>
    </row>
    <row r="976" spans="54:54">
      <c r="BB976" s="197">
        <v>46997</v>
      </c>
    </row>
    <row r="977" spans="54:54">
      <c r="BB977" s="197">
        <v>46998</v>
      </c>
    </row>
    <row r="978" spans="54:54">
      <c r="BB978" s="197">
        <v>46999</v>
      </c>
    </row>
    <row r="979" spans="54:54">
      <c r="BB979" s="197">
        <v>47000</v>
      </c>
    </row>
    <row r="980" spans="54:54">
      <c r="BB980" s="197">
        <v>47001</v>
      </c>
    </row>
    <row r="981" spans="54:54">
      <c r="BB981" s="197">
        <v>47002</v>
      </c>
    </row>
    <row r="982" spans="54:54">
      <c r="BB982" s="197">
        <v>47003</v>
      </c>
    </row>
    <row r="983" spans="54:54">
      <c r="BB983" s="197">
        <v>47004</v>
      </c>
    </row>
    <row r="984" spans="54:54">
      <c r="BB984" s="197">
        <v>47005</v>
      </c>
    </row>
    <row r="985" spans="54:54">
      <c r="BB985" s="197">
        <v>47006</v>
      </c>
    </row>
    <row r="986" spans="54:54">
      <c r="BB986" s="197">
        <v>47007</v>
      </c>
    </row>
    <row r="987" spans="54:54">
      <c r="BB987" s="197">
        <v>47008</v>
      </c>
    </row>
    <row r="988" spans="54:54">
      <c r="BB988" s="197">
        <v>47009</v>
      </c>
    </row>
    <row r="989" spans="54:54">
      <c r="BB989" s="197">
        <v>47010</v>
      </c>
    </row>
    <row r="990" spans="54:54">
      <c r="BB990" s="197">
        <v>47011</v>
      </c>
    </row>
    <row r="991" spans="54:54">
      <c r="BB991" s="197">
        <v>47012</v>
      </c>
    </row>
    <row r="992" spans="54:54">
      <c r="BB992" s="197">
        <v>47013</v>
      </c>
    </row>
    <row r="993" spans="54:54">
      <c r="BB993" s="197">
        <v>47014</v>
      </c>
    </row>
    <row r="994" spans="54:54">
      <c r="BB994" s="197">
        <v>47015</v>
      </c>
    </row>
    <row r="995" spans="54:54">
      <c r="BB995" s="197">
        <v>47016</v>
      </c>
    </row>
    <row r="996" spans="54:54">
      <c r="BB996" s="197">
        <v>47017</v>
      </c>
    </row>
    <row r="997" spans="54:54">
      <c r="BB997" s="197">
        <v>47018</v>
      </c>
    </row>
    <row r="998" spans="54:54">
      <c r="BB998" s="197">
        <v>47019</v>
      </c>
    </row>
    <row r="999" spans="54:54">
      <c r="BB999" s="197">
        <v>47020</v>
      </c>
    </row>
    <row r="1000" spans="54:54">
      <c r="BB1000" s="197">
        <v>47021</v>
      </c>
    </row>
    <row r="1001" spans="54:54">
      <c r="BB1001" s="197">
        <v>47022</v>
      </c>
    </row>
    <row r="1002" spans="54:54">
      <c r="BB1002" s="197">
        <v>47023</v>
      </c>
    </row>
    <row r="1003" spans="54:54">
      <c r="BB1003" s="197">
        <v>47024</v>
      </c>
    </row>
    <row r="1004" spans="54:54">
      <c r="BB1004" s="197">
        <v>47025</v>
      </c>
    </row>
    <row r="1005" spans="54:54">
      <c r="BB1005" s="197">
        <v>47026</v>
      </c>
    </row>
    <row r="1006" spans="54:54">
      <c r="BB1006" s="197">
        <v>47027</v>
      </c>
    </row>
    <row r="1007" spans="54:54">
      <c r="BB1007" s="197">
        <v>47028</v>
      </c>
    </row>
    <row r="1008" spans="54:54">
      <c r="BB1008" s="197">
        <v>47029</v>
      </c>
    </row>
    <row r="1009" spans="54:54">
      <c r="BB1009" s="197">
        <v>47030</v>
      </c>
    </row>
    <row r="1010" spans="54:54">
      <c r="BB1010" s="197">
        <v>47031</v>
      </c>
    </row>
    <row r="1011" spans="54:54">
      <c r="BB1011" s="197">
        <v>47032</v>
      </c>
    </row>
    <row r="1012" spans="54:54">
      <c r="BB1012" s="197">
        <v>47033</v>
      </c>
    </row>
    <row r="1013" spans="54:54">
      <c r="BB1013" s="197">
        <v>47034</v>
      </c>
    </row>
    <row r="1014" spans="54:54">
      <c r="BB1014" s="197">
        <v>47035</v>
      </c>
    </row>
    <row r="1015" spans="54:54">
      <c r="BB1015" s="197">
        <v>47036</v>
      </c>
    </row>
    <row r="1016" spans="54:54">
      <c r="BB1016" s="197">
        <v>47037</v>
      </c>
    </row>
    <row r="1017" spans="54:54">
      <c r="BB1017" s="197">
        <v>47038</v>
      </c>
    </row>
    <row r="1018" spans="54:54">
      <c r="BB1018" s="197">
        <v>47039</v>
      </c>
    </row>
    <row r="1019" spans="54:54">
      <c r="BB1019" s="197">
        <v>47040</v>
      </c>
    </row>
    <row r="1020" spans="54:54">
      <c r="BB1020" s="197">
        <v>47041</v>
      </c>
    </row>
    <row r="1021" spans="54:54">
      <c r="BB1021" s="197">
        <v>47042</v>
      </c>
    </row>
    <row r="1022" spans="54:54">
      <c r="BB1022" s="197">
        <v>47043</v>
      </c>
    </row>
    <row r="1023" spans="54:54">
      <c r="BB1023" s="197">
        <v>47044</v>
      </c>
    </row>
    <row r="1024" spans="54:54">
      <c r="BB1024" s="197">
        <v>47045</v>
      </c>
    </row>
    <row r="1025" spans="54:54">
      <c r="BB1025" s="197">
        <v>47046</v>
      </c>
    </row>
    <row r="1026" spans="54:54">
      <c r="BB1026" s="197">
        <v>47047</v>
      </c>
    </row>
    <row r="1027" spans="54:54">
      <c r="BB1027" s="197">
        <v>47048</v>
      </c>
    </row>
    <row r="1028" spans="54:54">
      <c r="BB1028" s="197">
        <v>47049</v>
      </c>
    </row>
    <row r="1029" spans="54:54">
      <c r="BB1029" s="197">
        <v>47050</v>
      </c>
    </row>
    <row r="1030" spans="54:54">
      <c r="BB1030" s="197">
        <v>47051</v>
      </c>
    </row>
    <row r="1031" spans="54:54">
      <c r="BB1031" s="197">
        <v>47052</v>
      </c>
    </row>
    <row r="1032" spans="54:54">
      <c r="BB1032" s="197">
        <v>47053</v>
      </c>
    </row>
    <row r="1033" spans="54:54">
      <c r="BB1033" s="197">
        <v>47054</v>
      </c>
    </row>
    <row r="1034" spans="54:54">
      <c r="BB1034" s="197">
        <v>47055</v>
      </c>
    </row>
    <row r="1035" spans="54:54">
      <c r="BB1035" s="197">
        <v>47056</v>
      </c>
    </row>
    <row r="1036" spans="54:54">
      <c r="BB1036" s="197">
        <v>47057</v>
      </c>
    </row>
    <row r="1037" spans="54:54">
      <c r="BB1037" s="197">
        <v>47058</v>
      </c>
    </row>
    <row r="1038" spans="54:54">
      <c r="BB1038" s="197">
        <v>47059</v>
      </c>
    </row>
    <row r="1039" spans="54:54">
      <c r="BB1039" s="197">
        <v>47060</v>
      </c>
    </row>
    <row r="1040" spans="54:54">
      <c r="BB1040" s="197">
        <v>47061</v>
      </c>
    </row>
    <row r="1041" spans="54:54">
      <c r="BB1041" s="197">
        <v>47062</v>
      </c>
    </row>
    <row r="1042" spans="54:54">
      <c r="BB1042" s="197">
        <v>47063</v>
      </c>
    </row>
    <row r="1043" spans="54:54">
      <c r="BB1043" s="197">
        <v>47064</v>
      </c>
    </row>
    <row r="1044" spans="54:54">
      <c r="BB1044" s="197">
        <v>47065</v>
      </c>
    </row>
    <row r="1045" spans="54:54">
      <c r="BB1045" s="197">
        <v>47066</v>
      </c>
    </row>
    <row r="1046" spans="54:54">
      <c r="BB1046" s="197">
        <v>47067</v>
      </c>
    </row>
    <row r="1047" spans="54:54">
      <c r="BB1047" s="197">
        <v>47068</v>
      </c>
    </row>
    <row r="1048" spans="54:54">
      <c r="BB1048" s="197">
        <v>47069</v>
      </c>
    </row>
    <row r="1049" spans="54:54">
      <c r="BB1049" s="197">
        <v>47070</v>
      </c>
    </row>
    <row r="1050" spans="54:54">
      <c r="BB1050" s="197">
        <v>47071</v>
      </c>
    </row>
    <row r="1051" spans="54:54">
      <c r="BB1051" s="197">
        <v>47072</v>
      </c>
    </row>
    <row r="1052" spans="54:54">
      <c r="BB1052" s="197">
        <v>47073</v>
      </c>
    </row>
    <row r="1053" spans="54:54">
      <c r="BB1053" s="197">
        <v>47074</v>
      </c>
    </row>
    <row r="1054" spans="54:54">
      <c r="BB1054" s="197">
        <v>47075</v>
      </c>
    </row>
    <row r="1055" spans="54:54">
      <c r="BB1055" s="197">
        <v>47076</v>
      </c>
    </row>
    <row r="1056" spans="54:54">
      <c r="BB1056" s="197">
        <v>47077</v>
      </c>
    </row>
    <row r="1057" spans="54:54">
      <c r="BB1057" s="197">
        <v>47078</v>
      </c>
    </row>
    <row r="1058" spans="54:54">
      <c r="BB1058" s="197">
        <v>47079</v>
      </c>
    </row>
    <row r="1059" spans="54:54">
      <c r="BB1059" s="197">
        <v>47080</v>
      </c>
    </row>
    <row r="1060" spans="54:54">
      <c r="BB1060" s="197">
        <v>47081</v>
      </c>
    </row>
    <row r="1061" spans="54:54">
      <c r="BB1061" s="197">
        <v>47082</v>
      </c>
    </row>
    <row r="1062" spans="54:54">
      <c r="BB1062" s="197">
        <v>47083</v>
      </c>
    </row>
    <row r="1063" spans="54:54">
      <c r="BB1063" s="197">
        <v>47084</v>
      </c>
    </row>
    <row r="1064" spans="54:54">
      <c r="BB1064" s="197">
        <v>47085</v>
      </c>
    </row>
    <row r="1065" spans="54:54">
      <c r="BB1065" s="197">
        <v>47086</v>
      </c>
    </row>
    <row r="1066" spans="54:54">
      <c r="BB1066" s="197">
        <v>47087</v>
      </c>
    </row>
    <row r="1067" spans="54:54">
      <c r="BB1067" s="197">
        <v>47088</v>
      </c>
    </row>
    <row r="1068" spans="54:54">
      <c r="BB1068" s="197">
        <v>47089</v>
      </c>
    </row>
    <row r="1069" spans="54:54">
      <c r="BB1069" s="197">
        <v>47090</v>
      </c>
    </row>
    <row r="1070" spans="54:54">
      <c r="BB1070" s="197">
        <v>47091</v>
      </c>
    </row>
    <row r="1071" spans="54:54">
      <c r="BB1071" s="197">
        <v>47092</v>
      </c>
    </row>
    <row r="1072" spans="54:54">
      <c r="BB1072" s="197">
        <v>47093</v>
      </c>
    </row>
    <row r="1073" spans="54:54">
      <c r="BB1073" s="197">
        <v>47094</v>
      </c>
    </row>
    <row r="1074" spans="54:54">
      <c r="BB1074" s="197">
        <v>47095</v>
      </c>
    </row>
    <row r="1075" spans="54:54">
      <c r="BB1075" s="197">
        <v>47096</v>
      </c>
    </row>
    <row r="1076" spans="54:54">
      <c r="BB1076" s="197">
        <v>47097</v>
      </c>
    </row>
    <row r="1077" spans="54:54">
      <c r="BB1077" s="197">
        <v>47098</v>
      </c>
    </row>
    <row r="1078" spans="54:54">
      <c r="BB1078" s="197">
        <v>47099</v>
      </c>
    </row>
    <row r="1079" spans="54:54">
      <c r="BB1079" s="197">
        <v>47100</v>
      </c>
    </row>
    <row r="1080" spans="54:54">
      <c r="BB1080" s="197">
        <v>47101</v>
      </c>
    </row>
    <row r="1081" spans="54:54">
      <c r="BB1081" s="197">
        <v>47102</v>
      </c>
    </row>
    <row r="1082" spans="54:54">
      <c r="BB1082" s="197">
        <v>47103</v>
      </c>
    </row>
    <row r="1083" spans="54:54">
      <c r="BB1083" s="197">
        <v>47104</v>
      </c>
    </row>
    <row r="1084" spans="54:54">
      <c r="BB1084" s="197">
        <v>47105</v>
      </c>
    </row>
    <row r="1085" spans="54:54">
      <c r="BB1085" s="197">
        <v>47106</v>
      </c>
    </row>
    <row r="1086" spans="54:54">
      <c r="BB1086" s="197">
        <v>47107</v>
      </c>
    </row>
    <row r="1087" spans="54:54">
      <c r="BB1087" s="197">
        <v>47108</v>
      </c>
    </row>
    <row r="1088" spans="54:54">
      <c r="BB1088" s="197">
        <v>47109</v>
      </c>
    </row>
    <row r="1089" spans="54:54">
      <c r="BB1089" s="197">
        <v>47110</v>
      </c>
    </row>
    <row r="1090" spans="54:54">
      <c r="BB1090" s="197">
        <v>47111</v>
      </c>
    </row>
    <row r="1091" spans="54:54">
      <c r="BB1091" s="197">
        <v>47112</v>
      </c>
    </row>
    <row r="1092" spans="54:54">
      <c r="BB1092" s="197">
        <v>47113</v>
      </c>
    </row>
    <row r="1093" spans="54:54">
      <c r="BB1093" s="197">
        <v>47114</v>
      </c>
    </row>
    <row r="1094" spans="54:54">
      <c r="BB1094" s="197">
        <v>47115</v>
      </c>
    </row>
    <row r="1095" spans="54:54">
      <c r="BB1095" s="197">
        <v>47116</v>
      </c>
    </row>
    <row r="1096" spans="54:54">
      <c r="BB1096" s="197">
        <v>47117</v>
      </c>
    </row>
    <row r="1097" spans="54:54">
      <c r="BB1097" s="197">
        <v>47118</v>
      </c>
    </row>
    <row r="1098" spans="54:54">
      <c r="BB1098" s="197">
        <v>47119</v>
      </c>
    </row>
    <row r="1099" spans="54:54">
      <c r="BB1099" s="197">
        <v>47120</v>
      </c>
    </row>
    <row r="1100" spans="54:54">
      <c r="BB1100" s="197">
        <v>47121</v>
      </c>
    </row>
    <row r="1101" spans="54:54">
      <c r="BB1101" s="197">
        <v>47122</v>
      </c>
    </row>
    <row r="1102" spans="54:54">
      <c r="BB1102" s="197">
        <v>47123</v>
      </c>
    </row>
    <row r="1103" spans="54:54">
      <c r="BB1103" s="197">
        <v>47124</v>
      </c>
    </row>
    <row r="1104" spans="54:54">
      <c r="BB1104" s="197">
        <v>47125</v>
      </c>
    </row>
    <row r="1105" spans="54:54">
      <c r="BB1105" s="197">
        <v>47126</v>
      </c>
    </row>
    <row r="1106" spans="54:54">
      <c r="BB1106" s="197">
        <v>47127</v>
      </c>
    </row>
    <row r="1107" spans="54:54">
      <c r="BB1107" s="197">
        <v>47128</v>
      </c>
    </row>
    <row r="1108" spans="54:54">
      <c r="BB1108" s="197">
        <v>47129</v>
      </c>
    </row>
    <row r="1109" spans="54:54">
      <c r="BB1109" s="197">
        <v>47130</v>
      </c>
    </row>
    <row r="1110" spans="54:54">
      <c r="BB1110" s="197">
        <v>47131</v>
      </c>
    </row>
    <row r="1111" spans="54:54">
      <c r="BB1111" s="197">
        <v>47132</v>
      </c>
    </row>
    <row r="1112" spans="54:54">
      <c r="BB1112" s="197">
        <v>47133</v>
      </c>
    </row>
    <row r="1113" spans="54:54">
      <c r="BB1113" s="197">
        <v>47134</v>
      </c>
    </row>
    <row r="1114" spans="54:54">
      <c r="BB1114" s="197">
        <v>47135</v>
      </c>
    </row>
    <row r="1115" spans="54:54">
      <c r="BB1115" s="197">
        <v>47136</v>
      </c>
    </row>
    <row r="1116" spans="54:54">
      <c r="BB1116" s="197">
        <v>47137</v>
      </c>
    </row>
    <row r="1117" spans="54:54">
      <c r="BB1117" s="197">
        <v>47138</v>
      </c>
    </row>
    <row r="1118" spans="54:54">
      <c r="BB1118" s="197">
        <v>47139</v>
      </c>
    </row>
    <row r="1119" spans="54:54">
      <c r="BB1119" s="197">
        <v>47140</v>
      </c>
    </row>
    <row r="1120" spans="54:54">
      <c r="BB1120" s="197">
        <v>47141</v>
      </c>
    </row>
    <row r="1121" spans="54:54">
      <c r="BB1121" s="197">
        <v>47142</v>
      </c>
    </row>
    <row r="1122" spans="54:54">
      <c r="BB1122" s="197">
        <v>47143</v>
      </c>
    </row>
    <row r="1123" spans="54:54">
      <c r="BB1123" s="197">
        <v>47144</v>
      </c>
    </row>
    <row r="1124" spans="54:54">
      <c r="BB1124" s="197">
        <v>47145</v>
      </c>
    </row>
    <row r="1125" spans="54:54">
      <c r="BB1125" s="197">
        <v>47146</v>
      </c>
    </row>
    <row r="1126" spans="54:54">
      <c r="BB1126" s="197">
        <v>47147</v>
      </c>
    </row>
    <row r="1127" spans="54:54">
      <c r="BB1127" s="197">
        <v>47148</v>
      </c>
    </row>
    <row r="1128" spans="54:54">
      <c r="BB1128" s="197">
        <v>47149</v>
      </c>
    </row>
    <row r="1129" spans="54:54">
      <c r="BB1129" s="197">
        <v>47150</v>
      </c>
    </row>
    <row r="1130" spans="54:54">
      <c r="BB1130" s="197">
        <v>47151</v>
      </c>
    </row>
    <row r="1131" spans="54:54">
      <c r="BB1131" s="197">
        <v>47152</v>
      </c>
    </row>
    <row r="1132" spans="54:54">
      <c r="BB1132" s="197">
        <v>47153</v>
      </c>
    </row>
    <row r="1133" spans="54:54">
      <c r="BB1133" s="197">
        <v>47154</v>
      </c>
    </row>
    <row r="1134" spans="54:54">
      <c r="BB1134" s="197">
        <v>47155</v>
      </c>
    </row>
    <row r="1135" spans="54:54">
      <c r="BB1135" s="197">
        <v>47156</v>
      </c>
    </row>
    <row r="1136" spans="54:54">
      <c r="BB1136" s="197">
        <v>47157</v>
      </c>
    </row>
    <row r="1137" spans="54:54">
      <c r="BB1137" s="197">
        <v>47158</v>
      </c>
    </row>
    <row r="1138" spans="54:54">
      <c r="BB1138" s="197">
        <v>47159</v>
      </c>
    </row>
    <row r="1139" spans="54:54">
      <c r="BB1139" s="197">
        <v>47160</v>
      </c>
    </row>
    <row r="1140" spans="54:54">
      <c r="BB1140" s="197">
        <v>47161</v>
      </c>
    </row>
    <row r="1141" spans="54:54">
      <c r="BB1141" s="197">
        <v>47162</v>
      </c>
    </row>
    <row r="1142" spans="54:54">
      <c r="BB1142" s="197">
        <v>47163</v>
      </c>
    </row>
    <row r="1143" spans="54:54">
      <c r="BB1143" s="197">
        <v>47164</v>
      </c>
    </row>
    <row r="1144" spans="54:54">
      <c r="BB1144" s="197">
        <v>47165</v>
      </c>
    </row>
    <row r="1145" spans="54:54">
      <c r="BB1145" s="197">
        <v>47166</v>
      </c>
    </row>
    <row r="1146" spans="54:54">
      <c r="BB1146" s="197">
        <v>47167</v>
      </c>
    </row>
    <row r="1147" spans="54:54">
      <c r="BB1147" s="197">
        <v>47168</v>
      </c>
    </row>
    <row r="1148" spans="54:54">
      <c r="BB1148" s="197">
        <v>47169</v>
      </c>
    </row>
    <row r="1149" spans="54:54">
      <c r="BB1149" s="197">
        <v>47170</v>
      </c>
    </row>
    <row r="1150" spans="54:54">
      <c r="BB1150" s="197">
        <v>47171</v>
      </c>
    </row>
    <row r="1151" spans="54:54">
      <c r="BB1151" s="197">
        <v>47172</v>
      </c>
    </row>
    <row r="1152" spans="54:54">
      <c r="BB1152" s="197">
        <v>47173</v>
      </c>
    </row>
    <row r="1153" spans="54:54">
      <c r="BB1153" s="197">
        <v>47174</v>
      </c>
    </row>
    <row r="1154" spans="54:54">
      <c r="BB1154" s="197">
        <v>47175</v>
      </c>
    </row>
    <row r="1155" spans="54:54">
      <c r="BB1155" s="197">
        <v>47176</v>
      </c>
    </row>
    <row r="1156" spans="54:54">
      <c r="BB1156" s="197">
        <v>47177</v>
      </c>
    </row>
    <row r="1157" spans="54:54">
      <c r="BB1157" s="197">
        <v>47178</v>
      </c>
    </row>
    <row r="1158" spans="54:54">
      <c r="BB1158" s="197">
        <v>47179</v>
      </c>
    </row>
    <row r="1159" spans="54:54">
      <c r="BB1159" s="197">
        <v>47180</v>
      </c>
    </row>
    <row r="1160" spans="54:54">
      <c r="BB1160" s="197">
        <v>47181</v>
      </c>
    </row>
    <row r="1161" spans="54:54">
      <c r="BB1161" s="197">
        <v>47182</v>
      </c>
    </row>
    <row r="1162" spans="54:54">
      <c r="BB1162" s="197">
        <v>47183</v>
      </c>
    </row>
    <row r="1163" spans="54:54">
      <c r="BB1163" s="197">
        <v>47184</v>
      </c>
    </row>
    <row r="1164" spans="54:54">
      <c r="BB1164" s="197">
        <v>47185</v>
      </c>
    </row>
    <row r="1165" spans="54:54">
      <c r="BB1165" s="197">
        <v>47186</v>
      </c>
    </row>
    <row r="1166" spans="54:54">
      <c r="BB1166" s="197">
        <v>47187</v>
      </c>
    </row>
    <row r="1167" spans="54:54">
      <c r="BB1167" s="197">
        <v>47188</v>
      </c>
    </row>
    <row r="1168" spans="54:54">
      <c r="BB1168" s="197">
        <v>47189</v>
      </c>
    </row>
    <row r="1169" spans="54:54">
      <c r="BB1169" s="197">
        <v>47190</v>
      </c>
    </row>
    <row r="1170" spans="54:54">
      <c r="BB1170" s="197">
        <v>47191</v>
      </c>
    </row>
    <row r="1171" spans="54:54">
      <c r="BB1171" s="197">
        <v>47192</v>
      </c>
    </row>
    <row r="1172" spans="54:54">
      <c r="BB1172" s="197">
        <v>47193</v>
      </c>
    </row>
    <row r="1173" spans="54:54">
      <c r="BB1173" s="197">
        <v>47194</v>
      </c>
    </row>
    <row r="1174" spans="54:54">
      <c r="BB1174" s="197">
        <v>47195</v>
      </c>
    </row>
    <row r="1175" spans="54:54">
      <c r="BB1175" s="197">
        <v>47196</v>
      </c>
    </row>
    <row r="1176" spans="54:54">
      <c r="BB1176" s="197">
        <v>47197</v>
      </c>
    </row>
    <row r="1177" spans="54:54">
      <c r="BB1177" s="197">
        <v>47198</v>
      </c>
    </row>
    <row r="1178" spans="54:54">
      <c r="BB1178" s="197">
        <v>47199</v>
      </c>
    </row>
    <row r="1179" spans="54:54">
      <c r="BB1179" s="197">
        <v>47200</v>
      </c>
    </row>
    <row r="1180" spans="54:54">
      <c r="BB1180" s="197">
        <v>47201</v>
      </c>
    </row>
    <row r="1181" spans="54:54">
      <c r="BB1181" s="197">
        <v>47202</v>
      </c>
    </row>
    <row r="1182" spans="54:54">
      <c r="BB1182" s="197">
        <v>47203</v>
      </c>
    </row>
    <row r="1183" spans="54:54">
      <c r="BB1183" s="197">
        <v>47204</v>
      </c>
    </row>
    <row r="1184" spans="54:54">
      <c r="BB1184" s="197">
        <v>47205</v>
      </c>
    </row>
    <row r="1185" spans="54:54">
      <c r="BB1185" s="197">
        <v>47206</v>
      </c>
    </row>
    <row r="1186" spans="54:54">
      <c r="BB1186" s="197">
        <v>47207</v>
      </c>
    </row>
    <row r="1187" spans="54:54">
      <c r="BB1187" s="197">
        <v>47208</v>
      </c>
    </row>
    <row r="1188" spans="54:54">
      <c r="BB1188" s="197">
        <v>47209</v>
      </c>
    </row>
    <row r="1189" spans="54:54">
      <c r="BB1189" s="197">
        <v>47210</v>
      </c>
    </row>
    <row r="1190" spans="54:54">
      <c r="BB1190" s="197">
        <v>47211</v>
      </c>
    </row>
    <row r="1191" spans="54:54">
      <c r="BB1191" s="197">
        <v>47212</v>
      </c>
    </row>
    <row r="1192" spans="54:54">
      <c r="BB1192" s="197">
        <v>47213</v>
      </c>
    </row>
    <row r="1193" spans="54:54">
      <c r="BB1193" s="197">
        <v>47214</v>
      </c>
    </row>
    <row r="1194" spans="54:54">
      <c r="BB1194" s="197">
        <v>47215</v>
      </c>
    </row>
    <row r="1195" spans="54:54">
      <c r="BB1195" s="197">
        <v>47216</v>
      </c>
    </row>
    <row r="1196" spans="54:54">
      <c r="BB1196" s="197">
        <v>47217</v>
      </c>
    </row>
    <row r="1197" spans="54:54">
      <c r="BB1197" s="197">
        <v>47218</v>
      </c>
    </row>
    <row r="1198" spans="54:54">
      <c r="BB1198" s="197">
        <v>47219</v>
      </c>
    </row>
    <row r="1199" spans="54:54">
      <c r="BB1199" s="197">
        <v>47220</v>
      </c>
    </row>
    <row r="1200" spans="54:54">
      <c r="BB1200" s="197">
        <v>47221</v>
      </c>
    </row>
    <row r="1201" spans="54:54">
      <c r="BB1201" s="197">
        <v>47222</v>
      </c>
    </row>
    <row r="1202" spans="54:54">
      <c r="BB1202" s="197">
        <v>47223</v>
      </c>
    </row>
    <row r="1203" spans="54:54">
      <c r="BB1203" s="197">
        <v>47224</v>
      </c>
    </row>
    <row r="1204" spans="54:54">
      <c r="BB1204" s="197">
        <v>47225</v>
      </c>
    </row>
    <row r="1205" spans="54:54">
      <c r="BB1205" s="197">
        <v>47226</v>
      </c>
    </row>
    <row r="1206" spans="54:54">
      <c r="BB1206" s="197">
        <v>47227</v>
      </c>
    </row>
    <row r="1207" spans="54:54">
      <c r="BB1207" s="197">
        <v>47228</v>
      </c>
    </row>
    <row r="1208" spans="54:54">
      <c r="BB1208" s="197">
        <v>47229</v>
      </c>
    </row>
    <row r="1209" spans="54:54">
      <c r="BB1209" s="197">
        <v>47230</v>
      </c>
    </row>
    <row r="1210" spans="54:54">
      <c r="BB1210" s="197">
        <v>47231</v>
      </c>
    </row>
    <row r="1211" spans="54:54">
      <c r="BB1211" s="197">
        <v>47232</v>
      </c>
    </row>
    <row r="1212" spans="54:54">
      <c r="BB1212" s="197">
        <v>47233</v>
      </c>
    </row>
    <row r="1213" spans="54:54">
      <c r="BB1213" s="197">
        <v>47234</v>
      </c>
    </row>
    <row r="1214" spans="54:54">
      <c r="BB1214" s="197">
        <v>47235</v>
      </c>
    </row>
    <row r="1215" spans="54:54">
      <c r="BB1215" s="197">
        <v>47236</v>
      </c>
    </row>
    <row r="1216" spans="54:54">
      <c r="BB1216" s="197">
        <v>47237</v>
      </c>
    </row>
    <row r="1217" spans="54:54">
      <c r="BB1217" s="197">
        <v>47238</v>
      </c>
    </row>
    <row r="1218" spans="54:54">
      <c r="BB1218" s="197">
        <v>47239</v>
      </c>
    </row>
    <row r="1219" spans="54:54">
      <c r="BB1219" s="197">
        <v>47240</v>
      </c>
    </row>
    <row r="1220" spans="54:54">
      <c r="BB1220" s="197">
        <v>47241</v>
      </c>
    </row>
    <row r="1221" spans="54:54">
      <c r="BB1221" s="197">
        <v>47242</v>
      </c>
    </row>
    <row r="1222" spans="54:54">
      <c r="BB1222" s="197">
        <v>47243</v>
      </c>
    </row>
    <row r="1223" spans="54:54">
      <c r="BB1223" s="197">
        <v>47244</v>
      </c>
    </row>
    <row r="1224" spans="54:54">
      <c r="BB1224" s="197">
        <v>47245</v>
      </c>
    </row>
    <row r="1225" spans="54:54">
      <c r="BB1225" s="197">
        <v>47246</v>
      </c>
    </row>
    <row r="1226" spans="54:54">
      <c r="BB1226" s="197">
        <v>47247</v>
      </c>
    </row>
    <row r="1227" spans="54:54">
      <c r="BB1227" s="197">
        <v>47248</v>
      </c>
    </row>
    <row r="1228" spans="54:54">
      <c r="BB1228" s="197">
        <v>47249</v>
      </c>
    </row>
    <row r="1229" spans="54:54">
      <c r="BB1229" s="197">
        <v>47250</v>
      </c>
    </row>
    <row r="1230" spans="54:54">
      <c r="BB1230" s="197">
        <v>47251</v>
      </c>
    </row>
    <row r="1231" spans="54:54">
      <c r="BB1231" s="197">
        <v>47252</v>
      </c>
    </row>
    <row r="1232" spans="54:54">
      <c r="BB1232" s="197">
        <v>47253</v>
      </c>
    </row>
    <row r="1233" spans="54:54">
      <c r="BB1233" s="197">
        <v>47254</v>
      </c>
    </row>
    <row r="1234" spans="54:54">
      <c r="BB1234" s="197">
        <v>47255</v>
      </c>
    </row>
    <row r="1235" spans="54:54">
      <c r="BB1235" s="197">
        <v>47256</v>
      </c>
    </row>
    <row r="1236" spans="54:54">
      <c r="BB1236" s="197">
        <v>47257</v>
      </c>
    </row>
    <row r="1237" spans="54:54">
      <c r="BB1237" s="197">
        <v>47258</v>
      </c>
    </row>
    <row r="1238" spans="54:54">
      <c r="BB1238" s="197">
        <v>47259</v>
      </c>
    </row>
    <row r="1239" spans="54:54">
      <c r="BB1239" s="197">
        <v>47260</v>
      </c>
    </row>
    <row r="1240" spans="54:54">
      <c r="BB1240" s="197">
        <v>47261</v>
      </c>
    </row>
    <row r="1241" spans="54:54">
      <c r="BB1241" s="197">
        <v>47262</v>
      </c>
    </row>
    <row r="1242" spans="54:54">
      <c r="BB1242" s="197">
        <v>47263</v>
      </c>
    </row>
    <row r="1243" spans="54:54">
      <c r="BB1243" s="197">
        <v>47264</v>
      </c>
    </row>
    <row r="1244" spans="54:54">
      <c r="BB1244" s="197">
        <v>47265</v>
      </c>
    </row>
    <row r="1245" spans="54:54">
      <c r="BB1245" s="197">
        <v>47266</v>
      </c>
    </row>
    <row r="1246" spans="54:54">
      <c r="BB1246" s="197">
        <v>47267</v>
      </c>
    </row>
    <row r="1247" spans="54:54">
      <c r="BB1247" s="197">
        <v>47268</v>
      </c>
    </row>
    <row r="1248" spans="54:54">
      <c r="BB1248" s="197">
        <v>47269</v>
      </c>
    </row>
    <row r="1249" spans="54:54">
      <c r="BB1249" s="197">
        <v>47270</v>
      </c>
    </row>
    <row r="1250" spans="54:54">
      <c r="BB1250" s="197">
        <v>47271</v>
      </c>
    </row>
    <row r="1251" spans="54:54">
      <c r="BB1251" s="197">
        <v>47272</v>
      </c>
    </row>
    <row r="1252" spans="54:54">
      <c r="BB1252" s="197">
        <v>47273</v>
      </c>
    </row>
    <row r="1253" spans="54:54">
      <c r="BB1253" s="197">
        <v>47274</v>
      </c>
    </row>
    <row r="1254" spans="54:54">
      <c r="BB1254" s="197">
        <v>47275</v>
      </c>
    </row>
    <row r="1255" spans="54:54">
      <c r="BB1255" s="197">
        <v>47276</v>
      </c>
    </row>
    <row r="1256" spans="54:54">
      <c r="BB1256" s="197">
        <v>47277</v>
      </c>
    </row>
    <row r="1257" spans="54:54">
      <c r="BB1257" s="197">
        <v>47278</v>
      </c>
    </row>
    <row r="1258" spans="54:54">
      <c r="BB1258" s="197">
        <v>47279</v>
      </c>
    </row>
    <row r="1259" spans="54:54">
      <c r="BB1259" s="197">
        <v>47280</v>
      </c>
    </row>
    <row r="1260" spans="54:54">
      <c r="BB1260" s="197">
        <v>47281</v>
      </c>
    </row>
    <row r="1261" spans="54:54">
      <c r="BB1261" s="197">
        <v>47282</v>
      </c>
    </row>
    <row r="1262" spans="54:54">
      <c r="BB1262" s="197">
        <v>47283</v>
      </c>
    </row>
    <row r="1263" spans="54:54">
      <c r="BB1263" s="197">
        <v>47284</v>
      </c>
    </row>
    <row r="1264" spans="54:54">
      <c r="BB1264" s="197">
        <v>47285</v>
      </c>
    </row>
    <row r="1265" spans="54:54">
      <c r="BB1265" s="197">
        <v>47286</v>
      </c>
    </row>
    <row r="1266" spans="54:54">
      <c r="BB1266" s="197">
        <v>47287</v>
      </c>
    </row>
    <row r="1267" spans="54:54">
      <c r="BB1267" s="197">
        <v>47288</v>
      </c>
    </row>
    <row r="1268" spans="54:54">
      <c r="BB1268" s="197">
        <v>47289</v>
      </c>
    </row>
    <row r="1269" spans="54:54">
      <c r="BB1269" s="197">
        <v>47290</v>
      </c>
    </row>
    <row r="1270" spans="54:54">
      <c r="BB1270" s="197">
        <v>47291</v>
      </c>
    </row>
    <row r="1271" spans="54:54">
      <c r="BB1271" s="197">
        <v>47292</v>
      </c>
    </row>
    <row r="1272" spans="54:54">
      <c r="BB1272" s="197">
        <v>47293</v>
      </c>
    </row>
    <row r="1273" spans="54:54">
      <c r="BB1273" s="197">
        <v>47294</v>
      </c>
    </row>
    <row r="1274" spans="54:54">
      <c r="BB1274" s="197">
        <v>47295</v>
      </c>
    </row>
    <row r="1275" spans="54:54">
      <c r="BB1275" s="197">
        <v>47296</v>
      </c>
    </row>
    <row r="1276" spans="54:54">
      <c r="BB1276" s="197">
        <v>47297</v>
      </c>
    </row>
    <row r="1277" spans="54:54">
      <c r="BB1277" s="197">
        <v>47298</v>
      </c>
    </row>
    <row r="1278" spans="54:54">
      <c r="BB1278" s="197">
        <v>47299</v>
      </c>
    </row>
    <row r="1279" spans="54:54">
      <c r="BB1279" s="197">
        <v>47300</v>
      </c>
    </row>
    <row r="1280" spans="54:54">
      <c r="BB1280" s="197">
        <v>47301</v>
      </c>
    </row>
    <row r="1281" spans="54:54">
      <c r="BB1281" s="197">
        <v>47302</v>
      </c>
    </row>
    <row r="1282" spans="54:54">
      <c r="BB1282" s="197">
        <v>47303</v>
      </c>
    </row>
    <row r="1283" spans="54:54">
      <c r="BB1283" s="197">
        <v>47304</v>
      </c>
    </row>
    <row r="1284" spans="54:54">
      <c r="BB1284" s="197">
        <v>47305</v>
      </c>
    </row>
    <row r="1285" spans="54:54">
      <c r="BB1285" s="197">
        <v>47306</v>
      </c>
    </row>
    <row r="1286" spans="54:54">
      <c r="BB1286" s="197">
        <v>47307</v>
      </c>
    </row>
    <row r="1287" spans="54:54">
      <c r="BB1287" s="197">
        <v>47308</v>
      </c>
    </row>
    <row r="1288" spans="54:54">
      <c r="BB1288" s="197">
        <v>47309</v>
      </c>
    </row>
    <row r="1289" spans="54:54">
      <c r="BB1289" s="197">
        <v>47310</v>
      </c>
    </row>
    <row r="1290" spans="54:54">
      <c r="BB1290" s="197">
        <v>47311</v>
      </c>
    </row>
    <row r="1291" spans="54:54">
      <c r="BB1291" s="197">
        <v>47312</v>
      </c>
    </row>
    <row r="1292" spans="54:54">
      <c r="BB1292" s="197">
        <v>47313</v>
      </c>
    </row>
    <row r="1293" spans="54:54">
      <c r="BB1293" s="197">
        <v>47314</v>
      </c>
    </row>
    <row r="1294" spans="54:54">
      <c r="BB1294" s="197">
        <v>47315</v>
      </c>
    </row>
    <row r="1295" spans="54:54">
      <c r="BB1295" s="197">
        <v>47316</v>
      </c>
    </row>
    <row r="1296" spans="54:54">
      <c r="BB1296" s="197">
        <v>47317</v>
      </c>
    </row>
    <row r="1297" spans="54:54">
      <c r="BB1297" s="197">
        <v>47318</v>
      </c>
    </row>
    <row r="1298" spans="54:54">
      <c r="BB1298" s="197">
        <v>47319</v>
      </c>
    </row>
    <row r="1299" spans="54:54">
      <c r="BB1299" s="197">
        <v>47320</v>
      </c>
    </row>
    <row r="1300" spans="54:54">
      <c r="BB1300" s="197">
        <v>47321</v>
      </c>
    </row>
    <row r="1301" spans="54:54">
      <c r="BB1301" s="197">
        <v>47322</v>
      </c>
    </row>
    <row r="1302" spans="54:54">
      <c r="BB1302" s="197">
        <v>47323</v>
      </c>
    </row>
    <row r="1303" spans="54:54">
      <c r="BB1303" s="197">
        <v>47324</v>
      </c>
    </row>
    <row r="1304" spans="54:54">
      <c r="BB1304" s="197">
        <v>47325</v>
      </c>
    </row>
    <row r="1305" spans="54:54">
      <c r="BB1305" s="197">
        <v>47326</v>
      </c>
    </row>
    <row r="1306" spans="54:54">
      <c r="BB1306" s="197">
        <v>47327</v>
      </c>
    </row>
    <row r="1307" spans="54:54">
      <c r="BB1307" s="197">
        <v>47328</v>
      </c>
    </row>
    <row r="1308" spans="54:54">
      <c r="BB1308" s="197">
        <v>47329</v>
      </c>
    </row>
    <row r="1309" spans="54:54">
      <c r="BB1309" s="197">
        <v>47330</v>
      </c>
    </row>
    <row r="1310" spans="54:54">
      <c r="BB1310" s="197">
        <v>47331</v>
      </c>
    </row>
    <row r="1311" spans="54:54">
      <c r="BB1311" s="197">
        <v>47332</v>
      </c>
    </row>
    <row r="1312" spans="54:54">
      <c r="BB1312" s="197">
        <v>47333</v>
      </c>
    </row>
    <row r="1313" spans="54:54">
      <c r="BB1313" s="197">
        <v>47334</v>
      </c>
    </row>
    <row r="1314" spans="54:54">
      <c r="BB1314" s="197">
        <v>47335</v>
      </c>
    </row>
    <row r="1315" spans="54:54">
      <c r="BB1315" s="197">
        <v>47336</v>
      </c>
    </row>
    <row r="1316" spans="54:54">
      <c r="BB1316" s="197">
        <v>47337</v>
      </c>
    </row>
    <row r="1317" spans="54:54">
      <c r="BB1317" s="197">
        <v>47338</v>
      </c>
    </row>
    <row r="1318" spans="54:54">
      <c r="BB1318" s="197">
        <v>47339</v>
      </c>
    </row>
    <row r="1319" spans="54:54">
      <c r="BB1319" s="197">
        <v>47340</v>
      </c>
    </row>
    <row r="1320" spans="54:54">
      <c r="BB1320" s="197">
        <v>47341</v>
      </c>
    </row>
    <row r="1321" spans="54:54">
      <c r="BB1321" s="197">
        <v>47342</v>
      </c>
    </row>
    <row r="1322" spans="54:54">
      <c r="BB1322" s="197">
        <v>47343</v>
      </c>
    </row>
    <row r="1323" spans="54:54">
      <c r="BB1323" s="197">
        <v>47344</v>
      </c>
    </row>
    <row r="1324" spans="54:54">
      <c r="BB1324" s="197">
        <v>47345</v>
      </c>
    </row>
    <row r="1325" spans="54:54">
      <c r="BB1325" s="197">
        <v>47346</v>
      </c>
    </row>
    <row r="1326" spans="54:54">
      <c r="BB1326" s="197">
        <v>47347</v>
      </c>
    </row>
    <row r="1327" spans="54:54">
      <c r="BB1327" s="197">
        <v>47348</v>
      </c>
    </row>
    <row r="1328" spans="54:54">
      <c r="BB1328" s="197">
        <v>47349</v>
      </c>
    </row>
    <row r="1329" spans="54:54">
      <c r="BB1329" s="197">
        <v>47350</v>
      </c>
    </row>
    <row r="1330" spans="54:54">
      <c r="BB1330" s="197">
        <v>47351</v>
      </c>
    </row>
    <row r="1331" spans="54:54">
      <c r="BB1331" s="197">
        <v>47352</v>
      </c>
    </row>
    <row r="1332" spans="54:54">
      <c r="BB1332" s="197">
        <v>47353</v>
      </c>
    </row>
    <row r="1333" spans="54:54">
      <c r="BB1333" s="197">
        <v>47354</v>
      </c>
    </row>
    <row r="1334" spans="54:54">
      <c r="BB1334" s="197">
        <v>47355</v>
      </c>
    </row>
    <row r="1335" spans="54:54">
      <c r="BB1335" s="197">
        <v>47356</v>
      </c>
    </row>
    <row r="1336" spans="54:54">
      <c r="BB1336" s="197">
        <v>47357</v>
      </c>
    </row>
    <row r="1337" spans="54:54">
      <c r="BB1337" s="197">
        <v>47358</v>
      </c>
    </row>
    <row r="1338" spans="54:54">
      <c r="BB1338" s="197">
        <v>47359</v>
      </c>
    </row>
    <row r="1339" spans="54:54">
      <c r="BB1339" s="197">
        <v>47360</v>
      </c>
    </row>
    <row r="1340" spans="54:54">
      <c r="BB1340" s="197">
        <v>47361</v>
      </c>
    </row>
    <row r="1341" spans="54:54">
      <c r="BB1341" s="197">
        <v>47362</v>
      </c>
    </row>
    <row r="1342" spans="54:54">
      <c r="BB1342" s="197">
        <v>47363</v>
      </c>
    </row>
    <row r="1343" spans="54:54">
      <c r="BB1343" s="197">
        <v>47364</v>
      </c>
    </row>
    <row r="1344" spans="54:54">
      <c r="BB1344" s="197">
        <v>47365</v>
      </c>
    </row>
    <row r="1345" spans="54:54">
      <c r="BB1345" s="197">
        <v>47366</v>
      </c>
    </row>
    <row r="1346" spans="54:54">
      <c r="BB1346" s="197">
        <v>47367</v>
      </c>
    </row>
    <row r="1347" spans="54:54">
      <c r="BB1347" s="197">
        <v>47368</v>
      </c>
    </row>
    <row r="1348" spans="54:54">
      <c r="BB1348" s="197">
        <v>47369</v>
      </c>
    </row>
    <row r="1349" spans="54:54">
      <c r="BB1349" s="197">
        <v>47370</v>
      </c>
    </row>
    <row r="1350" spans="54:54">
      <c r="BB1350" s="197">
        <v>47371</v>
      </c>
    </row>
    <row r="1351" spans="54:54">
      <c r="BB1351" s="197">
        <v>47372</v>
      </c>
    </row>
    <row r="1352" spans="54:54">
      <c r="BB1352" s="197">
        <v>47373</v>
      </c>
    </row>
    <row r="1353" spans="54:54">
      <c r="BB1353" s="197">
        <v>47374</v>
      </c>
    </row>
    <row r="1354" spans="54:54">
      <c r="BB1354" s="197">
        <v>47375</v>
      </c>
    </row>
    <row r="1355" spans="54:54">
      <c r="BB1355" s="197">
        <v>47376</v>
      </c>
    </row>
    <row r="1356" spans="54:54">
      <c r="BB1356" s="197">
        <v>47377</v>
      </c>
    </row>
    <row r="1357" spans="54:54">
      <c r="BB1357" s="197">
        <v>47378</v>
      </c>
    </row>
    <row r="1358" spans="54:54">
      <c r="BB1358" s="197">
        <v>47379</v>
      </c>
    </row>
    <row r="1359" spans="54:54">
      <c r="BB1359" s="197">
        <v>47380</v>
      </c>
    </row>
    <row r="1360" spans="54:54">
      <c r="BB1360" s="197">
        <v>47381</v>
      </c>
    </row>
    <row r="1361" spans="54:54">
      <c r="BB1361" s="197">
        <v>47382</v>
      </c>
    </row>
    <row r="1362" spans="54:54">
      <c r="BB1362" s="197">
        <v>47383</v>
      </c>
    </row>
    <row r="1363" spans="54:54">
      <c r="BB1363" s="197">
        <v>47384</v>
      </c>
    </row>
    <row r="1364" spans="54:54">
      <c r="BB1364" s="197">
        <v>47385</v>
      </c>
    </row>
    <row r="1365" spans="54:54">
      <c r="BB1365" s="197">
        <v>47386</v>
      </c>
    </row>
    <row r="1366" spans="54:54">
      <c r="BB1366" s="197">
        <v>47387</v>
      </c>
    </row>
    <row r="1367" spans="54:54">
      <c r="BB1367" s="197">
        <v>47388</v>
      </c>
    </row>
    <row r="1368" spans="54:54">
      <c r="BB1368" s="197">
        <v>47389</v>
      </c>
    </row>
    <row r="1369" spans="54:54">
      <c r="BB1369" s="197">
        <v>47390</v>
      </c>
    </row>
    <row r="1370" spans="54:54">
      <c r="BB1370" s="197">
        <v>47391</v>
      </c>
    </row>
    <row r="1371" spans="54:54">
      <c r="BB1371" s="197">
        <v>47392</v>
      </c>
    </row>
    <row r="1372" spans="54:54">
      <c r="BB1372" s="197">
        <v>47393</v>
      </c>
    </row>
    <row r="1373" spans="54:54">
      <c r="BB1373" s="197">
        <v>47394</v>
      </c>
    </row>
    <row r="1374" spans="54:54">
      <c r="BB1374" s="197">
        <v>47395</v>
      </c>
    </row>
    <row r="1375" spans="54:54">
      <c r="BB1375" s="197">
        <v>47396</v>
      </c>
    </row>
    <row r="1376" spans="54:54">
      <c r="BB1376" s="197">
        <v>47397</v>
      </c>
    </row>
    <row r="1377" spans="54:54">
      <c r="BB1377" s="197">
        <v>47398</v>
      </c>
    </row>
    <row r="1378" spans="54:54">
      <c r="BB1378" s="197">
        <v>47399</v>
      </c>
    </row>
    <row r="1379" spans="54:54">
      <c r="BB1379" s="197">
        <v>47400</v>
      </c>
    </row>
    <row r="1380" spans="54:54">
      <c r="BB1380" s="197">
        <v>47401</v>
      </c>
    </row>
    <row r="1381" spans="54:54">
      <c r="BB1381" s="197">
        <v>47402</v>
      </c>
    </row>
    <row r="1382" spans="54:54">
      <c r="BB1382" s="197">
        <v>47403</v>
      </c>
    </row>
    <row r="1383" spans="54:54">
      <c r="BB1383" s="197">
        <v>47404</v>
      </c>
    </row>
    <row r="1384" spans="54:54">
      <c r="BB1384" s="197">
        <v>47405</v>
      </c>
    </row>
    <row r="1385" spans="54:54">
      <c r="BB1385" s="197">
        <v>47406</v>
      </c>
    </row>
    <row r="1386" spans="54:54">
      <c r="BB1386" s="197">
        <v>47407</v>
      </c>
    </row>
    <row r="1387" spans="54:54">
      <c r="BB1387" s="197">
        <v>47408</v>
      </c>
    </row>
    <row r="1388" spans="54:54">
      <c r="BB1388" s="197">
        <v>47409</v>
      </c>
    </row>
    <row r="1389" spans="54:54">
      <c r="BB1389" s="197">
        <v>47410</v>
      </c>
    </row>
    <row r="1390" spans="54:54">
      <c r="BB1390" s="197">
        <v>47411</v>
      </c>
    </row>
    <row r="1391" spans="54:54">
      <c r="BB1391" s="197">
        <v>47412</v>
      </c>
    </row>
    <row r="1392" spans="54:54">
      <c r="BB1392" s="197">
        <v>47413</v>
      </c>
    </row>
    <row r="1393" spans="54:54">
      <c r="BB1393" s="197">
        <v>47414</v>
      </c>
    </row>
    <row r="1394" spans="54:54">
      <c r="BB1394" s="197">
        <v>47415</v>
      </c>
    </row>
    <row r="1395" spans="54:54">
      <c r="BB1395" s="197">
        <v>47416</v>
      </c>
    </row>
    <row r="1396" spans="54:54">
      <c r="BB1396" s="197">
        <v>47417</v>
      </c>
    </row>
    <row r="1397" spans="54:54">
      <c r="BB1397" s="197">
        <v>47418</v>
      </c>
    </row>
    <row r="1398" spans="54:54">
      <c r="BB1398" s="197">
        <v>47419</v>
      </c>
    </row>
    <row r="1399" spans="54:54">
      <c r="BB1399" s="197">
        <v>47420</v>
      </c>
    </row>
    <row r="1400" spans="54:54">
      <c r="BB1400" s="197">
        <v>47421</v>
      </c>
    </row>
    <row r="1401" spans="54:54">
      <c r="BB1401" s="197">
        <v>47422</v>
      </c>
    </row>
    <row r="1402" spans="54:54">
      <c r="BB1402" s="197">
        <v>47423</v>
      </c>
    </row>
    <row r="1403" spans="54:54">
      <c r="BB1403" s="197">
        <v>47424</v>
      </c>
    </row>
    <row r="1404" spans="54:54">
      <c r="BB1404" s="197">
        <v>47425</v>
      </c>
    </row>
    <row r="1405" spans="54:54">
      <c r="BB1405" s="197">
        <v>47426</v>
      </c>
    </row>
    <row r="1406" spans="54:54">
      <c r="BB1406" s="197">
        <v>47427</v>
      </c>
    </row>
    <row r="1407" spans="54:54">
      <c r="BB1407" s="197">
        <v>47428</v>
      </c>
    </row>
    <row r="1408" spans="54:54">
      <c r="BB1408" s="197">
        <v>47429</v>
      </c>
    </row>
    <row r="1409" spans="54:54">
      <c r="BB1409" s="197">
        <v>47430</v>
      </c>
    </row>
    <row r="1410" spans="54:54">
      <c r="BB1410" s="197">
        <v>47431</v>
      </c>
    </row>
    <row r="1411" spans="54:54">
      <c r="BB1411" s="197">
        <v>47432</v>
      </c>
    </row>
    <row r="1412" spans="54:54">
      <c r="BB1412" s="197">
        <v>47433</v>
      </c>
    </row>
    <row r="1413" spans="54:54">
      <c r="BB1413" s="197">
        <v>47434</v>
      </c>
    </row>
    <row r="1414" spans="54:54">
      <c r="BB1414" s="197">
        <v>47435</v>
      </c>
    </row>
    <row r="1415" spans="54:54">
      <c r="BB1415" s="197">
        <v>47436</v>
      </c>
    </row>
    <row r="1416" spans="54:54">
      <c r="BB1416" s="197">
        <v>47437</v>
      </c>
    </row>
    <row r="1417" spans="54:54">
      <c r="BB1417" s="197">
        <v>47438</v>
      </c>
    </row>
    <row r="1418" spans="54:54">
      <c r="BB1418" s="197">
        <v>47439</v>
      </c>
    </row>
    <row r="1419" spans="54:54">
      <c r="BB1419" s="197">
        <v>47440</v>
      </c>
    </row>
    <row r="1420" spans="54:54">
      <c r="BB1420" s="197">
        <v>47441</v>
      </c>
    </row>
    <row r="1421" spans="54:54">
      <c r="BB1421" s="197">
        <v>47442</v>
      </c>
    </row>
    <row r="1422" spans="54:54">
      <c r="BB1422" s="197">
        <v>47443</v>
      </c>
    </row>
    <row r="1423" spans="54:54">
      <c r="BB1423" s="197">
        <v>47444</v>
      </c>
    </row>
    <row r="1424" spans="54:54">
      <c r="BB1424" s="197">
        <v>47445</v>
      </c>
    </row>
    <row r="1425" spans="54:54">
      <c r="BB1425" s="197">
        <v>47446</v>
      </c>
    </row>
    <row r="1426" spans="54:54">
      <c r="BB1426" s="197">
        <v>47447</v>
      </c>
    </row>
    <row r="1427" spans="54:54">
      <c r="BB1427" s="197">
        <v>47448</v>
      </c>
    </row>
    <row r="1428" spans="54:54">
      <c r="BB1428" s="197">
        <v>47449</v>
      </c>
    </row>
    <row r="1429" spans="54:54">
      <c r="BB1429" s="197">
        <v>47450</v>
      </c>
    </row>
    <row r="1430" spans="54:54">
      <c r="BB1430" s="197">
        <v>47451</v>
      </c>
    </row>
    <row r="1431" spans="54:54">
      <c r="BB1431" s="197">
        <v>47452</v>
      </c>
    </row>
    <row r="1432" spans="54:54">
      <c r="BB1432" s="197">
        <v>47453</v>
      </c>
    </row>
    <row r="1433" spans="54:54">
      <c r="BB1433" s="197">
        <v>47454</v>
      </c>
    </row>
    <row r="1434" spans="54:54">
      <c r="BB1434" s="197">
        <v>47455</v>
      </c>
    </row>
    <row r="1435" spans="54:54">
      <c r="BB1435" s="197">
        <v>47456</v>
      </c>
    </row>
    <row r="1436" spans="54:54">
      <c r="BB1436" s="197">
        <v>47457</v>
      </c>
    </row>
    <row r="1437" spans="54:54">
      <c r="BB1437" s="197">
        <v>47458</v>
      </c>
    </row>
    <row r="1438" spans="54:54">
      <c r="BB1438" s="197">
        <v>47459</v>
      </c>
    </row>
    <row r="1439" spans="54:54">
      <c r="BB1439" s="197">
        <v>47460</v>
      </c>
    </row>
    <row r="1440" spans="54:54">
      <c r="BB1440" s="197">
        <v>47461</v>
      </c>
    </row>
    <row r="1441" spans="54:54">
      <c r="BB1441" s="197">
        <v>47462</v>
      </c>
    </row>
    <row r="1442" spans="54:54">
      <c r="BB1442" s="197">
        <v>47463</v>
      </c>
    </row>
    <row r="1443" spans="54:54">
      <c r="BB1443" s="197">
        <v>47464</v>
      </c>
    </row>
    <row r="1444" spans="54:54">
      <c r="BB1444" s="197">
        <v>47465</v>
      </c>
    </row>
    <row r="1445" spans="54:54">
      <c r="BB1445" s="197">
        <v>47466</v>
      </c>
    </row>
    <row r="1446" spans="54:54">
      <c r="BB1446" s="197">
        <v>47467</v>
      </c>
    </row>
    <row r="1447" spans="54:54">
      <c r="BB1447" s="197">
        <v>47468</v>
      </c>
    </row>
    <row r="1448" spans="54:54">
      <c r="BB1448" s="197">
        <v>47469</v>
      </c>
    </row>
    <row r="1449" spans="54:54">
      <c r="BB1449" s="197">
        <v>47470</v>
      </c>
    </row>
    <row r="1450" spans="54:54">
      <c r="BB1450" s="197">
        <v>47471</v>
      </c>
    </row>
    <row r="1451" spans="54:54">
      <c r="BB1451" s="197">
        <v>47472</v>
      </c>
    </row>
    <row r="1452" spans="54:54">
      <c r="BB1452" s="197">
        <v>47473</v>
      </c>
    </row>
    <row r="1453" spans="54:54">
      <c r="BB1453" s="197">
        <v>47474</v>
      </c>
    </row>
    <row r="1454" spans="54:54">
      <c r="BB1454" s="197">
        <v>47475</v>
      </c>
    </row>
    <row r="1455" spans="54:54">
      <c r="BB1455" s="197">
        <v>47476</v>
      </c>
    </row>
    <row r="1456" spans="54:54">
      <c r="BB1456" s="197">
        <v>47477</v>
      </c>
    </row>
    <row r="1457" spans="54:54">
      <c r="BB1457" s="197">
        <v>47478</v>
      </c>
    </row>
    <row r="1458" spans="54:54">
      <c r="BB1458" s="197">
        <v>47479</v>
      </c>
    </row>
    <row r="1459" spans="54:54">
      <c r="BB1459" s="197">
        <v>47480</v>
      </c>
    </row>
    <row r="1460" spans="54:54">
      <c r="BB1460" s="197">
        <v>47481</v>
      </c>
    </row>
    <row r="1461" spans="54:54">
      <c r="BB1461" s="197">
        <v>47482</v>
      </c>
    </row>
    <row r="1462" spans="54:54">
      <c r="BB1462" s="197">
        <v>47483</v>
      </c>
    </row>
    <row r="1463" spans="54:54">
      <c r="BB1463" s="197">
        <v>47484</v>
      </c>
    </row>
    <row r="1464" spans="54:54">
      <c r="BB1464" s="197">
        <v>47485</v>
      </c>
    </row>
    <row r="1465" spans="54:54">
      <c r="BB1465" s="197">
        <v>47486</v>
      </c>
    </row>
    <row r="1466" spans="54:54">
      <c r="BB1466" s="197">
        <v>47487</v>
      </c>
    </row>
    <row r="1467" spans="54:54">
      <c r="BB1467" s="197">
        <v>47488</v>
      </c>
    </row>
    <row r="1468" spans="54:54">
      <c r="BB1468" s="197">
        <v>47489</v>
      </c>
    </row>
    <row r="1469" spans="54:54">
      <c r="BB1469" s="197">
        <v>47490</v>
      </c>
    </row>
    <row r="1470" spans="54:54">
      <c r="BB1470" s="197">
        <v>47491</v>
      </c>
    </row>
    <row r="1471" spans="54:54">
      <c r="BB1471" s="197">
        <v>47492</v>
      </c>
    </row>
    <row r="1472" spans="54:54">
      <c r="BB1472" s="197">
        <v>47493</v>
      </c>
    </row>
    <row r="1473" spans="54:54">
      <c r="BB1473" s="197">
        <v>47494</v>
      </c>
    </row>
    <row r="1474" spans="54:54">
      <c r="BB1474" s="197">
        <v>47495</v>
      </c>
    </row>
    <row r="1475" spans="54:54">
      <c r="BB1475" s="197">
        <v>47496</v>
      </c>
    </row>
    <row r="1476" spans="54:54">
      <c r="BB1476" s="197">
        <v>47497</v>
      </c>
    </row>
    <row r="1477" spans="54:54">
      <c r="BB1477" s="197">
        <v>47498</v>
      </c>
    </row>
    <row r="1478" spans="54:54">
      <c r="BB1478" s="197">
        <v>47499</v>
      </c>
    </row>
    <row r="1479" spans="54:54">
      <c r="BB1479" s="197">
        <v>47500</v>
      </c>
    </row>
    <row r="1480" spans="54:54">
      <c r="BB1480" s="197">
        <v>47501</v>
      </c>
    </row>
    <row r="1481" spans="54:54">
      <c r="BB1481" s="197">
        <v>47502</v>
      </c>
    </row>
    <row r="1482" spans="54:54">
      <c r="BB1482" s="197">
        <v>47503</v>
      </c>
    </row>
    <row r="1483" spans="54:54">
      <c r="BB1483" s="197">
        <v>47504</v>
      </c>
    </row>
    <row r="1484" spans="54:54">
      <c r="BB1484" s="197">
        <v>47505</v>
      </c>
    </row>
    <row r="1485" spans="54:54">
      <c r="BB1485" s="197">
        <v>47506</v>
      </c>
    </row>
    <row r="1486" spans="54:54">
      <c r="BB1486" s="197">
        <v>47507</v>
      </c>
    </row>
    <row r="1487" spans="54:54">
      <c r="BB1487" s="197">
        <v>47508</v>
      </c>
    </row>
    <row r="1488" spans="54:54">
      <c r="BB1488" s="197">
        <v>47509</v>
      </c>
    </row>
    <row r="1489" spans="54:54">
      <c r="BB1489" s="197">
        <v>47510</v>
      </c>
    </row>
    <row r="1490" spans="54:54">
      <c r="BB1490" s="197">
        <v>47511</v>
      </c>
    </row>
    <row r="1491" spans="54:54">
      <c r="BB1491" s="197">
        <v>47512</v>
      </c>
    </row>
    <row r="1492" spans="54:54">
      <c r="BB1492" s="197">
        <v>47513</v>
      </c>
    </row>
    <row r="1493" spans="54:54">
      <c r="BB1493" s="197">
        <v>47514</v>
      </c>
    </row>
    <row r="1494" spans="54:54">
      <c r="BB1494" s="197">
        <v>47515</v>
      </c>
    </row>
    <row r="1495" spans="54:54">
      <c r="BB1495" s="197">
        <v>47516</v>
      </c>
    </row>
    <row r="1496" spans="54:54">
      <c r="BB1496" s="197">
        <v>47517</v>
      </c>
    </row>
    <row r="1497" spans="54:54">
      <c r="BB1497" s="197">
        <v>47518</v>
      </c>
    </row>
    <row r="1498" spans="54:54">
      <c r="BB1498" s="197">
        <v>47519</v>
      </c>
    </row>
    <row r="1499" spans="54:54">
      <c r="BB1499" s="197">
        <v>47520</v>
      </c>
    </row>
    <row r="1500" spans="54:54">
      <c r="BB1500" s="197">
        <v>47521</v>
      </c>
    </row>
    <row r="1501" spans="54:54">
      <c r="BB1501" s="197">
        <v>47522</v>
      </c>
    </row>
    <row r="1502" spans="54:54">
      <c r="BB1502" s="197">
        <v>47523</v>
      </c>
    </row>
    <row r="1503" spans="54:54">
      <c r="BB1503" s="197">
        <v>47524</v>
      </c>
    </row>
    <row r="1504" spans="54:54">
      <c r="BB1504" s="197">
        <v>47525</v>
      </c>
    </row>
    <row r="1505" spans="54:54">
      <c r="BB1505" s="197">
        <v>47526</v>
      </c>
    </row>
    <row r="1506" spans="54:54">
      <c r="BB1506" s="197">
        <v>47527</v>
      </c>
    </row>
    <row r="1507" spans="54:54">
      <c r="BB1507" s="197">
        <v>47528</v>
      </c>
    </row>
    <row r="1508" spans="54:54">
      <c r="BB1508" s="197">
        <v>47529</v>
      </c>
    </row>
    <row r="1509" spans="54:54">
      <c r="BB1509" s="197">
        <v>47530</v>
      </c>
    </row>
    <row r="1510" spans="54:54">
      <c r="BB1510" s="197">
        <v>47531</v>
      </c>
    </row>
    <row r="1511" spans="54:54">
      <c r="BB1511" s="197">
        <v>47532</v>
      </c>
    </row>
    <row r="1512" spans="54:54">
      <c r="BB1512" s="197">
        <v>47533</v>
      </c>
    </row>
    <row r="1513" spans="54:54">
      <c r="BB1513" s="197">
        <v>47534</v>
      </c>
    </row>
    <row r="1514" spans="54:54">
      <c r="BB1514" s="197">
        <v>47535</v>
      </c>
    </row>
    <row r="1515" spans="54:54">
      <c r="BB1515" s="197">
        <v>47536</v>
      </c>
    </row>
    <row r="1516" spans="54:54">
      <c r="BB1516" s="197">
        <v>47537</v>
      </c>
    </row>
    <row r="1517" spans="54:54">
      <c r="BB1517" s="197">
        <v>47538</v>
      </c>
    </row>
    <row r="1518" spans="54:54">
      <c r="BB1518" s="197">
        <v>47539</v>
      </c>
    </row>
    <row r="1519" spans="54:54">
      <c r="BB1519" s="197">
        <v>47540</v>
      </c>
    </row>
    <row r="1520" spans="54:54">
      <c r="BB1520" s="197">
        <v>47541</v>
      </c>
    </row>
    <row r="1521" spans="54:54">
      <c r="BB1521" s="197">
        <v>47542</v>
      </c>
    </row>
    <row r="1522" spans="54:54">
      <c r="BB1522" s="197">
        <v>47543</v>
      </c>
    </row>
    <row r="1523" spans="54:54">
      <c r="BB1523" s="197">
        <v>47544</v>
      </c>
    </row>
    <row r="1524" spans="54:54">
      <c r="BB1524" s="197">
        <v>47545</v>
      </c>
    </row>
    <row r="1525" spans="54:54">
      <c r="BB1525" s="197">
        <v>47546</v>
      </c>
    </row>
    <row r="1526" spans="54:54">
      <c r="BB1526" s="197">
        <v>47547</v>
      </c>
    </row>
    <row r="1527" spans="54:54">
      <c r="BB1527" s="197">
        <v>47548</v>
      </c>
    </row>
    <row r="1528" spans="54:54">
      <c r="BB1528" s="197">
        <v>47549</v>
      </c>
    </row>
    <row r="1529" spans="54:54">
      <c r="BB1529" s="197">
        <v>47550</v>
      </c>
    </row>
    <row r="1530" spans="54:54">
      <c r="BB1530" s="197">
        <v>47551</v>
      </c>
    </row>
    <row r="1531" spans="54:54">
      <c r="BB1531" s="197">
        <v>47552</v>
      </c>
    </row>
    <row r="1532" spans="54:54">
      <c r="BB1532" s="197">
        <v>47553</v>
      </c>
    </row>
    <row r="1533" spans="54:54">
      <c r="BB1533" s="197">
        <v>47554</v>
      </c>
    </row>
    <row r="1534" spans="54:54">
      <c r="BB1534" s="197">
        <v>47555</v>
      </c>
    </row>
    <row r="1535" spans="54:54">
      <c r="BB1535" s="197">
        <v>47556</v>
      </c>
    </row>
    <row r="1536" spans="54:54">
      <c r="BB1536" s="197">
        <v>47557</v>
      </c>
    </row>
    <row r="1537" spans="54:54">
      <c r="BB1537" s="197">
        <v>47558</v>
      </c>
    </row>
    <row r="1538" spans="54:54">
      <c r="BB1538" s="197">
        <v>47559</v>
      </c>
    </row>
    <row r="1539" spans="54:54">
      <c r="BB1539" s="197">
        <v>47560</v>
      </c>
    </row>
    <row r="1540" spans="54:54">
      <c r="BB1540" s="197">
        <v>47561</v>
      </c>
    </row>
    <row r="1541" spans="54:54">
      <c r="BB1541" s="197">
        <v>47562</v>
      </c>
    </row>
    <row r="1542" spans="54:54">
      <c r="BB1542" s="197">
        <v>47563</v>
      </c>
    </row>
    <row r="1543" spans="54:54">
      <c r="BB1543" s="197">
        <v>47564</v>
      </c>
    </row>
    <row r="1544" spans="54:54">
      <c r="BB1544" s="197">
        <v>47565</v>
      </c>
    </row>
    <row r="1545" spans="54:54">
      <c r="BB1545" s="197">
        <v>47566</v>
      </c>
    </row>
    <row r="1546" spans="54:54">
      <c r="BB1546" s="197">
        <v>47567</v>
      </c>
    </row>
    <row r="1547" spans="54:54">
      <c r="BB1547" s="197">
        <v>47568</v>
      </c>
    </row>
    <row r="1548" spans="54:54">
      <c r="BB1548" s="197">
        <v>47569</v>
      </c>
    </row>
    <row r="1549" spans="54:54">
      <c r="BB1549" s="197">
        <v>47570</v>
      </c>
    </row>
    <row r="1550" spans="54:54">
      <c r="BB1550" s="197">
        <v>47571</v>
      </c>
    </row>
    <row r="1551" spans="54:54">
      <c r="BB1551" s="197">
        <v>47572</v>
      </c>
    </row>
    <row r="1552" spans="54:54">
      <c r="BB1552" s="197">
        <v>47573</v>
      </c>
    </row>
    <row r="1553" spans="54:54">
      <c r="BB1553" s="197">
        <v>47574</v>
      </c>
    </row>
    <row r="1554" spans="54:54">
      <c r="BB1554" s="197">
        <v>47575</v>
      </c>
    </row>
    <row r="1555" spans="54:54">
      <c r="BB1555" s="197">
        <v>47576</v>
      </c>
    </row>
    <row r="1556" spans="54:54">
      <c r="BB1556" s="197">
        <v>47577</v>
      </c>
    </row>
    <row r="1557" spans="54:54">
      <c r="BB1557" s="197">
        <v>47578</v>
      </c>
    </row>
    <row r="1558" spans="54:54">
      <c r="BB1558" s="197">
        <v>47579</v>
      </c>
    </row>
    <row r="1559" spans="54:54">
      <c r="BB1559" s="197">
        <v>47580</v>
      </c>
    </row>
    <row r="1560" spans="54:54">
      <c r="BB1560" s="197">
        <v>47581</v>
      </c>
    </row>
    <row r="1561" spans="54:54">
      <c r="BB1561" s="197">
        <v>47582</v>
      </c>
    </row>
    <row r="1562" spans="54:54">
      <c r="BB1562" s="197">
        <v>47583</v>
      </c>
    </row>
    <row r="1563" spans="54:54">
      <c r="BB1563" s="197">
        <v>47584</v>
      </c>
    </row>
    <row r="1564" spans="54:54">
      <c r="BB1564" s="197">
        <v>47585</v>
      </c>
    </row>
    <row r="1565" spans="54:54">
      <c r="BB1565" s="197">
        <v>47586</v>
      </c>
    </row>
    <row r="1566" spans="54:54">
      <c r="BB1566" s="197">
        <v>47587</v>
      </c>
    </row>
    <row r="1567" spans="54:54">
      <c r="BB1567" s="197">
        <v>47588</v>
      </c>
    </row>
    <row r="1568" spans="54:54">
      <c r="BB1568" s="197">
        <v>47589</v>
      </c>
    </row>
    <row r="1569" spans="54:54">
      <c r="BB1569" s="197">
        <v>47590</v>
      </c>
    </row>
    <row r="1570" spans="54:54">
      <c r="BB1570" s="197">
        <v>47591</v>
      </c>
    </row>
    <row r="1571" spans="54:54">
      <c r="BB1571" s="197">
        <v>47592</v>
      </c>
    </row>
    <row r="1572" spans="54:54">
      <c r="BB1572" s="197">
        <v>47593</v>
      </c>
    </row>
    <row r="1573" spans="54:54">
      <c r="BB1573" s="197">
        <v>47594</v>
      </c>
    </row>
    <row r="1574" spans="54:54">
      <c r="BB1574" s="197">
        <v>47595</v>
      </c>
    </row>
    <row r="1575" spans="54:54">
      <c r="BB1575" s="197">
        <v>47596</v>
      </c>
    </row>
    <row r="1576" spans="54:54">
      <c r="BB1576" s="197">
        <v>47597</v>
      </c>
    </row>
    <row r="1577" spans="54:54">
      <c r="BB1577" s="197">
        <v>47598</v>
      </c>
    </row>
    <row r="1578" spans="54:54">
      <c r="BB1578" s="197">
        <v>47599</v>
      </c>
    </row>
    <row r="1579" spans="54:54">
      <c r="BB1579" s="197">
        <v>47600</v>
      </c>
    </row>
    <row r="1580" spans="54:54">
      <c r="BB1580" s="197">
        <v>47601</v>
      </c>
    </row>
    <row r="1581" spans="54:54">
      <c r="BB1581" s="197">
        <v>47602</v>
      </c>
    </row>
    <row r="1582" spans="54:54">
      <c r="BB1582" s="197">
        <v>47603</v>
      </c>
    </row>
    <row r="1583" spans="54:54">
      <c r="BB1583" s="197">
        <v>47604</v>
      </c>
    </row>
    <row r="1584" spans="54:54">
      <c r="BB1584" s="197">
        <v>47605</v>
      </c>
    </row>
    <row r="1585" spans="54:54">
      <c r="BB1585" s="197">
        <v>47606</v>
      </c>
    </row>
    <row r="1586" spans="54:54">
      <c r="BB1586" s="197">
        <v>47607</v>
      </c>
    </row>
    <row r="1587" spans="54:54">
      <c r="BB1587" s="197">
        <v>47608</v>
      </c>
    </row>
    <row r="1588" spans="54:54">
      <c r="BB1588" s="197">
        <v>47609</v>
      </c>
    </row>
    <row r="1589" spans="54:54">
      <c r="BB1589" s="197">
        <v>47610</v>
      </c>
    </row>
    <row r="1590" spans="54:54">
      <c r="BB1590" s="197">
        <v>47611</v>
      </c>
    </row>
    <row r="1591" spans="54:54">
      <c r="BB1591" s="197">
        <v>47612</v>
      </c>
    </row>
    <row r="1592" spans="54:54">
      <c r="BB1592" s="197">
        <v>47613</v>
      </c>
    </row>
    <row r="1593" spans="54:54">
      <c r="BB1593" s="197">
        <v>47614</v>
      </c>
    </row>
    <row r="1594" spans="54:54">
      <c r="BB1594" s="197">
        <v>47615</v>
      </c>
    </row>
    <row r="1595" spans="54:54">
      <c r="BB1595" s="197">
        <v>47616</v>
      </c>
    </row>
    <row r="1596" spans="54:54">
      <c r="BB1596" s="197">
        <v>47617</v>
      </c>
    </row>
    <row r="1597" spans="54:54">
      <c r="BB1597" s="197">
        <v>47618</v>
      </c>
    </row>
    <row r="1598" spans="54:54">
      <c r="BB1598" s="197">
        <v>47619</v>
      </c>
    </row>
    <row r="1599" spans="54:54">
      <c r="BB1599" s="197">
        <v>47620</v>
      </c>
    </row>
    <row r="1600" spans="54:54">
      <c r="BB1600" s="197">
        <v>47621</v>
      </c>
    </row>
    <row r="1601" spans="54:54">
      <c r="BB1601" s="197">
        <v>47622</v>
      </c>
    </row>
    <row r="1602" spans="54:54">
      <c r="BB1602" s="197">
        <v>47623</v>
      </c>
    </row>
    <row r="1603" spans="54:54">
      <c r="BB1603" s="197">
        <v>47624</v>
      </c>
    </row>
    <row r="1604" spans="54:54">
      <c r="BB1604" s="197">
        <v>47625</v>
      </c>
    </row>
    <row r="1605" spans="54:54">
      <c r="BB1605" s="197">
        <v>47626</v>
      </c>
    </row>
    <row r="1606" spans="54:54">
      <c r="BB1606" s="197">
        <v>47627</v>
      </c>
    </row>
    <row r="1607" spans="54:54">
      <c r="BB1607" s="197">
        <v>47628</v>
      </c>
    </row>
    <row r="1608" spans="54:54">
      <c r="BB1608" s="197">
        <v>47629</v>
      </c>
    </row>
    <row r="1609" spans="54:54">
      <c r="BB1609" s="197">
        <v>47630</v>
      </c>
    </row>
    <row r="1610" spans="54:54">
      <c r="BB1610" s="197">
        <v>47631</v>
      </c>
    </row>
    <row r="1611" spans="54:54">
      <c r="BB1611" s="197">
        <v>47632</v>
      </c>
    </row>
    <row r="1612" spans="54:54">
      <c r="BB1612" s="197">
        <v>47633</v>
      </c>
    </row>
    <row r="1613" spans="54:54">
      <c r="BB1613" s="197">
        <v>47634</v>
      </c>
    </row>
    <row r="1614" spans="54:54">
      <c r="BB1614" s="197">
        <v>47635</v>
      </c>
    </row>
    <row r="1615" spans="54:54">
      <c r="BB1615" s="197">
        <v>47636</v>
      </c>
    </row>
    <row r="1616" spans="54:54">
      <c r="BB1616" s="197">
        <v>47637</v>
      </c>
    </row>
    <row r="1617" spans="54:54">
      <c r="BB1617" s="197">
        <v>47638</v>
      </c>
    </row>
    <row r="1618" spans="54:54">
      <c r="BB1618" s="197">
        <v>47639</v>
      </c>
    </row>
    <row r="1619" spans="54:54">
      <c r="BB1619" s="197">
        <v>47640</v>
      </c>
    </row>
    <row r="1620" spans="54:54">
      <c r="BB1620" s="197">
        <v>47641</v>
      </c>
    </row>
    <row r="1621" spans="54:54">
      <c r="BB1621" s="197">
        <v>47642</v>
      </c>
    </row>
    <row r="1622" spans="54:54">
      <c r="BB1622" s="197">
        <v>47643</v>
      </c>
    </row>
    <row r="1623" spans="54:54">
      <c r="BB1623" s="197">
        <v>47644</v>
      </c>
    </row>
    <row r="1624" spans="54:54">
      <c r="BB1624" s="197">
        <v>47645</v>
      </c>
    </row>
    <row r="1625" spans="54:54">
      <c r="BB1625" s="197">
        <v>47646</v>
      </c>
    </row>
    <row r="1626" spans="54:54">
      <c r="BB1626" s="197">
        <v>47647</v>
      </c>
    </row>
    <row r="1627" spans="54:54">
      <c r="BB1627" s="197">
        <v>47648</v>
      </c>
    </row>
    <row r="1628" spans="54:54">
      <c r="BB1628" s="197">
        <v>47649</v>
      </c>
    </row>
    <row r="1629" spans="54:54">
      <c r="BB1629" s="197">
        <v>47650</v>
      </c>
    </row>
    <row r="1630" spans="54:54">
      <c r="BB1630" s="197">
        <v>47651</v>
      </c>
    </row>
    <row r="1631" spans="54:54">
      <c r="BB1631" s="197">
        <v>47652</v>
      </c>
    </row>
    <row r="1632" spans="54:54">
      <c r="BB1632" s="197">
        <v>47653</v>
      </c>
    </row>
    <row r="1633" spans="54:54">
      <c r="BB1633" s="197">
        <v>47654</v>
      </c>
    </row>
    <row r="1634" spans="54:54">
      <c r="BB1634" s="197">
        <v>47655</v>
      </c>
    </row>
    <row r="1635" spans="54:54">
      <c r="BB1635" s="197">
        <v>47656</v>
      </c>
    </row>
    <row r="1636" spans="54:54">
      <c r="BB1636" s="197">
        <v>47657</v>
      </c>
    </row>
    <row r="1637" spans="54:54">
      <c r="BB1637" s="197">
        <v>47658</v>
      </c>
    </row>
    <row r="1638" spans="54:54">
      <c r="BB1638" s="197">
        <v>47659</v>
      </c>
    </row>
    <row r="1639" spans="54:54">
      <c r="BB1639" s="197">
        <v>47660</v>
      </c>
    </row>
    <row r="1640" spans="54:54">
      <c r="BB1640" s="197">
        <v>47661</v>
      </c>
    </row>
    <row r="1641" spans="54:54">
      <c r="BB1641" s="197">
        <v>47662</v>
      </c>
    </row>
    <row r="1642" spans="54:54">
      <c r="BB1642" s="197">
        <v>47663</v>
      </c>
    </row>
    <row r="1643" spans="54:54">
      <c r="BB1643" s="197">
        <v>47664</v>
      </c>
    </row>
    <row r="1644" spans="54:54">
      <c r="BB1644" s="197">
        <v>47665</v>
      </c>
    </row>
    <row r="1645" spans="54:54">
      <c r="BB1645" s="197">
        <v>47666</v>
      </c>
    </row>
    <row r="1646" spans="54:54">
      <c r="BB1646" s="197">
        <v>47667</v>
      </c>
    </row>
    <row r="1647" spans="54:54">
      <c r="BB1647" s="197">
        <v>47668</v>
      </c>
    </row>
    <row r="1648" spans="54:54">
      <c r="BB1648" s="197">
        <v>47669</v>
      </c>
    </row>
    <row r="1649" spans="54:54">
      <c r="BB1649" s="197">
        <v>47670</v>
      </c>
    </row>
    <row r="1650" spans="54:54">
      <c r="BB1650" s="197">
        <v>47671</v>
      </c>
    </row>
    <row r="1651" spans="54:54">
      <c r="BB1651" s="197">
        <v>47672</v>
      </c>
    </row>
    <row r="1652" spans="54:54">
      <c r="BB1652" s="197">
        <v>47673</v>
      </c>
    </row>
    <row r="1653" spans="54:54">
      <c r="BB1653" s="197">
        <v>47674</v>
      </c>
    </row>
    <row r="1654" spans="54:54">
      <c r="BB1654" s="197">
        <v>47675</v>
      </c>
    </row>
    <row r="1655" spans="54:54">
      <c r="BB1655" s="197">
        <v>47676</v>
      </c>
    </row>
    <row r="1656" spans="54:54">
      <c r="BB1656" s="197">
        <v>47677</v>
      </c>
    </row>
    <row r="1657" spans="54:54">
      <c r="BB1657" s="197">
        <v>47678</v>
      </c>
    </row>
    <row r="1658" spans="54:54">
      <c r="BB1658" s="197">
        <v>47679</v>
      </c>
    </row>
    <row r="1659" spans="54:54">
      <c r="BB1659" s="197">
        <v>47680</v>
      </c>
    </row>
    <row r="1660" spans="54:54">
      <c r="BB1660" s="197">
        <v>47681</v>
      </c>
    </row>
    <row r="1661" spans="54:54">
      <c r="BB1661" s="197">
        <v>47682</v>
      </c>
    </row>
    <row r="1662" spans="54:54">
      <c r="BB1662" s="197">
        <v>47683</v>
      </c>
    </row>
    <row r="1663" spans="54:54">
      <c r="BB1663" s="197">
        <v>47684</v>
      </c>
    </row>
    <row r="1664" spans="54:54">
      <c r="BB1664" s="197">
        <v>47685</v>
      </c>
    </row>
    <row r="1665" spans="54:54">
      <c r="BB1665" s="197">
        <v>47686</v>
      </c>
    </row>
    <row r="1666" spans="54:54">
      <c r="BB1666" s="197">
        <v>47687</v>
      </c>
    </row>
    <row r="1667" spans="54:54">
      <c r="BB1667" s="197">
        <v>47688</v>
      </c>
    </row>
    <row r="1668" spans="54:54">
      <c r="BB1668" s="197">
        <v>47689</v>
      </c>
    </row>
    <row r="1669" spans="54:54">
      <c r="BB1669" s="197">
        <v>47690</v>
      </c>
    </row>
    <row r="1670" spans="54:54">
      <c r="BB1670" s="197">
        <v>47691</v>
      </c>
    </row>
    <row r="1671" spans="54:54">
      <c r="BB1671" s="197">
        <v>47692</v>
      </c>
    </row>
    <row r="1672" spans="54:54">
      <c r="BB1672" s="197">
        <v>47693</v>
      </c>
    </row>
    <row r="1673" spans="54:54">
      <c r="BB1673" s="197">
        <v>47694</v>
      </c>
    </row>
    <row r="1674" spans="54:54">
      <c r="BB1674" s="197">
        <v>47695</v>
      </c>
    </row>
    <row r="1675" spans="54:54">
      <c r="BB1675" s="197">
        <v>47696</v>
      </c>
    </row>
    <row r="1676" spans="54:54">
      <c r="BB1676" s="197">
        <v>47697</v>
      </c>
    </row>
    <row r="1677" spans="54:54">
      <c r="BB1677" s="197">
        <v>47698</v>
      </c>
    </row>
    <row r="1678" spans="54:54">
      <c r="BB1678" s="197">
        <v>47699</v>
      </c>
    </row>
    <row r="1679" spans="54:54">
      <c r="BB1679" s="197">
        <v>47700</v>
      </c>
    </row>
    <row r="1680" spans="54:54">
      <c r="BB1680" s="197">
        <v>47701</v>
      </c>
    </row>
    <row r="1681" spans="54:54">
      <c r="BB1681" s="197">
        <v>47702</v>
      </c>
    </row>
    <row r="1682" spans="54:54">
      <c r="BB1682" s="197">
        <v>47703</v>
      </c>
    </row>
    <row r="1683" spans="54:54">
      <c r="BB1683" s="197">
        <v>47704</v>
      </c>
    </row>
    <row r="1684" spans="54:54">
      <c r="BB1684" s="197">
        <v>47705</v>
      </c>
    </row>
    <row r="1685" spans="54:54">
      <c r="BB1685" s="197">
        <v>47706</v>
      </c>
    </row>
    <row r="1686" spans="54:54">
      <c r="BB1686" s="197">
        <v>47707</v>
      </c>
    </row>
    <row r="1687" spans="54:54">
      <c r="BB1687" s="197">
        <v>47708</v>
      </c>
    </row>
    <row r="1688" spans="54:54">
      <c r="BB1688" s="197">
        <v>47709</v>
      </c>
    </row>
    <row r="1689" spans="54:54">
      <c r="BB1689" s="197">
        <v>47710</v>
      </c>
    </row>
    <row r="1690" spans="54:54">
      <c r="BB1690" s="197">
        <v>47711</v>
      </c>
    </row>
    <row r="1691" spans="54:54">
      <c r="BB1691" s="197">
        <v>47712</v>
      </c>
    </row>
    <row r="1692" spans="54:54">
      <c r="BB1692" s="197">
        <v>47713</v>
      </c>
    </row>
    <row r="1693" spans="54:54">
      <c r="BB1693" s="197">
        <v>47714</v>
      </c>
    </row>
    <row r="1694" spans="54:54">
      <c r="BB1694" s="197">
        <v>47715</v>
      </c>
    </row>
    <row r="1695" spans="54:54">
      <c r="BB1695" s="197">
        <v>47716</v>
      </c>
    </row>
    <row r="1696" spans="54:54">
      <c r="BB1696" s="197">
        <v>47717</v>
      </c>
    </row>
    <row r="1697" spans="54:54">
      <c r="BB1697" s="197">
        <v>47718</v>
      </c>
    </row>
    <row r="1698" spans="54:54">
      <c r="BB1698" s="197">
        <v>47719</v>
      </c>
    </row>
    <row r="1699" spans="54:54">
      <c r="BB1699" s="197">
        <v>47720</v>
      </c>
    </row>
    <row r="1700" spans="54:54">
      <c r="BB1700" s="197">
        <v>47721</v>
      </c>
    </row>
    <row r="1701" spans="54:54">
      <c r="BB1701" s="197">
        <v>47722</v>
      </c>
    </row>
    <row r="1702" spans="54:54">
      <c r="BB1702" s="197">
        <v>47723</v>
      </c>
    </row>
    <row r="1703" spans="54:54">
      <c r="BB1703" s="197">
        <v>47724</v>
      </c>
    </row>
    <row r="1704" spans="54:54">
      <c r="BB1704" s="197">
        <v>47725</v>
      </c>
    </row>
    <row r="1705" spans="54:54">
      <c r="BB1705" s="197">
        <v>47726</v>
      </c>
    </row>
    <row r="1706" spans="54:54">
      <c r="BB1706" s="197">
        <v>47727</v>
      </c>
    </row>
    <row r="1707" spans="54:54">
      <c r="BB1707" s="197">
        <v>47728</v>
      </c>
    </row>
    <row r="1708" spans="54:54">
      <c r="BB1708" s="197">
        <v>47729</v>
      </c>
    </row>
    <row r="1709" spans="54:54">
      <c r="BB1709" s="197">
        <v>47730</v>
      </c>
    </row>
    <row r="1710" spans="54:54">
      <c r="BB1710" s="197">
        <v>47731</v>
      </c>
    </row>
    <row r="1711" spans="54:54">
      <c r="BB1711" s="197">
        <v>47732</v>
      </c>
    </row>
    <row r="1712" spans="54:54">
      <c r="BB1712" s="197">
        <v>47733</v>
      </c>
    </row>
    <row r="1713" spans="54:54">
      <c r="BB1713" s="197">
        <v>47734</v>
      </c>
    </row>
    <row r="1714" spans="54:54">
      <c r="BB1714" s="197">
        <v>47735</v>
      </c>
    </row>
    <row r="1715" spans="54:54">
      <c r="BB1715" s="197">
        <v>47736</v>
      </c>
    </row>
    <row r="1716" spans="54:54">
      <c r="BB1716" s="197">
        <v>47737</v>
      </c>
    </row>
    <row r="1717" spans="54:54">
      <c r="BB1717" s="197">
        <v>47738</v>
      </c>
    </row>
    <row r="1718" spans="54:54">
      <c r="BB1718" s="197">
        <v>47739</v>
      </c>
    </row>
    <row r="1719" spans="54:54">
      <c r="BB1719" s="197">
        <v>47740</v>
      </c>
    </row>
    <row r="1720" spans="54:54">
      <c r="BB1720" s="197">
        <v>47741</v>
      </c>
    </row>
    <row r="1721" spans="54:54">
      <c r="BB1721" s="197">
        <v>47742</v>
      </c>
    </row>
    <row r="1722" spans="54:54">
      <c r="BB1722" s="197">
        <v>47743</v>
      </c>
    </row>
    <row r="1723" spans="54:54">
      <c r="BB1723" s="197">
        <v>47744</v>
      </c>
    </row>
    <row r="1724" spans="54:54">
      <c r="BB1724" s="197">
        <v>47745</v>
      </c>
    </row>
    <row r="1725" spans="54:54">
      <c r="BB1725" s="197">
        <v>47746</v>
      </c>
    </row>
    <row r="1726" spans="54:54">
      <c r="BB1726" s="197">
        <v>47747</v>
      </c>
    </row>
    <row r="1727" spans="54:54">
      <c r="BB1727" s="197">
        <v>47748</v>
      </c>
    </row>
    <row r="1728" spans="54:54">
      <c r="BB1728" s="197">
        <v>47749</v>
      </c>
    </row>
    <row r="1729" spans="54:54">
      <c r="BB1729" s="197">
        <v>47750</v>
      </c>
    </row>
    <row r="1730" spans="54:54">
      <c r="BB1730" s="197">
        <v>47751</v>
      </c>
    </row>
    <row r="1731" spans="54:54">
      <c r="BB1731" s="197">
        <v>47752</v>
      </c>
    </row>
    <row r="1732" spans="54:54">
      <c r="BB1732" s="197">
        <v>47753</v>
      </c>
    </row>
    <row r="1733" spans="54:54">
      <c r="BB1733" s="197">
        <v>47754</v>
      </c>
    </row>
    <row r="1734" spans="54:54">
      <c r="BB1734" s="197">
        <v>47755</v>
      </c>
    </row>
    <row r="1735" spans="54:54">
      <c r="BB1735" s="197">
        <v>47756</v>
      </c>
    </row>
    <row r="1736" spans="54:54">
      <c r="BB1736" s="197">
        <v>47757</v>
      </c>
    </row>
    <row r="1737" spans="54:54">
      <c r="BB1737" s="197">
        <v>47758</v>
      </c>
    </row>
    <row r="1738" spans="54:54">
      <c r="BB1738" s="197">
        <v>47759</v>
      </c>
    </row>
    <row r="1739" spans="54:54">
      <c r="BB1739" s="197">
        <v>47760</v>
      </c>
    </row>
    <row r="1740" spans="54:54">
      <c r="BB1740" s="197">
        <v>47761</v>
      </c>
    </row>
    <row r="1741" spans="54:54">
      <c r="BB1741" s="197">
        <v>47762</v>
      </c>
    </row>
    <row r="1742" spans="54:54">
      <c r="BB1742" s="197">
        <v>47763</v>
      </c>
    </row>
    <row r="1743" spans="54:54">
      <c r="BB1743" s="197">
        <v>47764</v>
      </c>
    </row>
    <row r="1744" spans="54:54">
      <c r="BB1744" s="197">
        <v>47765</v>
      </c>
    </row>
    <row r="1745" spans="54:54">
      <c r="BB1745" s="197">
        <v>47766</v>
      </c>
    </row>
    <row r="1746" spans="54:54">
      <c r="BB1746" s="197">
        <v>47767</v>
      </c>
    </row>
    <row r="1747" spans="54:54">
      <c r="BB1747" s="197">
        <v>47768</v>
      </c>
    </row>
    <row r="1748" spans="54:54">
      <c r="BB1748" s="197">
        <v>47769</v>
      </c>
    </row>
    <row r="1749" spans="54:54">
      <c r="BB1749" s="197">
        <v>47770</v>
      </c>
    </row>
    <row r="1750" spans="54:54">
      <c r="BB1750" s="197">
        <v>47771</v>
      </c>
    </row>
    <row r="1751" spans="54:54">
      <c r="BB1751" s="197">
        <v>47772</v>
      </c>
    </row>
    <row r="1752" spans="54:54">
      <c r="BB1752" s="197">
        <v>47773</v>
      </c>
    </row>
    <row r="1753" spans="54:54">
      <c r="BB1753" s="197">
        <v>47774</v>
      </c>
    </row>
    <row r="1754" spans="54:54">
      <c r="BB1754" s="197">
        <v>47775</v>
      </c>
    </row>
    <row r="1755" spans="54:54">
      <c r="BB1755" s="197">
        <v>47776</v>
      </c>
    </row>
    <row r="1756" spans="54:54">
      <c r="BB1756" s="197">
        <v>47777</v>
      </c>
    </row>
    <row r="1757" spans="54:54">
      <c r="BB1757" s="197">
        <v>47778</v>
      </c>
    </row>
    <row r="1758" spans="54:54">
      <c r="BB1758" s="197">
        <v>47779</v>
      </c>
    </row>
    <row r="1759" spans="54:54">
      <c r="BB1759" s="197">
        <v>47780</v>
      </c>
    </row>
    <row r="1760" spans="54:54">
      <c r="BB1760" s="197">
        <v>47781</v>
      </c>
    </row>
    <row r="1761" spans="54:54">
      <c r="BB1761" s="197">
        <v>47782</v>
      </c>
    </row>
    <row r="1762" spans="54:54">
      <c r="BB1762" s="197">
        <v>47783</v>
      </c>
    </row>
    <row r="1763" spans="54:54">
      <c r="BB1763" s="197">
        <v>47784</v>
      </c>
    </row>
    <row r="1764" spans="54:54">
      <c r="BB1764" s="197">
        <v>47785</v>
      </c>
    </row>
    <row r="1765" spans="54:54">
      <c r="BB1765" s="197">
        <v>47786</v>
      </c>
    </row>
    <row r="1766" spans="54:54">
      <c r="BB1766" s="197">
        <v>47787</v>
      </c>
    </row>
    <row r="1767" spans="54:54">
      <c r="BB1767" s="197">
        <v>47788</v>
      </c>
    </row>
    <row r="1768" spans="54:54">
      <c r="BB1768" s="197">
        <v>47789</v>
      </c>
    </row>
    <row r="1769" spans="54:54">
      <c r="BB1769" s="197">
        <v>47790</v>
      </c>
    </row>
    <row r="1770" spans="54:54">
      <c r="BB1770" s="197">
        <v>47791</v>
      </c>
    </row>
    <row r="1771" spans="54:54">
      <c r="BB1771" s="197">
        <v>47792</v>
      </c>
    </row>
    <row r="1772" spans="54:54">
      <c r="BB1772" s="197">
        <v>47793</v>
      </c>
    </row>
    <row r="1773" spans="54:54">
      <c r="BB1773" s="197">
        <v>47794</v>
      </c>
    </row>
    <row r="1774" spans="54:54">
      <c r="BB1774" s="197">
        <v>47795</v>
      </c>
    </row>
    <row r="1775" spans="54:54">
      <c r="BB1775" s="197">
        <v>47796</v>
      </c>
    </row>
    <row r="1776" spans="54:54">
      <c r="BB1776" s="197">
        <v>47797</v>
      </c>
    </row>
    <row r="1777" spans="54:54">
      <c r="BB1777" s="197">
        <v>47798</v>
      </c>
    </row>
    <row r="1778" spans="54:54">
      <c r="BB1778" s="197">
        <v>47799</v>
      </c>
    </row>
    <row r="1779" spans="54:54">
      <c r="BB1779" s="197">
        <v>47800</v>
      </c>
    </row>
    <row r="1780" spans="54:54">
      <c r="BB1780" s="197">
        <v>47801</v>
      </c>
    </row>
    <row r="1781" spans="54:54">
      <c r="BB1781" s="197">
        <v>47802</v>
      </c>
    </row>
    <row r="1782" spans="54:54">
      <c r="BB1782" s="197">
        <v>47803</v>
      </c>
    </row>
    <row r="1783" spans="54:54">
      <c r="BB1783" s="197">
        <v>47804</v>
      </c>
    </row>
    <row r="1784" spans="54:54">
      <c r="BB1784" s="197">
        <v>47805</v>
      </c>
    </row>
    <row r="1785" spans="54:54">
      <c r="BB1785" s="197">
        <v>47806</v>
      </c>
    </row>
    <row r="1786" spans="54:54">
      <c r="BB1786" s="197">
        <v>47807</v>
      </c>
    </row>
    <row r="1787" spans="54:54">
      <c r="BB1787" s="197">
        <v>47808</v>
      </c>
    </row>
    <row r="1788" spans="54:54">
      <c r="BB1788" s="197">
        <v>47809</v>
      </c>
    </row>
    <row r="1789" spans="54:54">
      <c r="BB1789" s="197">
        <v>47810</v>
      </c>
    </row>
    <row r="1790" spans="54:54">
      <c r="BB1790" s="197">
        <v>47811</v>
      </c>
    </row>
    <row r="1791" spans="54:54">
      <c r="BB1791" s="197">
        <v>47812</v>
      </c>
    </row>
    <row r="1792" spans="54:54">
      <c r="BB1792" s="197">
        <v>47813</v>
      </c>
    </row>
    <row r="1793" spans="54:54">
      <c r="BB1793" s="197">
        <v>47814</v>
      </c>
    </row>
    <row r="1794" spans="54:54">
      <c r="BB1794" s="197">
        <v>47815</v>
      </c>
    </row>
    <row r="1795" spans="54:54">
      <c r="BB1795" s="197">
        <v>47816</v>
      </c>
    </row>
    <row r="1796" spans="54:54">
      <c r="BB1796" s="197">
        <v>47817</v>
      </c>
    </row>
    <row r="1797" spans="54:54">
      <c r="BB1797" s="197">
        <v>47818</v>
      </c>
    </row>
    <row r="1798" spans="54:54">
      <c r="BB1798" s="197">
        <v>47819</v>
      </c>
    </row>
    <row r="1799" spans="54:54">
      <c r="BB1799" s="197">
        <v>47820</v>
      </c>
    </row>
    <row r="1800" spans="54:54">
      <c r="BB1800" s="197">
        <v>47821</v>
      </c>
    </row>
    <row r="1801" spans="54:54">
      <c r="BB1801" s="197">
        <v>47822</v>
      </c>
    </row>
    <row r="1802" spans="54:54">
      <c r="BB1802" s="197">
        <v>47823</v>
      </c>
    </row>
    <row r="1803" spans="54:54">
      <c r="BB1803" s="197">
        <v>47824</v>
      </c>
    </row>
    <row r="1804" spans="54:54">
      <c r="BB1804" s="197">
        <v>47825</v>
      </c>
    </row>
    <row r="1805" spans="54:54">
      <c r="BB1805" s="197">
        <v>47826</v>
      </c>
    </row>
    <row r="1806" spans="54:54">
      <c r="BB1806" s="197">
        <v>47827</v>
      </c>
    </row>
    <row r="1807" spans="54:54">
      <c r="BB1807" s="197">
        <v>47828</v>
      </c>
    </row>
    <row r="1808" spans="54:54">
      <c r="BB1808" s="197">
        <v>47829</v>
      </c>
    </row>
    <row r="1809" spans="54:54">
      <c r="BB1809" s="197">
        <v>47830</v>
      </c>
    </row>
    <row r="1810" spans="54:54">
      <c r="BB1810" s="197">
        <v>47831</v>
      </c>
    </row>
    <row r="1811" spans="54:54">
      <c r="BB1811" s="197">
        <v>47832</v>
      </c>
    </row>
    <row r="1812" spans="54:54">
      <c r="BB1812" s="197">
        <v>47833</v>
      </c>
    </row>
    <row r="1813" spans="54:54">
      <c r="BB1813" s="197">
        <v>47834</v>
      </c>
    </row>
    <row r="1814" spans="54:54">
      <c r="BB1814" s="197">
        <v>47835</v>
      </c>
    </row>
    <row r="1815" spans="54:54">
      <c r="BB1815" s="197">
        <v>47836</v>
      </c>
    </row>
    <row r="1816" spans="54:54">
      <c r="BB1816" s="197">
        <v>47837</v>
      </c>
    </row>
    <row r="1817" spans="54:54">
      <c r="BB1817" s="197">
        <v>47838</v>
      </c>
    </row>
    <row r="1818" spans="54:54">
      <c r="BB1818" s="197">
        <v>47839</v>
      </c>
    </row>
    <row r="1819" spans="54:54">
      <c r="BB1819" s="197">
        <v>47840</v>
      </c>
    </row>
    <row r="1820" spans="54:54">
      <c r="BB1820" s="197">
        <v>47841</v>
      </c>
    </row>
    <row r="1821" spans="54:54">
      <c r="BB1821" s="197">
        <v>47842</v>
      </c>
    </row>
    <row r="1822" spans="54:54">
      <c r="BB1822" s="197">
        <v>47843</v>
      </c>
    </row>
    <row r="1823" spans="54:54">
      <c r="BB1823" s="197">
        <v>47844</v>
      </c>
    </row>
    <row r="1824" spans="54:54">
      <c r="BB1824" s="197">
        <v>47845</v>
      </c>
    </row>
    <row r="1825" spans="54:54">
      <c r="BB1825" s="197">
        <v>47846</v>
      </c>
    </row>
    <row r="1826" spans="54:54">
      <c r="BB1826" s="197">
        <v>47847</v>
      </c>
    </row>
    <row r="1827" spans="54:54">
      <c r="BB1827" s="197">
        <v>47848</v>
      </c>
    </row>
    <row r="1828" spans="54:54">
      <c r="BB1828" s="197">
        <v>47849</v>
      </c>
    </row>
    <row r="1829" spans="54:54">
      <c r="BB1829" s="197">
        <v>47850</v>
      </c>
    </row>
    <row r="1830" spans="54:54">
      <c r="BB1830" s="197">
        <v>47851</v>
      </c>
    </row>
    <row r="1831" spans="54:54">
      <c r="BB1831" s="197">
        <v>47852</v>
      </c>
    </row>
    <row r="1832" spans="54:54">
      <c r="BB1832" s="197">
        <v>47853</v>
      </c>
    </row>
    <row r="1833" spans="54:54">
      <c r="BB1833" s="197">
        <v>47854</v>
      </c>
    </row>
    <row r="1834" spans="54:54">
      <c r="BB1834" s="197">
        <v>47855</v>
      </c>
    </row>
    <row r="1835" spans="54:54">
      <c r="BB1835" s="197">
        <v>47856</v>
      </c>
    </row>
    <row r="1836" spans="54:54">
      <c r="BB1836" s="197">
        <v>47857</v>
      </c>
    </row>
    <row r="1837" spans="54:54">
      <c r="BB1837" s="197">
        <v>47858</v>
      </c>
    </row>
    <row r="1838" spans="54:54">
      <c r="BB1838" s="197">
        <v>47859</v>
      </c>
    </row>
    <row r="1839" spans="54:54">
      <c r="BB1839" s="197">
        <v>47860</v>
      </c>
    </row>
    <row r="1840" spans="54:54">
      <c r="BB1840" s="197">
        <v>47861</v>
      </c>
    </row>
    <row r="1841" spans="54:54">
      <c r="BB1841" s="197">
        <v>47862</v>
      </c>
    </row>
    <row r="1842" spans="54:54">
      <c r="BB1842" s="197">
        <v>47863</v>
      </c>
    </row>
    <row r="1843" spans="54:54">
      <c r="BB1843" s="197">
        <v>47864</v>
      </c>
    </row>
    <row r="1844" spans="54:54">
      <c r="BB1844" s="197">
        <v>47865</v>
      </c>
    </row>
    <row r="1845" spans="54:54">
      <c r="BB1845" s="197">
        <v>47866</v>
      </c>
    </row>
    <row r="1846" spans="54:54">
      <c r="BB1846" s="197">
        <v>47867</v>
      </c>
    </row>
    <row r="1847" spans="54:54">
      <c r="BB1847" s="197">
        <v>47868</v>
      </c>
    </row>
    <row r="1848" spans="54:54">
      <c r="BB1848" s="197">
        <v>47869</v>
      </c>
    </row>
    <row r="1849" spans="54:54">
      <c r="BB1849" s="197">
        <v>47870</v>
      </c>
    </row>
    <row r="1850" spans="54:54">
      <c r="BB1850" s="197">
        <v>47871</v>
      </c>
    </row>
    <row r="1851" spans="54:54">
      <c r="BB1851" s="197">
        <v>47872</v>
      </c>
    </row>
    <row r="1852" spans="54:54">
      <c r="BB1852" s="197">
        <v>47873</v>
      </c>
    </row>
    <row r="1853" spans="54:54">
      <c r="BB1853" s="197">
        <v>47874</v>
      </c>
    </row>
    <row r="1854" spans="54:54">
      <c r="BB1854" s="197">
        <v>47875</v>
      </c>
    </row>
    <row r="1855" spans="54:54">
      <c r="BB1855" s="197">
        <v>47876</v>
      </c>
    </row>
    <row r="1856" spans="54:54">
      <c r="BB1856" s="197">
        <v>47877</v>
      </c>
    </row>
    <row r="1857" spans="54:54">
      <c r="BB1857" s="197">
        <v>47878</v>
      </c>
    </row>
    <row r="1858" spans="54:54">
      <c r="BB1858" s="197">
        <v>47879</v>
      </c>
    </row>
    <row r="1859" spans="54:54">
      <c r="BB1859" s="197">
        <v>47880</v>
      </c>
    </row>
    <row r="1860" spans="54:54">
      <c r="BB1860" s="197">
        <v>47881</v>
      </c>
    </row>
    <row r="1861" spans="54:54">
      <c r="BB1861" s="197">
        <v>47882</v>
      </c>
    </row>
    <row r="1862" spans="54:54">
      <c r="BB1862" s="197">
        <v>47883</v>
      </c>
    </row>
    <row r="1863" spans="54:54">
      <c r="BB1863" s="197">
        <v>47884</v>
      </c>
    </row>
    <row r="1864" spans="54:54">
      <c r="BB1864" s="197">
        <v>47885</v>
      </c>
    </row>
    <row r="1865" spans="54:54">
      <c r="BB1865" s="197">
        <v>47886</v>
      </c>
    </row>
    <row r="1866" spans="54:54">
      <c r="BB1866" s="197">
        <v>47887</v>
      </c>
    </row>
    <row r="1867" spans="54:54">
      <c r="BB1867" s="197">
        <v>47888</v>
      </c>
    </row>
    <row r="1868" spans="54:54">
      <c r="BB1868" s="197">
        <v>47889</v>
      </c>
    </row>
    <row r="1869" spans="54:54">
      <c r="BB1869" s="197">
        <v>47890</v>
      </c>
    </row>
    <row r="1870" spans="54:54">
      <c r="BB1870" s="197">
        <v>47891</v>
      </c>
    </row>
    <row r="1871" spans="54:54">
      <c r="BB1871" s="197">
        <v>47892</v>
      </c>
    </row>
    <row r="1872" spans="54:54">
      <c r="BB1872" s="197">
        <v>47893</v>
      </c>
    </row>
    <row r="1873" spans="54:54">
      <c r="BB1873" s="197">
        <v>47894</v>
      </c>
    </row>
    <row r="1874" spans="54:54">
      <c r="BB1874" s="197">
        <v>47895</v>
      </c>
    </row>
    <row r="1875" spans="54:54">
      <c r="BB1875" s="197">
        <v>47896</v>
      </c>
    </row>
    <row r="1876" spans="54:54">
      <c r="BB1876" s="197">
        <v>47897</v>
      </c>
    </row>
    <row r="1877" spans="54:54">
      <c r="BB1877" s="197">
        <v>47898</v>
      </c>
    </row>
    <row r="1878" spans="54:54">
      <c r="BB1878" s="197">
        <v>47899</v>
      </c>
    </row>
    <row r="1879" spans="54:54">
      <c r="BB1879" s="197">
        <v>47900</v>
      </c>
    </row>
    <row r="1880" spans="54:54">
      <c r="BB1880" s="197">
        <v>47901</v>
      </c>
    </row>
    <row r="1881" spans="54:54">
      <c r="BB1881" s="197">
        <v>47902</v>
      </c>
    </row>
    <row r="1882" spans="54:54">
      <c r="BB1882" s="197">
        <v>47903</v>
      </c>
    </row>
    <row r="1883" spans="54:54">
      <c r="BB1883" s="197">
        <v>47904</v>
      </c>
    </row>
    <row r="1884" spans="54:54">
      <c r="BB1884" s="197">
        <v>47905</v>
      </c>
    </row>
    <row r="1885" spans="54:54">
      <c r="BB1885" s="197">
        <v>47906</v>
      </c>
    </row>
    <row r="1886" spans="54:54">
      <c r="BB1886" s="197">
        <v>47907</v>
      </c>
    </row>
    <row r="1887" spans="54:54">
      <c r="BB1887" s="197">
        <v>47908</v>
      </c>
    </row>
    <row r="1888" spans="54:54">
      <c r="BB1888" s="197">
        <v>47909</v>
      </c>
    </row>
    <row r="1889" spans="54:54">
      <c r="BB1889" s="197">
        <v>47910</v>
      </c>
    </row>
    <row r="1890" spans="54:54">
      <c r="BB1890" s="197">
        <v>47911</v>
      </c>
    </row>
    <row r="1891" spans="54:54">
      <c r="BB1891" s="197">
        <v>47912</v>
      </c>
    </row>
    <row r="1892" spans="54:54">
      <c r="BB1892" s="197">
        <v>47913</v>
      </c>
    </row>
    <row r="1893" spans="54:54">
      <c r="BB1893" s="197">
        <v>47914</v>
      </c>
    </row>
    <row r="1894" spans="54:54">
      <c r="BB1894" s="197">
        <v>47915</v>
      </c>
    </row>
    <row r="1895" spans="54:54">
      <c r="BB1895" s="197">
        <v>47916</v>
      </c>
    </row>
    <row r="1896" spans="54:54">
      <c r="BB1896" s="197">
        <v>47917</v>
      </c>
    </row>
    <row r="1897" spans="54:54">
      <c r="BB1897" s="197">
        <v>47918</v>
      </c>
    </row>
    <row r="1898" spans="54:54">
      <c r="BB1898" s="197">
        <v>47919</v>
      </c>
    </row>
    <row r="1899" spans="54:54">
      <c r="BB1899" s="197">
        <v>47920</v>
      </c>
    </row>
    <row r="1900" spans="54:54">
      <c r="BB1900" s="197">
        <v>47921</v>
      </c>
    </row>
    <row r="1901" spans="54:54">
      <c r="BB1901" s="197">
        <v>47922</v>
      </c>
    </row>
    <row r="1902" spans="54:54">
      <c r="BB1902" s="197">
        <v>47923</v>
      </c>
    </row>
    <row r="1903" spans="54:54">
      <c r="BB1903" s="197">
        <v>47924</v>
      </c>
    </row>
    <row r="1904" spans="54:54">
      <c r="BB1904" s="197">
        <v>47925</v>
      </c>
    </row>
    <row r="1905" spans="54:54">
      <c r="BB1905" s="197">
        <v>47926</v>
      </c>
    </row>
    <row r="1906" spans="54:54">
      <c r="BB1906" s="197">
        <v>47927</v>
      </c>
    </row>
    <row r="1907" spans="54:54">
      <c r="BB1907" s="197">
        <v>47928</v>
      </c>
    </row>
    <row r="1908" spans="54:54">
      <c r="BB1908" s="197">
        <v>47929</v>
      </c>
    </row>
    <row r="1909" spans="54:54">
      <c r="BB1909" s="197">
        <v>47930</v>
      </c>
    </row>
    <row r="1910" spans="54:54">
      <c r="BB1910" s="197">
        <v>47931</v>
      </c>
    </row>
    <row r="1911" spans="54:54">
      <c r="BB1911" s="197">
        <v>47932</v>
      </c>
    </row>
    <row r="1912" spans="54:54">
      <c r="BB1912" s="197">
        <v>47933</v>
      </c>
    </row>
    <row r="1913" spans="54:54">
      <c r="BB1913" s="197">
        <v>47934</v>
      </c>
    </row>
    <row r="1914" spans="54:54">
      <c r="BB1914" s="197">
        <v>47935</v>
      </c>
    </row>
    <row r="1915" spans="54:54">
      <c r="BB1915" s="197">
        <v>47936</v>
      </c>
    </row>
    <row r="1916" spans="54:54">
      <c r="BB1916" s="197">
        <v>47937</v>
      </c>
    </row>
    <row r="1917" spans="54:54">
      <c r="BB1917" s="197">
        <v>47938</v>
      </c>
    </row>
    <row r="1918" spans="54:54">
      <c r="BB1918" s="197">
        <v>47939</v>
      </c>
    </row>
    <row r="1919" spans="54:54">
      <c r="BB1919" s="197">
        <v>47940</v>
      </c>
    </row>
    <row r="1920" spans="54:54">
      <c r="BB1920" s="197">
        <v>47941</v>
      </c>
    </row>
    <row r="1921" spans="54:54">
      <c r="BB1921" s="197">
        <v>47942</v>
      </c>
    </row>
    <row r="1922" spans="54:54">
      <c r="BB1922" s="197">
        <v>47943</v>
      </c>
    </row>
    <row r="1923" spans="54:54">
      <c r="BB1923" s="197">
        <v>47944</v>
      </c>
    </row>
    <row r="1924" spans="54:54">
      <c r="BB1924" s="197">
        <v>47945</v>
      </c>
    </row>
    <row r="1925" spans="54:54">
      <c r="BB1925" s="197">
        <v>47946</v>
      </c>
    </row>
    <row r="1926" spans="54:54">
      <c r="BB1926" s="197">
        <v>47947</v>
      </c>
    </row>
    <row r="1927" spans="54:54">
      <c r="BB1927" s="197">
        <v>47948</v>
      </c>
    </row>
    <row r="1928" spans="54:54">
      <c r="BB1928" s="197">
        <v>47949</v>
      </c>
    </row>
    <row r="1929" spans="54:54">
      <c r="BB1929" s="197">
        <v>47950</v>
      </c>
    </row>
    <row r="1930" spans="54:54">
      <c r="BB1930" s="197">
        <v>47951</v>
      </c>
    </row>
    <row r="1931" spans="54:54">
      <c r="BB1931" s="197">
        <v>47952</v>
      </c>
    </row>
    <row r="1932" spans="54:54">
      <c r="BB1932" s="197">
        <v>47953</v>
      </c>
    </row>
    <row r="1933" spans="54:54">
      <c r="BB1933" s="197">
        <v>47954</v>
      </c>
    </row>
    <row r="1934" spans="54:54">
      <c r="BB1934" s="197">
        <v>47955</v>
      </c>
    </row>
    <row r="1935" spans="54:54">
      <c r="BB1935" s="197">
        <v>47956</v>
      </c>
    </row>
    <row r="1936" spans="54:54">
      <c r="BB1936" s="197">
        <v>47957</v>
      </c>
    </row>
    <row r="1937" spans="54:54">
      <c r="BB1937" s="197">
        <v>47958</v>
      </c>
    </row>
    <row r="1938" spans="54:54">
      <c r="BB1938" s="197">
        <v>47959</v>
      </c>
    </row>
    <row r="1939" spans="54:54">
      <c r="BB1939" s="197">
        <v>47960</v>
      </c>
    </row>
    <row r="1940" spans="54:54">
      <c r="BB1940" s="197">
        <v>47961</v>
      </c>
    </row>
    <row r="1941" spans="54:54">
      <c r="BB1941" s="197">
        <v>47962</v>
      </c>
    </row>
    <row r="1942" spans="54:54">
      <c r="BB1942" s="197">
        <v>47963</v>
      </c>
    </row>
    <row r="1943" spans="54:54">
      <c r="BB1943" s="197">
        <v>47964</v>
      </c>
    </row>
    <row r="1944" spans="54:54">
      <c r="BB1944" s="197">
        <v>47965</v>
      </c>
    </row>
    <row r="1945" spans="54:54">
      <c r="BB1945" s="197">
        <v>47966</v>
      </c>
    </row>
    <row r="1946" spans="54:54">
      <c r="BB1946" s="197">
        <v>47967</v>
      </c>
    </row>
    <row r="1947" spans="54:54">
      <c r="BB1947" s="197">
        <v>47968</v>
      </c>
    </row>
    <row r="1948" spans="54:54">
      <c r="BB1948" s="197">
        <v>47969</v>
      </c>
    </row>
    <row r="1949" spans="54:54">
      <c r="BB1949" s="197">
        <v>47970</v>
      </c>
    </row>
    <row r="1950" spans="54:54">
      <c r="BB1950" s="197">
        <v>47971</v>
      </c>
    </row>
    <row r="1951" spans="54:54">
      <c r="BB1951" s="197">
        <v>47972</v>
      </c>
    </row>
    <row r="1952" spans="54:54">
      <c r="BB1952" s="197">
        <v>47973</v>
      </c>
    </row>
    <row r="1953" spans="54:54">
      <c r="BB1953" s="197">
        <v>47974</v>
      </c>
    </row>
    <row r="1954" spans="54:54">
      <c r="BB1954" s="197">
        <v>47975</v>
      </c>
    </row>
    <row r="1955" spans="54:54">
      <c r="BB1955" s="197">
        <v>47976</v>
      </c>
    </row>
    <row r="1956" spans="54:54">
      <c r="BB1956" s="197">
        <v>47977</v>
      </c>
    </row>
    <row r="1957" spans="54:54">
      <c r="BB1957" s="197">
        <v>47978</v>
      </c>
    </row>
    <row r="1958" spans="54:54">
      <c r="BB1958" s="197">
        <v>47979</v>
      </c>
    </row>
    <row r="1959" spans="54:54">
      <c r="BB1959" s="197">
        <v>47980</v>
      </c>
    </row>
    <row r="1960" spans="54:54">
      <c r="BB1960" s="197">
        <v>47981</v>
      </c>
    </row>
    <row r="1961" spans="54:54">
      <c r="BB1961" s="197">
        <v>47982</v>
      </c>
    </row>
    <row r="1962" spans="54:54">
      <c r="BB1962" s="197">
        <v>47983</v>
      </c>
    </row>
    <row r="1963" spans="54:54">
      <c r="BB1963" s="197">
        <v>47984</v>
      </c>
    </row>
    <row r="1964" spans="54:54">
      <c r="BB1964" s="197">
        <v>47985</v>
      </c>
    </row>
    <row r="1965" spans="54:54">
      <c r="BB1965" s="197">
        <v>47986</v>
      </c>
    </row>
    <row r="1966" spans="54:54">
      <c r="BB1966" s="197">
        <v>47987</v>
      </c>
    </row>
    <row r="1967" spans="54:54">
      <c r="BB1967" s="197">
        <v>47988</v>
      </c>
    </row>
    <row r="1968" spans="54:54">
      <c r="BB1968" s="197">
        <v>47989</v>
      </c>
    </row>
    <row r="1969" spans="54:54">
      <c r="BB1969" s="197">
        <v>47990</v>
      </c>
    </row>
    <row r="1970" spans="54:54">
      <c r="BB1970" s="197">
        <v>47991</v>
      </c>
    </row>
    <row r="1971" spans="54:54">
      <c r="BB1971" s="197">
        <v>47992</v>
      </c>
    </row>
    <row r="1972" spans="54:54">
      <c r="BB1972" s="197">
        <v>47993</v>
      </c>
    </row>
    <row r="1973" spans="54:54">
      <c r="BB1973" s="197">
        <v>47994</v>
      </c>
    </row>
    <row r="1974" spans="54:54">
      <c r="BB1974" s="197">
        <v>47995</v>
      </c>
    </row>
    <row r="1975" spans="54:54">
      <c r="BB1975" s="197">
        <v>47996</v>
      </c>
    </row>
    <row r="1976" spans="54:54">
      <c r="BB1976" s="197">
        <v>47997</v>
      </c>
    </row>
    <row r="1977" spans="54:54">
      <c r="BB1977" s="197">
        <v>47998</v>
      </c>
    </row>
    <row r="1978" spans="54:54">
      <c r="BB1978" s="197">
        <v>47999</v>
      </c>
    </row>
    <row r="1979" spans="54:54">
      <c r="BB1979" s="197">
        <v>48000</v>
      </c>
    </row>
    <row r="1980" spans="54:54">
      <c r="BB1980" s="197">
        <v>48001</v>
      </c>
    </row>
    <row r="1981" spans="54:54">
      <c r="BB1981" s="197">
        <v>48002</v>
      </c>
    </row>
    <row r="1982" spans="54:54">
      <c r="BB1982" s="197">
        <v>48003</v>
      </c>
    </row>
    <row r="1983" spans="54:54">
      <c r="BB1983" s="197">
        <v>48004</v>
      </c>
    </row>
    <row r="1984" spans="54:54">
      <c r="BB1984" s="197">
        <v>48005</v>
      </c>
    </row>
    <row r="1985" spans="54:54">
      <c r="BB1985" s="197">
        <v>48006</v>
      </c>
    </row>
    <row r="1986" spans="54:54">
      <c r="BB1986" s="197">
        <v>48007</v>
      </c>
    </row>
    <row r="1987" spans="54:54">
      <c r="BB1987" s="197">
        <v>48008</v>
      </c>
    </row>
    <row r="1988" spans="54:54">
      <c r="BB1988" s="197">
        <v>48009</v>
      </c>
    </row>
    <row r="1989" spans="54:54">
      <c r="BB1989" s="197">
        <v>48010</v>
      </c>
    </row>
    <row r="1990" spans="54:54">
      <c r="BB1990" s="197">
        <v>48011</v>
      </c>
    </row>
    <row r="1991" spans="54:54">
      <c r="BB1991" s="197">
        <v>48012</v>
      </c>
    </row>
    <row r="1992" spans="54:54">
      <c r="BB1992" s="197">
        <v>48013</v>
      </c>
    </row>
    <row r="1993" spans="54:54">
      <c r="BB1993" s="197">
        <v>48014</v>
      </c>
    </row>
    <row r="1994" spans="54:54">
      <c r="BB1994" s="197">
        <v>48015</v>
      </c>
    </row>
    <row r="1995" spans="54:54">
      <c r="BB1995" s="197">
        <v>48016</v>
      </c>
    </row>
    <row r="1996" spans="54:54">
      <c r="BB1996" s="197">
        <v>48017</v>
      </c>
    </row>
    <row r="1997" spans="54:54">
      <c r="BB1997" s="197">
        <v>48018</v>
      </c>
    </row>
    <row r="1998" spans="54:54">
      <c r="BB1998" s="197">
        <v>48019</v>
      </c>
    </row>
    <row r="1999" spans="54:54">
      <c r="BB1999" s="197">
        <v>48020</v>
      </c>
    </row>
    <row r="2000" spans="54:54">
      <c r="BB2000" s="197">
        <v>48021</v>
      </c>
    </row>
    <row r="2001" spans="54:54">
      <c r="BB2001" s="197">
        <v>48022</v>
      </c>
    </row>
    <row r="2002" spans="54:54">
      <c r="BB2002" s="197">
        <v>48023</v>
      </c>
    </row>
    <row r="2003" spans="54:54">
      <c r="BB2003" s="197">
        <v>48024</v>
      </c>
    </row>
    <row r="2004" spans="54:54">
      <c r="BB2004" s="197">
        <v>48025</v>
      </c>
    </row>
    <row r="2005" spans="54:54">
      <c r="BB2005" s="197">
        <v>48026</v>
      </c>
    </row>
    <row r="2006" spans="54:54">
      <c r="BB2006" s="197">
        <v>48027</v>
      </c>
    </row>
    <row r="2007" spans="54:54">
      <c r="BB2007" s="197">
        <v>48028</v>
      </c>
    </row>
    <row r="2008" spans="54:54">
      <c r="BB2008" s="197">
        <v>48029</v>
      </c>
    </row>
    <row r="2009" spans="54:54">
      <c r="BB2009" s="197">
        <v>48030</v>
      </c>
    </row>
    <row r="2010" spans="54:54">
      <c r="BB2010" s="197">
        <v>48031</v>
      </c>
    </row>
    <row r="2011" spans="54:54">
      <c r="BB2011" s="197">
        <v>48032</v>
      </c>
    </row>
    <row r="2012" spans="54:54">
      <c r="BB2012" s="197">
        <v>48033</v>
      </c>
    </row>
    <row r="2013" spans="54:54">
      <c r="BB2013" s="197">
        <v>48034</v>
      </c>
    </row>
    <row r="2014" spans="54:54">
      <c r="BB2014" s="197">
        <v>48035</v>
      </c>
    </row>
    <row r="2015" spans="54:54">
      <c r="BB2015" s="197">
        <v>48036</v>
      </c>
    </row>
    <row r="2016" spans="54:54">
      <c r="BB2016" s="197">
        <v>48037</v>
      </c>
    </row>
    <row r="2017" spans="54:54">
      <c r="BB2017" s="197">
        <v>48038</v>
      </c>
    </row>
    <row r="2018" spans="54:54">
      <c r="BB2018" s="197">
        <v>48039</v>
      </c>
    </row>
    <row r="2019" spans="54:54">
      <c r="BB2019" s="197">
        <v>48040</v>
      </c>
    </row>
    <row r="2020" spans="54:54">
      <c r="BB2020" s="197">
        <v>48041</v>
      </c>
    </row>
    <row r="2021" spans="54:54">
      <c r="BB2021" s="197">
        <v>48042</v>
      </c>
    </row>
    <row r="2022" spans="54:54">
      <c r="BB2022" s="197">
        <v>48043</v>
      </c>
    </row>
    <row r="2023" spans="54:54">
      <c r="BB2023" s="197">
        <v>48044</v>
      </c>
    </row>
    <row r="2024" spans="54:54">
      <c r="BB2024" s="197">
        <v>48045</v>
      </c>
    </row>
    <row r="2025" spans="54:54">
      <c r="BB2025" s="197">
        <v>48046</v>
      </c>
    </row>
    <row r="2026" spans="54:54">
      <c r="BB2026" s="197">
        <v>48047</v>
      </c>
    </row>
    <row r="2027" spans="54:54">
      <c r="BB2027" s="197">
        <v>48048</v>
      </c>
    </row>
    <row r="2028" spans="54:54">
      <c r="BB2028" s="197">
        <v>48049</v>
      </c>
    </row>
    <row r="2029" spans="54:54">
      <c r="BB2029" s="197">
        <v>48050</v>
      </c>
    </row>
    <row r="2030" spans="54:54">
      <c r="BB2030" s="197">
        <v>48051</v>
      </c>
    </row>
    <row r="2031" spans="54:54">
      <c r="BB2031" s="197">
        <v>48052</v>
      </c>
    </row>
    <row r="2032" spans="54:54">
      <c r="BB2032" s="197">
        <v>48053</v>
      </c>
    </row>
    <row r="2033" spans="54:54">
      <c r="BB2033" s="197">
        <v>48054</v>
      </c>
    </row>
    <row r="2034" spans="54:54">
      <c r="BB2034" s="197">
        <v>48055</v>
      </c>
    </row>
    <row r="2035" spans="54:54">
      <c r="BB2035" s="197">
        <v>48056</v>
      </c>
    </row>
    <row r="2036" spans="54:54">
      <c r="BB2036" s="197">
        <v>48057</v>
      </c>
    </row>
    <row r="2037" spans="54:54">
      <c r="BB2037" s="197">
        <v>48058</v>
      </c>
    </row>
    <row r="2038" spans="54:54">
      <c r="BB2038" s="197">
        <v>48059</v>
      </c>
    </row>
    <row r="2039" spans="54:54">
      <c r="BB2039" s="197">
        <v>48060</v>
      </c>
    </row>
    <row r="2040" spans="54:54">
      <c r="BB2040" s="197">
        <v>48061</v>
      </c>
    </row>
    <row r="2041" spans="54:54">
      <c r="BB2041" s="197">
        <v>48062</v>
      </c>
    </row>
    <row r="2042" spans="54:54">
      <c r="BB2042" s="197">
        <v>48063</v>
      </c>
    </row>
    <row r="2043" spans="54:54">
      <c r="BB2043" s="197">
        <v>48064</v>
      </c>
    </row>
    <row r="2044" spans="54:54">
      <c r="BB2044" s="197">
        <v>48065</v>
      </c>
    </row>
    <row r="2045" spans="54:54">
      <c r="BB2045" s="197">
        <v>48066</v>
      </c>
    </row>
    <row r="2046" spans="54:54">
      <c r="BB2046" s="197">
        <v>48067</v>
      </c>
    </row>
    <row r="2047" spans="54:54">
      <c r="BB2047" s="197">
        <v>48068</v>
      </c>
    </row>
    <row r="2048" spans="54:54">
      <c r="BB2048" s="197">
        <v>48069</v>
      </c>
    </row>
    <row r="2049" spans="54:54">
      <c r="BB2049" s="197">
        <v>48070</v>
      </c>
    </row>
    <row r="2050" spans="54:54">
      <c r="BB2050" s="197">
        <v>48071</v>
      </c>
    </row>
    <row r="2051" spans="54:54">
      <c r="BB2051" s="197">
        <v>48072</v>
      </c>
    </row>
    <row r="2052" spans="54:54">
      <c r="BB2052" s="197">
        <v>48073</v>
      </c>
    </row>
    <row r="2053" spans="54:54">
      <c r="BB2053" s="197">
        <v>48074</v>
      </c>
    </row>
    <row r="2054" spans="54:54">
      <c r="BB2054" s="197">
        <v>48075</v>
      </c>
    </row>
    <row r="2055" spans="54:54">
      <c r="BB2055" s="197">
        <v>48076</v>
      </c>
    </row>
    <row r="2056" spans="54:54">
      <c r="BB2056" s="197">
        <v>48077</v>
      </c>
    </row>
    <row r="2057" spans="54:54">
      <c r="BB2057" s="197">
        <v>48078</v>
      </c>
    </row>
    <row r="2058" spans="54:54">
      <c r="BB2058" s="197">
        <v>48079</v>
      </c>
    </row>
    <row r="2059" spans="54:54">
      <c r="BB2059" s="197">
        <v>48080</v>
      </c>
    </row>
    <row r="2060" spans="54:54">
      <c r="BB2060" s="197">
        <v>48081</v>
      </c>
    </row>
    <row r="2061" spans="54:54">
      <c r="BB2061" s="197">
        <v>48082</v>
      </c>
    </row>
    <row r="2062" spans="54:54">
      <c r="BB2062" s="197">
        <v>48083</v>
      </c>
    </row>
    <row r="2063" spans="54:54">
      <c r="BB2063" s="197">
        <v>48084</v>
      </c>
    </row>
    <row r="2064" spans="54:54">
      <c r="BB2064" s="197">
        <v>48085</v>
      </c>
    </row>
    <row r="2065" spans="54:54">
      <c r="BB2065" s="197">
        <v>48086</v>
      </c>
    </row>
    <row r="2066" spans="54:54">
      <c r="BB2066" s="197">
        <v>48087</v>
      </c>
    </row>
    <row r="2067" spans="54:54">
      <c r="BB2067" s="197">
        <v>48088</v>
      </c>
    </row>
    <row r="2068" spans="54:54">
      <c r="BB2068" s="197">
        <v>48089</v>
      </c>
    </row>
    <row r="2069" spans="54:54">
      <c r="BB2069" s="197">
        <v>48090</v>
      </c>
    </row>
    <row r="2070" spans="54:54">
      <c r="BB2070" s="197">
        <v>48091</v>
      </c>
    </row>
    <row r="2071" spans="54:54">
      <c r="BB2071" s="197">
        <v>48092</v>
      </c>
    </row>
    <row r="2072" spans="54:54">
      <c r="BB2072" s="197">
        <v>48093</v>
      </c>
    </row>
    <row r="2073" spans="54:54">
      <c r="BB2073" s="197">
        <v>48094</v>
      </c>
    </row>
    <row r="2074" spans="54:54">
      <c r="BB2074" s="197">
        <v>48095</v>
      </c>
    </row>
    <row r="2075" spans="54:54">
      <c r="BB2075" s="197">
        <v>48096</v>
      </c>
    </row>
    <row r="2076" spans="54:54">
      <c r="BB2076" s="197">
        <v>48097</v>
      </c>
    </row>
    <row r="2077" spans="54:54">
      <c r="BB2077" s="197">
        <v>48098</v>
      </c>
    </row>
    <row r="2078" spans="54:54">
      <c r="BB2078" s="197">
        <v>48099</v>
      </c>
    </row>
    <row r="2079" spans="54:54">
      <c r="BB2079" s="197">
        <v>48100</v>
      </c>
    </row>
    <row r="2080" spans="54:54">
      <c r="BB2080" s="197">
        <v>48101</v>
      </c>
    </row>
    <row r="2081" spans="54:54">
      <c r="BB2081" s="197">
        <v>48102</v>
      </c>
    </row>
    <row r="2082" spans="54:54">
      <c r="BB2082" s="197">
        <v>48103</v>
      </c>
    </row>
    <row r="2083" spans="54:54">
      <c r="BB2083" s="197">
        <v>48104</v>
      </c>
    </row>
    <row r="2084" spans="54:54">
      <c r="BB2084" s="197">
        <v>48105</v>
      </c>
    </row>
    <row r="2085" spans="54:54">
      <c r="BB2085" s="197">
        <v>48106</v>
      </c>
    </row>
    <row r="2086" spans="54:54">
      <c r="BB2086" s="197">
        <v>48107</v>
      </c>
    </row>
    <row r="2087" spans="54:54">
      <c r="BB2087" s="197">
        <v>48108</v>
      </c>
    </row>
    <row r="2088" spans="54:54">
      <c r="BB2088" s="197">
        <v>48109</v>
      </c>
    </row>
    <row r="2089" spans="54:54">
      <c r="BB2089" s="197">
        <v>48110</v>
      </c>
    </row>
    <row r="2090" spans="54:54">
      <c r="BB2090" s="197">
        <v>48111</v>
      </c>
    </row>
    <row r="2091" spans="54:54">
      <c r="BB2091" s="197">
        <v>48112</v>
      </c>
    </row>
    <row r="2092" spans="54:54">
      <c r="BB2092" s="197">
        <v>48113</v>
      </c>
    </row>
    <row r="2093" spans="54:54">
      <c r="BB2093" s="197">
        <v>48114</v>
      </c>
    </row>
    <row r="2094" spans="54:54">
      <c r="BB2094" s="197">
        <v>48115</v>
      </c>
    </row>
    <row r="2095" spans="54:54">
      <c r="BB2095" s="197">
        <v>48116</v>
      </c>
    </row>
    <row r="2096" spans="54:54">
      <c r="BB2096" s="197">
        <v>48117</v>
      </c>
    </row>
    <row r="2097" spans="54:54">
      <c r="BB2097" s="197">
        <v>48118</v>
      </c>
    </row>
    <row r="2098" spans="54:54">
      <c r="BB2098" s="197">
        <v>48119</v>
      </c>
    </row>
    <row r="2099" spans="54:54">
      <c r="BB2099" s="197">
        <v>48120</v>
      </c>
    </row>
    <row r="2100" spans="54:54">
      <c r="BB2100" s="197">
        <v>48121</v>
      </c>
    </row>
    <row r="2101" spans="54:54">
      <c r="BB2101" s="197">
        <v>48122</v>
      </c>
    </row>
    <row r="2102" spans="54:54">
      <c r="BB2102" s="197">
        <v>48123</v>
      </c>
    </row>
    <row r="2103" spans="54:54">
      <c r="BB2103" s="197">
        <v>48124</v>
      </c>
    </row>
    <row r="2104" spans="54:54">
      <c r="BB2104" s="197">
        <v>48125</v>
      </c>
    </row>
    <row r="2105" spans="54:54">
      <c r="BB2105" s="197">
        <v>48126</v>
      </c>
    </row>
    <row r="2106" spans="54:54">
      <c r="BB2106" s="197">
        <v>48127</v>
      </c>
    </row>
    <row r="2107" spans="54:54">
      <c r="BB2107" s="197">
        <v>48128</v>
      </c>
    </row>
    <row r="2108" spans="54:54">
      <c r="BB2108" s="197">
        <v>48129</v>
      </c>
    </row>
    <row r="2109" spans="54:54">
      <c r="BB2109" s="197">
        <v>48130</v>
      </c>
    </row>
    <row r="2110" spans="54:54">
      <c r="BB2110" s="197">
        <v>48131</v>
      </c>
    </row>
    <row r="2111" spans="54:54">
      <c r="BB2111" s="197">
        <v>48132</v>
      </c>
    </row>
    <row r="2112" spans="54:54">
      <c r="BB2112" s="197">
        <v>48133</v>
      </c>
    </row>
    <row r="2113" spans="54:54">
      <c r="BB2113" s="197">
        <v>48134</v>
      </c>
    </row>
    <row r="2114" spans="54:54">
      <c r="BB2114" s="197">
        <v>48135</v>
      </c>
    </row>
    <row r="2115" spans="54:54">
      <c r="BB2115" s="197">
        <v>48136</v>
      </c>
    </row>
    <row r="2116" spans="54:54">
      <c r="BB2116" s="197">
        <v>48137</v>
      </c>
    </row>
    <row r="2117" spans="54:54">
      <c r="BB2117" s="197">
        <v>48138</v>
      </c>
    </row>
    <row r="2118" spans="54:54">
      <c r="BB2118" s="197">
        <v>48139</v>
      </c>
    </row>
    <row r="2119" spans="54:54">
      <c r="BB2119" s="197">
        <v>48140</v>
      </c>
    </row>
    <row r="2120" spans="54:54">
      <c r="BB2120" s="197">
        <v>48141</v>
      </c>
    </row>
    <row r="2121" spans="54:54">
      <c r="BB2121" s="197">
        <v>48142</v>
      </c>
    </row>
    <row r="2122" spans="54:54">
      <c r="BB2122" s="197">
        <v>48143</v>
      </c>
    </row>
    <row r="2123" spans="54:54">
      <c r="BB2123" s="197">
        <v>48144</v>
      </c>
    </row>
    <row r="2124" spans="54:54">
      <c r="BB2124" s="197">
        <v>48145</v>
      </c>
    </row>
    <row r="2125" spans="54:54">
      <c r="BB2125" s="197">
        <v>48146</v>
      </c>
    </row>
    <row r="2126" spans="54:54">
      <c r="BB2126" s="197">
        <v>48147</v>
      </c>
    </row>
    <row r="2127" spans="54:54">
      <c r="BB2127" s="197">
        <v>48148</v>
      </c>
    </row>
    <row r="2128" spans="54:54">
      <c r="BB2128" s="197">
        <v>48149</v>
      </c>
    </row>
    <row r="2129" spans="54:54">
      <c r="BB2129" s="197">
        <v>48150</v>
      </c>
    </row>
    <row r="2130" spans="54:54">
      <c r="BB2130" s="197">
        <v>48151</v>
      </c>
    </row>
    <row r="2131" spans="54:54">
      <c r="BB2131" s="197">
        <v>48152</v>
      </c>
    </row>
    <row r="2132" spans="54:54">
      <c r="BB2132" s="197">
        <v>48153</v>
      </c>
    </row>
    <row r="2133" spans="54:54">
      <c r="BB2133" s="197">
        <v>48154</v>
      </c>
    </row>
    <row r="2134" spans="54:54">
      <c r="BB2134" s="197">
        <v>48155</v>
      </c>
    </row>
    <row r="2135" spans="54:54">
      <c r="BB2135" s="197">
        <v>48156</v>
      </c>
    </row>
    <row r="2136" spans="54:54">
      <c r="BB2136" s="197">
        <v>48157</v>
      </c>
    </row>
    <row r="2137" spans="54:54">
      <c r="BB2137" s="197">
        <v>48158</v>
      </c>
    </row>
    <row r="2138" spans="54:54">
      <c r="BB2138" s="197">
        <v>48159</v>
      </c>
    </row>
    <row r="2139" spans="54:54">
      <c r="BB2139" s="197">
        <v>48160</v>
      </c>
    </row>
    <row r="2140" spans="54:54">
      <c r="BB2140" s="197">
        <v>48161</v>
      </c>
    </row>
    <row r="2141" spans="54:54">
      <c r="BB2141" s="197">
        <v>48162</v>
      </c>
    </row>
    <row r="2142" spans="54:54">
      <c r="BB2142" s="197">
        <v>48163</v>
      </c>
    </row>
    <row r="2143" spans="54:54">
      <c r="BB2143" s="197">
        <v>48164</v>
      </c>
    </row>
    <row r="2144" spans="54:54">
      <c r="BB2144" s="197">
        <v>48165</v>
      </c>
    </row>
    <row r="2145" spans="54:54">
      <c r="BB2145" s="197">
        <v>48166</v>
      </c>
    </row>
    <row r="2146" spans="54:54">
      <c r="BB2146" s="197">
        <v>48167</v>
      </c>
    </row>
    <row r="2147" spans="54:54">
      <c r="BB2147" s="197">
        <v>48168</v>
      </c>
    </row>
    <row r="2148" spans="54:54">
      <c r="BB2148" s="197">
        <v>48169</v>
      </c>
    </row>
    <row r="2149" spans="54:54">
      <c r="BB2149" s="197">
        <v>48170</v>
      </c>
    </row>
    <row r="2150" spans="54:54">
      <c r="BB2150" s="197">
        <v>48171</v>
      </c>
    </row>
    <row r="2151" spans="54:54">
      <c r="BB2151" s="197">
        <v>48172</v>
      </c>
    </row>
    <row r="2152" spans="54:54">
      <c r="BB2152" s="197">
        <v>48173</v>
      </c>
    </row>
    <row r="2153" spans="54:54">
      <c r="BB2153" s="197">
        <v>48174</v>
      </c>
    </row>
    <row r="2154" spans="54:54">
      <c r="BB2154" s="197">
        <v>48175</v>
      </c>
    </row>
    <row r="2155" spans="54:54">
      <c r="BB2155" s="197">
        <v>48176</v>
      </c>
    </row>
    <row r="2156" spans="54:54">
      <c r="BB2156" s="197">
        <v>48177</v>
      </c>
    </row>
    <row r="2157" spans="54:54">
      <c r="BB2157" s="197">
        <v>48178</v>
      </c>
    </row>
    <row r="2158" spans="54:54">
      <c r="BB2158" s="197">
        <v>48179</v>
      </c>
    </row>
    <row r="2159" spans="54:54">
      <c r="BB2159" s="197">
        <v>48180</v>
      </c>
    </row>
    <row r="2160" spans="54:54">
      <c r="BB2160" s="197">
        <v>48181</v>
      </c>
    </row>
    <row r="2161" spans="54:54">
      <c r="BB2161" s="197">
        <v>48182</v>
      </c>
    </row>
    <row r="2162" spans="54:54">
      <c r="BB2162" s="197">
        <v>48183</v>
      </c>
    </row>
    <row r="2163" spans="54:54">
      <c r="BB2163" s="197">
        <v>48184</v>
      </c>
    </row>
    <row r="2164" spans="54:54">
      <c r="BB2164" s="197">
        <v>48185</v>
      </c>
    </row>
    <row r="2165" spans="54:54">
      <c r="BB2165" s="197">
        <v>48186</v>
      </c>
    </row>
    <row r="2166" spans="54:54">
      <c r="BB2166" s="197">
        <v>48187</v>
      </c>
    </row>
    <row r="2167" spans="54:54">
      <c r="BB2167" s="197">
        <v>48188</v>
      </c>
    </row>
    <row r="2168" spans="54:54">
      <c r="BB2168" s="197">
        <v>48189</v>
      </c>
    </row>
    <row r="2169" spans="54:54">
      <c r="BB2169" s="197">
        <v>48190</v>
      </c>
    </row>
    <row r="2170" spans="54:54">
      <c r="BB2170" s="197">
        <v>48191</v>
      </c>
    </row>
    <row r="2171" spans="54:54">
      <c r="BB2171" s="197">
        <v>48192</v>
      </c>
    </row>
    <row r="2172" spans="54:54">
      <c r="BB2172" s="197">
        <v>48193</v>
      </c>
    </row>
    <row r="2173" spans="54:54">
      <c r="BB2173" s="197">
        <v>48194</v>
      </c>
    </row>
    <row r="2174" spans="54:54">
      <c r="BB2174" s="197">
        <v>48195</v>
      </c>
    </row>
    <row r="2175" spans="54:54">
      <c r="BB2175" s="197">
        <v>48196</v>
      </c>
    </row>
    <row r="2176" spans="54:54">
      <c r="BB2176" s="197">
        <v>48197</v>
      </c>
    </row>
    <row r="2177" spans="54:54">
      <c r="BB2177" s="197">
        <v>48198</v>
      </c>
    </row>
    <row r="2178" spans="54:54">
      <c r="BB2178" s="197">
        <v>48199</v>
      </c>
    </row>
    <row r="2179" spans="54:54">
      <c r="BB2179" s="197">
        <v>48200</v>
      </c>
    </row>
    <row r="2180" spans="54:54">
      <c r="BB2180" s="197">
        <v>48201</v>
      </c>
    </row>
    <row r="2181" spans="54:54">
      <c r="BB2181" s="197">
        <v>48202</v>
      </c>
    </row>
    <row r="2182" spans="54:54">
      <c r="BB2182" s="197">
        <v>48203</v>
      </c>
    </row>
    <row r="2183" spans="54:54">
      <c r="BB2183" s="197">
        <v>48204</v>
      </c>
    </row>
    <row r="2184" spans="54:54">
      <c r="BB2184" s="197">
        <v>48205</v>
      </c>
    </row>
    <row r="2185" spans="54:54">
      <c r="BB2185" s="197">
        <v>48206</v>
      </c>
    </row>
    <row r="2186" spans="54:54">
      <c r="BB2186" s="197">
        <v>48207</v>
      </c>
    </row>
    <row r="2187" spans="54:54">
      <c r="BB2187" s="197">
        <v>48208</v>
      </c>
    </row>
    <row r="2188" spans="54:54">
      <c r="BB2188" s="197">
        <v>48209</v>
      </c>
    </row>
    <row r="2189" spans="54:54">
      <c r="BB2189" s="197">
        <v>48210</v>
      </c>
    </row>
    <row r="2190" spans="54:54">
      <c r="BB2190" s="197">
        <v>48211</v>
      </c>
    </row>
    <row r="2191" spans="54:54">
      <c r="BB2191" s="197">
        <v>48212</v>
      </c>
    </row>
    <row r="2192" spans="54:54">
      <c r="BB2192" s="197">
        <v>48213</v>
      </c>
    </row>
    <row r="2193" spans="54:54">
      <c r="BB2193" s="197">
        <v>48214</v>
      </c>
    </row>
    <row r="2194" spans="54:54">
      <c r="BB2194" s="197">
        <v>48215</v>
      </c>
    </row>
    <row r="2195" spans="54:54">
      <c r="BB2195" s="197">
        <v>48216</v>
      </c>
    </row>
    <row r="2196" spans="54:54">
      <c r="BB2196" s="197">
        <v>48217</v>
      </c>
    </row>
    <row r="2197" spans="54:54">
      <c r="BB2197" s="197">
        <v>48218</v>
      </c>
    </row>
    <row r="2198" spans="54:54">
      <c r="BB2198" s="197">
        <v>48219</v>
      </c>
    </row>
    <row r="2199" spans="54:54">
      <c r="BB2199" s="197">
        <v>48220</v>
      </c>
    </row>
    <row r="2200" spans="54:54">
      <c r="BB2200" s="197">
        <v>48221</v>
      </c>
    </row>
    <row r="2201" spans="54:54">
      <c r="BB2201" s="197">
        <v>48222</v>
      </c>
    </row>
    <row r="2202" spans="54:54">
      <c r="BB2202" s="197">
        <v>48223</v>
      </c>
    </row>
    <row r="2203" spans="54:54">
      <c r="BB2203" s="197">
        <v>48224</v>
      </c>
    </row>
    <row r="2204" spans="54:54">
      <c r="BB2204" s="197">
        <v>48225</v>
      </c>
    </row>
    <row r="2205" spans="54:54">
      <c r="BB2205" s="197">
        <v>48226</v>
      </c>
    </row>
    <row r="2206" spans="54:54">
      <c r="BB2206" s="197">
        <v>48227</v>
      </c>
    </row>
    <row r="2207" spans="54:54">
      <c r="BB2207" s="197">
        <v>48228</v>
      </c>
    </row>
    <row r="2208" spans="54:54">
      <c r="BB2208" s="197">
        <v>48229</v>
      </c>
    </row>
    <row r="2209" spans="54:54">
      <c r="BB2209" s="197">
        <v>48230</v>
      </c>
    </row>
    <row r="2210" spans="54:54">
      <c r="BB2210" s="197">
        <v>48231</v>
      </c>
    </row>
    <row r="2211" spans="54:54">
      <c r="BB2211" s="197">
        <v>48232</v>
      </c>
    </row>
    <row r="2212" spans="54:54">
      <c r="BB2212" s="197">
        <v>48233</v>
      </c>
    </row>
    <row r="2213" spans="54:54">
      <c r="BB2213" s="197">
        <v>48234</v>
      </c>
    </row>
    <row r="2214" spans="54:54">
      <c r="BB2214" s="197">
        <v>48235</v>
      </c>
    </row>
    <row r="2215" spans="54:54">
      <c r="BB2215" s="197">
        <v>48236</v>
      </c>
    </row>
    <row r="2216" spans="54:54">
      <c r="BB2216" s="197">
        <v>48237</v>
      </c>
    </row>
    <row r="2217" spans="54:54">
      <c r="BB2217" s="197">
        <v>48238</v>
      </c>
    </row>
    <row r="2218" spans="54:54">
      <c r="BB2218" s="197">
        <v>48239</v>
      </c>
    </row>
    <row r="2219" spans="54:54">
      <c r="BB2219" s="197">
        <v>48240</v>
      </c>
    </row>
    <row r="2220" spans="54:54">
      <c r="BB2220" s="197">
        <v>48241</v>
      </c>
    </row>
    <row r="2221" spans="54:54">
      <c r="BB2221" s="197">
        <v>48242</v>
      </c>
    </row>
    <row r="2222" spans="54:54">
      <c r="BB2222" s="197">
        <v>48243</v>
      </c>
    </row>
    <row r="2223" spans="54:54">
      <c r="BB2223" s="197">
        <v>48244</v>
      </c>
    </row>
    <row r="2224" spans="54:54">
      <c r="BB2224" s="197">
        <v>48245</v>
      </c>
    </row>
    <row r="2225" spans="54:54">
      <c r="BB2225" s="197">
        <v>48246</v>
      </c>
    </row>
    <row r="2226" spans="54:54">
      <c r="BB2226" s="197">
        <v>48247</v>
      </c>
    </row>
    <row r="2227" spans="54:54">
      <c r="BB2227" s="197">
        <v>48248</v>
      </c>
    </row>
    <row r="2228" spans="54:54">
      <c r="BB2228" s="197">
        <v>48249</v>
      </c>
    </row>
    <row r="2229" spans="54:54">
      <c r="BB2229" s="197">
        <v>48250</v>
      </c>
    </row>
    <row r="2230" spans="54:54">
      <c r="BB2230" s="197">
        <v>48251</v>
      </c>
    </row>
    <row r="2231" spans="54:54">
      <c r="BB2231" s="197">
        <v>48252</v>
      </c>
    </row>
    <row r="2232" spans="54:54">
      <c r="BB2232" s="197">
        <v>48253</v>
      </c>
    </row>
    <row r="2233" spans="54:54">
      <c r="BB2233" s="197">
        <v>48254</v>
      </c>
    </row>
    <row r="2234" spans="54:54">
      <c r="BB2234" s="197">
        <v>48255</v>
      </c>
    </row>
    <row r="2235" spans="54:54">
      <c r="BB2235" s="197">
        <v>48256</v>
      </c>
    </row>
    <row r="2236" spans="54:54">
      <c r="BB2236" s="197">
        <v>48257</v>
      </c>
    </row>
    <row r="2237" spans="54:54">
      <c r="BB2237" s="197">
        <v>48258</v>
      </c>
    </row>
    <row r="2238" spans="54:54">
      <c r="BB2238" s="197">
        <v>48259</v>
      </c>
    </row>
    <row r="2239" spans="54:54">
      <c r="BB2239" s="197">
        <v>48260</v>
      </c>
    </row>
    <row r="2240" spans="54:54">
      <c r="BB2240" s="197">
        <v>48261</v>
      </c>
    </row>
    <row r="2241" spans="54:54">
      <c r="BB2241" s="197">
        <v>48262</v>
      </c>
    </row>
    <row r="2242" spans="54:54">
      <c r="BB2242" s="197">
        <v>48263</v>
      </c>
    </row>
    <row r="2243" spans="54:54">
      <c r="BB2243" s="197">
        <v>48264</v>
      </c>
    </row>
    <row r="2244" spans="54:54">
      <c r="BB2244" s="197">
        <v>48265</v>
      </c>
    </row>
    <row r="2245" spans="54:54">
      <c r="BB2245" s="197">
        <v>48266</v>
      </c>
    </row>
    <row r="2246" spans="54:54">
      <c r="BB2246" s="197">
        <v>48267</v>
      </c>
    </row>
    <row r="2247" spans="54:54">
      <c r="BB2247" s="197">
        <v>48268</v>
      </c>
    </row>
    <row r="2248" spans="54:54">
      <c r="BB2248" s="197">
        <v>48269</v>
      </c>
    </row>
    <row r="2249" spans="54:54">
      <c r="BB2249" s="197">
        <v>48270</v>
      </c>
    </row>
    <row r="2250" spans="54:54">
      <c r="BB2250" s="197">
        <v>48271</v>
      </c>
    </row>
    <row r="2251" spans="54:54">
      <c r="BB2251" s="197">
        <v>48272</v>
      </c>
    </row>
    <row r="2252" spans="54:54">
      <c r="BB2252" s="197">
        <v>48273</v>
      </c>
    </row>
    <row r="2253" spans="54:54">
      <c r="BB2253" s="197">
        <v>48274</v>
      </c>
    </row>
    <row r="2254" spans="54:54">
      <c r="BB2254" s="197">
        <v>48275</v>
      </c>
    </row>
    <row r="2255" spans="54:54">
      <c r="BB2255" s="197">
        <v>48276</v>
      </c>
    </row>
    <row r="2256" spans="54:54">
      <c r="BB2256" s="197">
        <v>48277</v>
      </c>
    </row>
    <row r="2257" spans="54:54">
      <c r="BB2257" s="197">
        <v>48278</v>
      </c>
    </row>
    <row r="2258" spans="54:54">
      <c r="BB2258" s="197">
        <v>48279</v>
      </c>
    </row>
    <row r="2259" spans="54:54">
      <c r="BB2259" s="197">
        <v>48280</v>
      </c>
    </row>
    <row r="2260" spans="54:54">
      <c r="BB2260" s="197">
        <v>48281</v>
      </c>
    </row>
    <row r="2261" spans="54:54">
      <c r="BB2261" s="197">
        <v>48282</v>
      </c>
    </row>
    <row r="2262" spans="54:54">
      <c r="BB2262" s="197">
        <v>48283</v>
      </c>
    </row>
    <row r="2263" spans="54:54">
      <c r="BB2263" s="197">
        <v>48284</v>
      </c>
    </row>
    <row r="2264" spans="54:54">
      <c r="BB2264" s="197">
        <v>48285</v>
      </c>
    </row>
    <row r="2265" spans="54:54">
      <c r="BB2265" s="197">
        <v>48286</v>
      </c>
    </row>
    <row r="2266" spans="54:54">
      <c r="BB2266" s="197">
        <v>48287</v>
      </c>
    </row>
    <row r="2267" spans="54:54">
      <c r="BB2267" s="197">
        <v>48288</v>
      </c>
    </row>
    <row r="2268" spans="54:54">
      <c r="BB2268" s="197">
        <v>48289</v>
      </c>
    </row>
    <row r="2269" spans="54:54">
      <c r="BB2269" s="197">
        <v>48290</v>
      </c>
    </row>
    <row r="2270" spans="54:54">
      <c r="BB2270" s="197">
        <v>48291</v>
      </c>
    </row>
    <row r="2271" spans="54:54">
      <c r="BB2271" s="197">
        <v>48292</v>
      </c>
    </row>
    <row r="2272" spans="54:54">
      <c r="BB2272" s="197">
        <v>48293</v>
      </c>
    </row>
    <row r="2273" spans="54:54">
      <c r="BB2273" s="197">
        <v>48294</v>
      </c>
    </row>
    <row r="2274" spans="54:54">
      <c r="BB2274" s="197">
        <v>48295</v>
      </c>
    </row>
    <row r="2275" spans="54:54">
      <c r="BB2275" s="197">
        <v>48296</v>
      </c>
    </row>
    <row r="2276" spans="54:54">
      <c r="BB2276" s="197">
        <v>48297</v>
      </c>
    </row>
    <row r="2277" spans="54:54">
      <c r="BB2277" s="197">
        <v>48298</v>
      </c>
    </row>
    <row r="2278" spans="54:54">
      <c r="BB2278" s="197">
        <v>48299</v>
      </c>
    </row>
    <row r="2279" spans="54:54">
      <c r="BB2279" s="197">
        <v>48300</v>
      </c>
    </row>
    <row r="2280" spans="54:54">
      <c r="BB2280" s="197">
        <v>48301</v>
      </c>
    </row>
    <row r="2281" spans="54:54">
      <c r="BB2281" s="197">
        <v>48302</v>
      </c>
    </row>
    <row r="2282" spans="54:54">
      <c r="BB2282" s="197">
        <v>48303</v>
      </c>
    </row>
    <row r="2283" spans="54:54">
      <c r="BB2283" s="197">
        <v>48304</v>
      </c>
    </row>
    <row r="2284" spans="54:54">
      <c r="BB2284" s="197">
        <v>48305</v>
      </c>
    </row>
    <row r="2285" spans="54:54">
      <c r="BB2285" s="197">
        <v>48306</v>
      </c>
    </row>
    <row r="2286" spans="54:54">
      <c r="BB2286" s="197">
        <v>48307</v>
      </c>
    </row>
    <row r="2287" spans="54:54">
      <c r="BB2287" s="197">
        <v>48308</v>
      </c>
    </row>
    <row r="2288" spans="54:54">
      <c r="BB2288" s="197">
        <v>48309</v>
      </c>
    </row>
    <row r="2289" spans="54:54">
      <c r="BB2289" s="197">
        <v>48310</v>
      </c>
    </row>
    <row r="2290" spans="54:54">
      <c r="BB2290" s="197">
        <v>48311</v>
      </c>
    </row>
    <row r="2291" spans="54:54">
      <c r="BB2291" s="197">
        <v>48312</v>
      </c>
    </row>
    <row r="2292" spans="54:54">
      <c r="BB2292" s="197">
        <v>48313</v>
      </c>
    </row>
    <row r="2293" spans="54:54">
      <c r="BB2293" s="197">
        <v>48314</v>
      </c>
    </row>
    <row r="2294" spans="54:54">
      <c r="BB2294" s="197">
        <v>48315</v>
      </c>
    </row>
    <row r="2295" spans="54:54">
      <c r="BB2295" s="197">
        <v>48316</v>
      </c>
    </row>
    <row r="2296" spans="54:54">
      <c r="BB2296" s="197">
        <v>48317</v>
      </c>
    </row>
    <row r="2297" spans="54:54">
      <c r="BB2297" s="197">
        <v>48318</v>
      </c>
    </row>
    <row r="2298" spans="54:54">
      <c r="BB2298" s="197">
        <v>48319</v>
      </c>
    </row>
    <row r="2299" spans="54:54">
      <c r="BB2299" s="197">
        <v>48320</v>
      </c>
    </row>
    <row r="2300" spans="54:54">
      <c r="BB2300" s="197">
        <v>48321</v>
      </c>
    </row>
    <row r="2301" spans="54:54">
      <c r="BB2301" s="197">
        <v>48322</v>
      </c>
    </row>
    <row r="2302" spans="54:54">
      <c r="BB2302" s="197">
        <v>48323</v>
      </c>
    </row>
    <row r="2303" spans="54:54">
      <c r="BB2303" s="197">
        <v>48324</v>
      </c>
    </row>
    <row r="2304" spans="54:54">
      <c r="BB2304" s="197">
        <v>48325</v>
      </c>
    </row>
    <row r="2305" spans="54:54">
      <c r="BB2305" s="197">
        <v>48326</v>
      </c>
    </row>
    <row r="2306" spans="54:54">
      <c r="BB2306" s="197">
        <v>48327</v>
      </c>
    </row>
    <row r="2307" spans="54:54">
      <c r="BB2307" s="197">
        <v>48328</v>
      </c>
    </row>
    <row r="2308" spans="54:54">
      <c r="BB2308" s="197">
        <v>48329</v>
      </c>
    </row>
    <row r="2309" spans="54:54">
      <c r="BB2309" s="197">
        <v>48330</v>
      </c>
    </row>
    <row r="2310" spans="54:54">
      <c r="BB2310" s="197">
        <v>48331</v>
      </c>
    </row>
    <row r="2311" spans="54:54">
      <c r="BB2311" s="197">
        <v>48332</v>
      </c>
    </row>
    <row r="2312" spans="54:54">
      <c r="BB2312" s="197">
        <v>48333</v>
      </c>
    </row>
    <row r="2313" spans="54:54">
      <c r="BB2313" s="197">
        <v>48334</v>
      </c>
    </row>
    <row r="2314" spans="54:54">
      <c r="BB2314" s="197">
        <v>48335</v>
      </c>
    </row>
    <row r="2315" spans="54:54">
      <c r="BB2315" s="197">
        <v>48336</v>
      </c>
    </row>
    <row r="2316" spans="54:54">
      <c r="BB2316" s="197">
        <v>48337</v>
      </c>
    </row>
    <row r="2317" spans="54:54">
      <c r="BB2317" s="197">
        <v>48338</v>
      </c>
    </row>
    <row r="2318" spans="54:54">
      <c r="BB2318" s="197">
        <v>48339</v>
      </c>
    </row>
    <row r="2319" spans="54:54">
      <c r="BB2319" s="197">
        <v>48340</v>
      </c>
    </row>
    <row r="2320" spans="54:54">
      <c r="BB2320" s="197">
        <v>48341</v>
      </c>
    </row>
    <row r="2321" spans="54:54">
      <c r="BB2321" s="197">
        <v>48342</v>
      </c>
    </row>
    <row r="2322" spans="54:54">
      <c r="BB2322" s="197">
        <v>48343</v>
      </c>
    </row>
    <row r="2323" spans="54:54">
      <c r="BB2323" s="197">
        <v>48344</v>
      </c>
    </row>
    <row r="2324" spans="54:54">
      <c r="BB2324" s="197">
        <v>48345</v>
      </c>
    </row>
    <row r="2325" spans="54:54">
      <c r="BB2325" s="197">
        <v>48346</v>
      </c>
    </row>
    <row r="2326" spans="54:54">
      <c r="BB2326" s="197">
        <v>48347</v>
      </c>
    </row>
    <row r="2327" spans="54:54">
      <c r="BB2327" s="197">
        <v>48348</v>
      </c>
    </row>
    <row r="2328" spans="54:54">
      <c r="BB2328" s="197">
        <v>48349</v>
      </c>
    </row>
    <row r="2329" spans="54:54">
      <c r="BB2329" s="197">
        <v>48350</v>
      </c>
    </row>
    <row r="2330" spans="54:54">
      <c r="BB2330" s="197">
        <v>48351</v>
      </c>
    </row>
    <row r="2331" spans="54:54">
      <c r="BB2331" s="197">
        <v>48352</v>
      </c>
    </row>
    <row r="2332" spans="54:54">
      <c r="BB2332" s="197">
        <v>48353</v>
      </c>
    </row>
    <row r="2333" spans="54:54">
      <c r="BB2333" s="197">
        <v>48354</v>
      </c>
    </row>
    <row r="2334" spans="54:54">
      <c r="BB2334" s="197">
        <v>48355</v>
      </c>
    </row>
    <row r="2335" spans="54:54">
      <c r="BB2335" s="197">
        <v>48356</v>
      </c>
    </row>
    <row r="2336" spans="54:54">
      <c r="BB2336" s="197">
        <v>48357</v>
      </c>
    </row>
    <row r="2337" spans="54:54">
      <c r="BB2337" s="197">
        <v>48358</v>
      </c>
    </row>
    <row r="2338" spans="54:54">
      <c r="BB2338" s="197">
        <v>48359</v>
      </c>
    </row>
    <row r="2339" spans="54:54">
      <c r="BB2339" s="197">
        <v>48360</v>
      </c>
    </row>
    <row r="2340" spans="54:54">
      <c r="BB2340" s="197">
        <v>48361</v>
      </c>
    </row>
    <row r="2341" spans="54:54">
      <c r="BB2341" s="197">
        <v>48362</v>
      </c>
    </row>
    <row r="2342" spans="54:54">
      <c r="BB2342" s="197">
        <v>48363</v>
      </c>
    </row>
    <row r="2343" spans="54:54">
      <c r="BB2343" s="197">
        <v>48364</v>
      </c>
    </row>
    <row r="2344" spans="54:54">
      <c r="BB2344" s="197">
        <v>48365</v>
      </c>
    </row>
    <row r="2345" spans="54:54">
      <c r="BB2345" s="197">
        <v>48366</v>
      </c>
    </row>
    <row r="2346" spans="54:54">
      <c r="BB2346" s="197">
        <v>48367</v>
      </c>
    </row>
    <row r="2347" spans="54:54">
      <c r="BB2347" s="197">
        <v>48368</v>
      </c>
    </row>
    <row r="2348" spans="54:54">
      <c r="BB2348" s="197">
        <v>48369</v>
      </c>
    </row>
    <row r="2349" spans="54:54">
      <c r="BB2349" s="197">
        <v>48370</v>
      </c>
    </row>
    <row r="2350" spans="54:54">
      <c r="BB2350" s="197">
        <v>48371</v>
      </c>
    </row>
    <row r="2351" spans="54:54">
      <c r="BB2351" s="197">
        <v>48372</v>
      </c>
    </row>
    <row r="2352" spans="54:54">
      <c r="BB2352" s="197">
        <v>48373</v>
      </c>
    </row>
    <row r="2353" spans="54:54">
      <c r="BB2353" s="197">
        <v>48374</v>
      </c>
    </row>
    <row r="2354" spans="54:54">
      <c r="BB2354" s="197">
        <v>48375</v>
      </c>
    </row>
    <row r="2355" spans="54:54">
      <c r="BB2355" s="197">
        <v>48376</v>
      </c>
    </row>
    <row r="2356" spans="54:54">
      <c r="BB2356" s="197">
        <v>48377</v>
      </c>
    </row>
    <row r="2357" spans="54:54">
      <c r="BB2357" s="197">
        <v>48378</v>
      </c>
    </row>
    <row r="2358" spans="54:54">
      <c r="BB2358" s="197">
        <v>48379</v>
      </c>
    </row>
    <row r="2359" spans="54:54">
      <c r="BB2359" s="197">
        <v>48380</v>
      </c>
    </row>
    <row r="2360" spans="54:54">
      <c r="BB2360" s="197">
        <v>48381</v>
      </c>
    </row>
    <row r="2361" spans="54:54">
      <c r="BB2361" s="197">
        <v>48382</v>
      </c>
    </row>
    <row r="2362" spans="54:54">
      <c r="BB2362" s="197">
        <v>48383</v>
      </c>
    </row>
    <row r="2363" spans="54:54">
      <c r="BB2363" s="197">
        <v>48384</v>
      </c>
    </row>
    <row r="2364" spans="54:54">
      <c r="BB2364" s="197">
        <v>48385</v>
      </c>
    </row>
    <row r="2365" spans="54:54">
      <c r="BB2365" s="197">
        <v>48386</v>
      </c>
    </row>
    <row r="2366" spans="54:54">
      <c r="BB2366" s="197">
        <v>48387</v>
      </c>
    </row>
    <row r="2367" spans="54:54">
      <c r="BB2367" s="197">
        <v>48388</v>
      </c>
    </row>
    <row r="2368" spans="54:54">
      <c r="BB2368" s="197">
        <v>48389</v>
      </c>
    </row>
    <row r="2369" spans="54:54">
      <c r="BB2369" s="197">
        <v>48390</v>
      </c>
    </row>
    <row r="2370" spans="54:54">
      <c r="BB2370" s="197">
        <v>48391</v>
      </c>
    </row>
    <row r="2371" spans="54:54">
      <c r="BB2371" s="197">
        <v>48392</v>
      </c>
    </row>
    <row r="2372" spans="54:54">
      <c r="BB2372" s="197">
        <v>48393</v>
      </c>
    </row>
    <row r="2373" spans="54:54">
      <c r="BB2373" s="197">
        <v>48394</v>
      </c>
    </row>
    <row r="2374" spans="54:54">
      <c r="BB2374" s="197">
        <v>48395</v>
      </c>
    </row>
    <row r="2375" spans="54:54">
      <c r="BB2375" s="197">
        <v>48396</v>
      </c>
    </row>
    <row r="2376" spans="54:54">
      <c r="BB2376" s="197">
        <v>48397</v>
      </c>
    </row>
    <row r="2377" spans="54:54">
      <c r="BB2377" s="197">
        <v>48398</v>
      </c>
    </row>
    <row r="2378" spans="54:54">
      <c r="BB2378" s="197">
        <v>48399</v>
      </c>
    </row>
    <row r="2379" spans="54:54">
      <c r="BB2379" s="197">
        <v>48400</v>
      </c>
    </row>
    <row r="2380" spans="54:54">
      <c r="BB2380" s="197">
        <v>48401</v>
      </c>
    </row>
    <row r="2381" spans="54:54">
      <c r="BB2381" s="197">
        <v>48402</v>
      </c>
    </row>
    <row r="2382" spans="54:54">
      <c r="BB2382" s="197">
        <v>48403</v>
      </c>
    </row>
    <row r="2383" spans="54:54">
      <c r="BB2383" s="197">
        <v>48404</v>
      </c>
    </row>
    <row r="2384" spans="54:54">
      <c r="BB2384" s="197">
        <v>48405</v>
      </c>
    </row>
    <row r="2385" spans="54:54">
      <c r="BB2385" s="197">
        <v>48406</v>
      </c>
    </row>
    <row r="2386" spans="54:54">
      <c r="BB2386" s="197">
        <v>48407</v>
      </c>
    </row>
    <row r="2387" spans="54:54">
      <c r="BB2387" s="197">
        <v>48408</v>
      </c>
    </row>
    <row r="2388" spans="54:54">
      <c r="BB2388" s="197">
        <v>48409</v>
      </c>
    </row>
    <row r="2389" spans="54:54">
      <c r="BB2389" s="197">
        <v>48410</v>
      </c>
    </row>
    <row r="2390" spans="54:54">
      <c r="BB2390" s="197">
        <v>48411</v>
      </c>
    </row>
    <row r="2391" spans="54:54">
      <c r="BB2391" s="197">
        <v>48412</v>
      </c>
    </row>
    <row r="2392" spans="54:54">
      <c r="BB2392" s="197">
        <v>48413</v>
      </c>
    </row>
    <row r="2393" spans="54:54">
      <c r="BB2393" s="197">
        <v>48414</v>
      </c>
    </row>
    <row r="2394" spans="54:54">
      <c r="BB2394" s="197">
        <v>48415</v>
      </c>
    </row>
    <row r="2395" spans="54:54">
      <c r="BB2395" s="197">
        <v>48416</v>
      </c>
    </row>
    <row r="2396" spans="54:54">
      <c r="BB2396" s="197">
        <v>48417</v>
      </c>
    </row>
    <row r="2397" spans="54:54">
      <c r="BB2397" s="197">
        <v>48418</v>
      </c>
    </row>
    <row r="2398" spans="54:54">
      <c r="BB2398" s="197">
        <v>48419</v>
      </c>
    </row>
    <row r="2399" spans="54:54">
      <c r="BB2399" s="197">
        <v>48420</v>
      </c>
    </row>
    <row r="2400" spans="54:54">
      <c r="BB2400" s="197">
        <v>48421</v>
      </c>
    </row>
    <row r="2401" spans="54:54">
      <c r="BB2401" s="197">
        <v>48422</v>
      </c>
    </row>
    <row r="2402" spans="54:54">
      <c r="BB2402" s="197">
        <v>48423</v>
      </c>
    </row>
    <row r="2403" spans="54:54">
      <c r="BB2403" s="197">
        <v>48424</v>
      </c>
    </row>
    <row r="2404" spans="54:54">
      <c r="BB2404" s="197">
        <v>48425</v>
      </c>
    </row>
    <row r="2405" spans="54:54">
      <c r="BB2405" s="197">
        <v>48426</v>
      </c>
    </row>
    <row r="2406" spans="54:54">
      <c r="BB2406" s="197">
        <v>48427</v>
      </c>
    </row>
    <row r="2407" spans="54:54">
      <c r="BB2407" s="197">
        <v>48428</v>
      </c>
    </row>
    <row r="2408" spans="54:54">
      <c r="BB2408" s="197">
        <v>48429</v>
      </c>
    </row>
    <row r="2409" spans="54:54">
      <c r="BB2409" s="197">
        <v>48430</v>
      </c>
    </row>
    <row r="2410" spans="54:54">
      <c r="BB2410" s="197">
        <v>48431</v>
      </c>
    </row>
    <row r="2411" spans="54:54">
      <c r="BB2411" s="197">
        <v>48432</v>
      </c>
    </row>
    <row r="2412" spans="54:54">
      <c r="BB2412" s="197">
        <v>48433</v>
      </c>
    </row>
    <row r="2413" spans="54:54">
      <c r="BB2413" s="197">
        <v>48434</v>
      </c>
    </row>
    <row r="2414" spans="54:54">
      <c r="BB2414" s="197">
        <v>48435</v>
      </c>
    </row>
    <row r="2415" spans="54:54">
      <c r="BB2415" s="197">
        <v>48436</v>
      </c>
    </row>
    <row r="2416" spans="54:54">
      <c r="BB2416" s="197">
        <v>48437</v>
      </c>
    </row>
    <row r="2417" spans="54:54">
      <c r="BB2417" s="197">
        <v>48438</v>
      </c>
    </row>
    <row r="2418" spans="54:54">
      <c r="BB2418" s="197">
        <v>48439</v>
      </c>
    </row>
    <row r="2419" spans="54:54">
      <c r="BB2419" s="197">
        <v>48440</v>
      </c>
    </row>
    <row r="2420" spans="54:54">
      <c r="BB2420" s="197">
        <v>48441</v>
      </c>
    </row>
    <row r="2421" spans="54:54">
      <c r="BB2421" s="197">
        <v>48442</v>
      </c>
    </row>
    <row r="2422" spans="54:54">
      <c r="BB2422" s="197">
        <v>48443</v>
      </c>
    </row>
    <row r="2423" spans="54:54">
      <c r="BB2423" s="197">
        <v>48444</v>
      </c>
    </row>
    <row r="2424" spans="54:54">
      <c r="BB2424" s="197">
        <v>48445</v>
      </c>
    </row>
    <row r="2425" spans="54:54">
      <c r="BB2425" s="197">
        <v>48446</v>
      </c>
    </row>
    <row r="2426" spans="54:54">
      <c r="BB2426" s="197">
        <v>48447</v>
      </c>
    </row>
    <row r="2427" spans="54:54">
      <c r="BB2427" s="197">
        <v>48448</v>
      </c>
    </row>
    <row r="2428" spans="54:54">
      <c r="BB2428" s="197">
        <v>48449</v>
      </c>
    </row>
    <row r="2429" spans="54:54">
      <c r="BB2429" s="197">
        <v>48450</v>
      </c>
    </row>
    <row r="2430" spans="54:54">
      <c r="BB2430" s="197">
        <v>48451</v>
      </c>
    </row>
    <row r="2431" spans="54:54">
      <c r="BB2431" s="197">
        <v>48452</v>
      </c>
    </row>
    <row r="2432" spans="54:54">
      <c r="BB2432" s="197">
        <v>48453</v>
      </c>
    </row>
    <row r="2433" spans="54:54">
      <c r="BB2433" s="197">
        <v>48454</v>
      </c>
    </row>
    <row r="2434" spans="54:54">
      <c r="BB2434" s="197">
        <v>48455</v>
      </c>
    </row>
    <row r="2435" spans="54:54">
      <c r="BB2435" s="197">
        <v>48456</v>
      </c>
    </row>
    <row r="2436" spans="54:54">
      <c r="BB2436" s="197">
        <v>48457</v>
      </c>
    </row>
    <row r="2437" spans="54:54">
      <c r="BB2437" s="197">
        <v>48458</v>
      </c>
    </row>
    <row r="2438" spans="54:54">
      <c r="BB2438" s="197">
        <v>48459</v>
      </c>
    </row>
    <row r="2439" spans="54:54">
      <c r="BB2439" s="197">
        <v>48460</v>
      </c>
    </row>
    <row r="2440" spans="54:54">
      <c r="BB2440" s="197">
        <v>48461</v>
      </c>
    </row>
    <row r="2441" spans="54:54">
      <c r="BB2441" s="197">
        <v>48462</v>
      </c>
    </row>
    <row r="2442" spans="54:54">
      <c r="BB2442" s="197">
        <v>48463</v>
      </c>
    </row>
    <row r="2443" spans="54:54">
      <c r="BB2443" s="197">
        <v>48464</v>
      </c>
    </row>
    <row r="2444" spans="54:54">
      <c r="BB2444" s="197">
        <v>48465</v>
      </c>
    </row>
    <row r="2445" spans="54:54">
      <c r="BB2445" s="197">
        <v>48466</v>
      </c>
    </row>
    <row r="2446" spans="54:54">
      <c r="BB2446" s="197">
        <v>48467</v>
      </c>
    </row>
    <row r="2447" spans="54:54">
      <c r="BB2447" s="197">
        <v>48468</v>
      </c>
    </row>
    <row r="2448" spans="54:54">
      <c r="BB2448" s="197">
        <v>48469</v>
      </c>
    </row>
    <row r="2449" spans="54:54">
      <c r="BB2449" s="197">
        <v>48470</v>
      </c>
    </row>
    <row r="2450" spans="54:54">
      <c r="BB2450" s="197">
        <v>48471</v>
      </c>
    </row>
    <row r="2451" spans="54:54">
      <c r="BB2451" s="197">
        <v>48472</v>
      </c>
    </row>
    <row r="2452" spans="54:54">
      <c r="BB2452" s="197">
        <v>48473</v>
      </c>
    </row>
    <row r="2453" spans="54:54">
      <c r="BB2453" s="197">
        <v>48474</v>
      </c>
    </row>
    <row r="2454" spans="54:54">
      <c r="BB2454" s="197">
        <v>48475</v>
      </c>
    </row>
    <row r="2455" spans="54:54">
      <c r="BB2455" s="197">
        <v>48476</v>
      </c>
    </row>
    <row r="2456" spans="54:54">
      <c r="BB2456" s="197">
        <v>48477</v>
      </c>
    </row>
    <row r="2457" spans="54:54">
      <c r="BB2457" s="197">
        <v>48478</v>
      </c>
    </row>
    <row r="2458" spans="54:54">
      <c r="BB2458" s="197">
        <v>48479</v>
      </c>
    </row>
    <row r="2459" spans="54:54">
      <c r="BB2459" s="197">
        <v>48480</v>
      </c>
    </row>
    <row r="2460" spans="54:54">
      <c r="BB2460" s="197">
        <v>48481</v>
      </c>
    </row>
    <row r="2461" spans="54:54">
      <c r="BB2461" s="197">
        <v>48482</v>
      </c>
    </row>
    <row r="2462" spans="54:54">
      <c r="BB2462" s="197">
        <v>48483</v>
      </c>
    </row>
    <row r="2463" spans="54:54">
      <c r="BB2463" s="197">
        <v>48484</v>
      </c>
    </row>
    <row r="2464" spans="54:54">
      <c r="BB2464" s="197">
        <v>48485</v>
      </c>
    </row>
    <row r="2465" spans="54:54">
      <c r="BB2465" s="197">
        <v>48486</v>
      </c>
    </row>
    <row r="2466" spans="54:54">
      <c r="BB2466" s="197">
        <v>48487</v>
      </c>
    </row>
    <row r="2467" spans="54:54">
      <c r="BB2467" s="197">
        <v>48488</v>
      </c>
    </row>
    <row r="2468" spans="54:54">
      <c r="BB2468" s="197">
        <v>48489</v>
      </c>
    </row>
    <row r="2469" spans="54:54">
      <c r="BB2469" s="197">
        <v>48490</v>
      </c>
    </row>
    <row r="2470" spans="54:54">
      <c r="BB2470" s="197">
        <v>48491</v>
      </c>
    </row>
    <row r="2471" spans="54:54">
      <c r="BB2471" s="197">
        <v>48492</v>
      </c>
    </row>
    <row r="2472" spans="54:54">
      <c r="BB2472" s="197">
        <v>48493</v>
      </c>
    </row>
    <row r="2473" spans="54:54">
      <c r="BB2473" s="197">
        <v>48494</v>
      </c>
    </row>
    <row r="2474" spans="54:54">
      <c r="BB2474" s="197">
        <v>48495</v>
      </c>
    </row>
    <row r="2475" spans="54:54">
      <c r="BB2475" s="197">
        <v>48496</v>
      </c>
    </row>
    <row r="2476" spans="54:54">
      <c r="BB2476" s="197">
        <v>48497</v>
      </c>
    </row>
    <row r="2477" spans="54:54">
      <c r="BB2477" s="197">
        <v>48498</v>
      </c>
    </row>
    <row r="2478" spans="54:54">
      <c r="BB2478" s="197">
        <v>48499</v>
      </c>
    </row>
    <row r="2479" spans="54:54">
      <c r="BB2479" s="197">
        <v>48500</v>
      </c>
    </row>
    <row r="2480" spans="54:54">
      <c r="BB2480" s="197">
        <v>48501</v>
      </c>
    </row>
    <row r="2481" spans="54:54">
      <c r="BB2481" s="197">
        <v>48502</v>
      </c>
    </row>
    <row r="2482" spans="54:54">
      <c r="BB2482" s="197">
        <v>48503</v>
      </c>
    </row>
    <row r="2483" spans="54:54">
      <c r="BB2483" s="197">
        <v>48504</v>
      </c>
    </row>
    <row r="2484" spans="54:54">
      <c r="BB2484" s="197">
        <v>48505</v>
      </c>
    </row>
    <row r="2485" spans="54:54">
      <c r="BB2485" s="197">
        <v>48506</v>
      </c>
    </row>
    <row r="2486" spans="54:54">
      <c r="BB2486" s="197">
        <v>48507</v>
      </c>
    </row>
    <row r="2487" spans="54:54">
      <c r="BB2487" s="197">
        <v>48508</v>
      </c>
    </row>
    <row r="2488" spans="54:54">
      <c r="BB2488" s="197">
        <v>48509</v>
      </c>
    </row>
    <row r="2489" spans="54:54">
      <c r="BB2489" s="197">
        <v>48510</v>
      </c>
    </row>
    <row r="2490" spans="54:54">
      <c r="BB2490" s="197">
        <v>48511</v>
      </c>
    </row>
    <row r="2491" spans="54:54">
      <c r="BB2491" s="197">
        <v>48512</v>
      </c>
    </row>
    <row r="2492" spans="54:54">
      <c r="BB2492" s="197">
        <v>48513</v>
      </c>
    </row>
    <row r="2493" spans="54:54">
      <c r="BB2493" s="197">
        <v>48514</v>
      </c>
    </row>
    <row r="2494" spans="54:54">
      <c r="BB2494" s="197">
        <v>48515</v>
      </c>
    </row>
    <row r="2495" spans="54:54">
      <c r="BB2495" s="197">
        <v>48516</v>
      </c>
    </row>
    <row r="2496" spans="54:54">
      <c r="BB2496" s="197">
        <v>48517</v>
      </c>
    </row>
    <row r="2497" spans="54:54">
      <c r="BB2497" s="197">
        <v>48518</v>
      </c>
    </row>
    <row r="2498" spans="54:54">
      <c r="BB2498" s="197">
        <v>48519</v>
      </c>
    </row>
    <row r="2499" spans="54:54">
      <c r="BB2499" s="197">
        <v>48520</v>
      </c>
    </row>
    <row r="2500" spans="54:54">
      <c r="BB2500" s="197">
        <v>48521</v>
      </c>
    </row>
    <row r="2501" spans="54:54">
      <c r="BB2501" s="197">
        <v>48522</v>
      </c>
    </row>
    <row r="2502" spans="54:54">
      <c r="BB2502" s="197">
        <v>48523</v>
      </c>
    </row>
    <row r="2503" spans="54:54">
      <c r="BB2503" s="197">
        <v>48524</v>
      </c>
    </row>
    <row r="2504" spans="54:54">
      <c r="BB2504" s="197">
        <v>48525</v>
      </c>
    </row>
    <row r="2505" spans="54:54">
      <c r="BB2505" s="197">
        <v>48526</v>
      </c>
    </row>
    <row r="2506" spans="54:54">
      <c r="BB2506" s="197">
        <v>48527</v>
      </c>
    </row>
    <row r="2507" spans="54:54">
      <c r="BB2507" s="197">
        <v>48528</v>
      </c>
    </row>
    <row r="2508" spans="54:54">
      <c r="BB2508" s="197">
        <v>48529</v>
      </c>
    </row>
    <row r="2509" spans="54:54">
      <c r="BB2509" s="197">
        <v>48530</v>
      </c>
    </row>
    <row r="2510" spans="54:54">
      <c r="BB2510" s="197">
        <v>48531</v>
      </c>
    </row>
    <row r="2511" spans="54:54">
      <c r="BB2511" s="197">
        <v>48532</v>
      </c>
    </row>
    <row r="2512" spans="54:54">
      <c r="BB2512" s="197">
        <v>48533</v>
      </c>
    </row>
    <row r="2513" spans="54:54">
      <c r="BB2513" s="197">
        <v>48534</v>
      </c>
    </row>
    <row r="2514" spans="54:54">
      <c r="BB2514" s="197">
        <v>48535</v>
      </c>
    </row>
    <row r="2515" spans="54:54">
      <c r="BB2515" s="197">
        <v>48536</v>
      </c>
    </row>
    <row r="2516" spans="54:54">
      <c r="BB2516" s="197">
        <v>48537</v>
      </c>
    </row>
    <row r="2517" spans="54:54">
      <c r="BB2517" s="197">
        <v>48538</v>
      </c>
    </row>
    <row r="2518" spans="54:54">
      <c r="BB2518" s="197">
        <v>48539</v>
      </c>
    </row>
    <row r="2519" spans="54:54">
      <c r="BB2519" s="197">
        <v>48540</v>
      </c>
    </row>
    <row r="2520" spans="54:54">
      <c r="BB2520" s="197">
        <v>48541</v>
      </c>
    </row>
    <row r="2521" spans="54:54">
      <c r="BB2521" s="197">
        <v>48542</v>
      </c>
    </row>
    <row r="2522" spans="54:54">
      <c r="BB2522" s="197">
        <v>48543</v>
      </c>
    </row>
    <row r="2523" spans="54:54">
      <c r="BB2523" s="197">
        <v>48544</v>
      </c>
    </row>
    <row r="2524" spans="54:54">
      <c r="BB2524" s="197">
        <v>48545</v>
      </c>
    </row>
    <row r="2525" spans="54:54">
      <c r="BB2525" s="197">
        <v>48546</v>
      </c>
    </row>
    <row r="2526" spans="54:54">
      <c r="BB2526" s="197">
        <v>48547</v>
      </c>
    </row>
    <row r="2527" spans="54:54">
      <c r="BB2527" s="197">
        <v>48548</v>
      </c>
    </row>
    <row r="2528" spans="54:54">
      <c r="BB2528" s="197">
        <v>48549</v>
      </c>
    </row>
    <row r="2529" spans="54:54">
      <c r="BB2529" s="197">
        <v>48550</v>
      </c>
    </row>
    <row r="2530" spans="54:54">
      <c r="BB2530" s="197">
        <v>48551</v>
      </c>
    </row>
    <row r="2531" spans="54:54">
      <c r="BB2531" s="197">
        <v>48552</v>
      </c>
    </row>
    <row r="2532" spans="54:54">
      <c r="BB2532" s="197">
        <v>48553</v>
      </c>
    </row>
    <row r="2533" spans="54:54">
      <c r="BB2533" s="197">
        <v>48554</v>
      </c>
    </row>
    <row r="2534" spans="54:54">
      <c r="BB2534" s="197">
        <v>48555</v>
      </c>
    </row>
    <row r="2535" spans="54:54">
      <c r="BB2535" s="197">
        <v>48556</v>
      </c>
    </row>
    <row r="2536" spans="54:54">
      <c r="BB2536" s="197">
        <v>48557</v>
      </c>
    </row>
    <row r="2537" spans="54:54">
      <c r="BB2537" s="197">
        <v>48558</v>
      </c>
    </row>
    <row r="2538" spans="54:54">
      <c r="BB2538" s="197">
        <v>48559</v>
      </c>
    </row>
    <row r="2539" spans="54:54">
      <c r="BB2539" s="197">
        <v>48560</v>
      </c>
    </row>
    <row r="2540" spans="54:54">
      <c r="BB2540" s="197">
        <v>48561</v>
      </c>
    </row>
    <row r="2541" spans="54:54">
      <c r="BB2541" s="197">
        <v>48562</v>
      </c>
    </row>
    <row r="2542" spans="54:54">
      <c r="BB2542" s="197">
        <v>48563</v>
      </c>
    </row>
    <row r="2543" spans="54:54">
      <c r="BB2543" s="197">
        <v>48564</v>
      </c>
    </row>
    <row r="2544" spans="54:54">
      <c r="BB2544" s="197">
        <v>48565</v>
      </c>
    </row>
    <row r="2545" spans="54:54">
      <c r="BB2545" s="197">
        <v>48566</v>
      </c>
    </row>
    <row r="2546" spans="54:54">
      <c r="BB2546" s="197">
        <v>48567</v>
      </c>
    </row>
    <row r="2547" spans="54:54">
      <c r="BB2547" s="197">
        <v>48568</v>
      </c>
    </row>
    <row r="2548" spans="54:54">
      <c r="BB2548" s="197">
        <v>48569</v>
      </c>
    </row>
    <row r="2549" spans="54:54">
      <c r="BB2549" s="197">
        <v>48570</v>
      </c>
    </row>
    <row r="2550" spans="54:54">
      <c r="BB2550" s="197">
        <v>48571</v>
      </c>
    </row>
    <row r="2551" spans="54:54">
      <c r="BB2551" s="197">
        <v>48572</v>
      </c>
    </row>
    <row r="2552" spans="54:54">
      <c r="BB2552" s="197">
        <v>48573</v>
      </c>
    </row>
    <row r="2553" spans="54:54">
      <c r="BB2553" s="197">
        <v>48574</v>
      </c>
    </row>
    <row r="2554" spans="54:54">
      <c r="BB2554" s="197">
        <v>48575</v>
      </c>
    </row>
    <row r="2555" spans="54:54">
      <c r="BB2555" s="197">
        <v>48576</v>
      </c>
    </row>
    <row r="2556" spans="54:54">
      <c r="BB2556" s="197">
        <v>48577</v>
      </c>
    </row>
    <row r="2557" spans="54:54">
      <c r="BB2557" s="197">
        <v>48578</v>
      </c>
    </row>
    <row r="2558" spans="54:54">
      <c r="BB2558" s="197">
        <v>48579</v>
      </c>
    </row>
    <row r="2559" spans="54:54">
      <c r="BB2559" s="197">
        <v>48580</v>
      </c>
    </row>
    <row r="2560" spans="54:54">
      <c r="BB2560" s="197">
        <v>48581</v>
      </c>
    </row>
    <row r="2561" spans="54:54">
      <c r="BB2561" s="197">
        <v>48582</v>
      </c>
    </row>
    <row r="2562" spans="54:54">
      <c r="BB2562" s="197">
        <v>48583</v>
      </c>
    </row>
    <row r="2563" spans="54:54">
      <c r="BB2563" s="197">
        <v>48584</v>
      </c>
    </row>
    <row r="2564" spans="54:54">
      <c r="BB2564" s="197">
        <v>48585</v>
      </c>
    </row>
    <row r="2565" spans="54:54">
      <c r="BB2565" s="197">
        <v>48586</v>
      </c>
    </row>
    <row r="2566" spans="54:54">
      <c r="BB2566" s="197">
        <v>48587</v>
      </c>
    </row>
    <row r="2567" spans="54:54">
      <c r="BB2567" s="197">
        <v>48588</v>
      </c>
    </row>
    <row r="2568" spans="54:54">
      <c r="BB2568" s="197">
        <v>48589</v>
      </c>
    </row>
    <row r="2569" spans="54:54">
      <c r="BB2569" s="197">
        <v>48590</v>
      </c>
    </row>
    <row r="2570" spans="54:54">
      <c r="BB2570" s="197">
        <v>48591</v>
      </c>
    </row>
    <row r="2571" spans="54:54">
      <c r="BB2571" s="197">
        <v>48592</v>
      </c>
    </row>
    <row r="2572" spans="54:54">
      <c r="BB2572" s="197">
        <v>48593</v>
      </c>
    </row>
    <row r="2573" spans="54:54">
      <c r="BB2573" s="197">
        <v>48594</v>
      </c>
    </row>
    <row r="2574" spans="54:54">
      <c r="BB2574" s="197">
        <v>48595</v>
      </c>
    </row>
    <row r="2575" spans="54:54">
      <c r="BB2575" s="197">
        <v>48596</v>
      </c>
    </row>
    <row r="2576" spans="54:54">
      <c r="BB2576" s="197">
        <v>48597</v>
      </c>
    </row>
    <row r="2577" spans="54:54">
      <c r="BB2577" s="197">
        <v>48598</v>
      </c>
    </row>
    <row r="2578" spans="54:54">
      <c r="BB2578" s="197">
        <v>48599</v>
      </c>
    </row>
    <row r="2579" spans="54:54">
      <c r="BB2579" s="197">
        <v>48600</v>
      </c>
    </row>
    <row r="2580" spans="54:54">
      <c r="BB2580" s="197">
        <v>48601</v>
      </c>
    </row>
    <row r="2581" spans="54:54">
      <c r="BB2581" s="197">
        <v>48602</v>
      </c>
    </row>
    <row r="2582" spans="54:54">
      <c r="BB2582" s="197">
        <v>48603</v>
      </c>
    </row>
    <row r="2583" spans="54:54">
      <c r="BB2583" s="197">
        <v>48604</v>
      </c>
    </row>
    <row r="2584" spans="54:54">
      <c r="BB2584" s="197">
        <v>48605</v>
      </c>
    </row>
    <row r="2585" spans="54:54">
      <c r="BB2585" s="197">
        <v>48606</v>
      </c>
    </row>
    <row r="2586" spans="54:54">
      <c r="BB2586" s="197">
        <v>48607</v>
      </c>
    </row>
    <row r="2587" spans="54:54">
      <c r="BB2587" s="197">
        <v>48608</v>
      </c>
    </row>
    <row r="2588" spans="54:54">
      <c r="BB2588" s="197">
        <v>48609</v>
      </c>
    </row>
    <row r="2589" spans="54:54">
      <c r="BB2589" s="197">
        <v>48610</v>
      </c>
    </row>
    <row r="2590" spans="54:54">
      <c r="BB2590" s="197">
        <v>48611</v>
      </c>
    </row>
    <row r="2591" spans="54:54">
      <c r="BB2591" s="197">
        <v>48612</v>
      </c>
    </row>
    <row r="2592" spans="54:54">
      <c r="BB2592" s="197">
        <v>48613</v>
      </c>
    </row>
    <row r="2593" spans="54:54">
      <c r="BB2593" s="197">
        <v>48614</v>
      </c>
    </row>
    <row r="2594" spans="54:54">
      <c r="BB2594" s="197">
        <v>48615</v>
      </c>
    </row>
    <row r="2595" spans="54:54">
      <c r="BB2595" s="197">
        <v>48616</v>
      </c>
    </row>
    <row r="2596" spans="54:54">
      <c r="BB2596" s="197">
        <v>48617</v>
      </c>
    </row>
    <row r="2597" spans="54:54">
      <c r="BB2597" s="197">
        <v>48618</v>
      </c>
    </row>
    <row r="2598" spans="54:54">
      <c r="BB2598" s="197">
        <v>48619</v>
      </c>
    </row>
    <row r="2599" spans="54:54">
      <c r="BB2599" s="197">
        <v>48620</v>
      </c>
    </row>
    <row r="2600" spans="54:54">
      <c r="BB2600" s="197">
        <v>48621</v>
      </c>
    </row>
    <row r="2601" spans="54:54">
      <c r="BB2601" s="197">
        <v>48622</v>
      </c>
    </row>
    <row r="2602" spans="54:54">
      <c r="BB2602" s="197">
        <v>48623</v>
      </c>
    </row>
    <row r="2603" spans="54:54">
      <c r="BB2603" s="197">
        <v>48624</v>
      </c>
    </row>
    <row r="2604" spans="54:54">
      <c r="BB2604" s="197">
        <v>48625</v>
      </c>
    </row>
    <row r="2605" spans="54:54">
      <c r="BB2605" s="197">
        <v>48626</v>
      </c>
    </row>
    <row r="2606" spans="54:54">
      <c r="BB2606" s="197">
        <v>48627</v>
      </c>
    </row>
    <row r="2607" spans="54:54">
      <c r="BB2607" s="197">
        <v>48628</v>
      </c>
    </row>
    <row r="2608" spans="54:54">
      <c r="BB2608" s="197">
        <v>48629</v>
      </c>
    </row>
    <row r="2609" spans="54:54">
      <c r="BB2609" s="197">
        <v>48630</v>
      </c>
    </row>
    <row r="2610" spans="54:54">
      <c r="BB2610" s="197">
        <v>48631</v>
      </c>
    </row>
    <row r="2611" spans="54:54">
      <c r="BB2611" s="197">
        <v>48632</v>
      </c>
    </row>
    <row r="2612" spans="54:54">
      <c r="BB2612" s="197">
        <v>48633</v>
      </c>
    </row>
    <row r="2613" spans="54:54">
      <c r="BB2613" s="197">
        <v>48634</v>
      </c>
    </row>
    <row r="2614" spans="54:54">
      <c r="BB2614" s="197">
        <v>48635</v>
      </c>
    </row>
    <row r="2615" spans="54:54">
      <c r="BB2615" s="197">
        <v>48636</v>
      </c>
    </row>
    <row r="2616" spans="54:54">
      <c r="BB2616" s="197">
        <v>48637</v>
      </c>
    </row>
    <row r="2617" spans="54:54">
      <c r="BB2617" s="197">
        <v>48638</v>
      </c>
    </row>
    <row r="2618" spans="54:54">
      <c r="BB2618" s="197">
        <v>48639</v>
      </c>
    </row>
    <row r="2619" spans="54:54">
      <c r="BB2619" s="197">
        <v>48640</v>
      </c>
    </row>
    <row r="2620" spans="54:54">
      <c r="BB2620" s="197">
        <v>48641</v>
      </c>
    </row>
    <row r="2621" spans="54:54">
      <c r="BB2621" s="197">
        <v>48642</v>
      </c>
    </row>
    <row r="2622" spans="54:54">
      <c r="BB2622" s="197">
        <v>48643</v>
      </c>
    </row>
    <row r="2623" spans="54:54">
      <c r="BB2623" s="197">
        <v>48644</v>
      </c>
    </row>
    <row r="2624" spans="54:54">
      <c r="BB2624" s="197">
        <v>48645</v>
      </c>
    </row>
    <row r="2625" spans="54:54">
      <c r="BB2625" s="197">
        <v>48646</v>
      </c>
    </row>
    <row r="2626" spans="54:54">
      <c r="BB2626" s="197">
        <v>48647</v>
      </c>
    </row>
    <row r="2627" spans="54:54">
      <c r="BB2627" s="197">
        <v>48648</v>
      </c>
    </row>
    <row r="2628" spans="54:54">
      <c r="BB2628" s="197">
        <v>48649</v>
      </c>
    </row>
    <row r="2629" spans="54:54">
      <c r="BB2629" s="197">
        <v>48650</v>
      </c>
    </row>
    <row r="2630" spans="54:54">
      <c r="BB2630" s="197">
        <v>48651</v>
      </c>
    </row>
    <row r="2631" spans="54:54">
      <c r="BB2631" s="197">
        <v>48652</v>
      </c>
    </row>
    <row r="2632" spans="54:54">
      <c r="BB2632" s="197">
        <v>48653</v>
      </c>
    </row>
    <row r="2633" spans="54:54">
      <c r="BB2633" s="197">
        <v>48654</v>
      </c>
    </row>
    <row r="2634" spans="54:54">
      <c r="BB2634" s="197">
        <v>48655</v>
      </c>
    </row>
    <row r="2635" spans="54:54">
      <c r="BB2635" s="197">
        <v>48656</v>
      </c>
    </row>
    <row r="2636" spans="54:54">
      <c r="BB2636" s="197">
        <v>48657</v>
      </c>
    </row>
    <row r="2637" spans="54:54">
      <c r="BB2637" s="197">
        <v>48658</v>
      </c>
    </row>
    <row r="2638" spans="54:54">
      <c r="BB2638" s="197">
        <v>48659</v>
      </c>
    </row>
    <row r="2639" spans="54:54">
      <c r="BB2639" s="197">
        <v>48660</v>
      </c>
    </row>
    <row r="2640" spans="54:54">
      <c r="BB2640" s="197">
        <v>48661</v>
      </c>
    </row>
    <row r="2641" spans="54:54">
      <c r="BB2641" s="197">
        <v>48662</v>
      </c>
    </row>
    <row r="2642" spans="54:54">
      <c r="BB2642" s="197">
        <v>48663</v>
      </c>
    </row>
    <row r="2643" spans="54:54">
      <c r="BB2643" s="197">
        <v>48664</v>
      </c>
    </row>
    <row r="2644" spans="54:54">
      <c r="BB2644" s="197">
        <v>48665</v>
      </c>
    </row>
    <row r="2645" spans="54:54">
      <c r="BB2645" s="197">
        <v>48666</v>
      </c>
    </row>
    <row r="2646" spans="54:54">
      <c r="BB2646" s="197">
        <v>48667</v>
      </c>
    </row>
    <row r="2647" spans="54:54">
      <c r="BB2647" s="197">
        <v>48668</v>
      </c>
    </row>
    <row r="2648" spans="54:54">
      <c r="BB2648" s="197">
        <v>48669</v>
      </c>
    </row>
    <row r="2649" spans="54:54">
      <c r="BB2649" s="197">
        <v>48670</v>
      </c>
    </row>
    <row r="2650" spans="54:54">
      <c r="BB2650" s="197">
        <v>48671</v>
      </c>
    </row>
    <row r="2651" spans="54:54">
      <c r="BB2651" s="197">
        <v>48672</v>
      </c>
    </row>
    <row r="2652" spans="54:54">
      <c r="BB2652" s="197">
        <v>48673</v>
      </c>
    </row>
    <row r="2653" spans="54:54">
      <c r="BB2653" s="197">
        <v>48674</v>
      </c>
    </row>
    <row r="2654" spans="54:54">
      <c r="BB2654" s="197">
        <v>48675</v>
      </c>
    </row>
    <row r="2655" spans="54:54">
      <c r="BB2655" s="197">
        <v>48676</v>
      </c>
    </row>
    <row r="2656" spans="54:54">
      <c r="BB2656" s="197">
        <v>48677</v>
      </c>
    </row>
    <row r="2657" spans="54:54">
      <c r="BB2657" s="197">
        <v>48678</v>
      </c>
    </row>
    <row r="2658" spans="54:54">
      <c r="BB2658" s="197">
        <v>48679</v>
      </c>
    </row>
    <row r="2659" spans="54:54">
      <c r="BB2659" s="197">
        <v>48680</v>
      </c>
    </row>
    <row r="2660" spans="54:54">
      <c r="BB2660" s="197">
        <v>48681</v>
      </c>
    </row>
    <row r="2661" spans="54:54">
      <c r="BB2661" s="197">
        <v>48682</v>
      </c>
    </row>
    <row r="2662" spans="54:54">
      <c r="BB2662" s="197">
        <v>48683</v>
      </c>
    </row>
    <row r="2663" spans="54:54">
      <c r="BB2663" s="197">
        <v>48684</v>
      </c>
    </row>
    <row r="2664" spans="54:54">
      <c r="BB2664" s="197">
        <v>48685</v>
      </c>
    </row>
    <row r="2665" spans="54:54">
      <c r="BB2665" s="197">
        <v>48686</v>
      </c>
    </row>
    <row r="2666" spans="54:54">
      <c r="BB2666" s="197">
        <v>48687</v>
      </c>
    </row>
    <row r="2667" spans="54:54">
      <c r="BB2667" s="197">
        <v>48688</v>
      </c>
    </row>
    <row r="2668" spans="54:54">
      <c r="BB2668" s="197">
        <v>48689</v>
      </c>
    </row>
    <row r="2669" spans="54:54">
      <c r="BB2669" s="197">
        <v>48690</v>
      </c>
    </row>
    <row r="2670" spans="54:54">
      <c r="BB2670" s="197">
        <v>48691</v>
      </c>
    </row>
    <row r="2671" spans="54:54">
      <c r="BB2671" s="197">
        <v>48692</v>
      </c>
    </row>
    <row r="2672" spans="54:54">
      <c r="BB2672" s="197">
        <v>48693</v>
      </c>
    </row>
    <row r="2673" spans="54:54">
      <c r="BB2673" s="197">
        <v>48694</v>
      </c>
    </row>
    <row r="2674" spans="54:54">
      <c r="BB2674" s="197">
        <v>48695</v>
      </c>
    </row>
    <row r="2675" spans="54:54">
      <c r="BB2675" s="197">
        <v>48696</v>
      </c>
    </row>
    <row r="2676" spans="54:54">
      <c r="BB2676" s="197">
        <v>48697</v>
      </c>
    </row>
    <row r="2677" spans="54:54">
      <c r="BB2677" s="197">
        <v>48698</v>
      </c>
    </row>
    <row r="2678" spans="54:54">
      <c r="BB2678" s="197">
        <v>48699</v>
      </c>
    </row>
    <row r="2679" spans="54:54">
      <c r="BB2679" s="197">
        <v>48700</v>
      </c>
    </row>
    <row r="2680" spans="54:54">
      <c r="BB2680" s="197">
        <v>48701</v>
      </c>
    </row>
    <row r="2681" spans="54:54">
      <c r="BB2681" s="197">
        <v>48702</v>
      </c>
    </row>
    <row r="2682" spans="54:54">
      <c r="BB2682" s="197">
        <v>48703</v>
      </c>
    </row>
    <row r="2683" spans="54:54">
      <c r="BB2683" s="197">
        <v>48704</v>
      </c>
    </row>
    <row r="2684" spans="54:54">
      <c r="BB2684" s="197">
        <v>48705</v>
      </c>
    </row>
    <row r="2685" spans="54:54">
      <c r="BB2685" s="197">
        <v>48706</v>
      </c>
    </row>
    <row r="2686" spans="54:54">
      <c r="BB2686" s="197">
        <v>48707</v>
      </c>
    </row>
    <row r="2687" spans="54:54">
      <c r="BB2687" s="197">
        <v>48708</v>
      </c>
    </row>
    <row r="2688" spans="54:54">
      <c r="BB2688" s="197">
        <v>48709</v>
      </c>
    </row>
    <row r="2689" spans="54:54">
      <c r="BB2689" s="197">
        <v>48710</v>
      </c>
    </row>
    <row r="2690" spans="54:54">
      <c r="BB2690" s="197">
        <v>48711</v>
      </c>
    </row>
    <row r="2691" spans="54:54">
      <c r="BB2691" s="197">
        <v>48712</v>
      </c>
    </row>
    <row r="2692" spans="54:54">
      <c r="BB2692" s="197">
        <v>48713</v>
      </c>
    </row>
    <row r="2693" spans="54:54">
      <c r="BB2693" s="197">
        <v>48714</v>
      </c>
    </row>
    <row r="2694" spans="54:54">
      <c r="BB2694" s="197">
        <v>48715</v>
      </c>
    </row>
    <row r="2695" spans="54:54">
      <c r="BB2695" s="197">
        <v>48716</v>
      </c>
    </row>
    <row r="2696" spans="54:54">
      <c r="BB2696" s="197">
        <v>48717</v>
      </c>
    </row>
    <row r="2697" spans="54:54">
      <c r="BB2697" s="197">
        <v>48718</v>
      </c>
    </row>
    <row r="2698" spans="54:54">
      <c r="BB2698" s="197">
        <v>48719</v>
      </c>
    </row>
    <row r="2699" spans="54:54">
      <c r="BB2699" s="197">
        <v>48720</v>
      </c>
    </row>
    <row r="2700" spans="54:54">
      <c r="BB2700" s="197">
        <v>48721</v>
      </c>
    </row>
    <row r="2701" spans="54:54">
      <c r="BB2701" s="197">
        <v>48722</v>
      </c>
    </row>
    <row r="2702" spans="54:54">
      <c r="BB2702" s="197">
        <v>48723</v>
      </c>
    </row>
    <row r="2703" spans="54:54">
      <c r="BB2703" s="197">
        <v>48724</v>
      </c>
    </row>
    <row r="2704" spans="54:54">
      <c r="BB2704" s="197">
        <v>48725</v>
      </c>
    </row>
    <row r="2705" spans="54:54">
      <c r="BB2705" s="197">
        <v>48726</v>
      </c>
    </row>
    <row r="2706" spans="54:54">
      <c r="BB2706" s="197">
        <v>48727</v>
      </c>
    </row>
    <row r="2707" spans="54:54">
      <c r="BB2707" s="197">
        <v>48728</v>
      </c>
    </row>
    <row r="2708" spans="54:54">
      <c r="BB2708" s="197">
        <v>48729</v>
      </c>
    </row>
    <row r="2709" spans="54:54">
      <c r="BB2709" s="197">
        <v>48730</v>
      </c>
    </row>
    <row r="2710" spans="54:54">
      <c r="BB2710" s="197">
        <v>48731</v>
      </c>
    </row>
    <row r="2711" spans="54:54">
      <c r="BB2711" s="197">
        <v>48732</v>
      </c>
    </row>
    <row r="2712" spans="54:54">
      <c r="BB2712" s="197">
        <v>48733</v>
      </c>
    </row>
    <row r="2713" spans="54:54">
      <c r="BB2713" s="197">
        <v>48734</v>
      </c>
    </row>
    <row r="2714" spans="54:54">
      <c r="BB2714" s="197">
        <v>48735</v>
      </c>
    </row>
    <row r="2715" spans="54:54">
      <c r="BB2715" s="197">
        <v>48736</v>
      </c>
    </row>
    <row r="2716" spans="54:54">
      <c r="BB2716" s="197">
        <v>48737</v>
      </c>
    </row>
    <row r="2717" spans="54:54">
      <c r="BB2717" s="197">
        <v>48738</v>
      </c>
    </row>
    <row r="2718" spans="54:54">
      <c r="BB2718" s="197">
        <v>48739</v>
      </c>
    </row>
    <row r="2719" spans="54:54">
      <c r="BB2719" s="197">
        <v>48740</v>
      </c>
    </row>
    <row r="2720" spans="54:54">
      <c r="BB2720" s="197">
        <v>48741</v>
      </c>
    </row>
    <row r="2721" spans="54:54">
      <c r="BB2721" s="197">
        <v>48742</v>
      </c>
    </row>
    <row r="2722" spans="54:54">
      <c r="BB2722" s="197">
        <v>48743</v>
      </c>
    </row>
    <row r="2723" spans="54:54">
      <c r="BB2723" s="197">
        <v>48744</v>
      </c>
    </row>
    <row r="2724" spans="54:54">
      <c r="BB2724" s="197">
        <v>48745</v>
      </c>
    </row>
    <row r="2725" spans="54:54">
      <c r="BB2725" s="197">
        <v>48746</v>
      </c>
    </row>
    <row r="2726" spans="54:54">
      <c r="BB2726" s="197">
        <v>48747</v>
      </c>
    </row>
    <row r="2727" spans="54:54">
      <c r="BB2727" s="197">
        <v>48748</v>
      </c>
    </row>
    <row r="2728" spans="54:54">
      <c r="BB2728" s="197">
        <v>48749</v>
      </c>
    </row>
    <row r="2729" spans="54:54">
      <c r="BB2729" s="197">
        <v>48750</v>
      </c>
    </row>
    <row r="2730" spans="54:54">
      <c r="BB2730" s="197">
        <v>48751</v>
      </c>
    </row>
    <row r="2731" spans="54:54">
      <c r="BB2731" s="197">
        <v>48752</v>
      </c>
    </row>
    <row r="2732" spans="54:54">
      <c r="BB2732" s="197">
        <v>48753</v>
      </c>
    </row>
    <row r="2733" spans="54:54">
      <c r="BB2733" s="197">
        <v>48754</v>
      </c>
    </row>
    <row r="2734" spans="54:54">
      <c r="BB2734" s="197">
        <v>48755</v>
      </c>
    </row>
    <row r="2735" spans="54:54">
      <c r="BB2735" s="197">
        <v>48756</v>
      </c>
    </row>
    <row r="2736" spans="54:54">
      <c r="BB2736" s="197">
        <v>48757</v>
      </c>
    </row>
    <row r="2737" spans="54:54">
      <c r="BB2737" s="197">
        <v>48758</v>
      </c>
    </row>
    <row r="2738" spans="54:54">
      <c r="BB2738" s="197">
        <v>48759</v>
      </c>
    </row>
    <row r="2739" spans="54:54">
      <c r="BB2739" s="197">
        <v>48760</v>
      </c>
    </row>
    <row r="2740" spans="54:54">
      <c r="BB2740" s="197">
        <v>48761</v>
      </c>
    </row>
    <row r="2741" spans="54:54">
      <c r="BB2741" s="197">
        <v>48762</v>
      </c>
    </row>
    <row r="2742" spans="54:54">
      <c r="BB2742" s="197">
        <v>48763</v>
      </c>
    </row>
    <row r="2743" spans="54:54">
      <c r="BB2743" s="197">
        <v>48764</v>
      </c>
    </row>
    <row r="2744" spans="54:54">
      <c r="BB2744" s="197">
        <v>48765</v>
      </c>
    </row>
    <row r="2745" spans="54:54">
      <c r="BB2745" s="197">
        <v>48766</v>
      </c>
    </row>
    <row r="2746" spans="54:54">
      <c r="BB2746" s="197">
        <v>48767</v>
      </c>
    </row>
    <row r="2747" spans="54:54">
      <c r="BB2747" s="197">
        <v>48768</v>
      </c>
    </row>
    <row r="2748" spans="54:54">
      <c r="BB2748" s="197">
        <v>48769</v>
      </c>
    </row>
    <row r="2749" spans="54:54">
      <c r="BB2749" s="197">
        <v>48770</v>
      </c>
    </row>
    <row r="2750" spans="54:54">
      <c r="BB2750" s="197">
        <v>48771</v>
      </c>
    </row>
    <row r="2751" spans="54:54">
      <c r="BB2751" s="197">
        <v>48772</v>
      </c>
    </row>
    <row r="2752" spans="54:54">
      <c r="BB2752" s="197">
        <v>48773</v>
      </c>
    </row>
    <row r="2753" spans="54:54">
      <c r="BB2753" s="197">
        <v>48774</v>
      </c>
    </row>
    <row r="2754" spans="54:54">
      <c r="BB2754" s="197">
        <v>48775</v>
      </c>
    </row>
    <row r="2755" spans="54:54">
      <c r="BB2755" s="197">
        <v>48776</v>
      </c>
    </row>
    <row r="2756" spans="54:54">
      <c r="BB2756" s="197">
        <v>48777</v>
      </c>
    </row>
    <row r="2757" spans="54:54">
      <c r="BB2757" s="197">
        <v>48778</v>
      </c>
    </row>
    <row r="2758" spans="54:54">
      <c r="BB2758" s="197">
        <v>48779</v>
      </c>
    </row>
    <row r="2759" spans="54:54">
      <c r="BB2759" s="197">
        <v>48780</v>
      </c>
    </row>
    <row r="2760" spans="54:54">
      <c r="BB2760" s="197">
        <v>48781</v>
      </c>
    </row>
    <row r="2761" spans="54:54">
      <c r="BB2761" s="197">
        <v>48782</v>
      </c>
    </row>
    <row r="2762" spans="54:54">
      <c r="BB2762" s="197">
        <v>48783</v>
      </c>
    </row>
    <row r="2763" spans="54:54">
      <c r="BB2763" s="197">
        <v>48784</v>
      </c>
    </row>
    <row r="2764" spans="54:54">
      <c r="BB2764" s="197">
        <v>48785</v>
      </c>
    </row>
    <row r="2765" spans="54:54">
      <c r="BB2765" s="197">
        <v>48786</v>
      </c>
    </row>
    <row r="2766" spans="54:54">
      <c r="BB2766" s="197">
        <v>48787</v>
      </c>
    </row>
    <row r="2767" spans="54:54">
      <c r="BB2767" s="197">
        <v>48788</v>
      </c>
    </row>
    <row r="2768" spans="54:54">
      <c r="BB2768" s="197">
        <v>48789</v>
      </c>
    </row>
    <row r="2769" spans="54:54">
      <c r="BB2769" s="197">
        <v>48790</v>
      </c>
    </row>
    <row r="2770" spans="54:54">
      <c r="BB2770" s="197">
        <v>48791</v>
      </c>
    </row>
    <row r="2771" spans="54:54">
      <c r="BB2771" s="197">
        <v>48792</v>
      </c>
    </row>
    <row r="2772" spans="54:54">
      <c r="BB2772" s="197">
        <v>48793</v>
      </c>
    </row>
    <row r="2773" spans="54:54">
      <c r="BB2773" s="197">
        <v>48794</v>
      </c>
    </row>
    <row r="2774" spans="54:54">
      <c r="BB2774" s="197">
        <v>48795</v>
      </c>
    </row>
    <row r="2775" spans="54:54">
      <c r="BB2775" s="197">
        <v>48796</v>
      </c>
    </row>
    <row r="2776" spans="54:54">
      <c r="BB2776" s="197">
        <v>48797</v>
      </c>
    </row>
    <row r="2777" spans="54:54">
      <c r="BB2777" s="197">
        <v>48798</v>
      </c>
    </row>
    <row r="2778" spans="54:54">
      <c r="BB2778" s="197">
        <v>48799</v>
      </c>
    </row>
    <row r="2779" spans="54:54">
      <c r="BB2779" s="197">
        <v>48800</v>
      </c>
    </row>
    <row r="2780" spans="54:54">
      <c r="BB2780" s="197">
        <v>48801</v>
      </c>
    </row>
    <row r="2781" spans="54:54">
      <c r="BB2781" s="197">
        <v>48802</v>
      </c>
    </row>
    <row r="2782" spans="54:54">
      <c r="BB2782" s="197">
        <v>48803</v>
      </c>
    </row>
    <row r="2783" spans="54:54">
      <c r="BB2783" s="197">
        <v>48804</v>
      </c>
    </row>
    <row r="2784" spans="54:54">
      <c r="BB2784" s="197">
        <v>48805</v>
      </c>
    </row>
    <row r="2785" spans="54:54">
      <c r="BB2785" s="197">
        <v>48806</v>
      </c>
    </row>
    <row r="2786" spans="54:54">
      <c r="BB2786" s="197">
        <v>48807</v>
      </c>
    </row>
    <row r="2787" spans="54:54">
      <c r="BB2787" s="197">
        <v>48808</v>
      </c>
    </row>
    <row r="2788" spans="54:54">
      <c r="BB2788" s="197">
        <v>48809</v>
      </c>
    </row>
    <row r="2789" spans="54:54">
      <c r="BB2789" s="197">
        <v>48810</v>
      </c>
    </row>
    <row r="2790" spans="54:54">
      <c r="BB2790" s="197">
        <v>48811</v>
      </c>
    </row>
    <row r="2791" spans="54:54">
      <c r="BB2791" s="197">
        <v>48812</v>
      </c>
    </row>
    <row r="2792" spans="54:54">
      <c r="BB2792" s="197">
        <v>48813</v>
      </c>
    </row>
    <row r="2793" spans="54:54">
      <c r="BB2793" s="197">
        <v>48814</v>
      </c>
    </row>
    <row r="2794" spans="54:54">
      <c r="BB2794" s="197">
        <v>48815</v>
      </c>
    </row>
    <row r="2795" spans="54:54">
      <c r="BB2795" s="197">
        <v>48816</v>
      </c>
    </row>
    <row r="2796" spans="54:54">
      <c r="BB2796" s="197">
        <v>48817</v>
      </c>
    </row>
    <row r="2797" spans="54:54">
      <c r="BB2797" s="197">
        <v>48818</v>
      </c>
    </row>
    <row r="2798" spans="54:54">
      <c r="BB2798" s="197">
        <v>48819</v>
      </c>
    </row>
    <row r="2799" spans="54:54">
      <c r="BB2799" s="197">
        <v>48820</v>
      </c>
    </row>
    <row r="2800" spans="54:54">
      <c r="BB2800" s="197">
        <v>48821</v>
      </c>
    </row>
    <row r="2801" spans="54:54">
      <c r="BB2801" s="197">
        <v>48822</v>
      </c>
    </row>
    <row r="2802" spans="54:54">
      <c r="BB2802" s="197">
        <v>48823</v>
      </c>
    </row>
    <row r="2803" spans="54:54">
      <c r="BB2803" s="197">
        <v>48824</v>
      </c>
    </row>
    <row r="2804" spans="54:54">
      <c r="BB2804" s="197">
        <v>48825</v>
      </c>
    </row>
    <row r="2805" spans="54:54">
      <c r="BB2805" s="197">
        <v>48826</v>
      </c>
    </row>
    <row r="2806" spans="54:54">
      <c r="BB2806" s="197">
        <v>48827</v>
      </c>
    </row>
    <row r="2807" spans="54:54">
      <c r="BB2807" s="197">
        <v>48828</v>
      </c>
    </row>
    <row r="2808" spans="54:54">
      <c r="BB2808" s="197">
        <v>48829</v>
      </c>
    </row>
    <row r="2809" spans="54:54">
      <c r="BB2809" s="197">
        <v>48830</v>
      </c>
    </row>
    <row r="2810" spans="54:54">
      <c r="BB2810" s="197">
        <v>48831</v>
      </c>
    </row>
    <row r="2811" spans="54:54">
      <c r="BB2811" s="197">
        <v>48832</v>
      </c>
    </row>
    <row r="2812" spans="54:54">
      <c r="BB2812" s="197">
        <v>48833</v>
      </c>
    </row>
    <row r="2813" spans="54:54">
      <c r="BB2813" s="197">
        <v>48834</v>
      </c>
    </row>
    <row r="2814" spans="54:54">
      <c r="BB2814" s="197">
        <v>48835</v>
      </c>
    </row>
    <row r="2815" spans="54:54">
      <c r="BB2815" s="197">
        <v>48836</v>
      </c>
    </row>
    <row r="2816" spans="54:54">
      <c r="BB2816" s="197">
        <v>48837</v>
      </c>
    </row>
    <row r="2817" spans="54:54">
      <c r="BB2817" s="197">
        <v>48838</v>
      </c>
    </row>
    <row r="2818" spans="54:54">
      <c r="BB2818" s="197">
        <v>48839</v>
      </c>
    </row>
    <row r="2819" spans="54:54">
      <c r="BB2819" s="197">
        <v>48840</v>
      </c>
    </row>
    <row r="2820" spans="54:54">
      <c r="BB2820" s="197">
        <v>48841</v>
      </c>
    </row>
    <row r="2821" spans="54:54">
      <c r="BB2821" s="197">
        <v>48842</v>
      </c>
    </row>
    <row r="2822" spans="54:54">
      <c r="BB2822" s="197">
        <v>48843</v>
      </c>
    </row>
    <row r="2823" spans="54:54">
      <c r="BB2823" s="197">
        <v>48844</v>
      </c>
    </row>
    <row r="2824" spans="54:54">
      <c r="BB2824" s="197">
        <v>48845</v>
      </c>
    </row>
    <row r="2825" spans="54:54">
      <c r="BB2825" s="197">
        <v>48846</v>
      </c>
    </row>
    <row r="2826" spans="54:54">
      <c r="BB2826" s="197">
        <v>48847</v>
      </c>
    </row>
    <row r="2827" spans="54:54">
      <c r="BB2827" s="197">
        <v>48848</v>
      </c>
    </row>
    <row r="2828" spans="54:54">
      <c r="BB2828" s="197">
        <v>48849</v>
      </c>
    </row>
    <row r="2829" spans="54:54">
      <c r="BB2829" s="197">
        <v>48850</v>
      </c>
    </row>
    <row r="2830" spans="54:54">
      <c r="BB2830" s="197">
        <v>48851</v>
      </c>
    </row>
    <row r="2831" spans="54:54">
      <c r="BB2831" s="197">
        <v>48852</v>
      </c>
    </row>
    <row r="2832" spans="54:54">
      <c r="BB2832" s="197">
        <v>48853</v>
      </c>
    </row>
    <row r="2833" spans="54:54">
      <c r="BB2833" s="197">
        <v>48854</v>
      </c>
    </row>
    <row r="2834" spans="54:54">
      <c r="BB2834" s="197">
        <v>48855</v>
      </c>
    </row>
    <row r="2835" spans="54:54">
      <c r="BB2835" s="197">
        <v>48856</v>
      </c>
    </row>
    <row r="2836" spans="54:54">
      <c r="BB2836" s="197">
        <v>48857</v>
      </c>
    </row>
    <row r="2837" spans="54:54">
      <c r="BB2837" s="197">
        <v>48858</v>
      </c>
    </row>
    <row r="2838" spans="54:54">
      <c r="BB2838" s="197">
        <v>48859</v>
      </c>
    </row>
    <row r="2839" spans="54:54">
      <c r="BB2839" s="197">
        <v>48860</v>
      </c>
    </row>
    <row r="2840" spans="54:54">
      <c r="BB2840" s="197">
        <v>48861</v>
      </c>
    </row>
    <row r="2841" spans="54:54">
      <c r="BB2841" s="197">
        <v>48862</v>
      </c>
    </row>
    <row r="2842" spans="54:54">
      <c r="BB2842" s="197">
        <v>48863</v>
      </c>
    </row>
    <row r="2843" spans="54:54">
      <c r="BB2843" s="197">
        <v>48864</v>
      </c>
    </row>
    <row r="2844" spans="54:54">
      <c r="BB2844" s="197">
        <v>48865</v>
      </c>
    </row>
    <row r="2845" spans="54:54">
      <c r="BB2845" s="197">
        <v>48866</v>
      </c>
    </row>
    <row r="2846" spans="54:54">
      <c r="BB2846" s="197">
        <v>48867</v>
      </c>
    </row>
    <row r="2847" spans="54:54">
      <c r="BB2847" s="197">
        <v>48868</v>
      </c>
    </row>
    <row r="2848" spans="54:54">
      <c r="BB2848" s="197">
        <v>48869</v>
      </c>
    </row>
    <row r="2849" spans="54:54">
      <c r="BB2849" s="197">
        <v>48870</v>
      </c>
    </row>
    <row r="2850" spans="54:54">
      <c r="BB2850" s="197">
        <v>48871</v>
      </c>
    </row>
    <row r="2851" spans="54:54">
      <c r="BB2851" s="197">
        <v>48872</v>
      </c>
    </row>
    <row r="2852" spans="54:54">
      <c r="BB2852" s="197">
        <v>48873</v>
      </c>
    </row>
    <row r="2853" spans="54:54">
      <c r="BB2853" s="197">
        <v>48874</v>
      </c>
    </row>
    <row r="2854" spans="54:54">
      <c r="BB2854" s="197">
        <v>48875</v>
      </c>
    </row>
    <row r="2855" spans="54:54">
      <c r="BB2855" s="197">
        <v>48876</v>
      </c>
    </row>
    <row r="2856" spans="54:54">
      <c r="BB2856" s="197">
        <v>48877</v>
      </c>
    </row>
    <row r="2857" spans="54:54">
      <c r="BB2857" s="197">
        <v>48878</v>
      </c>
    </row>
    <row r="2858" spans="54:54">
      <c r="BB2858" s="197">
        <v>48879</v>
      </c>
    </row>
    <row r="2859" spans="54:54">
      <c r="BB2859" s="197">
        <v>48880</v>
      </c>
    </row>
    <row r="2860" spans="54:54">
      <c r="BB2860" s="197">
        <v>48881</v>
      </c>
    </row>
    <row r="2861" spans="54:54">
      <c r="BB2861" s="197">
        <v>48882</v>
      </c>
    </row>
    <row r="2862" spans="54:54">
      <c r="BB2862" s="197">
        <v>48883</v>
      </c>
    </row>
    <row r="2863" spans="54:54">
      <c r="BB2863" s="197">
        <v>48884</v>
      </c>
    </row>
    <row r="2864" spans="54:54">
      <c r="BB2864" s="197">
        <v>48885</v>
      </c>
    </row>
    <row r="2865" spans="54:54">
      <c r="BB2865" s="197">
        <v>48886</v>
      </c>
    </row>
    <row r="2866" spans="54:54">
      <c r="BB2866" s="197">
        <v>48887</v>
      </c>
    </row>
    <row r="2867" spans="54:54">
      <c r="BB2867" s="197">
        <v>48888</v>
      </c>
    </row>
    <row r="2868" spans="54:54">
      <c r="BB2868" s="197">
        <v>48889</v>
      </c>
    </row>
    <row r="2869" spans="54:54">
      <c r="BB2869" s="197">
        <v>48890</v>
      </c>
    </row>
    <row r="2870" spans="54:54">
      <c r="BB2870" s="197">
        <v>48891</v>
      </c>
    </row>
    <row r="2871" spans="54:54">
      <c r="BB2871" s="197">
        <v>48892</v>
      </c>
    </row>
    <row r="2872" spans="54:54">
      <c r="BB2872" s="197">
        <v>48893</v>
      </c>
    </row>
    <row r="2873" spans="54:54">
      <c r="BB2873" s="197">
        <v>48894</v>
      </c>
    </row>
    <row r="2874" spans="54:54">
      <c r="BB2874" s="197">
        <v>48895</v>
      </c>
    </row>
    <row r="2875" spans="54:54">
      <c r="BB2875" s="197">
        <v>48896</v>
      </c>
    </row>
    <row r="2876" spans="54:54">
      <c r="BB2876" s="197">
        <v>48897</v>
      </c>
    </row>
    <row r="2877" spans="54:54">
      <c r="BB2877" s="197">
        <v>48898</v>
      </c>
    </row>
    <row r="2878" spans="54:54">
      <c r="BB2878" s="197">
        <v>48899</v>
      </c>
    </row>
    <row r="2879" spans="54:54">
      <c r="BB2879" s="197">
        <v>48900</v>
      </c>
    </row>
    <row r="2880" spans="54:54">
      <c r="BB2880" s="197">
        <v>48901</v>
      </c>
    </row>
    <row r="2881" spans="54:54">
      <c r="BB2881" s="197">
        <v>48902</v>
      </c>
    </row>
    <row r="2882" spans="54:54">
      <c r="BB2882" s="197">
        <v>48903</v>
      </c>
    </row>
    <row r="2883" spans="54:54">
      <c r="BB2883" s="197">
        <v>48904</v>
      </c>
    </row>
    <row r="2884" spans="54:54">
      <c r="BB2884" s="197">
        <v>48905</v>
      </c>
    </row>
    <row r="2885" spans="54:54">
      <c r="BB2885" s="197">
        <v>48906</v>
      </c>
    </row>
    <row r="2886" spans="54:54">
      <c r="BB2886" s="197">
        <v>48907</v>
      </c>
    </row>
    <row r="2887" spans="54:54">
      <c r="BB2887" s="197">
        <v>48908</v>
      </c>
    </row>
    <row r="2888" spans="54:54">
      <c r="BB2888" s="197">
        <v>48909</v>
      </c>
    </row>
    <row r="2889" spans="54:54">
      <c r="BB2889" s="197">
        <v>48910</v>
      </c>
    </row>
    <row r="2890" spans="54:54">
      <c r="BB2890" s="197">
        <v>48911</v>
      </c>
    </row>
    <row r="2891" spans="54:54">
      <c r="BB2891" s="197">
        <v>48912</v>
      </c>
    </row>
    <row r="2892" spans="54:54">
      <c r="BB2892" s="197">
        <v>48913</v>
      </c>
    </row>
    <row r="2893" spans="54:54">
      <c r="BB2893" s="197">
        <v>48914</v>
      </c>
    </row>
    <row r="2894" spans="54:54">
      <c r="BB2894" s="197">
        <v>48915</v>
      </c>
    </row>
    <row r="2895" spans="54:54">
      <c r="BB2895" s="197">
        <v>48916</v>
      </c>
    </row>
    <row r="2896" spans="54:54">
      <c r="BB2896" s="197">
        <v>48917</v>
      </c>
    </row>
    <row r="2897" spans="54:54">
      <c r="BB2897" s="197">
        <v>48918</v>
      </c>
    </row>
    <row r="2898" spans="54:54">
      <c r="BB2898" s="197">
        <v>48919</v>
      </c>
    </row>
    <row r="2899" spans="54:54">
      <c r="BB2899" s="197">
        <v>48920</v>
      </c>
    </row>
    <row r="2900" spans="54:54">
      <c r="BB2900" s="197">
        <v>48921</v>
      </c>
    </row>
    <row r="2901" spans="54:54">
      <c r="BB2901" s="197">
        <v>48922</v>
      </c>
    </row>
    <row r="2902" spans="54:54">
      <c r="BB2902" s="197">
        <v>48923</v>
      </c>
    </row>
    <row r="2903" spans="54:54">
      <c r="BB2903" s="197">
        <v>48924</v>
      </c>
    </row>
    <row r="2904" spans="54:54">
      <c r="BB2904" s="197">
        <v>48925</v>
      </c>
    </row>
    <row r="2905" spans="54:54">
      <c r="BB2905" s="197">
        <v>48926</v>
      </c>
    </row>
    <row r="2906" spans="54:54">
      <c r="BB2906" s="197">
        <v>48927</v>
      </c>
    </row>
    <row r="2907" spans="54:54">
      <c r="BB2907" s="197">
        <v>48928</v>
      </c>
    </row>
    <row r="2908" spans="54:54">
      <c r="BB2908" s="197">
        <v>48929</v>
      </c>
    </row>
    <row r="2909" spans="54:54">
      <c r="BB2909" s="197">
        <v>48930</v>
      </c>
    </row>
    <row r="2910" spans="54:54">
      <c r="BB2910" s="197">
        <v>48931</v>
      </c>
    </row>
    <row r="2911" spans="54:54">
      <c r="BB2911" s="197">
        <v>48932</v>
      </c>
    </row>
    <row r="2912" spans="54:54">
      <c r="BB2912" s="197">
        <v>48933</v>
      </c>
    </row>
    <row r="2913" spans="54:54">
      <c r="BB2913" s="197">
        <v>48934</v>
      </c>
    </row>
    <row r="2914" spans="54:54">
      <c r="BB2914" s="197">
        <v>48935</v>
      </c>
    </row>
    <row r="2915" spans="54:54">
      <c r="BB2915" s="197">
        <v>48936</v>
      </c>
    </row>
    <row r="2916" spans="54:54">
      <c r="BB2916" s="197">
        <v>48937</v>
      </c>
    </row>
    <row r="2917" spans="54:54">
      <c r="BB2917" s="197">
        <v>48938</v>
      </c>
    </row>
    <row r="2918" spans="54:54">
      <c r="BB2918" s="197">
        <v>48939</v>
      </c>
    </row>
    <row r="2919" spans="54:54">
      <c r="BB2919" s="197">
        <v>48940</v>
      </c>
    </row>
    <row r="2920" spans="54:54">
      <c r="BB2920" s="197">
        <v>48941</v>
      </c>
    </row>
    <row r="2921" spans="54:54">
      <c r="BB2921" s="197">
        <v>48942</v>
      </c>
    </row>
    <row r="2922" spans="54:54">
      <c r="BB2922" s="197">
        <v>48943</v>
      </c>
    </row>
    <row r="2923" spans="54:54">
      <c r="BB2923" s="197">
        <v>48944</v>
      </c>
    </row>
    <row r="2924" spans="54:54">
      <c r="BB2924" s="197">
        <v>48945</v>
      </c>
    </row>
    <row r="2925" spans="54:54">
      <c r="BB2925" s="197">
        <v>48946</v>
      </c>
    </row>
    <row r="2926" spans="54:54">
      <c r="BB2926" s="197">
        <v>48947</v>
      </c>
    </row>
    <row r="2927" spans="54:54">
      <c r="BB2927" s="197">
        <v>48948</v>
      </c>
    </row>
    <row r="2928" spans="54:54">
      <c r="BB2928" s="197">
        <v>48949</v>
      </c>
    </row>
    <row r="2929" spans="54:54">
      <c r="BB2929" s="197">
        <v>48950</v>
      </c>
    </row>
    <row r="2930" spans="54:54">
      <c r="BB2930" s="197">
        <v>48951</v>
      </c>
    </row>
    <row r="2931" spans="54:54">
      <c r="BB2931" s="197">
        <v>48952</v>
      </c>
    </row>
    <row r="2932" spans="54:54">
      <c r="BB2932" s="197">
        <v>48953</v>
      </c>
    </row>
    <row r="2933" spans="54:54">
      <c r="BB2933" s="197">
        <v>48954</v>
      </c>
    </row>
    <row r="2934" spans="54:54">
      <c r="BB2934" s="197">
        <v>48955</v>
      </c>
    </row>
    <row r="2935" spans="54:54">
      <c r="BB2935" s="197">
        <v>48956</v>
      </c>
    </row>
    <row r="2936" spans="54:54">
      <c r="BB2936" s="197">
        <v>48957</v>
      </c>
    </row>
    <row r="2937" spans="54:54">
      <c r="BB2937" s="197">
        <v>48958</v>
      </c>
    </row>
    <row r="2938" spans="54:54">
      <c r="BB2938" s="197">
        <v>48959</v>
      </c>
    </row>
    <row r="2939" spans="54:54">
      <c r="BB2939" s="197">
        <v>48960</v>
      </c>
    </row>
    <row r="2940" spans="54:54">
      <c r="BB2940" s="197">
        <v>48961</v>
      </c>
    </row>
    <row r="2941" spans="54:54">
      <c r="BB2941" s="197">
        <v>48962</v>
      </c>
    </row>
    <row r="2942" spans="54:54">
      <c r="BB2942" s="197">
        <v>48963</v>
      </c>
    </row>
    <row r="2943" spans="54:54">
      <c r="BB2943" s="197">
        <v>48964</v>
      </c>
    </row>
    <row r="2944" spans="54:54">
      <c r="BB2944" s="197">
        <v>48965</v>
      </c>
    </row>
    <row r="2945" spans="54:54">
      <c r="BB2945" s="197">
        <v>48966</v>
      </c>
    </row>
    <row r="2946" spans="54:54">
      <c r="BB2946" s="197">
        <v>48967</v>
      </c>
    </row>
    <row r="2947" spans="54:54">
      <c r="BB2947" s="197">
        <v>48968</v>
      </c>
    </row>
    <row r="2948" spans="54:54">
      <c r="BB2948" s="197">
        <v>48969</v>
      </c>
    </row>
    <row r="2949" spans="54:54">
      <c r="BB2949" s="197">
        <v>48970</v>
      </c>
    </row>
    <row r="2950" spans="54:54">
      <c r="BB2950" s="197">
        <v>48971</v>
      </c>
    </row>
    <row r="2951" spans="54:54">
      <c r="BB2951" s="197">
        <v>48972</v>
      </c>
    </row>
    <row r="2952" spans="54:54">
      <c r="BB2952" s="197">
        <v>48973</v>
      </c>
    </row>
    <row r="2953" spans="54:54">
      <c r="BB2953" s="197">
        <v>48974</v>
      </c>
    </row>
    <row r="2954" spans="54:54">
      <c r="BB2954" s="197">
        <v>48975</v>
      </c>
    </row>
    <row r="2955" spans="54:54">
      <c r="BB2955" s="197">
        <v>48976</v>
      </c>
    </row>
    <row r="2956" spans="54:54">
      <c r="BB2956" s="197">
        <v>48977</v>
      </c>
    </row>
    <row r="2957" spans="54:54">
      <c r="BB2957" s="197">
        <v>48978</v>
      </c>
    </row>
    <row r="2958" spans="54:54">
      <c r="BB2958" s="197">
        <v>48979</v>
      </c>
    </row>
    <row r="2959" spans="54:54">
      <c r="BB2959" s="197">
        <v>48980</v>
      </c>
    </row>
    <row r="2960" spans="54:54">
      <c r="BB2960" s="197">
        <v>48981</v>
      </c>
    </row>
    <row r="2961" spans="54:54">
      <c r="BB2961" s="197">
        <v>48982</v>
      </c>
    </row>
    <row r="2962" spans="54:54">
      <c r="BB2962" s="197">
        <v>48983</v>
      </c>
    </row>
    <row r="2963" spans="54:54">
      <c r="BB2963" s="197">
        <v>48984</v>
      </c>
    </row>
    <row r="2964" spans="54:54">
      <c r="BB2964" s="197">
        <v>48985</v>
      </c>
    </row>
    <row r="2965" spans="54:54">
      <c r="BB2965" s="197">
        <v>48986</v>
      </c>
    </row>
    <row r="2966" spans="54:54">
      <c r="BB2966" s="197">
        <v>48987</v>
      </c>
    </row>
    <row r="2967" spans="54:54">
      <c r="BB2967" s="197">
        <v>48988</v>
      </c>
    </row>
    <row r="2968" spans="54:54">
      <c r="BB2968" s="197">
        <v>48989</v>
      </c>
    </row>
    <row r="2969" spans="54:54">
      <c r="BB2969" s="197">
        <v>48990</v>
      </c>
    </row>
    <row r="2970" spans="54:54">
      <c r="BB2970" s="197">
        <v>48991</v>
      </c>
    </row>
    <row r="2971" spans="54:54">
      <c r="BB2971" s="197">
        <v>48992</v>
      </c>
    </row>
    <row r="2972" spans="54:54">
      <c r="BB2972" s="197">
        <v>48993</v>
      </c>
    </row>
    <row r="2973" spans="54:54">
      <c r="BB2973" s="197">
        <v>48994</v>
      </c>
    </row>
    <row r="2974" spans="54:54">
      <c r="BB2974" s="197">
        <v>48995</v>
      </c>
    </row>
    <row r="2975" spans="54:54">
      <c r="BB2975" s="197">
        <v>48996</v>
      </c>
    </row>
    <row r="2976" spans="54:54">
      <c r="BB2976" s="197">
        <v>48997</v>
      </c>
    </row>
    <row r="2977" spans="54:54">
      <c r="BB2977" s="197">
        <v>48998</v>
      </c>
    </row>
    <row r="2978" spans="54:54">
      <c r="BB2978" s="197">
        <v>48999</v>
      </c>
    </row>
    <row r="2979" spans="54:54">
      <c r="BB2979" s="197">
        <v>49000</v>
      </c>
    </row>
    <row r="2980" spans="54:54">
      <c r="BB2980" s="197">
        <v>49001</v>
      </c>
    </row>
    <row r="2981" spans="54:54">
      <c r="BB2981" s="197">
        <v>49002</v>
      </c>
    </row>
    <row r="2982" spans="54:54">
      <c r="BB2982" s="197">
        <v>49003</v>
      </c>
    </row>
    <row r="2983" spans="54:54">
      <c r="BB2983" s="197">
        <v>49004</v>
      </c>
    </row>
    <row r="2984" spans="54:54">
      <c r="BB2984" s="197">
        <v>49005</v>
      </c>
    </row>
    <row r="2985" spans="54:54">
      <c r="BB2985" s="197">
        <v>49006</v>
      </c>
    </row>
    <row r="2986" spans="54:54">
      <c r="BB2986" s="197">
        <v>49007</v>
      </c>
    </row>
    <row r="2987" spans="54:54">
      <c r="BB2987" s="197">
        <v>49008</v>
      </c>
    </row>
    <row r="2988" spans="54:54">
      <c r="BB2988" s="197">
        <v>49009</v>
      </c>
    </row>
    <row r="2989" spans="54:54">
      <c r="BB2989" s="197">
        <v>49010</v>
      </c>
    </row>
    <row r="2990" spans="54:54">
      <c r="BB2990" s="197">
        <v>49011</v>
      </c>
    </row>
    <row r="2991" spans="54:54">
      <c r="BB2991" s="197">
        <v>49012</v>
      </c>
    </row>
    <row r="2992" spans="54:54">
      <c r="BB2992" s="197">
        <v>49013</v>
      </c>
    </row>
    <row r="2993" spans="54:54">
      <c r="BB2993" s="197">
        <v>49014</v>
      </c>
    </row>
    <row r="2994" spans="54:54">
      <c r="BB2994" s="197">
        <v>49015</v>
      </c>
    </row>
    <row r="2995" spans="54:54">
      <c r="BB2995" s="197">
        <v>49016</v>
      </c>
    </row>
    <row r="2996" spans="54:54">
      <c r="BB2996" s="197">
        <v>49017</v>
      </c>
    </row>
    <row r="2997" spans="54:54">
      <c r="BB2997" s="197">
        <v>49018</v>
      </c>
    </row>
    <row r="2998" spans="54:54">
      <c r="BB2998" s="197">
        <v>49019</v>
      </c>
    </row>
    <row r="2999" spans="54:54">
      <c r="BB2999" s="197">
        <v>49020</v>
      </c>
    </row>
    <row r="3000" spans="54:54">
      <c r="BB3000" s="197">
        <v>49021</v>
      </c>
    </row>
    <row r="3001" spans="54:54">
      <c r="BB3001" s="197">
        <v>49022</v>
      </c>
    </row>
    <row r="3002" spans="54:54">
      <c r="BB3002" s="197">
        <v>49023</v>
      </c>
    </row>
    <row r="3003" spans="54:54">
      <c r="BB3003" s="197">
        <v>49024</v>
      </c>
    </row>
    <row r="3004" spans="54:54">
      <c r="BB3004" s="197">
        <v>49025</v>
      </c>
    </row>
    <row r="3005" spans="54:54">
      <c r="BB3005" s="197">
        <v>49026</v>
      </c>
    </row>
    <row r="3006" spans="54:54">
      <c r="BB3006" s="197">
        <v>49027</v>
      </c>
    </row>
    <row r="3007" spans="54:54">
      <c r="BB3007" s="197">
        <v>49028</v>
      </c>
    </row>
    <row r="3008" spans="54:54">
      <c r="BB3008" s="197">
        <v>49029</v>
      </c>
    </row>
    <row r="3009" spans="54:54">
      <c r="BB3009" s="197">
        <v>49030</v>
      </c>
    </row>
    <row r="3010" spans="54:54">
      <c r="BB3010" s="197">
        <v>49031</v>
      </c>
    </row>
    <row r="3011" spans="54:54">
      <c r="BB3011" s="197">
        <v>49032</v>
      </c>
    </row>
    <row r="3012" spans="54:54">
      <c r="BB3012" s="197">
        <v>49033</v>
      </c>
    </row>
    <row r="3013" spans="54:54">
      <c r="BB3013" s="197">
        <v>49034</v>
      </c>
    </row>
    <row r="3014" spans="54:54">
      <c r="BB3014" s="197">
        <v>49035</v>
      </c>
    </row>
    <row r="3015" spans="54:54">
      <c r="BB3015" s="197">
        <v>49036</v>
      </c>
    </row>
    <row r="3016" spans="54:54">
      <c r="BB3016" s="197">
        <v>49037</v>
      </c>
    </row>
    <row r="3017" spans="54:54">
      <c r="BB3017" s="197">
        <v>49038</v>
      </c>
    </row>
    <row r="3018" spans="54:54">
      <c r="BB3018" s="197">
        <v>49039</v>
      </c>
    </row>
    <row r="3019" spans="54:54">
      <c r="BB3019" s="197">
        <v>49040</v>
      </c>
    </row>
    <row r="3020" spans="54:54">
      <c r="BB3020" s="197">
        <v>49041</v>
      </c>
    </row>
    <row r="3021" spans="54:54">
      <c r="BB3021" s="197">
        <v>49042</v>
      </c>
    </row>
    <row r="3022" spans="54:54">
      <c r="BB3022" s="197">
        <v>49043</v>
      </c>
    </row>
    <row r="3023" spans="54:54">
      <c r="BB3023" s="197">
        <v>49044</v>
      </c>
    </row>
    <row r="3024" spans="54:54">
      <c r="BB3024" s="197">
        <v>49045</v>
      </c>
    </row>
    <row r="3025" spans="54:54">
      <c r="BB3025" s="197">
        <v>49046</v>
      </c>
    </row>
    <row r="3026" spans="54:54">
      <c r="BB3026" s="197">
        <v>49047</v>
      </c>
    </row>
    <row r="3027" spans="54:54">
      <c r="BB3027" s="197">
        <v>49048</v>
      </c>
    </row>
    <row r="3028" spans="54:54">
      <c r="BB3028" s="197">
        <v>49049</v>
      </c>
    </row>
    <row r="3029" spans="54:54">
      <c r="BB3029" s="197">
        <v>49050</v>
      </c>
    </row>
    <row r="3030" spans="54:54">
      <c r="BB3030" s="197">
        <v>49051</v>
      </c>
    </row>
    <row r="3031" spans="54:54">
      <c r="BB3031" s="197">
        <v>49052</v>
      </c>
    </row>
    <row r="3032" spans="54:54">
      <c r="BB3032" s="197">
        <v>49053</v>
      </c>
    </row>
    <row r="3033" spans="54:54">
      <c r="BB3033" s="197">
        <v>49054</v>
      </c>
    </row>
    <row r="3034" spans="54:54">
      <c r="BB3034" s="197">
        <v>49055</v>
      </c>
    </row>
    <row r="3035" spans="54:54">
      <c r="BB3035" s="197">
        <v>49056</v>
      </c>
    </row>
    <row r="3036" spans="54:54">
      <c r="BB3036" s="197">
        <v>49057</v>
      </c>
    </row>
    <row r="3037" spans="54:54">
      <c r="BB3037" s="197">
        <v>49058</v>
      </c>
    </row>
    <row r="3038" spans="54:54">
      <c r="BB3038" s="197">
        <v>49059</v>
      </c>
    </row>
    <row r="3039" spans="54:54">
      <c r="BB3039" s="197">
        <v>49060</v>
      </c>
    </row>
    <row r="3040" spans="54:54">
      <c r="BB3040" s="197">
        <v>49061</v>
      </c>
    </row>
    <row r="3041" spans="54:54">
      <c r="BB3041" s="197">
        <v>49062</v>
      </c>
    </row>
    <row r="3042" spans="54:54">
      <c r="BB3042" s="197">
        <v>49063</v>
      </c>
    </row>
    <row r="3043" spans="54:54">
      <c r="BB3043" s="197">
        <v>49064</v>
      </c>
    </row>
    <row r="3044" spans="54:54">
      <c r="BB3044" s="197">
        <v>49065</v>
      </c>
    </row>
    <row r="3045" spans="54:54">
      <c r="BB3045" s="197">
        <v>49066</v>
      </c>
    </row>
    <row r="3046" spans="54:54">
      <c r="BB3046" s="197">
        <v>49067</v>
      </c>
    </row>
    <row r="3047" spans="54:54">
      <c r="BB3047" s="197">
        <v>49068</v>
      </c>
    </row>
    <row r="3048" spans="54:54">
      <c r="BB3048" s="197">
        <v>49069</v>
      </c>
    </row>
    <row r="3049" spans="54:54">
      <c r="BB3049" s="197">
        <v>49070</v>
      </c>
    </row>
    <row r="3050" spans="54:54">
      <c r="BB3050" s="197">
        <v>49071</v>
      </c>
    </row>
    <row r="3051" spans="54:54">
      <c r="BB3051" s="197">
        <v>49072</v>
      </c>
    </row>
    <row r="3052" spans="54:54">
      <c r="BB3052" s="197">
        <v>49073</v>
      </c>
    </row>
    <row r="3053" spans="54:54">
      <c r="BB3053" s="197">
        <v>49074</v>
      </c>
    </row>
    <row r="3054" spans="54:54">
      <c r="BB3054" s="197">
        <v>49075</v>
      </c>
    </row>
    <row r="3055" spans="54:54">
      <c r="BB3055" s="197">
        <v>49076</v>
      </c>
    </row>
    <row r="3056" spans="54:54">
      <c r="BB3056" s="197">
        <v>49077</v>
      </c>
    </row>
    <row r="3057" spans="54:54">
      <c r="BB3057" s="197">
        <v>49078</v>
      </c>
    </row>
    <row r="3058" spans="54:54">
      <c r="BB3058" s="197">
        <v>49079</v>
      </c>
    </row>
    <row r="3059" spans="54:54">
      <c r="BB3059" s="197">
        <v>49080</v>
      </c>
    </row>
    <row r="3060" spans="54:54">
      <c r="BB3060" s="197">
        <v>49081</v>
      </c>
    </row>
    <row r="3061" spans="54:54">
      <c r="BB3061" s="197">
        <v>49082</v>
      </c>
    </row>
    <row r="3062" spans="54:54">
      <c r="BB3062" s="197">
        <v>49083</v>
      </c>
    </row>
    <row r="3063" spans="54:54">
      <c r="BB3063" s="197">
        <v>49084</v>
      </c>
    </row>
    <row r="3064" spans="54:54">
      <c r="BB3064" s="197">
        <v>49085</v>
      </c>
    </row>
    <row r="3065" spans="54:54">
      <c r="BB3065" s="197">
        <v>49086</v>
      </c>
    </row>
    <row r="3066" spans="54:54">
      <c r="BB3066" s="197">
        <v>49087</v>
      </c>
    </row>
    <row r="3067" spans="54:54">
      <c r="BB3067" s="197">
        <v>49088</v>
      </c>
    </row>
    <row r="3068" spans="54:54">
      <c r="BB3068" s="197">
        <v>49089</v>
      </c>
    </row>
    <row r="3069" spans="54:54">
      <c r="BB3069" s="197">
        <v>49090</v>
      </c>
    </row>
    <row r="3070" spans="54:54">
      <c r="BB3070" s="197">
        <v>49091</v>
      </c>
    </row>
    <row r="3071" spans="54:54">
      <c r="BB3071" s="197">
        <v>49092</v>
      </c>
    </row>
    <row r="3072" spans="54:54">
      <c r="BB3072" s="197">
        <v>49093</v>
      </c>
    </row>
    <row r="3073" spans="54:54">
      <c r="BB3073" s="197">
        <v>49094</v>
      </c>
    </row>
    <row r="3074" spans="54:54">
      <c r="BB3074" s="197">
        <v>49095</v>
      </c>
    </row>
    <row r="3075" spans="54:54">
      <c r="BB3075" s="197">
        <v>49096</v>
      </c>
    </row>
    <row r="3076" spans="54:54">
      <c r="BB3076" s="197">
        <v>49097</v>
      </c>
    </row>
    <row r="3077" spans="54:54">
      <c r="BB3077" s="197">
        <v>49098</v>
      </c>
    </row>
    <row r="3078" spans="54:54">
      <c r="BB3078" s="197">
        <v>49099</v>
      </c>
    </row>
    <row r="3079" spans="54:54">
      <c r="BB3079" s="197">
        <v>49100</v>
      </c>
    </row>
    <row r="3080" spans="54:54">
      <c r="BB3080" s="197">
        <v>49101</v>
      </c>
    </row>
    <row r="3081" spans="54:54">
      <c r="BB3081" s="197">
        <v>49102</v>
      </c>
    </row>
    <row r="3082" spans="54:54">
      <c r="BB3082" s="197">
        <v>49103</v>
      </c>
    </row>
    <row r="3083" spans="54:54">
      <c r="BB3083" s="197">
        <v>49104</v>
      </c>
    </row>
    <row r="3084" spans="54:54">
      <c r="BB3084" s="197">
        <v>49105</v>
      </c>
    </row>
    <row r="3085" spans="54:54">
      <c r="BB3085" s="197">
        <v>49106</v>
      </c>
    </row>
    <row r="3086" spans="54:54">
      <c r="BB3086" s="197">
        <v>49107</v>
      </c>
    </row>
    <row r="3087" spans="54:54">
      <c r="BB3087" s="197">
        <v>49108</v>
      </c>
    </row>
    <row r="3088" spans="54:54">
      <c r="BB3088" s="197">
        <v>49109</v>
      </c>
    </row>
    <row r="3089" spans="54:54">
      <c r="BB3089" s="197">
        <v>49110</v>
      </c>
    </row>
    <row r="3090" spans="54:54">
      <c r="BB3090" s="197">
        <v>49111</v>
      </c>
    </row>
    <row r="3091" spans="54:54">
      <c r="BB3091" s="197">
        <v>49112</v>
      </c>
    </row>
    <row r="3092" spans="54:54">
      <c r="BB3092" s="197">
        <v>49113</v>
      </c>
    </row>
    <row r="3093" spans="54:54">
      <c r="BB3093" s="197">
        <v>49114</v>
      </c>
    </row>
    <row r="3094" spans="54:54">
      <c r="BB3094" s="197">
        <v>49115</v>
      </c>
    </row>
    <row r="3095" spans="54:54">
      <c r="BB3095" s="197">
        <v>49116</v>
      </c>
    </row>
    <row r="3096" spans="54:54">
      <c r="BB3096" s="197">
        <v>49117</v>
      </c>
    </row>
    <row r="3097" spans="54:54">
      <c r="BB3097" s="197">
        <v>49118</v>
      </c>
    </row>
    <row r="3098" spans="54:54">
      <c r="BB3098" s="197">
        <v>49119</v>
      </c>
    </row>
    <row r="3099" spans="54:54">
      <c r="BB3099" s="197">
        <v>49120</v>
      </c>
    </row>
    <row r="3100" spans="54:54">
      <c r="BB3100" s="197">
        <v>49121</v>
      </c>
    </row>
    <row r="3101" spans="54:54">
      <c r="BB3101" s="197">
        <v>49122</v>
      </c>
    </row>
    <row r="3102" spans="54:54">
      <c r="BB3102" s="197">
        <v>49123</v>
      </c>
    </row>
    <row r="3103" spans="54:54">
      <c r="BB3103" s="197">
        <v>49124</v>
      </c>
    </row>
    <row r="3104" spans="54:54">
      <c r="BB3104" s="197">
        <v>49125</v>
      </c>
    </row>
    <row r="3105" spans="54:54">
      <c r="BB3105" s="197">
        <v>49126</v>
      </c>
    </row>
    <row r="3106" spans="54:54">
      <c r="BB3106" s="197">
        <v>49127</v>
      </c>
    </row>
    <row r="3107" spans="54:54">
      <c r="BB3107" s="197">
        <v>49128</v>
      </c>
    </row>
    <row r="3108" spans="54:54">
      <c r="BB3108" s="197">
        <v>49129</v>
      </c>
    </row>
    <row r="3109" spans="54:54">
      <c r="BB3109" s="197">
        <v>49130</v>
      </c>
    </row>
    <row r="3110" spans="54:54">
      <c r="BB3110" s="197">
        <v>49131</v>
      </c>
    </row>
    <row r="3111" spans="54:54">
      <c r="BB3111" s="197">
        <v>49132</v>
      </c>
    </row>
    <row r="3112" spans="54:54">
      <c r="BB3112" s="197">
        <v>49133</v>
      </c>
    </row>
    <row r="3113" spans="54:54">
      <c r="BB3113" s="197">
        <v>49134</v>
      </c>
    </row>
    <row r="3114" spans="54:54">
      <c r="BB3114" s="197">
        <v>49135</v>
      </c>
    </row>
    <row r="3115" spans="54:54">
      <c r="BB3115" s="197">
        <v>49136</v>
      </c>
    </row>
    <row r="3116" spans="54:54">
      <c r="BB3116" s="197">
        <v>49137</v>
      </c>
    </row>
    <row r="3117" spans="54:54">
      <c r="BB3117" s="197">
        <v>49138</v>
      </c>
    </row>
    <row r="3118" spans="54:54">
      <c r="BB3118" s="197">
        <v>49139</v>
      </c>
    </row>
    <row r="3119" spans="54:54">
      <c r="BB3119" s="197">
        <v>49140</v>
      </c>
    </row>
    <row r="3120" spans="54:54">
      <c r="BB3120" s="197">
        <v>49141</v>
      </c>
    </row>
    <row r="3121" spans="54:54">
      <c r="BB3121" s="197">
        <v>49142</v>
      </c>
    </row>
    <row r="3122" spans="54:54">
      <c r="BB3122" s="197">
        <v>49143</v>
      </c>
    </row>
    <row r="3123" spans="54:54">
      <c r="BB3123" s="197">
        <v>49144</v>
      </c>
    </row>
    <row r="3124" spans="54:54">
      <c r="BB3124" s="197">
        <v>49145</v>
      </c>
    </row>
    <row r="3125" spans="54:54">
      <c r="BB3125" s="197">
        <v>49146</v>
      </c>
    </row>
    <row r="3126" spans="54:54">
      <c r="BB3126" s="197">
        <v>49147</v>
      </c>
    </row>
    <row r="3127" spans="54:54">
      <c r="BB3127" s="197">
        <v>49148</v>
      </c>
    </row>
    <row r="3128" spans="54:54">
      <c r="BB3128" s="197">
        <v>49149</v>
      </c>
    </row>
    <row r="3129" spans="54:54">
      <c r="BB3129" s="197">
        <v>49150</v>
      </c>
    </row>
    <row r="3130" spans="54:54">
      <c r="BB3130" s="197">
        <v>49151</v>
      </c>
    </row>
    <row r="3131" spans="54:54">
      <c r="BB3131" s="197">
        <v>49152</v>
      </c>
    </row>
    <row r="3132" spans="54:54">
      <c r="BB3132" s="197">
        <v>49153</v>
      </c>
    </row>
    <row r="3133" spans="54:54">
      <c r="BB3133" s="197">
        <v>49154</v>
      </c>
    </row>
    <row r="3134" spans="54:54">
      <c r="BB3134" s="197">
        <v>49155</v>
      </c>
    </row>
    <row r="3135" spans="54:54">
      <c r="BB3135" s="197">
        <v>49156</v>
      </c>
    </row>
    <row r="3136" spans="54:54">
      <c r="BB3136" s="197">
        <v>49157</v>
      </c>
    </row>
    <row r="3137" spans="54:54">
      <c r="BB3137" s="197">
        <v>49158</v>
      </c>
    </row>
    <row r="3138" spans="54:54">
      <c r="BB3138" s="197">
        <v>49159</v>
      </c>
    </row>
    <row r="3139" spans="54:54">
      <c r="BB3139" s="197">
        <v>49160</v>
      </c>
    </row>
    <row r="3140" spans="54:54">
      <c r="BB3140" s="197">
        <v>49161</v>
      </c>
    </row>
    <row r="3141" spans="54:54">
      <c r="BB3141" s="197">
        <v>49162</v>
      </c>
    </row>
    <row r="3142" spans="54:54">
      <c r="BB3142" s="197">
        <v>49163</v>
      </c>
    </row>
    <row r="3143" spans="54:54">
      <c r="BB3143" s="197">
        <v>49164</v>
      </c>
    </row>
    <row r="3144" spans="54:54">
      <c r="BB3144" s="197">
        <v>49165</v>
      </c>
    </row>
    <row r="3145" spans="54:54">
      <c r="BB3145" s="197">
        <v>49166</v>
      </c>
    </row>
    <row r="3146" spans="54:54">
      <c r="BB3146" s="197">
        <v>49167</v>
      </c>
    </row>
    <row r="3147" spans="54:54">
      <c r="BB3147" s="197">
        <v>49168</v>
      </c>
    </row>
    <row r="3148" spans="54:54">
      <c r="BB3148" s="197">
        <v>49169</v>
      </c>
    </row>
    <row r="3149" spans="54:54">
      <c r="BB3149" s="197">
        <v>49170</v>
      </c>
    </row>
    <row r="3150" spans="54:54">
      <c r="BB3150" s="197">
        <v>49171</v>
      </c>
    </row>
    <row r="3151" spans="54:54">
      <c r="BB3151" s="197">
        <v>49172</v>
      </c>
    </row>
    <row r="3152" spans="54:54">
      <c r="BB3152" s="197">
        <v>49173</v>
      </c>
    </row>
    <row r="3153" spans="54:54">
      <c r="BB3153" s="197">
        <v>49174</v>
      </c>
    </row>
    <row r="3154" spans="54:54">
      <c r="BB3154" s="197">
        <v>49175</v>
      </c>
    </row>
    <row r="3155" spans="54:54">
      <c r="BB3155" s="197">
        <v>49176</v>
      </c>
    </row>
    <row r="3156" spans="54:54">
      <c r="BB3156" s="197">
        <v>49177</v>
      </c>
    </row>
    <row r="3157" spans="54:54">
      <c r="BB3157" s="197">
        <v>49178</v>
      </c>
    </row>
    <row r="3158" spans="54:54">
      <c r="BB3158" s="197">
        <v>49179</v>
      </c>
    </row>
    <row r="3159" spans="54:54">
      <c r="BB3159" s="197">
        <v>49180</v>
      </c>
    </row>
    <row r="3160" spans="54:54">
      <c r="BB3160" s="197">
        <v>49181</v>
      </c>
    </row>
    <row r="3161" spans="54:54">
      <c r="BB3161" s="197">
        <v>49182</v>
      </c>
    </row>
    <row r="3162" spans="54:54">
      <c r="BB3162" s="197">
        <v>49183</v>
      </c>
    </row>
    <row r="3163" spans="54:54">
      <c r="BB3163" s="197">
        <v>49184</v>
      </c>
    </row>
    <row r="3164" spans="54:54">
      <c r="BB3164" s="197">
        <v>49185</v>
      </c>
    </row>
    <row r="3165" spans="54:54">
      <c r="BB3165" s="197">
        <v>49186</v>
      </c>
    </row>
    <row r="3166" spans="54:54">
      <c r="BB3166" s="197">
        <v>49187</v>
      </c>
    </row>
    <row r="3167" spans="54:54">
      <c r="BB3167" s="197">
        <v>49188</v>
      </c>
    </row>
    <row r="3168" spans="54:54">
      <c r="BB3168" s="197">
        <v>49189</v>
      </c>
    </row>
    <row r="3169" spans="54:54">
      <c r="BB3169" s="197">
        <v>49190</v>
      </c>
    </row>
    <row r="3170" spans="54:54">
      <c r="BB3170" s="197">
        <v>49191</v>
      </c>
    </row>
    <row r="3171" spans="54:54">
      <c r="BB3171" s="197">
        <v>49192</v>
      </c>
    </row>
    <row r="3172" spans="54:54">
      <c r="BB3172" s="197">
        <v>49193</v>
      </c>
    </row>
    <row r="3173" spans="54:54">
      <c r="BB3173" s="197">
        <v>49194</v>
      </c>
    </row>
    <row r="3174" spans="54:54">
      <c r="BB3174" s="197">
        <v>49195</v>
      </c>
    </row>
    <row r="3175" spans="54:54">
      <c r="BB3175" s="197">
        <v>49196</v>
      </c>
    </row>
    <row r="3176" spans="54:54">
      <c r="BB3176" s="197">
        <v>49197</v>
      </c>
    </row>
    <row r="3177" spans="54:54">
      <c r="BB3177" s="197">
        <v>49198</v>
      </c>
    </row>
    <row r="3178" spans="54:54">
      <c r="BB3178" s="197">
        <v>49199</v>
      </c>
    </row>
    <row r="3179" spans="54:54">
      <c r="BB3179" s="197">
        <v>49200</v>
      </c>
    </row>
    <row r="3180" spans="54:54">
      <c r="BB3180" s="197">
        <v>49201</v>
      </c>
    </row>
    <row r="3181" spans="54:54">
      <c r="BB3181" s="197">
        <v>49202</v>
      </c>
    </row>
    <row r="3182" spans="54:54">
      <c r="BB3182" s="197">
        <v>49203</v>
      </c>
    </row>
    <row r="3183" spans="54:54">
      <c r="BB3183" s="197">
        <v>49204</v>
      </c>
    </row>
    <row r="3184" spans="54:54">
      <c r="BB3184" s="197">
        <v>49205</v>
      </c>
    </row>
    <row r="3185" spans="54:54">
      <c r="BB3185" s="197">
        <v>49206</v>
      </c>
    </row>
    <row r="3186" spans="54:54">
      <c r="BB3186" s="197">
        <v>49207</v>
      </c>
    </row>
    <row r="3187" spans="54:54">
      <c r="BB3187" s="197">
        <v>49208</v>
      </c>
    </row>
    <row r="3188" spans="54:54">
      <c r="BB3188" s="197">
        <v>49209</v>
      </c>
    </row>
    <row r="3189" spans="54:54">
      <c r="BB3189" s="197">
        <v>49210</v>
      </c>
    </row>
    <row r="3190" spans="54:54">
      <c r="BB3190" s="197">
        <v>49211</v>
      </c>
    </row>
    <row r="3191" spans="54:54">
      <c r="BB3191" s="197">
        <v>49212</v>
      </c>
    </row>
    <row r="3192" spans="54:54">
      <c r="BB3192" s="197">
        <v>49213</v>
      </c>
    </row>
    <row r="3193" spans="54:54">
      <c r="BB3193" s="197">
        <v>49214</v>
      </c>
    </row>
    <row r="3194" spans="54:54">
      <c r="BB3194" s="197">
        <v>49215</v>
      </c>
    </row>
    <row r="3195" spans="54:54">
      <c r="BB3195" s="197">
        <v>49216</v>
      </c>
    </row>
    <row r="3196" spans="54:54">
      <c r="BB3196" s="197">
        <v>49217</v>
      </c>
    </row>
    <row r="3197" spans="54:54">
      <c r="BB3197" s="197">
        <v>49218</v>
      </c>
    </row>
    <row r="3198" spans="54:54">
      <c r="BB3198" s="197">
        <v>49219</v>
      </c>
    </row>
    <row r="3199" spans="54:54">
      <c r="BB3199" s="197">
        <v>49220</v>
      </c>
    </row>
    <row r="3200" spans="54:54">
      <c r="BB3200" s="197">
        <v>49221</v>
      </c>
    </row>
    <row r="3201" spans="54:54">
      <c r="BB3201" s="197">
        <v>49222</v>
      </c>
    </row>
    <row r="3202" spans="54:54">
      <c r="BB3202" s="197">
        <v>49223</v>
      </c>
    </row>
    <row r="3203" spans="54:54">
      <c r="BB3203" s="197">
        <v>49224</v>
      </c>
    </row>
    <row r="3204" spans="54:54">
      <c r="BB3204" s="197">
        <v>49225</v>
      </c>
    </row>
    <row r="3205" spans="54:54">
      <c r="BB3205" s="197">
        <v>49226</v>
      </c>
    </row>
    <row r="3206" spans="54:54">
      <c r="BB3206" s="197">
        <v>49227</v>
      </c>
    </row>
    <row r="3207" spans="54:54">
      <c r="BB3207" s="197">
        <v>49228</v>
      </c>
    </row>
    <row r="3208" spans="54:54">
      <c r="BB3208" s="197">
        <v>49229</v>
      </c>
    </row>
    <row r="3209" spans="54:54">
      <c r="BB3209" s="197">
        <v>49230</v>
      </c>
    </row>
    <row r="3210" spans="54:54">
      <c r="BB3210" s="197">
        <v>49231</v>
      </c>
    </row>
    <row r="3211" spans="54:54">
      <c r="BB3211" s="197">
        <v>49232</v>
      </c>
    </row>
    <row r="3212" spans="54:54">
      <c r="BB3212" s="197">
        <v>49233</v>
      </c>
    </row>
    <row r="3213" spans="54:54">
      <c r="BB3213" s="197">
        <v>49234</v>
      </c>
    </row>
    <row r="3214" spans="54:54">
      <c r="BB3214" s="197">
        <v>49235</v>
      </c>
    </row>
    <row r="3215" spans="54:54">
      <c r="BB3215" s="197">
        <v>49236</v>
      </c>
    </row>
    <row r="3216" spans="54:54">
      <c r="BB3216" s="197">
        <v>49237</v>
      </c>
    </row>
    <row r="3217" spans="54:54">
      <c r="BB3217" s="197">
        <v>49238</v>
      </c>
    </row>
    <row r="3218" spans="54:54">
      <c r="BB3218" s="197">
        <v>49239</v>
      </c>
    </row>
    <row r="3219" spans="54:54">
      <c r="BB3219" s="197">
        <v>49240</v>
      </c>
    </row>
    <row r="3220" spans="54:54">
      <c r="BB3220" s="197">
        <v>49241</v>
      </c>
    </row>
    <row r="3221" spans="54:54">
      <c r="BB3221" s="197">
        <v>49242</v>
      </c>
    </row>
    <row r="3222" spans="54:54">
      <c r="BB3222" s="197">
        <v>49243</v>
      </c>
    </row>
    <row r="3223" spans="54:54">
      <c r="BB3223" s="197">
        <v>49244</v>
      </c>
    </row>
    <row r="3224" spans="54:54">
      <c r="BB3224" s="197">
        <v>49245</v>
      </c>
    </row>
    <row r="3225" spans="54:54">
      <c r="BB3225" s="197">
        <v>49246</v>
      </c>
    </row>
    <row r="3226" spans="54:54">
      <c r="BB3226" s="197">
        <v>49247</v>
      </c>
    </row>
    <row r="3227" spans="54:54">
      <c r="BB3227" s="197">
        <v>49248</v>
      </c>
    </row>
    <row r="3228" spans="54:54">
      <c r="BB3228" s="197">
        <v>49249</v>
      </c>
    </row>
    <row r="3229" spans="54:54">
      <c r="BB3229" s="197">
        <v>49250</v>
      </c>
    </row>
    <row r="3230" spans="54:54">
      <c r="BB3230" s="197">
        <v>49251</v>
      </c>
    </row>
    <row r="3231" spans="54:54">
      <c r="BB3231" s="197">
        <v>49252</v>
      </c>
    </row>
    <row r="3232" spans="54:54">
      <c r="BB3232" s="197">
        <v>49253</v>
      </c>
    </row>
    <row r="3233" spans="54:54">
      <c r="BB3233" s="197">
        <v>49254</v>
      </c>
    </row>
    <row r="3234" spans="54:54">
      <c r="BB3234" s="197">
        <v>49255</v>
      </c>
    </row>
    <row r="3235" spans="54:54">
      <c r="BB3235" s="197">
        <v>49256</v>
      </c>
    </row>
    <row r="3236" spans="54:54">
      <c r="BB3236" s="197">
        <v>49257</v>
      </c>
    </row>
    <row r="3237" spans="54:54">
      <c r="BB3237" s="197">
        <v>49258</v>
      </c>
    </row>
    <row r="3238" spans="54:54">
      <c r="BB3238" s="197">
        <v>49259</v>
      </c>
    </row>
    <row r="3239" spans="54:54">
      <c r="BB3239" s="197">
        <v>49260</v>
      </c>
    </row>
    <row r="3240" spans="54:54">
      <c r="BB3240" s="197">
        <v>49261</v>
      </c>
    </row>
    <row r="3241" spans="54:54">
      <c r="BB3241" s="197">
        <v>49262</v>
      </c>
    </row>
    <row r="3242" spans="54:54">
      <c r="BB3242" s="197">
        <v>49263</v>
      </c>
    </row>
    <row r="3243" spans="54:54">
      <c r="BB3243" s="197">
        <v>49264</v>
      </c>
    </row>
    <row r="3244" spans="54:54">
      <c r="BB3244" s="197">
        <v>49265</v>
      </c>
    </row>
    <row r="3245" spans="54:54">
      <c r="BB3245" s="197">
        <v>49266</v>
      </c>
    </row>
    <row r="3246" spans="54:54">
      <c r="BB3246" s="197">
        <v>49267</v>
      </c>
    </row>
    <row r="3247" spans="54:54">
      <c r="BB3247" s="197">
        <v>49268</v>
      </c>
    </row>
    <row r="3248" spans="54:54">
      <c r="BB3248" s="197">
        <v>49269</v>
      </c>
    </row>
    <row r="3249" spans="54:54">
      <c r="BB3249" s="197">
        <v>49270</v>
      </c>
    </row>
    <row r="3250" spans="54:54">
      <c r="BB3250" s="197">
        <v>49271</v>
      </c>
    </row>
    <row r="3251" spans="54:54">
      <c r="BB3251" s="197">
        <v>49272</v>
      </c>
    </row>
    <row r="3252" spans="54:54">
      <c r="BB3252" s="197">
        <v>49273</v>
      </c>
    </row>
    <row r="3253" spans="54:54">
      <c r="BB3253" s="197">
        <v>49274</v>
      </c>
    </row>
    <row r="3254" spans="54:54">
      <c r="BB3254" s="197">
        <v>49275</v>
      </c>
    </row>
    <row r="3255" spans="54:54">
      <c r="BB3255" s="197">
        <v>49276</v>
      </c>
    </row>
    <row r="3256" spans="54:54">
      <c r="BB3256" s="197">
        <v>49277</v>
      </c>
    </row>
    <row r="3257" spans="54:54">
      <c r="BB3257" s="197">
        <v>49278</v>
      </c>
    </row>
    <row r="3258" spans="54:54">
      <c r="BB3258" s="197">
        <v>49279</v>
      </c>
    </row>
    <row r="3259" spans="54:54">
      <c r="BB3259" s="197">
        <v>49280</v>
      </c>
    </row>
    <row r="3260" spans="54:54">
      <c r="BB3260" s="197">
        <v>49281</v>
      </c>
    </row>
    <row r="3261" spans="54:54">
      <c r="BB3261" s="197">
        <v>49282</v>
      </c>
    </row>
    <row r="3262" spans="54:54">
      <c r="BB3262" s="197">
        <v>49283</v>
      </c>
    </row>
    <row r="3263" spans="54:54">
      <c r="BB3263" s="197">
        <v>49284</v>
      </c>
    </row>
    <row r="3264" spans="54:54">
      <c r="BB3264" s="197">
        <v>49285</v>
      </c>
    </row>
    <row r="3265" spans="54:54">
      <c r="BB3265" s="197">
        <v>49286</v>
      </c>
    </row>
    <row r="3266" spans="54:54">
      <c r="BB3266" s="197">
        <v>49287</v>
      </c>
    </row>
    <row r="3267" spans="54:54">
      <c r="BB3267" s="197">
        <v>49288</v>
      </c>
    </row>
    <row r="3268" spans="54:54">
      <c r="BB3268" s="197">
        <v>49289</v>
      </c>
    </row>
    <row r="3269" spans="54:54">
      <c r="BB3269" s="197">
        <v>49290</v>
      </c>
    </row>
    <row r="3270" spans="54:54">
      <c r="BB3270" s="197">
        <v>49291</v>
      </c>
    </row>
    <row r="3271" spans="54:54">
      <c r="BB3271" s="197">
        <v>49292</v>
      </c>
    </row>
    <row r="3272" spans="54:54">
      <c r="BB3272" s="197">
        <v>49293</v>
      </c>
    </row>
    <row r="3273" spans="54:54">
      <c r="BB3273" s="197">
        <v>49294</v>
      </c>
    </row>
    <row r="3274" spans="54:54">
      <c r="BB3274" s="197">
        <v>49295</v>
      </c>
    </row>
    <row r="3275" spans="54:54">
      <c r="BB3275" s="197">
        <v>49296</v>
      </c>
    </row>
    <row r="3276" spans="54:54">
      <c r="BB3276" s="197">
        <v>49297</v>
      </c>
    </row>
    <row r="3277" spans="54:54">
      <c r="BB3277" s="197">
        <v>49298</v>
      </c>
    </row>
    <row r="3278" spans="54:54">
      <c r="BB3278" s="197">
        <v>49299</v>
      </c>
    </row>
    <row r="3279" spans="54:54">
      <c r="BB3279" s="197">
        <v>49300</v>
      </c>
    </row>
    <row r="3280" spans="54:54">
      <c r="BB3280" s="197">
        <v>49301</v>
      </c>
    </row>
    <row r="3281" spans="54:54">
      <c r="BB3281" s="197">
        <v>49302</v>
      </c>
    </row>
    <row r="3282" spans="54:54">
      <c r="BB3282" s="197">
        <v>49303</v>
      </c>
    </row>
    <row r="3283" spans="54:54">
      <c r="BB3283" s="197">
        <v>49304</v>
      </c>
    </row>
    <row r="3284" spans="54:54">
      <c r="BB3284" s="197">
        <v>49305</v>
      </c>
    </row>
    <row r="3285" spans="54:54">
      <c r="BB3285" s="197">
        <v>49306</v>
      </c>
    </row>
    <row r="3286" spans="54:54">
      <c r="BB3286" s="197">
        <v>49307</v>
      </c>
    </row>
    <row r="3287" spans="54:54">
      <c r="BB3287" s="197">
        <v>49308</v>
      </c>
    </row>
    <row r="3288" spans="54:54">
      <c r="BB3288" s="197">
        <v>49309</v>
      </c>
    </row>
    <row r="3289" spans="54:54">
      <c r="BB3289" s="197">
        <v>49310</v>
      </c>
    </row>
    <row r="3290" spans="54:54">
      <c r="BB3290" s="197">
        <v>49311</v>
      </c>
    </row>
    <row r="3291" spans="54:54">
      <c r="BB3291" s="197">
        <v>49312</v>
      </c>
    </row>
    <row r="3292" spans="54:54">
      <c r="BB3292" s="197">
        <v>49313</v>
      </c>
    </row>
    <row r="3293" spans="54:54">
      <c r="BB3293" s="197">
        <v>49314</v>
      </c>
    </row>
    <row r="3294" spans="54:54">
      <c r="BB3294" s="197">
        <v>49315</v>
      </c>
    </row>
    <row r="3295" spans="54:54">
      <c r="BB3295" s="197">
        <v>49316</v>
      </c>
    </row>
    <row r="3296" spans="54:54">
      <c r="BB3296" s="197">
        <v>49317</v>
      </c>
    </row>
    <row r="3297" spans="54:54">
      <c r="BB3297" s="197">
        <v>49318</v>
      </c>
    </row>
    <row r="3298" spans="54:54">
      <c r="BB3298" s="197">
        <v>49319</v>
      </c>
    </row>
    <row r="3299" spans="54:54">
      <c r="BB3299" s="197">
        <v>49320</v>
      </c>
    </row>
    <row r="3300" spans="54:54">
      <c r="BB3300" s="197">
        <v>49321</v>
      </c>
    </row>
    <row r="3301" spans="54:54">
      <c r="BB3301" s="197">
        <v>49322</v>
      </c>
    </row>
    <row r="3302" spans="54:54">
      <c r="BB3302" s="197">
        <v>49323</v>
      </c>
    </row>
    <row r="3303" spans="54:54">
      <c r="BB3303" s="197">
        <v>49324</v>
      </c>
    </row>
    <row r="3304" spans="54:54">
      <c r="BB3304" s="197">
        <v>49325</v>
      </c>
    </row>
    <row r="3305" spans="54:54">
      <c r="BB3305" s="197">
        <v>49326</v>
      </c>
    </row>
    <row r="3306" spans="54:54">
      <c r="BB3306" s="197">
        <v>49327</v>
      </c>
    </row>
    <row r="3307" spans="54:54">
      <c r="BB3307" s="197">
        <v>49328</v>
      </c>
    </row>
    <row r="3308" spans="54:54">
      <c r="BB3308" s="197">
        <v>49329</v>
      </c>
    </row>
    <row r="3309" spans="54:54">
      <c r="BB3309" s="197">
        <v>49330</v>
      </c>
    </row>
    <row r="3310" spans="54:54">
      <c r="BB3310" s="197">
        <v>49331</v>
      </c>
    </row>
    <row r="3311" spans="54:54">
      <c r="BB3311" s="197">
        <v>49332</v>
      </c>
    </row>
    <row r="3312" spans="54:54">
      <c r="BB3312" s="197">
        <v>49333</v>
      </c>
    </row>
    <row r="3313" spans="54:54">
      <c r="BB3313" s="197">
        <v>49334</v>
      </c>
    </row>
    <row r="3314" spans="54:54">
      <c r="BB3314" s="197">
        <v>49335</v>
      </c>
    </row>
    <row r="3315" spans="54:54">
      <c r="BB3315" s="197">
        <v>49336</v>
      </c>
    </row>
    <row r="3316" spans="54:54">
      <c r="BB3316" s="197">
        <v>49337</v>
      </c>
    </row>
    <row r="3317" spans="54:54">
      <c r="BB3317" s="197">
        <v>49338</v>
      </c>
    </row>
    <row r="3318" spans="54:54">
      <c r="BB3318" s="197">
        <v>49339</v>
      </c>
    </row>
    <row r="3319" spans="54:54">
      <c r="BB3319" s="197">
        <v>49340</v>
      </c>
    </row>
    <row r="3320" spans="54:54">
      <c r="BB3320" s="197">
        <v>49341</v>
      </c>
    </row>
    <row r="3321" spans="54:54">
      <c r="BB3321" s="197">
        <v>49342</v>
      </c>
    </row>
    <row r="3322" spans="54:54">
      <c r="BB3322" s="197">
        <v>49343</v>
      </c>
    </row>
    <row r="3323" spans="54:54">
      <c r="BB3323" s="197">
        <v>49344</v>
      </c>
    </row>
    <row r="3324" spans="54:54">
      <c r="BB3324" s="197">
        <v>49345</v>
      </c>
    </row>
    <row r="3325" spans="54:54">
      <c r="BB3325" s="197">
        <v>49346</v>
      </c>
    </row>
    <row r="3326" spans="54:54">
      <c r="BB3326" s="197">
        <v>49347</v>
      </c>
    </row>
    <row r="3327" spans="54:54">
      <c r="BB3327" s="197">
        <v>49348</v>
      </c>
    </row>
    <row r="3328" spans="54:54">
      <c r="BB3328" s="197">
        <v>49349</v>
      </c>
    </row>
    <row r="3329" spans="54:54">
      <c r="BB3329" s="197">
        <v>49350</v>
      </c>
    </row>
    <row r="3330" spans="54:54">
      <c r="BB3330" s="197">
        <v>49351</v>
      </c>
    </row>
    <row r="3331" spans="54:54">
      <c r="BB3331" s="197">
        <v>49352</v>
      </c>
    </row>
    <row r="3332" spans="54:54">
      <c r="BB3332" s="197">
        <v>49353</v>
      </c>
    </row>
    <row r="3333" spans="54:54">
      <c r="BB3333" s="197">
        <v>49354</v>
      </c>
    </row>
    <row r="3334" spans="54:54">
      <c r="BB3334" s="197">
        <v>49355</v>
      </c>
    </row>
    <row r="3335" spans="54:54">
      <c r="BB3335" s="197">
        <v>49356</v>
      </c>
    </row>
    <row r="3336" spans="54:54">
      <c r="BB3336" s="197">
        <v>49357</v>
      </c>
    </row>
    <row r="3337" spans="54:54">
      <c r="BB3337" s="197">
        <v>49358</v>
      </c>
    </row>
    <row r="3338" spans="54:54">
      <c r="BB3338" s="197">
        <v>49359</v>
      </c>
    </row>
    <row r="3339" spans="54:54">
      <c r="BB3339" s="197">
        <v>49360</v>
      </c>
    </row>
    <row r="3340" spans="54:54">
      <c r="BB3340" s="197">
        <v>49361</v>
      </c>
    </row>
    <row r="3341" spans="54:54">
      <c r="BB3341" s="197">
        <v>49362</v>
      </c>
    </row>
    <row r="3342" spans="54:54">
      <c r="BB3342" s="197">
        <v>49363</v>
      </c>
    </row>
    <row r="3343" spans="54:54">
      <c r="BB3343" s="197">
        <v>49364</v>
      </c>
    </row>
    <row r="3344" spans="54:54">
      <c r="BB3344" s="197">
        <v>49365</v>
      </c>
    </row>
    <row r="3345" spans="54:54">
      <c r="BB3345" s="197">
        <v>49366</v>
      </c>
    </row>
    <row r="3346" spans="54:54">
      <c r="BB3346" s="197">
        <v>49367</v>
      </c>
    </row>
    <row r="3347" spans="54:54">
      <c r="BB3347" s="197">
        <v>49368</v>
      </c>
    </row>
    <row r="3348" spans="54:54">
      <c r="BB3348" s="197">
        <v>49369</v>
      </c>
    </row>
    <row r="3349" spans="54:54">
      <c r="BB3349" s="197">
        <v>49370</v>
      </c>
    </row>
    <row r="3350" spans="54:54">
      <c r="BB3350" s="197">
        <v>49371</v>
      </c>
    </row>
    <row r="3351" spans="54:54">
      <c r="BB3351" s="197">
        <v>49372</v>
      </c>
    </row>
    <row r="3352" spans="54:54">
      <c r="BB3352" s="197">
        <v>49373</v>
      </c>
    </row>
    <row r="3353" spans="54:54">
      <c r="BB3353" s="197">
        <v>49374</v>
      </c>
    </row>
    <row r="3354" spans="54:54">
      <c r="BB3354" s="197">
        <v>49375</v>
      </c>
    </row>
    <row r="3355" spans="54:54">
      <c r="BB3355" s="197">
        <v>49376</v>
      </c>
    </row>
    <row r="3356" spans="54:54">
      <c r="BB3356" s="197">
        <v>49377</v>
      </c>
    </row>
    <row r="3357" spans="54:54">
      <c r="BB3357" s="197">
        <v>49378</v>
      </c>
    </row>
    <row r="3358" spans="54:54">
      <c r="BB3358" s="197">
        <v>49379</v>
      </c>
    </row>
    <row r="3359" spans="54:54">
      <c r="BB3359" s="197">
        <v>49380</v>
      </c>
    </row>
    <row r="3360" spans="54:54">
      <c r="BB3360" s="197">
        <v>49381</v>
      </c>
    </row>
    <row r="3361" spans="54:54">
      <c r="BB3361" s="197">
        <v>49382</v>
      </c>
    </row>
    <row r="3362" spans="54:54">
      <c r="BB3362" s="197">
        <v>49383</v>
      </c>
    </row>
    <row r="3363" spans="54:54">
      <c r="BB3363" s="197">
        <v>49384</v>
      </c>
    </row>
    <row r="3364" spans="54:54">
      <c r="BB3364" s="197">
        <v>49385</v>
      </c>
    </row>
    <row r="3365" spans="54:54">
      <c r="BB3365" s="197">
        <v>49386</v>
      </c>
    </row>
    <row r="3366" spans="54:54">
      <c r="BB3366" s="197">
        <v>49387</v>
      </c>
    </row>
    <row r="3367" spans="54:54">
      <c r="BB3367" s="197">
        <v>49388</v>
      </c>
    </row>
    <row r="3368" spans="54:54">
      <c r="BB3368" s="197">
        <v>49389</v>
      </c>
    </row>
    <row r="3369" spans="54:54">
      <c r="BB3369" s="197">
        <v>49390</v>
      </c>
    </row>
    <row r="3370" spans="54:54">
      <c r="BB3370" s="197">
        <v>49391</v>
      </c>
    </row>
    <row r="3371" spans="54:54">
      <c r="BB3371" s="197">
        <v>49392</v>
      </c>
    </row>
    <row r="3372" spans="54:54">
      <c r="BB3372" s="197">
        <v>49393</v>
      </c>
    </row>
    <row r="3373" spans="54:54">
      <c r="BB3373" s="197">
        <v>49394</v>
      </c>
    </row>
    <row r="3374" spans="54:54">
      <c r="BB3374" s="197">
        <v>49395</v>
      </c>
    </row>
    <row r="3375" spans="54:54">
      <c r="BB3375" s="197">
        <v>49396</v>
      </c>
    </row>
    <row r="3376" spans="54:54">
      <c r="BB3376" s="197">
        <v>49397</v>
      </c>
    </row>
    <row r="3377" spans="54:54">
      <c r="BB3377" s="197">
        <v>49398</v>
      </c>
    </row>
    <row r="3378" spans="54:54">
      <c r="BB3378" s="197">
        <v>49399</v>
      </c>
    </row>
    <row r="3379" spans="54:54">
      <c r="BB3379" s="197">
        <v>49400</v>
      </c>
    </row>
    <row r="3380" spans="54:54">
      <c r="BB3380" s="197">
        <v>49401</v>
      </c>
    </row>
    <row r="3381" spans="54:54">
      <c r="BB3381" s="197">
        <v>49402</v>
      </c>
    </row>
    <row r="3382" spans="54:54">
      <c r="BB3382" s="197">
        <v>49403</v>
      </c>
    </row>
    <row r="3383" spans="54:54">
      <c r="BB3383" s="197">
        <v>49404</v>
      </c>
    </row>
    <row r="3384" spans="54:54">
      <c r="BB3384" s="197">
        <v>49405</v>
      </c>
    </row>
    <row r="3385" spans="54:54">
      <c r="BB3385" s="197">
        <v>49406</v>
      </c>
    </row>
    <row r="3386" spans="54:54">
      <c r="BB3386" s="197">
        <v>49407</v>
      </c>
    </row>
    <row r="3387" spans="54:54">
      <c r="BB3387" s="197">
        <v>49408</v>
      </c>
    </row>
    <row r="3388" spans="54:54">
      <c r="BB3388" s="197">
        <v>49409</v>
      </c>
    </row>
    <row r="3389" spans="54:54">
      <c r="BB3389" s="197">
        <v>49410</v>
      </c>
    </row>
    <row r="3390" spans="54:54">
      <c r="BB3390" s="197">
        <v>49411</v>
      </c>
    </row>
    <row r="3391" spans="54:54">
      <c r="BB3391" s="197">
        <v>49412</v>
      </c>
    </row>
    <row r="3392" spans="54:54">
      <c r="BB3392" s="197">
        <v>49413</v>
      </c>
    </row>
    <row r="3393" spans="54:54">
      <c r="BB3393" s="197">
        <v>49414</v>
      </c>
    </row>
    <row r="3394" spans="54:54">
      <c r="BB3394" s="197">
        <v>49415</v>
      </c>
    </row>
    <row r="3395" spans="54:54">
      <c r="BB3395" s="197">
        <v>49416</v>
      </c>
    </row>
    <row r="3396" spans="54:54">
      <c r="BB3396" s="197">
        <v>49417</v>
      </c>
    </row>
    <row r="3397" spans="54:54">
      <c r="BB3397" s="197">
        <v>49418</v>
      </c>
    </row>
    <row r="3398" spans="54:54">
      <c r="BB3398" s="197">
        <v>49419</v>
      </c>
    </row>
    <row r="3399" spans="54:54">
      <c r="BB3399" s="197">
        <v>49420</v>
      </c>
    </row>
    <row r="3400" spans="54:54">
      <c r="BB3400" s="197">
        <v>49421</v>
      </c>
    </row>
    <row r="3401" spans="54:54">
      <c r="BB3401" s="197">
        <v>49422</v>
      </c>
    </row>
    <row r="3402" spans="54:54">
      <c r="BB3402" s="197">
        <v>49423</v>
      </c>
    </row>
    <row r="3403" spans="54:54">
      <c r="BB3403" s="197">
        <v>49424</v>
      </c>
    </row>
    <row r="3404" spans="54:54">
      <c r="BB3404" s="197">
        <v>49425</v>
      </c>
    </row>
    <row r="3405" spans="54:54">
      <c r="BB3405" s="197">
        <v>49426</v>
      </c>
    </row>
    <row r="3406" spans="54:54">
      <c r="BB3406" s="197">
        <v>49427</v>
      </c>
    </row>
    <row r="3407" spans="54:54">
      <c r="BB3407" s="197">
        <v>49428</v>
      </c>
    </row>
    <row r="3408" spans="54:54">
      <c r="BB3408" s="197">
        <v>49429</v>
      </c>
    </row>
    <row r="3409" spans="54:54">
      <c r="BB3409" s="197">
        <v>49430</v>
      </c>
    </row>
    <row r="3410" spans="54:54">
      <c r="BB3410" s="197">
        <v>49431</v>
      </c>
    </row>
    <row r="3411" spans="54:54">
      <c r="BB3411" s="197">
        <v>49432</v>
      </c>
    </row>
    <row r="3412" spans="54:54">
      <c r="BB3412" s="197">
        <v>49433</v>
      </c>
    </row>
    <row r="3413" spans="54:54">
      <c r="BB3413" s="197">
        <v>49434</v>
      </c>
    </row>
    <row r="3414" spans="54:54">
      <c r="BB3414" s="197">
        <v>49435</v>
      </c>
    </row>
    <row r="3415" spans="54:54">
      <c r="BB3415" s="197">
        <v>49436</v>
      </c>
    </row>
    <row r="3416" spans="54:54">
      <c r="BB3416" s="197">
        <v>49437</v>
      </c>
    </row>
    <row r="3417" spans="54:54">
      <c r="BB3417" s="197">
        <v>49438</v>
      </c>
    </row>
    <row r="3418" spans="54:54">
      <c r="BB3418" s="197">
        <v>49439</v>
      </c>
    </row>
    <row r="3419" spans="54:54">
      <c r="BB3419" s="197">
        <v>49440</v>
      </c>
    </row>
    <row r="3420" spans="54:54">
      <c r="BB3420" s="197">
        <v>49441</v>
      </c>
    </row>
    <row r="3421" spans="54:54">
      <c r="BB3421" s="197">
        <v>49442</v>
      </c>
    </row>
    <row r="3422" spans="54:54">
      <c r="BB3422" s="197">
        <v>49443</v>
      </c>
    </row>
    <row r="3423" spans="54:54">
      <c r="BB3423" s="197">
        <v>49444</v>
      </c>
    </row>
    <row r="3424" spans="54:54">
      <c r="BB3424" s="197">
        <v>49445</v>
      </c>
    </row>
    <row r="3425" spans="54:54">
      <c r="BB3425" s="197">
        <v>49446</v>
      </c>
    </row>
    <row r="3426" spans="54:54">
      <c r="BB3426" s="197">
        <v>49447</v>
      </c>
    </row>
    <row r="3427" spans="54:54">
      <c r="BB3427" s="197">
        <v>49448</v>
      </c>
    </row>
    <row r="3428" spans="54:54">
      <c r="BB3428" s="197">
        <v>49449</v>
      </c>
    </row>
    <row r="3429" spans="54:54">
      <c r="BB3429" s="197">
        <v>49450</v>
      </c>
    </row>
    <row r="3430" spans="54:54">
      <c r="BB3430" s="197">
        <v>49451</v>
      </c>
    </row>
    <row r="3431" spans="54:54">
      <c r="BB3431" s="197">
        <v>49452</v>
      </c>
    </row>
    <row r="3432" spans="54:54">
      <c r="BB3432" s="197">
        <v>49453</v>
      </c>
    </row>
    <row r="3433" spans="54:54">
      <c r="BB3433" s="197">
        <v>49454</v>
      </c>
    </row>
    <row r="3434" spans="54:54">
      <c r="BB3434" s="197">
        <v>49455</v>
      </c>
    </row>
    <row r="3435" spans="54:54">
      <c r="BB3435" s="197">
        <v>49456</v>
      </c>
    </row>
    <row r="3436" spans="54:54">
      <c r="BB3436" s="197">
        <v>49457</v>
      </c>
    </row>
    <row r="3437" spans="54:54">
      <c r="BB3437" s="197">
        <v>49458</v>
      </c>
    </row>
    <row r="3438" spans="54:54">
      <c r="BB3438" s="197">
        <v>49459</v>
      </c>
    </row>
    <row r="3439" spans="54:54">
      <c r="BB3439" s="197">
        <v>49460</v>
      </c>
    </row>
    <row r="3440" spans="54:54">
      <c r="BB3440" s="197">
        <v>49461</v>
      </c>
    </row>
    <row r="3441" spans="54:54">
      <c r="BB3441" s="197">
        <v>49462</v>
      </c>
    </row>
    <row r="3442" spans="54:54">
      <c r="BB3442" s="197">
        <v>49463</v>
      </c>
    </row>
    <row r="3443" spans="54:54">
      <c r="BB3443" s="197">
        <v>49464</v>
      </c>
    </row>
    <row r="3444" spans="54:54">
      <c r="BB3444" s="197">
        <v>49465</v>
      </c>
    </row>
    <row r="3445" spans="54:54">
      <c r="BB3445" s="197">
        <v>49466</v>
      </c>
    </row>
    <row r="3446" spans="54:54">
      <c r="BB3446" s="197">
        <v>49467</v>
      </c>
    </row>
    <row r="3447" spans="54:54">
      <c r="BB3447" s="197">
        <v>49468</v>
      </c>
    </row>
    <row r="3448" spans="54:54">
      <c r="BB3448" s="197">
        <v>49469</v>
      </c>
    </row>
    <row r="3449" spans="54:54">
      <c r="BB3449" s="197">
        <v>49470</v>
      </c>
    </row>
    <row r="3450" spans="54:54">
      <c r="BB3450" s="197">
        <v>49471</v>
      </c>
    </row>
    <row r="3451" spans="54:54">
      <c r="BB3451" s="197">
        <v>49472</v>
      </c>
    </row>
    <row r="3452" spans="54:54">
      <c r="BB3452" s="197">
        <v>49473</v>
      </c>
    </row>
    <row r="3453" spans="54:54">
      <c r="BB3453" s="197">
        <v>49474</v>
      </c>
    </row>
    <row r="3454" spans="54:54">
      <c r="BB3454" s="197">
        <v>49475</v>
      </c>
    </row>
    <row r="3455" spans="54:54">
      <c r="BB3455" s="197">
        <v>49476</v>
      </c>
    </row>
    <row r="3456" spans="54:54">
      <c r="BB3456" s="197">
        <v>49477</v>
      </c>
    </row>
    <row r="3457" spans="54:54">
      <c r="BB3457" s="197">
        <v>49478</v>
      </c>
    </row>
    <row r="3458" spans="54:54">
      <c r="BB3458" s="197">
        <v>49479</v>
      </c>
    </row>
    <row r="3459" spans="54:54">
      <c r="BB3459" s="197">
        <v>49480</v>
      </c>
    </row>
    <row r="3460" spans="54:54">
      <c r="BB3460" s="197">
        <v>49481</v>
      </c>
    </row>
    <row r="3461" spans="54:54">
      <c r="BB3461" s="197">
        <v>49482</v>
      </c>
    </row>
    <row r="3462" spans="54:54">
      <c r="BB3462" s="197">
        <v>49483</v>
      </c>
    </row>
    <row r="3463" spans="54:54">
      <c r="BB3463" s="197">
        <v>49484</v>
      </c>
    </row>
    <row r="3464" spans="54:54">
      <c r="BB3464" s="197">
        <v>49485</v>
      </c>
    </row>
    <row r="3465" spans="54:54">
      <c r="BB3465" s="197">
        <v>49486</v>
      </c>
    </row>
    <row r="3466" spans="54:54">
      <c r="BB3466" s="197">
        <v>49487</v>
      </c>
    </row>
    <row r="3467" spans="54:54">
      <c r="BB3467" s="197">
        <v>49488</v>
      </c>
    </row>
    <row r="3468" spans="54:54">
      <c r="BB3468" s="197">
        <v>49489</v>
      </c>
    </row>
    <row r="3469" spans="54:54">
      <c r="BB3469" s="197">
        <v>49490</v>
      </c>
    </row>
    <row r="3470" spans="54:54">
      <c r="BB3470" s="197">
        <v>49491</v>
      </c>
    </row>
    <row r="3471" spans="54:54">
      <c r="BB3471" s="197">
        <v>49492</v>
      </c>
    </row>
    <row r="3472" spans="54:54">
      <c r="BB3472" s="197">
        <v>49493</v>
      </c>
    </row>
    <row r="3473" spans="54:54">
      <c r="BB3473" s="197">
        <v>49494</v>
      </c>
    </row>
    <row r="3474" spans="54:54">
      <c r="BB3474" s="197">
        <v>49495</v>
      </c>
    </row>
    <row r="3475" spans="54:54">
      <c r="BB3475" s="197">
        <v>49496</v>
      </c>
    </row>
    <row r="3476" spans="54:54">
      <c r="BB3476" s="197">
        <v>49497</v>
      </c>
    </row>
    <row r="3477" spans="54:54">
      <c r="BB3477" s="197">
        <v>49498</v>
      </c>
    </row>
    <row r="3478" spans="54:54">
      <c r="BB3478" s="197">
        <v>49499</v>
      </c>
    </row>
    <row r="3479" spans="54:54">
      <c r="BB3479" s="197">
        <v>49500</v>
      </c>
    </row>
    <row r="3480" spans="54:54">
      <c r="BB3480" s="197">
        <v>49501</v>
      </c>
    </row>
    <row r="3481" spans="54:54">
      <c r="BB3481" s="197">
        <v>49502</v>
      </c>
    </row>
    <row r="3482" spans="54:54">
      <c r="BB3482" s="197">
        <v>49503</v>
      </c>
    </row>
    <row r="3483" spans="54:54">
      <c r="BB3483" s="197">
        <v>49504</v>
      </c>
    </row>
    <row r="3484" spans="54:54">
      <c r="BB3484" s="197">
        <v>49505</v>
      </c>
    </row>
    <row r="3485" spans="54:54">
      <c r="BB3485" s="197">
        <v>49506</v>
      </c>
    </row>
    <row r="3486" spans="54:54">
      <c r="BB3486" s="197">
        <v>49507</v>
      </c>
    </row>
    <row r="3487" spans="54:54">
      <c r="BB3487" s="197">
        <v>49508</v>
      </c>
    </row>
    <row r="3488" spans="54:54">
      <c r="BB3488" s="197">
        <v>49509</v>
      </c>
    </row>
    <row r="3489" spans="54:54">
      <c r="BB3489" s="197">
        <v>49510</v>
      </c>
    </row>
    <row r="3490" spans="54:54">
      <c r="BB3490" s="197">
        <v>49511</v>
      </c>
    </row>
    <row r="3491" spans="54:54">
      <c r="BB3491" s="197">
        <v>49512</v>
      </c>
    </row>
    <row r="3492" spans="54:54">
      <c r="BB3492" s="197">
        <v>49513</v>
      </c>
    </row>
    <row r="3493" spans="54:54">
      <c r="BB3493" s="197">
        <v>49514</v>
      </c>
    </row>
    <row r="3494" spans="54:54">
      <c r="BB3494" s="197">
        <v>49515</v>
      </c>
    </row>
    <row r="3495" spans="54:54">
      <c r="BB3495" s="197">
        <v>49516</v>
      </c>
    </row>
    <row r="3496" spans="54:54">
      <c r="BB3496" s="197">
        <v>49517</v>
      </c>
    </row>
    <row r="3497" spans="54:54">
      <c r="BB3497" s="197">
        <v>49518</v>
      </c>
    </row>
    <row r="3498" spans="54:54">
      <c r="BB3498" s="197">
        <v>49519</v>
      </c>
    </row>
    <row r="3499" spans="54:54">
      <c r="BB3499" s="197">
        <v>49520</v>
      </c>
    </row>
    <row r="3500" spans="54:54">
      <c r="BB3500" s="197">
        <v>49521</v>
      </c>
    </row>
    <row r="3501" spans="54:54">
      <c r="BB3501" s="197">
        <v>49522</v>
      </c>
    </row>
    <row r="3502" spans="54:54">
      <c r="BB3502" s="197">
        <v>49523</v>
      </c>
    </row>
    <row r="3503" spans="54:54">
      <c r="BB3503" s="197">
        <v>49524</v>
      </c>
    </row>
    <row r="3504" spans="54:54">
      <c r="BB3504" s="197">
        <v>49525</v>
      </c>
    </row>
    <row r="3505" spans="54:54">
      <c r="BB3505" s="197">
        <v>49526</v>
      </c>
    </row>
    <row r="3506" spans="54:54">
      <c r="BB3506" s="197">
        <v>49527</v>
      </c>
    </row>
    <row r="3507" spans="54:54">
      <c r="BB3507" s="197">
        <v>49528</v>
      </c>
    </row>
    <row r="3508" spans="54:54">
      <c r="BB3508" s="197">
        <v>49529</v>
      </c>
    </row>
    <row r="3509" spans="54:54">
      <c r="BB3509" s="197">
        <v>49530</v>
      </c>
    </row>
    <row r="3510" spans="54:54">
      <c r="BB3510" s="197">
        <v>49531</v>
      </c>
    </row>
    <row r="3511" spans="54:54">
      <c r="BB3511" s="197">
        <v>49532</v>
      </c>
    </row>
    <row r="3512" spans="54:54">
      <c r="BB3512" s="197">
        <v>49533</v>
      </c>
    </row>
    <row r="3513" spans="54:54">
      <c r="BB3513" s="197">
        <v>49534</v>
      </c>
    </row>
    <row r="3514" spans="54:54">
      <c r="BB3514" s="197">
        <v>49535</v>
      </c>
    </row>
    <row r="3515" spans="54:54">
      <c r="BB3515" s="197">
        <v>49536</v>
      </c>
    </row>
    <row r="3516" spans="54:54">
      <c r="BB3516" s="197">
        <v>49537</v>
      </c>
    </row>
    <row r="3517" spans="54:54">
      <c r="BB3517" s="197">
        <v>49538</v>
      </c>
    </row>
    <row r="3518" spans="54:54">
      <c r="BB3518" s="197">
        <v>49539</v>
      </c>
    </row>
    <row r="3519" spans="54:54">
      <c r="BB3519" s="197">
        <v>49540</v>
      </c>
    </row>
    <row r="3520" spans="54:54">
      <c r="BB3520" s="197">
        <v>49541</v>
      </c>
    </row>
    <row r="3521" spans="54:54">
      <c r="BB3521" s="197">
        <v>49542</v>
      </c>
    </row>
    <row r="3522" spans="54:54">
      <c r="BB3522" s="197">
        <v>49543</v>
      </c>
    </row>
    <row r="3523" spans="54:54">
      <c r="BB3523" s="197">
        <v>49544</v>
      </c>
    </row>
    <row r="3524" spans="54:54">
      <c r="BB3524" s="197">
        <v>49545</v>
      </c>
    </row>
    <row r="3525" spans="54:54">
      <c r="BB3525" s="197">
        <v>49546</v>
      </c>
    </row>
    <row r="3526" spans="54:54">
      <c r="BB3526" s="197">
        <v>49547</v>
      </c>
    </row>
    <row r="3527" spans="54:54">
      <c r="BB3527" s="197">
        <v>49548</v>
      </c>
    </row>
    <row r="3528" spans="54:54">
      <c r="BB3528" s="197">
        <v>49549</v>
      </c>
    </row>
    <row r="3529" spans="54:54">
      <c r="BB3529" s="197">
        <v>49550</v>
      </c>
    </row>
    <row r="3530" spans="54:54">
      <c r="BB3530" s="197">
        <v>49551</v>
      </c>
    </row>
    <row r="3531" spans="54:54">
      <c r="BB3531" s="197">
        <v>49552</v>
      </c>
    </row>
    <row r="3532" spans="54:54">
      <c r="BB3532" s="197">
        <v>49553</v>
      </c>
    </row>
    <row r="3533" spans="54:54">
      <c r="BB3533" s="197">
        <v>49554</v>
      </c>
    </row>
    <row r="3534" spans="54:54">
      <c r="BB3534" s="197">
        <v>49555</v>
      </c>
    </row>
    <row r="3535" spans="54:54">
      <c r="BB3535" s="197">
        <v>49556</v>
      </c>
    </row>
    <row r="3536" spans="54:54">
      <c r="BB3536" s="197">
        <v>49557</v>
      </c>
    </row>
    <row r="3537" spans="54:54">
      <c r="BB3537" s="197">
        <v>49558</v>
      </c>
    </row>
    <row r="3538" spans="54:54">
      <c r="BB3538" s="197">
        <v>49559</v>
      </c>
    </row>
    <row r="3539" spans="54:54">
      <c r="BB3539" s="197">
        <v>49560</v>
      </c>
    </row>
    <row r="3540" spans="54:54">
      <c r="BB3540" s="197">
        <v>49561</v>
      </c>
    </row>
    <row r="3541" spans="54:54">
      <c r="BB3541" s="197">
        <v>49562</v>
      </c>
    </row>
    <row r="3542" spans="54:54">
      <c r="BB3542" s="197">
        <v>49563</v>
      </c>
    </row>
    <row r="3543" spans="54:54">
      <c r="BB3543" s="197">
        <v>49564</v>
      </c>
    </row>
    <row r="3544" spans="54:54">
      <c r="BB3544" s="197">
        <v>49565</v>
      </c>
    </row>
    <row r="3545" spans="54:54">
      <c r="BB3545" s="197">
        <v>49566</v>
      </c>
    </row>
    <row r="3546" spans="54:54">
      <c r="BB3546" s="197">
        <v>49567</v>
      </c>
    </row>
    <row r="3547" spans="54:54">
      <c r="BB3547" s="197">
        <v>49568</v>
      </c>
    </row>
    <row r="3548" spans="54:54">
      <c r="BB3548" s="197">
        <v>49569</v>
      </c>
    </row>
    <row r="3549" spans="54:54">
      <c r="BB3549" s="197">
        <v>49570</v>
      </c>
    </row>
    <row r="3550" spans="54:54">
      <c r="BB3550" s="197">
        <v>49571</v>
      </c>
    </row>
    <row r="3551" spans="54:54">
      <c r="BB3551" s="197">
        <v>49572</v>
      </c>
    </row>
    <row r="3552" spans="54:54">
      <c r="BB3552" s="197">
        <v>49573</v>
      </c>
    </row>
    <row r="3553" spans="54:54">
      <c r="BB3553" s="197">
        <v>49574</v>
      </c>
    </row>
    <row r="3554" spans="54:54">
      <c r="BB3554" s="197">
        <v>49575</v>
      </c>
    </row>
    <row r="3555" spans="54:54">
      <c r="BB3555" s="197">
        <v>49576</v>
      </c>
    </row>
    <row r="3556" spans="54:54">
      <c r="BB3556" s="197">
        <v>49577</v>
      </c>
    </row>
    <row r="3557" spans="54:54">
      <c r="BB3557" s="197">
        <v>49578</v>
      </c>
    </row>
    <row r="3558" spans="54:54">
      <c r="BB3558" s="197">
        <v>49579</v>
      </c>
    </row>
    <row r="3559" spans="54:54">
      <c r="BB3559" s="197">
        <v>49580</v>
      </c>
    </row>
    <row r="3560" spans="54:54">
      <c r="BB3560" s="197">
        <v>49581</v>
      </c>
    </row>
    <row r="3561" spans="54:54">
      <c r="BB3561" s="197">
        <v>49582</v>
      </c>
    </row>
    <row r="3562" spans="54:54">
      <c r="BB3562" s="197">
        <v>49583</v>
      </c>
    </row>
    <row r="3563" spans="54:54">
      <c r="BB3563" s="197">
        <v>49584</v>
      </c>
    </row>
    <row r="3564" spans="54:54">
      <c r="BB3564" s="197">
        <v>49585</v>
      </c>
    </row>
    <row r="3565" spans="54:54">
      <c r="BB3565" s="197">
        <v>49586</v>
      </c>
    </row>
    <row r="3566" spans="54:54">
      <c r="BB3566" s="197">
        <v>49587</v>
      </c>
    </row>
    <row r="3567" spans="54:54">
      <c r="BB3567" s="197">
        <v>49588</v>
      </c>
    </row>
    <row r="3568" spans="54:54">
      <c r="BB3568" s="197">
        <v>49589</v>
      </c>
    </row>
    <row r="3569" spans="54:54">
      <c r="BB3569" s="197">
        <v>49590</v>
      </c>
    </row>
    <row r="3570" spans="54:54">
      <c r="BB3570" s="197">
        <v>49591</v>
      </c>
    </row>
    <row r="3571" spans="54:54">
      <c r="BB3571" s="197">
        <v>49592</v>
      </c>
    </row>
    <row r="3572" spans="54:54">
      <c r="BB3572" s="197">
        <v>49593</v>
      </c>
    </row>
    <row r="3573" spans="54:54">
      <c r="BB3573" s="197">
        <v>49594</v>
      </c>
    </row>
    <row r="3574" spans="54:54">
      <c r="BB3574" s="197">
        <v>49595</v>
      </c>
    </row>
    <row r="3575" spans="54:54">
      <c r="BB3575" s="197">
        <v>49596</v>
      </c>
    </row>
    <row r="3576" spans="54:54">
      <c r="BB3576" s="197">
        <v>49597</v>
      </c>
    </row>
    <row r="3577" spans="54:54">
      <c r="BB3577" s="197">
        <v>49598</v>
      </c>
    </row>
    <row r="3578" spans="54:54">
      <c r="BB3578" s="197">
        <v>49599</v>
      </c>
    </row>
    <row r="3579" spans="54:54">
      <c r="BB3579" s="197">
        <v>49600</v>
      </c>
    </row>
    <row r="3580" spans="54:54">
      <c r="BB3580" s="197">
        <v>49601</v>
      </c>
    </row>
    <row r="3581" spans="54:54">
      <c r="BB3581" s="197">
        <v>49602</v>
      </c>
    </row>
    <row r="3582" spans="54:54">
      <c r="BB3582" s="197">
        <v>49603</v>
      </c>
    </row>
    <row r="3583" spans="54:54">
      <c r="BB3583" s="197">
        <v>49604</v>
      </c>
    </row>
    <row r="3584" spans="54:54">
      <c r="BB3584" s="197">
        <v>49605</v>
      </c>
    </row>
    <row r="3585" spans="54:54">
      <c r="BB3585" s="197">
        <v>49606</v>
      </c>
    </row>
    <row r="3586" spans="54:54">
      <c r="BB3586" s="197">
        <v>49607</v>
      </c>
    </row>
    <row r="3587" spans="54:54">
      <c r="BB3587" s="197">
        <v>49608</v>
      </c>
    </row>
    <row r="3588" spans="54:54">
      <c r="BB3588" s="197">
        <v>49609</v>
      </c>
    </row>
    <row r="3589" spans="54:54">
      <c r="BB3589" s="197">
        <v>49610</v>
      </c>
    </row>
    <row r="3590" spans="54:54">
      <c r="BB3590" s="197">
        <v>49611</v>
      </c>
    </row>
    <row r="3591" spans="54:54">
      <c r="BB3591" s="197">
        <v>49612</v>
      </c>
    </row>
    <row r="3592" spans="54:54">
      <c r="BB3592" s="197">
        <v>49613</v>
      </c>
    </row>
    <row r="3593" spans="54:54">
      <c r="BB3593" s="197">
        <v>49614</v>
      </c>
    </row>
    <row r="3594" spans="54:54">
      <c r="BB3594" s="197">
        <v>49615</v>
      </c>
    </row>
    <row r="3595" spans="54:54">
      <c r="BB3595" s="197">
        <v>49616</v>
      </c>
    </row>
    <row r="3596" spans="54:54">
      <c r="BB3596" s="197">
        <v>49617</v>
      </c>
    </row>
    <row r="3597" spans="54:54">
      <c r="BB3597" s="197">
        <v>49618</v>
      </c>
    </row>
    <row r="3598" spans="54:54">
      <c r="BB3598" s="197">
        <v>49619</v>
      </c>
    </row>
    <row r="3599" spans="54:54">
      <c r="BB3599" s="197">
        <v>49620</v>
      </c>
    </row>
    <row r="3600" spans="54:54">
      <c r="BB3600" s="197">
        <v>49621</v>
      </c>
    </row>
    <row r="3601" spans="54:54">
      <c r="BB3601" s="197">
        <v>49622</v>
      </c>
    </row>
    <row r="3602" spans="54:54">
      <c r="BB3602" s="197">
        <v>49623</v>
      </c>
    </row>
    <row r="3603" spans="54:54">
      <c r="BB3603" s="197">
        <v>49624</v>
      </c>
    </row>
    <row r="3604" spans="54:54">
      <c r="BB3604" s="197">
        <v>49625</v>
      </c>
    </row>
    <row r="3605" spans="54:54">
      <c r="BB3605" s="197">
        <v>49626</v>
      </c>
    </row>
    <row r="3606" spans="54:54">
      <c r="BB3606" s="197">
        <v>49627</v>
      </c>
    </row>
    <row r="3607" spans="54:54">
      <c r="BB3607" s="197">
        <v>49628</v>
      </c>
    </row>
    <row r="3608" spans="54:54">
      <c r="BB3608" s="197">
        <v>49629</v>
      </c>
    </row>
    <row r="3609" spans="54:54">
      <c r="BB3609" s="197">
        <v>49630</v>
      </c>
    </row>
    <row r="3610" spans="54:54">
      <c r="BB3610" s="197">
        <v>49631</v>
      </c>
    </row>
    <row r="3611" spans="54:54">
      <c r="BB3611" s="197">
        <v>49632</v>
      </c>
    </row>
    <row r="3612" spans="54:54">
      <c r="BB3612" s="197">
        <v>49633</v>
      </c>
    </row>
    <row r="3613" spans="54:54">
      <c r="BB3613" s="197">
        <v>49634</v>
      </c>
    </row>
    <row r="3614" spans="54:54">
      <c r="BB3614" s="197">
        <v>49635</v>
      </c>
    </row>
    <row r="3615" spans="54:54">
      <c r="BB3615" s="197">
        <v>49636</v>
      </c>
    </row>
    <row r="3616" spans="54:54">
      <c r="BB3616" s="197">
        <v>49637</v>
      </c>
    </row>
    <row r="3617" spans="54:54">
      <c r="BB3617" s="197">
        <v>49638</v>
      </c>
    </row>
    <row r="3618" spans="54:54">
      <c r="BB3618" s="197">
        <v>49639</v>
      </c>
    </row>
    <row r="3619" spans="54:54">
      <c r="BB3619" s="197">
        <v>49640</v>
      </c>
    </row>
    <row r="3620" spans="54:54">
      <c r="BB3620" s="197">
        <v>49641</v>
      </c>
    </row>
    <row r="3621" spans="54:54">
      <c r="BB3621" s="197">
        <v>49642</v>
      </c>
    </row>
    <row r="3622" spans="54:54">
      <c r="BB3622" s="197">
        <v>49643</v>
      </c>
    </row>
    <row r="3623" spans="54:54">
      <c r="BB3623" s="197">
        <v>49644</v>
      </c>
    </row>
    <row r="3624" spans="54:54">
      <c r="BB3624" s="197">
        <v>49645</v>
      </c>
    </row>
    <row r="3625" spans="54:54">
      <c r="BB3625" s="197">
        <v>49646</v>
      </c>
    </row>
    <row r="3626" spans="54:54">
      <c r="BB3626" s="197">
        <v>49647</v>
      </c>
    </row>
    <row r="3627" spans="54:54">
      <c r="BB3627" s="197">
        <v>49648</v>
      </c>
    </row>
    <row r="3628" spans="54:54">
      <c r="BB3628" s="197">
        <v>49649</v>
      </c>
    </row>
    <row r="3629" spans="54:54">
      <c r="BB3629" s="197">
        <v>49650</v>
      </c>
    </row>
    <row r="3630" spans="54:54">
      <c r="BB3630" s="197">
        <v>49651</v>
      </c>
    </row>
    <row r="3631" spans="54:54">
      <c r="BB3631" s="197">
        <v>49652</v>
      </c>
    </row>
    <row r="3632" spans="54:54">
      <c r="BB3632" s="197">
        <v>49653</v>
      </c>
    </row>
    <row r="3633" spans="54:54">
      <c r="BB3633" s="197">
        <v>49654</v>
      </c>
    </row>
    <row r="3634" spans="54:54">
      <c r="BB3634" s="197">
        <v>49655</v>
      </c>
    </row>
    <row r="3635" spans="54:54">
      <c r="BB3635" s="197">
        <v>49656</v>
      </c>
    </row>
    <row r="3636" spans="54:54">
      <c r="BB3636" s="197">
        <v>49657</v>
      </c>
    </row>
    <row r="3637" spans="54:54">
      <c r="BB3637" s="197">
        <v>49658</v>
      </c>
    </row>
    <row r="3638" spans="54:54">
      <c r="BB3638" s="197">
        <v>49659</v>
      </c>
    </row>
    <row r="3639" spans="54:54">
      <c r="BB3639" s="197">
        <v>49660</v>
      </c>
    </row>
    <row r="3640" spans="54:54">
      <c r="BB3640" s="197">
        <v>49661</v>
      </c>
    </row>
    <row r="3641" spans="54:54">
      <c r="BB3641" s="197">
        <v>49662</v>
      </c>
    </row>
    <row r="3642" spans="54:54">
      <c r="BB3642" s="197">
        <v>49663</v>
      </c>
    </row>
    <row r="3643" spans="54:54">
      <c r="BB3643" s="197">
        <v>49664</v>
      </c>
    </row>
    <row r="3644" spans="54:54">
      <c r="BB3644" s="197">
        <v>49665</v>
      </c>
    </row>
    <row r="3645" spans="54:54">
      <c r="BB3645" s="197">
        <v>49666</v>
      </c>
    </row>
    <row r="3646" spans="54:54">
      <c r="BB3646" s="197">
        <v>49667</v>
      </c>
    </row>
    <row r="3647" spans="54:54">
      <c r="BB3647" s="197">
        <v>49668</v>
      </c>
    </row>
    <row r="3648" spans="54:54">
      <c r="BB3648" s="197">
        <v>49669</v>
      </c>
    </row>
    <row r="3649" spans="54:54">
      <c r="BB3649" s="197">
        <v>49670</v>
      </c>
    </row>
    <row r="3650" spans="54:54">
      <c r="BB3650" s="197">
        <v>49671</v>
      </c>
    </row>
    <row r="3651" spans="54:54">
      <c r="BB3651" s="197">
        <v>49672</v>
      </c>
    </row>
    <row r="3652" spans="54:54">
      <c r="BB3652" s="197">
        <v>49673</v>
      </c>
    </row>
    <row r="3653" spans="54:54">
      <c r="BB3653" s="197">
        <v>49674</v>
      </c>
    </row>
    <row r="3654" spans="54:54">
      <c r="BB3654" s="197">
        <v>49675</v>
      </c>
    </row>
    <row r="3655" spans="54:54">
      <c r="BB3655" s="197">
        <v>49676</v>
      </c>
    </row>
    <row r="3656" spans="54:54">
      <c r="BB3656" s="197">
        <v>49677</v>
      </c>
    </row>
    <row r="3657" spans="54:54">
      <c r="BB3657" s="197">
        <v>49678</v>
      </c>
    </row>
    <row r="3658" spans="54:54">
      <c r="BB3658" s="197">
        <v>49679</v>
      </c>
    </row>
    <row r="3659" spans="54:54">
      <c r="BB3659" s="197">
        <v>49680</v>
      </c>
    </row>
    <row r="3660" spans="54:54">
      <c r="BB3660" s="197">
        <v>49681</v>
      </c>
    </row>
    <row r="3661" spans="54:54">
      <c r="BB3661" s="197">
        <v>49682</v>
      </c>
    </row>
    <row r="3662" spans="54:54">
      <c r="BB3662" s="197">
        <v>49683</v>
      </c>
    </row>
    <row r="3663" spans="54:54">
      <c r="BB3663" s="197">
        <v>49684</v>
      </c>
    </row>
    <row r="3664" spans="54:54">
      <c r="BB3664" s="197">
        <v>49685</v>
      </c>
    </row>
    <row r="3665" spans="54:54">
      <c r="BB3665" s="197">
        <v>49686</v>
      </c>
    </row>
    <row r="3666" spans="54:54">
      <c r="BB3666" s="197">
        <v>49687</v>
      </c>
    </row>
    <row r="3667" spans="54:54">
      <c r="BB3667" s="197">
        <v>49688</v>
      </c>
    </row>
    <row r="3668" spans="54:54">
      <c r="BB3668" s="197">
        <v>49689</v>
      </c>
    </row>
    <row r="3669" spans="54:54">
      <c r="BB3669" s="197">
        <v>49690</v>
      </c>
    </row>
    <row r="3670" spans="54:54">
      <c r="BB3670" s="197">
        <v>49691</v>
      </c>
    </row>
    <row r="3671" spans="54:54">
      <c r="BB3671" s="197">
        <v>49692</v>
      </c>
    </row>
    <row r="3672" spans="54:54">
      <c r="BB3672" s="197">
        <v>49693</v>
      </c>
    </row>
    <row r="3673" spans="54:54">
      <c r="BB3673" s="197">
        <v>49694</v>
      </c>
    </row>
    <row r="3674" spans="54:54">
      <c r="BB3674" s="197">
        <v>49695</v>
      </c>
    </row>
    <row r="3675" spans="54:54">
      <c r="BB3675" s="197">
        <v>49696</v>
      </c>
    </row>
    <row r="3676" spans="54:54">
      <c r="BB3676" s="197">
        <v>49697</v>
      </c>
    </row>
    <row r="3677" spans="54:54">
      <c r="BB3677" s="197">
        <v>49698</v>
      </c>
    </row>
    <row r="3678" spans="54:54">
      <c r="BB3678" s="197">
        <v>49699</v>
      </c>
    </row>
    <row r="3679" spans="54:54">
      <c r="BB3679" s="197">
        <v>49700</v>
      </c>
    </row>
    <row r="3680" spans="54:54">
      <c r="BB3680" s="197">
        <v>49701</v>
      </c>
    </row>
    <row r="3681" spans="54:54">
      <c r="BB3681" s="197">
        <v>49702</v>
      </c>
    </row>
    <row r="3682" spans="54:54">
      <c r="BB3682" s="197">
        <v>49703</v>
      </c>
    </row>
    <row r="3683" spans="54:54">
      <c r="BB3683" s="197">
        <v>49704</v>
      </c>
    </row>
    <row r="3684" spans="54:54">
      <c r="BB3684" s="197">
        <v>49705</v>
      </c>
    </row>
    <row r="3685" spans="54:54">
      <c r="BB3685" s="197">
        <v>49706</v>
      </c>
    </row>
    <row r="3686" spans="54:54">
      <c r="BB3686" s="197">
        <v>49707</v>
      </c>
    </row>
    <row r="3687" spans="54:54">
      <c r="BB3687" s="197">
        <v>49708</v>
      </c>
    </row>
    <row r="3688" spans="54:54">
      <c r="BB3688" s="197">
        <v>49709</v>
      </c>
    </row>
    <row r="3689" spans="54:54">
      <c r="BB3689" s="197">
        <v>49710</v>
      </c>
    </row>
    <row r="3690" spans="54:54">
      <c r="BB3690" s="197">
        <v>49711</v>
      </c>
    </row>
    <row r="3691" spans="54:54">
      <c r="BB3691" s="197">
        <v>49712</v>
      </c>
    </row>
    <row r="3692" spans="54:54">
      <c r="BB3692" s="197">
        <v>49713</v>
      </c>
    </row>
    <row r="3693" spans="54:54">
      <c r="BB3693" s="197">
        <v>49714</v>
      </c>
    </row>
    <row r="3694" spans="54:54">
      <c r="BB3694" s="197">
        <v>49715</v>
      </c>
    </row>
    <row r="3695" spans="54:54">
      <c r="BB3695" s="197">
        <v>49716</v>
      </c>
    </row>
    <row r="3696" spans="54:54">
      <c r="BB3696" s="197">
        <v>49717</v>
      </c>
    </row>
    <row r="3697" spans="54:54">
      <c r="BB3697" s="197">
        <v>49718</v>
      </c>
    </row>
    <row r="3698" spans="54:54">
      <c r="BB3698" s="197">
        <v>49719</v>
      </c>
    </row>
    <row r="3699" spans="54:54">
      <c r="BB3699" s="197">
        <v>49720</v>
      </c>
    </row>
    <row r="3700" spans="54:54">
      <c r="BB3700" s="197">
        <v>49721</v>
      </c>
    </row>
    <row r="3701" spans="54:54">
      <c r="BB3701" s="197">
        <v>49722</v>
      </c>
    </row>
    <row r="3702" spans="54:54">
      <c r="BB3702" s="197">
        <v>49723</v>
      </c>
    </row>
    <row r="3703" spans="54:54">
      <c r="BB3703" s="197">
        <v>49724</v>
      </c>
    </row>
    <row r="3704" spans="54:54">
      <c r="BB3704" s="197">
        <v>49725</v>
      </c>
    </row>
    <row r="3705" spans="54:54">
      <c r="BB3705" s="197">
        <v>49726</v>
      </c>
    </row>
    <row r="3706" spans="54:54">
      <c r="BB3706" s="197">
        <v>49727</v>
      </c>
    </row>
    <row r="3707" spans="54:54">
      <c r="BB3707" s="197">
        <v>49728</v>
      </c>
    </row>
    <row r="3708" spans="54:54">
      <c r="BB3708" s="197">
        <v>49729</v>
      </c>
    </row>
    <row r="3709" spans="54:54">
      <c r="BB3709" s="197">
        <v>49730</v>
      </c>
    </row>
    <row r="3710" spans="54:54">
      <c r="BB3710" s="197">
        <v>49731</v>
      </c>
    </row>
    <row r="3711" spans="54:54">
      <c r="BB3711" s="197">
        <v>49732</v>
      </c>
    </row>
    <row r="3712" spans="54:54">
      <c r="BB3712" s="197">
        <v>49733</v>
      </c>
    </row>
    <row r="3713" spans="54:54">
      <c r="BB3713" s="197">
        <v>49734</v>
      </c>
    </row>
    <row r="3714" spans="54:54">
      <c r="BB3714" s="197">
        <v>49735</v>
      </c>
    </row>
    <row r="3715" spans="54:54">
      <c r="BB3715" s="197">
        <v>49736</v>
      </c>
    </row>
    <row r="3716" spans="54:54">
      <c r="BB3716" s="197">
        <v>49737</v>
      </c>
    </row>
    <row r="3717" spans="54:54">
      <c r="BB3717" s="197">
        <v>49738</v>
      </c>
    </row>
    <row r="3718" spans="54:54">
      <c r="BB3718" s="197">
        <v>49739</v>
      </c>
    </row>
    <row r="3719" spans="54:54">
      <c r="BB3719" s="197">
        <v>49740</v>
      </c>
    </row>
    <row r="3720" spans="54:54">
      <c r="BB3720" s="197">
        <v>49741</v>
      </c>
    </row>
    <row r="3721" spans="54:54">
      <c r="BB3721" s="197">
        <v>49742</v>
      </c>
    </row>
    <row r="3722" spans="54:54">
      <c r="BB3722" s="197">
        <v>49743</v>
      </c>
    </row>
    <row r="3723" spans="54:54">
      <c r="BB3723" s="197">
        <v>49744</v>
      </c>
    </row>
    <row r="3724" spans="54:54">
      <c r="BB3724" s="197">
        <v>49745</v>
      </c>
    </row>
    <row r="3725" spans="54:54">
      <c r="BB3725" s="197">
        <v>49746</v>
      </c>
    </row>
    <row r="3726" spans="54:54">
      <c r="BB3726" s="197">
        <v>49747</v>
      </c>
    </row>
    <row r="3727" spans="54:54">
      <c r="BB3727" s="197">
        <v>49748</v>
      </c>
    </row>
    <row r="3728" spans="54:54">
      <c r="BB3728" s="197">
        <v>49749</v>
      </c>
    </row>
    <row r="3729" spans="54:54">
      <c r="BB3729" s="197">
        <v>49750</v>
      </c>
    </row>
    <row r="3730" spans="54:54">
      <c r="BB3730" s="197">
        <v>49751</v>
      </c>
    </row>
    <row r="3731" spans="54:54">
      <c r="BB3731" s="197">
        <v>49752</v>
      </c>
    </row>
    <row r="3732" spans="54:54">
      <c r="BB3732" s="197">
        <v>49753</v>
      </c>
    </row>
    <row r="3733" spans="54:54">
      <c r="BB3733" s="197">
        <v>49754</v>
      </c>
    </row>
    <row r="3734" spans="54:54">
      <c r="BB3734" s="197">
        <v>49755</v>
      </c>
    </row>
    <row r="3735" spans="54:54">
      <c r="BB3735" s="197">
        <v>49756</v>
      </c>
    </row>
    <row r="3736" spans="54:54">
      <c r="BB3736" s="197">
        <v>49757</v>
      </c>
    </row>
    <row r="3737" spans="54:54">
      <c r="BB3737" s="197">
        <v>49758</v>
      </c>
    </row>
    <row r="3738" spans="54:54">
      <c r="BB3738" s="197">
        <v>49759</v>
      </c>
    </row>
    <row r="3739" spans="54:54">
      <c r="BB3739" s="197">
        <v>49760</v>
      </c>
    </row>
    <row r="3740" spans="54:54">
      <c r="BB3740" s="197">
        <v>49761</v>
      </c>
    </row>
    <row r="3741" spans="54:54">
      <c r="BB3741" s="197">
        <v>49762</v>
      </c>
    </row>
    <row r="3742" spans="54:54">
      <c r="BB3742" s="197">
        <v>49763</v>
      </c>
    </row>
    <row r="3743" spans="54:54">
      <c r="BB3743" s="197">
        <v>49764</v>
      </c>
    </row>
    <row r="3744" spans="54:54">
      <c r="BB3744" s="197">
        <v>49765</v>
      </c>
    </row>
    <row r="3745" spans="54:54">
      <c r="BB3745" s="197">
        <v>49766</v>
      </c>
    </row>
    <row r="3746" spans="54:54">
      <c r="BB3746" s="197">
        <v>49767</v>
      </c>
    </row>
    <row r="3747" spans="54:54">
      <c r="BB3747" s="197">
        <v>49768</v>
      </c>
    </row>
    <row r="3748" spans="54:54">
      <c r="BB3748" s="197">
        <v>49769</v>
      </c>
    </row>
    <row r="3749" spans="54:54">
      <c r="BB3749" s="197">
        <v>49770</v>
      </c>
    </row>
    <row r="3750" spans="54:54">
      <c r="BB3750" s="197">
        <v>49771</v>
      </c>
    </row>
    <row r="3751" spans="54:54">
      <c r="BB3751" s="197">
        <v>49772</v>
      </c>
    </row>
    <row r="3752" spans="54:54">
      <c r="BB3752" s="197">
        <v>49773</v>
      </c>
    </row>
    <row r="3753" spans="54:54">
      <c r="BB3753" s="197">
        <v>49774</v>
      </c>
    </row>
    <row r="3754" spans="54:54">
      <c r="BB3754" s="197">
        <v>49775</v>
      </c>
    </row>
    <row r="3755" spans="54:54">
      <c r="BB3755" s="197">
        <v>49776</v>
      </c>
    </row>
    <row r="3756" spans="54:54">
      <c r="BB3756" s="197">
        <v>49777</v>
      </c>
    </row>
    <row r="3757" spans="54:54">
      <c r="BB3757" s="197">
        <v>49778</v>
      </c>
    </row>
    <row r="3758" spans="54:54">
      <c r="BB3758" s="197">
        <v>49779</v>
      </c>
    </row>
    <row r="3759" spans="54:54">
      <c r="BB3759" s="197">
        <v>49780</v>
      </c>
    </row>
    <row r="3760" spans="54:54">
      <c r="BB3760" s="197">
        <v>49781</v>
      </c>
    </row>
    <row r="3761" spans="54:54">
      <c r="BB3761" s="197">
        <v>49782</v>
      </c>
    </row>
    <row r="3762" spans="54:54">
      <c r="BB3762" s="197">
        <v>49783</v>
      </c>
    </row>
    <row r="3763" spans="54:54">
      <c r="BB3763" s="197">
        <v>49784</v>
      </c>
    </row>
    <row r="3764" spans="54:54">
      <c r="BB3764" s="197">
        <v>49785</v>
      </c>
    </row>
    <row r="3765" spans="54:54">
      <c r="BB3765" s="197">
        <v>49786</v>
      </c>
    </row>
    <row r="3766" spans="54:54">
      <c r="BB3766" s="197">
        <v>49787</v>
      </c>
    </row>
    <row r="3767" spans="54:54">
      <c r="BB3767" s="197">
        <v>49788</v>
      </c>
    </row>
    <row r="3768" spans="54:54">
      <c r="BB3768" s="197">
        <v>49789</v>
      </c>
    </row>
    <row r="3769" spans="54:54">
      <c r="BB3769" s="197">
        <v>49790</v>
      </c>
    </row>
    <row r="3770" spans="54:54">
      <c r="BB3770" s="197">
        <v>49791</v>
      </c>
    </row>
    <row r="3771" spans="54:54">
      <c r="BB3771" s="197">
        <v>49792</v>
      </c>
    </row>
    <row r="3772" spans="54:54">
      <c r="BB3772" s="197">
        <v>49793</v>
      </c>
    </row>
    <row r="3773" spans="54:54">
      <c r="BB3773" s="197">
        <v>49794</v>
      </c>
    </row>
    <row r="3774" spans="54:54">
      <c r="BB3774" s="197">
        <v>49795</v>
      </c>
    </row>
    <row r="3775" spans="54:54">
      <c r="BB3775" s="197">
        <v>49796</v>
      </c>
    </row>
    <row r="3776" spans="54:54">
      <c r="BB3776" s="197">
        <v>49797</v>
      </c>
    </row>
    <row r="3777" spans="54:54">
      <c r="BB3777" s="197">
        <v>49798</v>
      </c>
    </row>
    <row r="3778" spans="54:54">
      <c r="BB3778" s="197">
        <v>49799</v>
      </c>
    </row>
    <row r="3779" spans="54:54">
      <c r="BB3779" s="197">
        <v>49800</v>
      </c>
    </row>
    <row r="3780" spans="54:54">
      <c r="BB3780" s="197">
        <v>49801</v>
      </c>
    </row>
    <row r="3781" spans="54:54">
      <c r="BB3781" s="197">
        <v>49802</v>
      </c>
    </row>
    <row r="3782" spans="54:54">
      <c r="BB3782" s="197">
        <v>49803</v>
      </c>
    </row>
    <row r="3783" spans="54:54">
      <c r="BB3783" s="197">
        <v>49804</v>
      </c>
    </row>
    <row r="3784" spans="54:54">
      <c r="BB3784" s="197">
        <v>49805</v>
      </c>
    </row>
    <row r="3785" spans="54:54">
      <c r="BB3785" s="197">
        <v>49806</v>
      </c>
    </row>
    <row r="3786" spans="54:54">
      <c r="BB3786" s="197">
        <v>49807</v>
      </c>
    </row>
    <row r="3787" spans="54:54">
      <c r="BB3787" s="197">
        <v>49808</v>
      </c>
    </row>
    <row r="3788" spans="54:54">
      <c r="BB3788" s="197">
        <v>49809</v>
      </c>
    </row>
    <row r="3789" spans="54:54">
      <c r="BB3789" s="197">
        <v>49810</v>
      </c>
    </row>
    <row r="3790" spans="54:54">
      <c r="BB3790" s="197">
        <v>49811</v>
      </c>
    </row>
    <row r="3791" spans="54:54">
      <c r="BB3791" s="197">
        <v>49812</v>
      </c>
    </row>
    <row r="3792" spans="54:54">
      <c r="BB3792" s="197">
        <v>49813</v>
      </c>
    </row>
    <row r="3793" spans="54:54">
      <c r="BB3793" s="197">
        <v>49814</v>
      </c>
    </row>
    <row r="3794" spans="54:54">
      <c r="BB3794" s="197">
        <v>49815</v>
      </c>
    </row>
    <row r="3795" spans="54:54">
      <c r="BB3795" s="197">
        <v>49816</v>
      </c>
    </row>
    <row r="3796" spans="54:54">
      <c r="BB3796" s="197">
        <v>49817</v>
      </c>
    </row>
    <row r="3797" spans="54:54">
      <c r="BB3797" s="197">
        <v>49818</v>
      </c>
    </row>
    <row r="3798" spans="54:54">
      <c r="BB3798" s="197">
        <v>49819</v>
      </c>
    </row>
    <row r="3799" spans="54:54">
      <c r="BB3799" s="197">
        <v>49820</v>
      </c>
    </row>
    <row r="3800" spans="54:54">
      <c r="BB3800" s="197">
        <v>49821</v>
      </c>
    </row>
    <row r="3801" spans="54:54">
      <c r="BB3801" s="197">
        <v>49822</v>
      </c>
    </row>
    <row r="3802" spans="54:54">
      <c r="BB3802" s="197">
        <v>49823</v>
      </c>
    </row>
    <row r="3803" spans="54:54">
      <c r="BB3803" s="197">
        <v>49824</v>
      </c>
    </row>
    <row r="3804" spans="54:54">
      <c r="BB3804" s="197">
        <v>49825</v>
      </c>
    </row>
    <row r="3805" spans="54:54">
      <c r="BB3805" s="197">
        <v>49826</v>
      </c>
    </row>
    <row r="3806" spans="54:54">
      <c r="BB3806" s="197">
        <v>49827</v>
      </c>
    </row>
    <row r="3807" spans="54:54">
      <c r="BB3807" s="197">
        <v>49828</v>
      </c>
    </row>
    <row r="3808" spans="54:54">
      <c r="BB3808" s="197">
        <v>49829</v>
      </c>
    </row>
    <row r="3809" spans="54:54">
      <c r="BB3809" s="197">
        <v>49830</v>
      </c>
    </row>
    <row r="3810" spans="54:54">
      <c r="BB3810" s="197">
        <v>49831</v>
      </c>
    </row>
    <row r="3811" spans="54:54">
      <c r="BB3811" s="197">
        <v>49832</v>
      </c>
    </row>
    <row r="3812" spans="54:54">
      <c r="BB3812" s="197">
        <v>49833</v>
      </c>
    </row>
    <row r="3813" spans="54:54">
      <c r="BB3813" s="197">
        <v>49834</v>
      </c>
    </row>
    <row r="3814" spans="54:54">
      <c r="BB3814" s="197">
        <v>49835</v>
      </c>
    </row>
    <row r="3815" spans="54:54">
      <c r="BB3815" s="197">
        <v>49836</v>
      </c>
    </row>
    <row r="3816" spans="54:54">
      <c r="BB3816" s="197">
        <v>49837</v>
      </c>
    </row>
    <row r="3817" spans="54:54">
      <c r="BB3817" s="197">
        <v>49838</v>
      </c>
    </row>
    <row r="3818" spans="54:54">
      <c r="BB3818" s="197">
        <v>49839</v>
      </c>
    </row>
    <row r="3819" spans="54:54">
      <c r="BB3819" s="197">
        <v>49840</v>
      </c>
    </row>
    <row r="3820" spans="54:54">
      <c r="BB3820" s="197">
        <v>49841</v>
      </c>
    </row>
    <row r="3821" spans="54:54">
      <c r="BB3821" s="197">
        <v>49842</v>
      </c>
    </row>
    <row r="3822" spans="54:54">
      <c r="BB3822" s="197">
        <v>49843</v>
      </c>
    </row>
    <row r="3823" spans="54:54">
      <c r="BB3823" s="197">
        <v>49844</v>
      </c>
    </row>
    <row r="3824" spans="54:54">
      <c r="BB3824" s="197">
        <v>49845</v>
      </c>
    </row>
    <row r="3825" spans="54:54">
      <c r="BB3825" s="197">
        <v>49846</v>
      </c>
    </row>
    <row r="3826" spans="54:54">
      <c r="BB3826" s="197">
        <v>49847</v>
      </c>
    </row>
    <row r="3827" spans="54:54">
      <c r="BB3827" s="197">
        <v>49848</v>
      </c>
    </row>
    <row r="3828" spans="54:54">
      <c r="BB3828" s="197">
        <v>49849</v>
      </c>
    </row>
    <row r="3829" spans="54:54">
      <c r="BB3829" s="197">
        <v>49850</v>
      </c>
    </row>
    <row r="3830" spans="54:54">
      <c r="BB3830" s="197">
        <v>49851</v>
      </c>
    </row>
    <row r="3831" spans="54:54">
      <c r="BB3831" s="197">
        <v>49852</v>
      </c>
    </row>
    <row r="3832" spans="54:54">
      <c r="BB3832" s="197">
        <v>49853</v>
      </c>
    </row>
    <row r="3833" spans="54:54">
      <c r="BB3833" s="197">
        <v>49854</v>
      </c>
    </row>
    <row r="3834" spans="54:54">
      <c r="BB3834" s="197">
        <v>49855</v>
      </c>
    </row>
    <row r="3835" spans="54:54">
      <c r="BB3835" s="197">
        <v>49856</v>
      </c>
    </row>
    <row r="3836" spans="54:54">
      <c r="BB3836" s="197">
        <v>49857</v>
      </c>
    </row>
    <row r="3837" spans="54:54">
      <c r="BB3837" s="197">
        <v>49858</v>
      </c>
    </row>
    <row r="3838" spans="54:54">
      <c r="BB3838" s="197">
        <v>49859</v>
      </c>
    </row>
    <row r="3839" spans="54:54">
      <c r="BB3839" s="197">
        <v>49860</v>
      </c>
    </row>
    <row r="3840" spans="54:54">
      <c r="BB3840" s="197">
        <v>49861</v>
      </c>
    </row>
    <row r="3841" spans="54:54">
      <c r="BB3841" s="197">
        <v>49862</v>
      </c>
    </row>
    <row r="3842" spans="54:54">
      <c r="BB3842" s="197">
        <v>49863</v>
      </c>
    </row>
    <row r="3843" spans="54:54">
      <c r="BB3843" s="197">
        <v>49864</v>
      </c>
    </row>
    <row r="3844" spans="54:54">
      <c r="BB3844" s="197">
        <v>49865</v>
      </c>
    </row>
    <row r="3845" spans="54:54">
      <c r="BB3845" s="197">
        <v>49866</v>
      </c>
    </row>
    <row r="3846" spans="54:54">
      <c r="BB3846" s="197">
        <v>49867</v>
      </c>
    </row>
    <row r="3847" spans="54:54">
      <c r="BB3847" s="197">
        <v>49868</v>
      </c>
    </row>
    <row r="3848" spans="54:54">
      <c r="BB3848" s="197">
        <v>49869</v>
      </c>
    </row>
    <row r="3849" spans="54:54">
      <c r="BB3849" s="197">
        <v>49870</v>
      </c>
    </row>
    <row r="3850" spans="54:54">
      <c r="BB3850" s="197">
        <v>49871</v>
      </c>
    </row>
    <row r="3851" spans="54:54">
      <c r="BB3851" s="197">
        <v>49872</v>
      </c>
    </row>
    <row r="3852" spans="54:54">
      <c r="BB3852" s="197">
        <v>49873</v>
      </c>
    </row>
    <row r="3853" spans="54:54">
      <c r="BB3853" s="197">
        <v>49874</v>
      </c>
    </row>
    <row r="3854" spans="54:54">
      <c r="BB3854" s="197">
        <v>49875</v>
      </c>
    </row>
    <row r="3855" spans="54:54">
      <c r="BB3855" s="197">
        <v>49876</v>
      </c>
    </row>
    <row r="3856" spans="54:54">
      <c r="BB3856" s="197">
        <v>49877</v>
      </c>
    </row>
    <row r="3857" spans="54:54">
      <c r="BB3857" s="197">
        <v>49878</v>
      </c>
    </row>
    <row r="3858" spans="54:54">
      <c r="BB3858" s="197">
        <v>49879</v>
      </c>
    </row>
    <row r="3859" spans="54:54">
      <c r="BB3859" s="197">
        <v>49880</v>
      </c>
    </row>
    <row r="3860" spans="54:54">
      <c r="BB3860" s="197">
        <v>49881</v>
      </c>
    </row>
    <row r="3861" spans="54:54">
      <c r="BB3861" s="197">
        <v>49882</v>
      </c>
    </row>
    <row r="3862" spans="54:54">
      <c r="BB3862" s="197">
        <v>49883</v>
      </c>
    </row>
    <row r="3863" spans="54:54">
      <c r="BB3863" s="197">
        <v>49884</v>
      </c>
    </row>
    <row r="3864" spans="54:54">
      <c r="BB3864" s="197">
        <v>49885</v>
      </c>
    </row>
    <row r="3865" spans="54:54">
      <c r="BB3865" s="197">
        <v>49886</v>
      </c>
    </row>
    <row r="3866" spans="54:54">
      <c r="BB3866" s="197">
        <v>49887</v>
      </c>
    </row>
    <row r="3867" spans="54:54">
      <c r="BB3867" s="197">
        <v>49888</v>
      </c>
    </row>
    <row r="3868" spans="54:54">
      <c r="BB3868" s="197">
        <v>49889</v>
      </c>
    </row>
    <row r="3869" spans="54:54">
      <c r="BB3869" s="197">
        <v>49890</v>
      </c>
    </row>
    <row r="3870" spans="54:54">
      <c r="BB3870" s="197">
        <v>49891</v>
      </c>
    </row>
    <row r="3871" spans="54:54">
      <c r="BB3871" s="197">
        <v>49892</v>
      </c>
    </row>
    <row r="3872" spans="54:54">
      <c r="BB3872" s="197">
        <v>49893</v>
      </c>
    </row>
    <row r="3873" spans="54:54">
      <c r="BB3873" s="197">
        <v>49894</v>
      </c>
    </row>
    <row r="3874" spans="54:54">
      <c r="BB3874" s="197">
        <v>49895</v>
      </c>
    </row>
    <row r="3875" spans="54:54">
      <c r="BB3875" s="197">
        <v>49896</v>
      </c>
    </row>
    <row r="3876" spans="54:54">
      <c r="BB3876" s="197">
        <v>49897</v>
      </c>
    </row>
    <row r="3877" spans="54:54">
      <c r="BB3877" s="197">
        <v>49898</v>
      </c>
    </row>
    <row r="3878" spans="54:54">
      <c r="BB3878" s="197">
        <v>49899</v>
      </c>
    </row>
    <row r="3879" spans="54:54">
      <c r="BB3879" s="197">
        <v>49900</v>
      </c>
    </row>
    <row r="3880" spans="54:54">
      <c r="BB3880" s="197">
        <v>49901</v>
      </c>
    </row>
    <row r="3881" spans="54:54">
      <c r="BB3881" s="197">
        <v>49902</v>
      </c>
    </row>
    <row r="3882" spans="54:54">
      <c r="BB3882" s="197">
        <v>49903</v>
      </c>
    </row>
    <row r="3883" spans="54:54">
      <c r="BB3883" s="197">
        <v>49904</v>
      </c>
    </row>
    <row r="3884" spans="54:54">
      <c r="BB3884" s="197">
        <v>49905</v>
      </c>
    </row>
    <row r="3885" spans="54:54">
      <c r="BB3885" s="197">
        <v>49906</v>
      </c>
    </row>
    <row r="3886" spans="54:54">
      <c r="BB3886" s="197">
        <v>49907</v>
      </c>
    </row>
    <row r="3887" spans="54:54">
      <c r="BB3887" s="197">
        <v>49908</v>
      </c>
    </row>
    <row r="3888" spans="54:54">
      <c r="BB3888" s="197">
        <v>49909</v>
      </c>
    </row>
    <row r="3889" spans="54:54">
      <c r="BB3889" s="197">
        <v>49910</v>
      </c>
    </row>
    <row r="3890" spans="54:54">
      <c r="BB3890" s="197">
        <v>49911</v>
      </c>
    </row>
    <row r="3891" spans="54:54">
      <c r="BB3891" s="197">
        <v>49912</v>
      </c>
    </row>
    <row r="3892" spans="54:54">
      <c r="BB3892" s="197">
        <v>49913</v>
      </c>
    </row>
    <row r="3893" spans="54:54">
      <c r="BB3893" s="197">
        <v>49914</v>
      </c>
    </row>
    <row r="3894" spans="54:54">
      <c r="BB3894" s="197">
        <v>49915</v>
      </c>
    </row>
    <row r="3895" spans="54:54">
      <c r="BB3895" s="197">
        <v>49916</v>
      </c>
    </row>
    <row r="3896" spans="54:54">
      <c r="BB3896" s="197">
        <v>49917</v>
      </c>
    </row>
    <row r="3897" spans="54:54">
      <c r="BB3897" s="197">
        <v>49918</v>
      </c>
    </row>
    <row r="3898" spans="54:54">
      <c r="BB3898" s="197">
        <v>49919</v>
      </c>
    </row>
    <row r="3899" spans="54:54">
      <c r="BB3899" s="197">
        <v>49920</v>
      </c>
    </row>
    <row r="3900" spans="54:54">
      <c r="BB3900" s="197">
        <v>49921</v>
      </c>
    </row>
    <row r="3901" spans="54:54">
      <c r="BB3901" s="197">
        <v>49922</v>
      </c>
    </row>
    <row r="3902" spans="54:54">
      <c r="BB3902" s="197">
        <v>49923</v>
      </c>
    </row>
    <row r="3903" spans="54:54">
      <c r="BB3903" s="197">
        <v>49924</v>
      </c>
    </row>
    <row r="3904" spans="54:54">
      <c r="BB3904" s="197">
        <v>49925</v>
      </c>
    </row>
    <row r="3905" spans="54:54">
      <c r="BB3905" s="197">
        <v>49926</v>
      </c>
    </row>
    <row r="3906" spans="54:54">
      <c r="BB3906" s="197">
        <v>49927</v>
      </c>
    </row>
    <row r="3907" spans="54:54">
      <c r="BB3907" s="197">
        <v>49928</v>
      </c>
    </row>
    <row r="3908" spans="54:54">
      <c r="BB3908" s="197">
        <v>49929</v>
      </c>
    </row>
    <row r="3909" spans="54:54">
      <c r="BB3909" s="197">
        <v>49930</v>
      </c>
    </row>
    <row r="3910" spans="54:54">
      <c r="BB3910" s="197">
        <v>49931</v>
      </c>
    </row>
    <row r="3911" spans="54:54">
      <c r="BB3911" s="197">
        <v>49932</v>
      </c>
    </row>
    <row r="3912" spans="54:54">
      <c r="BB3912" s="197">
        <v>49933</v>
      </c>
    </row>
    <row r="3913" spans="54:54">
      <c r="BB3913" s="197">
        <v>49934</v>
      </c>
    </row>
    <row r="3914" spans="54:54">
      <c r="BB3914" s="197">
        <v>49935</v>
      </c>
    </row>
    <row r="3915" spans="54:54">
      <c r="BB3915" s="197">
        <v>49936</v>
      </c>
    </row>
    <row r="3916" spans="54:54">
      <c r="BB3916" s="197">
        <v>49937</v>
      </c>
    </row>
    <row r="3917" spans="54:54">
      <c r="BB3917" s="197">
        <v>49938</v>
      </c>
    </row>
    <row r="3918" spans="54:54">
      <c r="BB3918" s="197">
        <v>49939</v>
      </c>
    </row>
    <row r="3919" spans="54:54">
      <c r="BB3919" s="197">
        <v>49940</v>
      </c>
    </row>
    <row r="3920" spans="54:54">
      <c r="BB3920" s="197">
        <v>49941</v>
      </c>
    </row>
    <row r="3921" spans="54:54">
      <c r="BB3921" s="197">
        <v>49942</v>
      </c>
    </row>
    <row r="3922" spans="54:54">
      <c r="BB3922" s="197">
        <v>49943</v>
      </c>
    </row>
    <row r="3923" spans="54:54">
      <c r="BB3923" s="197">
        <v>49944</v>
      </c>
    </row>
    <row r="3924" spans="54:54">
      <c r="BB3924" s="197">
        <v>49945</v>
      </c>
    </row>
    <row r="3925" spans="54:54">
      <c r="BB3925" s="197">
        <v>49946</v>
      </c>
    </row>
    <row r="3926" spans="54:54">
      <c r="BB3926" s="197">
        <v>49947</v>
      </c>
    </row>
    <row r="3927" spans="54:54">
      <c r="BB3927" s="197">
        <v>49948</v>
      </c>
    </row>
    <row r="3928" spans="54:54">
      <c r="BB3928" s="197">
        <v>49949</v>
      </c>
    </row>
    <row r="3929" spans="54:54">
      <c r="BB3929" s="197">
        <v>49950</v>
      </c>
    </row>
    <row r="3930" spans="54:54">
      <c r="BB3930" s="197">
        <v>49951</v>
      </c>
    </row>
    <row r="3931" spans="54:54">
      <c r="BB3931" s="197">
        <v>49952</v>
      </c>
    </row>
    <row r="3932" spans="54:54">
      <c r="BB3932" s="197">
        <v>49953</v>
      </c>
    </row>
    <row r="3933" spans="54:54">
      <c r="BB3933" s="197">
        <v>49954</v>
      </c>
    </row>
    <row r="3934" spans="54:54">
      <c r="BB3934" s="197">
        <v>49955</v>
      </c>
    </row>
    <row r="3935" spans="54:54">
      <c r="BB3935" s="197">
        <v>49956</v>
      </c>
    </row>
    <row r="3936" spans="54:54">
      <c r="BB3936" s="197">
        <v>49957</v>
      </c>
    </row>
    <row r="3937" spans="54:54">
      <c r="BB3937" s="197">
        <v>49958</v>
      </c>
    </row>
    <row r="3938" spans="54:54">
      <c r="BB3938" s="197">
        <v>49959</v>
      </c>
    </row>
    <row r="3939" spans="54:54">
      <c r="BB3939" s="197">
        <v>49960</v>
      </c>
    </row>
    <row r="3940" spans="54:54">
      <c r="BB3940" s="197">
        <v>49961</v>
      </c>
    </row>
    <row r="3941" spans="54:54">
      <c r="BB3941" s="197">
        <v>49962</v>
      </c>
    </row>
    <row r="3942" spans="54:54">
      <c r="BB3942" s="197">
        <v>49963</v>
      </c>
    </row>
    <row r="3943" spans="54:54">
      <c r="BB3943" s="197">
        <v>49964</v>
      </c>
    </row>
    <row r="3944" spans="54:54">
      <c r="BB3944" s="197">
        <v>49965</v>
      </c>
    </row>
    <row r="3945" spans="54:54">
      <c r="BB3945" s="197">
        <v>49966</v>
      </c>
    </row>
    <row r="3946" spans="54:54">
      <c r="BB3946" s="197">
        <v>49967</v>
      </c>
    </row>
    <row r="3947" spans="54:54">
      <c r="BB3947" s="197">
        <v>49968</v>
      </c>
    </row>
    <row r="3948" spans="54:54">
      <c r="BB3948" s="197">
        <v>49969</v>
      </c>
    </row>
    <row r="3949" spans="54:54">
      <c r="BB3949" s="197">
        <v>49970</v>
      </c>
    </row>
    <row r="3950" spans="54:54">
      <c r="BB3950" s="197">
        <v>49971</v>
      </c>
    </row>
    <row r="3951" spans="54:54">
      <c r="BB3951" s="197">
        <v>49972</v>
      </c>
    </row>
    <row r="3952" spans="54:54">
      <c r="BB3952" s="197">
        <v>49973</v>
      </c>
    </row>
    <row r="3953" spans="54:54">
      <c r="BB3953" s="197">
        <v>49974</v>
      </c>
    </row>
    <row r="3954" spans="54:54">
      <c r="BB3954" s="197">
        <v>49975</v>
      </c>
    </row>
    <row r="3955" spans="54:54">
      <c r="BB3955" s="197">
        <v>49976</v>
      </c>
    </row>
    <row r="3956" spans="54:54">
      <c r="BB3956" s="197">
        <v>49977</v>
      </c>
    </row>
    <row r="3957" spans="54:54">
      <c r="BB3957" s="197">
        <v>49978</v>
      </c>
    </row>
    <row r="3958" spans="54:54">
      <c r="BB3958" s="197">
        <v>49979</v>
      </c>
    </row>
    <row r="3959" spans="54:54">
      <c r="BB3959" s="197">
        <v>49980</v>
      </c>
    </row>
    <row r="3960" spans="54:54">
      <c r="BB3960" s="197">
        <v>49981</v>
      </c>
    </row>
    <row r="3961" spans="54:54">
      <c r="BB3961" s="197">
        <v>49982</v>
      </c>
    </row>
    <row r="3962" spans="54:54">
      <c r="BB3962" s="197">
        <v>49983</v>
      </c>
    </row>
    <row r="3963" spans="54:54">
      <c r="BB3963" s="197">
        <v>49984</v>
      </c>
    </row>
    <row r="3964" spans="54:54">
      <c r="BB3964" s="197">
        <v>49985</v>
      </c>
    </row>
    <row r="3965" spans="54:54">
      <c r="BB3965" s="197">
        <v>49986</v>
      </c>
    </row>
    <row r="3966" spans="54:54">
      <c r="BB3966" s="197">
        <v>49987</v>
      </c>
    </row>
    <row r="3967" spans="54:54">
      <c r="BB3967" s="197">
        <v>49988</v>
      </c>
    </row>
    <row r="3968" spans="54:54">
      <c r="BB3968" s="197">
        <v>49989</v>
      </c>
    </row>
    <row r="3969" spans="54:54">
      <c r="BB3969" s="197">
        <v>49990</v>
      </c>
    </row>
    <row r="3970" spans="54:54">
      <c r="BB3970" s="197">
        <v>49991</v>
      </c>
    </row>
    <row r="3971" spans="54:54">
      <c r="BB3971" s="197">
        <v>49992</v>
      </c>
    </row>
    <row r="3972" spans="54:54">
      <c r="BB3972" s="197">
        <v>49993</v>
      </c>
    </row>
    <row r="3973" spans="54:54">
      <c r="BB3973" s="197">
        <v>49994</v>
      </c>
    </row>
    <row r="3974" spans="54:54">
      <c r="BB3974" s="197">
        <v>49995</v>
      </c>
    </row>
    <row r="3975" spans="54:54">
      <c r="BB3975" s="197">
        <v>49996</v>
      </c>
    </row>
    <row r="3976" spans="54:54">
      <c r="BB3976" s="197">
        <v>49997</v>
      </c>
    </row>
    <row r="3977" spans="54:54">
      <c r="BB3977" s="197">
        <v>49998</v>
      </c>
    </row>
    <row r="3978" spans="54:54">
      <c r="BB3978" s="197">
        <v>49999</v>
      </c>
    </row>
    <row r="3979" spans="54:54">
      <c r="BB3979" s="197">
        <v>50000</v>
      </c>
    </row>
    <row r="3980" spans="54:54">
      <c r="BB3980" s="197">
        <v>50001</v>
      </c>
    </row>
    <row r="3981" spans="54:54">
      <c r="BB3981" s="197">
        <v>50002</v>
      </c>
    </row>
    <row r="3982" spans="54:54">
      <c r="BB3982" s="197">
        <v>50003</v>
      </c>
    </row>
    <row r="3983" spans="54:54">
      <c r="BB3983" s="197">
        <v>50004</v>
      </c>
    </row>
    <row r="3984" spans="54:54">
      <c r="BB3984" s="197">
        <v>50005</v>
      </c>
    </row>
    <row r="3985" spans="54:54">
      <c r="BB3985" s="197">
        <v>50006</v>
      </c>
    </row>
    <row r="3986" spans="54:54">
      <c r="BB3986" s="197">
        <v>50007</v>
      </c>
    </row>
    <row r="3987" spans="54:54">
      <c r="BB3987" s="197">
        <v>50008</v>
      </c>
    </row>
    <row r="3988" spans="54:54">
      <c r="BB3988" s="197">
        <v>50009</v>
      </c>
    </row>
    <row r="3989" spans="54:54">
      <c r="BB3989" s="197">
        <v>50010</v>
      </c>
    </row>
    <row r="3990" spans="54:54">
      <c r="BB3990" s="197">
        <v>50011</v>
      </c>
    </row>
    <row r="3991" spans="54:54">
      <c r="BB3991" s="197">
        <v>50012</v>
      </c>
    </row>
    <row r="3992" spans="54:54">
      <c r="BB3992" s="197">
        <v>50013</v>
      </c>
    </row>
    <row r="3993" spans="54:54">
      <c r="BB3993" s="197">
        <v>50014</v>
      </c>
    </row>
    <row r="3994" spans="54:54">
      <c r="BB3994" s="197">
        <v>50015</v>
      </c>
    </row>
    <row r="3995" spans="54:54">
      <c r="BB3995" s="197">
        <v>50016</v>
      </c>
    </row>
    <row r="3996" spans="54:54">
      <c r="BB3996" s="197">
        <v>50017</v>
      </c>
    </row>
    <row r="3997" spans="54:54">
      <c r="BB3997" s="197">
        <v>50018</v>
      </c>
    </row>
    <row r="3998" spans="54:54">
      <c r="BB3998" s="197">
        <v>50019</v>
      </c>
    </row>
    <row r="3999" spans="54:54">
      <c r="BB3999" s="197">
        <v>50020</v>
      </c>
    </row>
    <row r="4000" spans="54:54">
      <c r="BB4000" s="197">
        <v>50021</v>
      </c>
    </row>
    <row r="4001" spans="54:54">
      <c r="BB4001" s="197">
        <v>50022</v>
      </c>
    </row>
    <row r="4002" spans="54:54">
      <c r="BB4002" s="197">
        <v>50023</v>
      </c>
    </row>
    <row r="4003" spans="54:54">
      <c r="BB4003" s="197">
        <v>50024</v>
      </c>
    </row>
    <row r="4004" spans="54:54">
      <c r="BB4004" s="197">
        <v>50025</v>
      </c>
    </row>
    <row r="4005" spans="54:54">
      <c r="BB4005" s="197">
        <v>50026</v>
      </c>
    </row>
    <row r="4006" spans="54:54">
      <c r="BB4006" s="197">
        <v>50027</v>
      </c>
    </row>
    <row r="4007" spans="54:54">
      <c r="BB4007" s="197">
        <v>50028</v>
      </c>
    </row>
    <row r="4008" spans="54:54">
      <c r="BB4008" s="197">
        <v>50029</v>
      </c>
    </row>
    <row r="4009" spans="54:54">
      <c r="BB4009" s="197">
        <v>50030</v>
      </c>
    </row>
    <row r="4010" spans="54:54">
      <c r="BB4010" s="197">
        <v>50031</v>
      </c>
    </row>
    <row r="4011" spans="54:54">
      <c r="BB4011" s="197">
        <v>50032</v>
      </c>
    </row>
    <row r="4012" spans="54:54">
      <c r="BB4012" s="197">
        <v>50033</v>
      </c>
    </row>
    <row r="4013" spans="54:54">
      <c r="BB4013" s="197">
        <v>50034</v>
      </c>
    </row>
    <row r="4014" spans="54:54">
      <c r="BB4014" s="197">
        <v>50035</v>
      </c>
    </row>
    <row r="4015" spans="54:54">
      <c r="BB4015" s="197">
        <v>50036</v>
      </c>
    </row>
    <row r="4016" spans="54:54">
      <c r="BB4016" s="197">
        <v>50037</v>
      </c>
    </row>
    <row r="4017" spans="54:54">
      <c r="BB4017" s="197">
        <v>50038</v>
      </c>
    </row>
    <row r="4018" spans="54:54">
      <c r="BB4018" s="197">
        <v>50039</v>
      </c>
    </row>
    <row r="4019" spans="54:54">
      <c r="BB4019" s="197">
        <v>50040</v>
      </c>
    </row>
    <row r="4020" spans="54:54">
      <c r="BB4020" s="197">
        <v>50041</v>
      </c>
    </row>
    <row r="4021" spans="54:54">
      <c r="BB4021" s="197">
        <v>50042</v>
      </c>
    </row>
    <row r="4022" spans="54:54">
      <c r="BB4022" s="197">
        <v>50043</v>
      </c>
    </row>
    <row r="4023" spans="54:54">
      <c r="BB4023" s="197">
        <v>50044</v>
      </c>
    </row>
    <row r="4024" spans="54:54">
      <c r="BB4024" s="197">
        <v>50045</v>
      </c>
    </row>
    <row r="4025" spans="54:54">
      <c r="BB4025" s="197">
        <v>50046</v>
      </c>
    </row>
    <row r="4026" spans="54:54">
      <c r="BB4026" s="197">
        <v>50047</v>
      </c>
    </row>
    <row r="4027" spans="54:54">
      <c r="BB4027" s="197">
        <v>50048</v>
      </c>
    </row>
    <row r="4028" spans="54:54">
      <c r="BB4028" s="197">
        <v>50049</v>
      </c>
    </row>
    <row r="4029" spans="54:54">
      <c r="BB4029" s="197">
        <v>50050</v>
      </c>
    </row>
    <row r="4030" spans="54:54">
      <c r="BB4030" s="197">
        <v>50051</v>
      </c>
    </row>
    <row r="4031" spans="54:54">
      <c r="BB4031" s="197">
        <v>50052</v>
      </c>
    </row>
    <row r="4032" spans="54:54">
      <c r="BB4032" s="197">
        <v>50053</v>
      </c>
    </row>
    <row r="4033" spans="54:54">
      <c r="BB4033" s="197">
        <v>50054</v>
      </c>
    </row>
    <row r="4034" spans="54:54">
      <c r="BB4034" s="197">
        <v>50055</v>
      </c>
    </row>
    <row r="4035" spans="54:54">
      <c r="BB4035" s="197">
        <v>50056</v>
      </c>
    </row>
    <row r="4036" spans="54:54">
      <c r="BB4036" s="197">
        <v>50057</v>
      </c>
    </row>
    <row r="4037" spans="54:54">
      <c r="BB4037" s="197">
        <v>50058</v>
      </c>
    </row>
    <row r="4038" spans="54:54">
      <c r="BB4038" s="197">
        <v>50059</v>
      </c>
    </row>
    <row r="4039" spans="54:54">
      <c r="BB4039" s="197">
        <v>50060</v>
      </c>
    </row>
    <row r="4040" spans="54:54">
      <c r="BB4040" s="197">
        <v>50061</v>
      </c>
    </row>
    <row r="4041" spans="54:54">
      <c r="BB4041" s="197">
        <v>50062</v>
      </c>
    </row>
    <row r="4042" spans="54:54">
      <c r="BB4042" s="197">
        <v>50063</v>
      </c>
    </row>
    <row r="4043" spans="54:54">
      <c r="BB4043" s="197">
        <v>50064</v>
      </c>
    </row>
    <row r="4044" spans="54:54">
      <c r="BB4044" s="197">
        <v>50065</v>
      </c>
    </row>
    <row r="4045" spans="54:54">
      <c r="BB4045" s="197">
        <v>50066</v>
      </c>
    </row>
    <row r="4046" spans="54:54">
      <c r="BB4046" s="197">
        <v>50067</v>
      </c>
    </row>
    <row r="4047" spans="54:54">
      <c r="BB4047" s="197">
        <v>50068</v>
      </c>
    </row>
    <row r="4048" spans="54:54">
      <c r="BB4048" s="197">
        <v>50069</v>
      </c>
    </row>
    <row r="4049" spans="54:54">
      <c r="BB4049" s="197">
        <v>50070</v>
      </c>
    </row>
    <row r="4050" spans="54:54">
      <c r="BB4050" s="197">
        <v>50071</v>
      </c>
    </row>
    <row r="4051" spans="54:54">
      <c r="BB4051" s="197">
        <v>50072</v>
      </c>
    </row>
    <row r="4052" spans="54:54">
      <c r="BB4052" s="197">
        <v>50073</v>
      </c>
    </row>
    <row r="4053" spans="54:54">
      <c r="BB4053" s="197">
        <v>50074</v>
      </c>
    </row>
    <row r="4054" spans="54:54">
      <c r="BB4054" s="197">
        <v>50075</v>
      </c>
    </row>
    <row r="4055" spans="54:54">
      <c r="BB4055" s="197">
        <v>50076</v>
      </c>
    </row>
    <row r="4056" spans="54:54">
      <c r="BB4056" s="197">
        <v>50077</v>
      </c>
    </row>
    <row r="4057" spans="54:54">
      <c r="BB4057" s="197">
        <v>50078</v>
      </c>
    </row>
    <row r="4058" spans="54:54">
      <c r="BB4058" s="197">
        <v>50079</v>
      </c>
    </row>
    <row r="4059" spans="54:54">
      <c r="BB4059" s="197">
        <v>50080</v>
      </c>
    </row>
    <row r="4060" spans="54:54">
      <c r="BB4060" s="197">
        <v>50081</v>
      </c>
    </row>
    <row r="4061" spans="54:54">
      <c r="BB4061" s="197">
        <v>50082</v>
      </c>
    </row>
    <row r="4062" spans="54:54">
      <c r="BB4062" s="197">
        <v>50083</v>
      </c>
    </row>
    <row r="4063" spans="54:54">
      <c r="BB4063" s="197">
        <v>50084</v>
      </c>
    </row>
    <row r="4064" spans="54:54">
      <c r="BB4064" s="197">
        <v>50085</v>
      </c>
    </row>
    <row r="4065" spans="54:54">
      <c r="BB4065" s="197">
        <v>50086</v>
      </c>
    </row>
    <row r="4066" spans="54:54">
      <c r="BB4066" s="197">
        <v>50087</v>
      </c>
    </row>
    <row r="4067" spans="54:54">
      <c r="BB4067" s="197">
        <v>50088</v>
      </c>
    </row>
    <row r="4068" spans="54:54">
      <c r="BB4068" s="197">
        <v>50089</v>
      </c>
    </row>
    <row r="4069" spans="54:54">
      <c r="BB4069" s="197">
        <v>50090</v>
      </c>
    </row>
    <row r="4070" spans="54:54">
      <c r="BB4070" s="197">
        <v>50091</v>
      </c>
    </row>
    <row r="4071" spans="54:54">
      <c r="BB4071" s="197">
        <v>50092</v>
      </c>
    </row>
    <row r="4072" spans="54:54">
      <c r="BB4072" s="197">
        <v>50093</v>
      </c>
    </row>
    <row r="4073" spans="54:54">
      <c r="BB4073" s="197">
        <v>50094</v>
      </c>
    </row>
    <row r="4074" spans="54:54">
      <c r="BB4074" s="197">
        <v>50095</v>
      </c>
    </row>
    <row r="4075" spans="54:54">
      <c r="BB4075" s="197">
        <v>50096</v>
      </c>
    </row>
    <row r="4076" spans="54:54">
      <c r="BB4076" s="197">
        <v>50097</v>
      </c>
    </row>
    <row r="4077" spans="54:54">
      <c r="BB4077" s="197">
        <v>50098</v>
      </c>
    </row>
    <row r="4078" spans="54:54">
      <c r="BB4078" s="197">
        <v>50099</v>
      </c>
    </row>
    <row r="4079" spans="54:54">
      <c r="BB4079" s="197">
        <v>50100</v>
      </c>
    </row>
    <row r="4080" spans="54:54">
      <c r="BB4080" s="197">
        <v>50101</v>
      </c>
    </row>
    <row r="4081" spans="54:54">
      <c r="BB4081" s="197">
        <v>50102</v>
      </c>
    </row>
    <row r="4082" spans="54:54">
      <c r="BB4082" s="197">
        <v>50103</v>
      </c>
    </row>
    <row r="4083" spans="54:54">
      <c r="BB4083" s="197">
        <v>50104</v>
      </c>
    </row>
    <row r="4084" spans="54:54">
      <c r="BB4084" s="197">
        <v>50105</v>
      </c>
    </row>
    <row r="4085" spans="54:54">
      <c r="BB4085" s="197">
        <v>50106</v>
      </c>
    </row>
    <row r="4086" spans="54:54">
      <c r="BB4086" s="197">
        <v>50107</v>
      </c>
    </row>
    <row r="4087" spans="54:54">
      <c r="BB4087" s="197">
        <v>50108</v>
      </c>
    </row>
    <row r="4088" spans="54:54">
      <c r="BB4088" s="197">
        <v>50109</v>
      </c>
    </row>
    <row r="4089" spans="54:54">
      <c r="BB4089" s="197">
        <v>50110</v>
      </c>
    </row>
    <row r="4090" spans="54:54">
      <c r="BB4090" s="197">
        <v>50111</v>
      </c>
    </row>
    <row r="4091" spans="54:54">
      <c r="BB4091" s="197">
        <v>50112</v>
      </c>
    </row>
    <row r="4092" spans="54:54">
      <c r="BB4092" s="197">
        <v>50113</v>
      </c>
    </row>
    <row r="4093" spans="54:54">
      <c r="BB4093" s="197">
        <v>50114</v>
      </c>
    </row>
    <row r="4094" spans="54:54">
      <c r="BB4094" s="197">
        <v>50115</v>
      </c>
    </row>
    <row r="4095" spans="54:54">
      <c r="BB4095" s="197">
        <v>50116</v>
      </c>
    </row>
    <row r="4096" spans="54:54">
      <c r="BB4096" s="197">
        <v>50117</v>
      </c>
    </row>
    <row r="4097" spans="54:54">
      <c r="BB4097" s="197">
        <v>50118</v>
      </c>
    </row>
    <row r="4098" spans="54:54">
      <c r="BB4098" s="197">
        <v>50119</v>
      </c>
    </row>
    <row r="4099" spans="54:54">
      <c r="BB4099" s="197">
        <v>50120</v>
      </c>
    </row>
    <row r="4100" spans="54:54">
      <c r="BB4100" s="197">
        <v>50121</v>
      </c>
    </row>
    <row r="4101" spans="54:54">
      <c r="BB4101" s="197">
        <v>50122</v>
      </c>
    </row>
  </sheetData>
  <mergeCells count="4">
    <mergeCell ref="A1:J1"/>
    <mergeCell ref="P1:R1"/>
    <mergeCell ref="T1:U1"/>
    <mergeCell ref="A2:J2"/>
  </mergeCells>
  <conditionalFormatting sqref="AX2:AZ62">
    <cfRule type="expression" dxfId="16" priority="1">
      <formula>$AZ2=TODAY()</formula>
    </cfRule>
  </conditionalFormatting>
  <pageMargins left="0.25" right="0.25" top="0.5" bottom="0.5" header="0.5" footer="0.5"/>
  <pageSetup fitToHeight="0" orientation="landscape"/>
  <headerFooter>
    <oddHeader>&amp;C&amp;"Aptos,Bold"&amp;14 Amir Group of Companies - SLT Action Tracker</oddHeader>
    <oddFooter>&amp;CConfidential - Page &amp;P of &amp;N</oddFooter>
  </headerFooter>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200"/>
  <sheetViews>
    <sheetView workbookViewId="0">
      <selection activeCell="C15" sqref="C15"/>
    </sheetView>
  </sheetViews>
  <sheetFormatPr defaultRowHeight="14.5"/>
  <cols>
    <col min="1" max="1" width="15.26953125" style="87" customWidth="1"/>
    <col min="2" max="2" width="47.54296875" style="87" customWidth="1"/>
    <col min="3" max="3" width="20" style="87" customWidth="1"/>
    <col min="4" max="4" width="17.1796875" style="87" customWidth="1"/>
    <col min="5" max="5" width="22.81640625" style="87" customWidth="1"/>
    <col min="6" max="6" width="16.1796875" style="87" customWidth="1"/>
    <col min="7" max="7" width="18.1796875" style="87" customWidth="1"/>
    <col min="8" max="8" width="16.1796875" style="87" customWidth="1"/>
    <col min="9" max="9" width="21.81640625" style="87" customWidth="1"/>
    <col min="10" max="10" width="23.81640625" style="87" customWidth="1"/>
    <col min="11" max="12" width="17.1796875" style="87" customWidth="1"/>
    <col min="13" max="52" width="0" hidden="1"/>
  </cols>
  <sheetData>
    <row r="1" spans="1:12">
      <c r="A1" s="369" t="s">
        <v>2585</v>
      </c>
      <c r="B1" s="368"/>
      <c r="C1" s="368"/>
      <c r="D1" s="368"/>
      <c r="E1" s="368"/>
      <c r="F1" s="368"/>
      <c r="G1" s="368"/>
      <c r="H1" s="368"/>
      <c r="I1" s="368"/>
      <c r="J1" s="368"/>
      <c r="K1" s="368"/>
      <c r="L1" s="368"/>
    </row>
    <row r="2" spans="1:12">
      <c r="A2" s="367" t="s">
        <v>2586</v>
      </c>
      <c r="B2" s="368"/>
      <c r="C2" s="368"/>
      <c r="D2" s="368"/>
      <c r="E2" s="368"/>
      <c r="F2" s="368"/>
      <c r="G2" s="368"/>
      <c r="H2" s="368"/>
      <c r="I2" s="368"/>
      <c r="J2" s="368"/>
      <c r="K2" s="368"/>
      <c r="L2" s="368"/>
    </row>
    <row r="3" spans="1:12">
      <c r="A3" s="88"/>
      <c r="B3" s="88"/>
      <c r="C3" s="88"/>
      <c r="D3" s="88"/>
      <c r="E3" s="88"/>
      <c r="F3" s="88"/>
      <c r="G3" s="88"/>
      <c r="H3" s="88"/>
      <c r="I3" s="88"/>
      <c r="J3" s="88"/>
      <c r="K3" s="88"/>
      <c r="L3" s="88"/>
    </row>
    <row r="4" spans="1:12">
      <c r="A4" s="89" t="s">
        <v>2587</v>
      </c>
      <c r="B4" s="89" t="s">
        <v>99</v>
      </c>
      <c r="C4" s="89" t="s">
        <v>100</v>
      </c>
      <c r="D4" s="89" t="s">
        <v>101</v>
      </c>
      <c r="E4" s="89" t="s">
        <v>102</v>
      </c>
      <c r="F4" s="89" t="s">
        <v>55</v>
      </c>
      <c r="G4" s="89" t="s">
        <v>159</v>
      </c>
      <c r="H4" s="89" t="s">
        <v>104</v>
      </c>
      <c r="I4" s="89" t="s">
        <v>161</v>
      </c>
      <c r="J4" s="89" t="s">
        <v>2588</v>
      </c>
      <c r="K4" s="89" t="s">
        <v>165</v>
      </c>
      <c r="L4" s="89" t="s">
        <v>166</v>
      </c>
    </row>
    <row r="5" spans="1:12" ht="27" customHeight="1">
      <c r="A5" s="89" t="s">
        <v>2589</v>
      </c>
      <c r="B5" s="89" t="s">
        <v>157</v>
      </c>
      <c r="C5" s="89" t="s">
        <v>156</v>
      </c>
      <c r="D5" s="89" t="s">
        <v>105</v>
      </c>
      <c r="E5" s="89" t="s">
        <v>164</v>
      </c>
      <c r="F5" s="89" t="s">
        <v>163</v>
      </c>
      <c r="G5" s="89"/>
      <c r="H5" s="89"/>
      <c r="I5" s="89"/>
      <c r="J5" s="89"/>
      <c r="K5" s="89"/>
      <c r="L5" s="89"/>
    </row>
    <row r="6" spans="1:12">
      <c r="A6" s="91" t="str">
        <f t="array" ref="A6">IFERROR(_xlfn.LET(_xlpm.x,INDEX('Action Register'!$A$5:$A$104,_xlfn.AGGREGATE(15,6,(ROW('Action Register'!$B$5:$B$104)-ROW('Action Register'!$B$5)+1)/(('Action Register'!$B$5:$B$104&lt;&gt;"")*('Action Register'!$T$5:$T$104="ACTIVE")),1)),IF(OR(_xlpm.x=0,_xlpm.x="0",_xlpm.x="N/A"),"",_xlpm.x)),"")</f>
        <v>SLT-0001</v>
      </c>
      <c r="B6" s="142" t="str">
        <f t="array" ref="B6">IFERROR(_xlfn.LET(_xlpm.x,INDEX('Action Register'!$B$5:$B$104,_xlfn.AGGREGATE(15,6,(ROW('Action Register'!$B$5:$B$104)-ROW('Action Register'!$B$5)+1)/(('Action Register'!$B$5:$B$104&lt;&gt;"")*('Action Register'!$T$5:$T$104="ACTIVE")),1)),IF(OR(_xlpm.x=0,_xlpm.x="0",_xlpm.x="N/A"),"",_xlpm.x)),"")</f>
        <v>Employee Payroll Advances</v>
      </c>
      <c r="C6" s="142" t="str">
        <f t="array" ref="C6">IFERROR(_xlfn.LET(_xlpm.x,INDEX('Action Register'!$D$5:$D$104,_xlfn.AGGREGATE(15,6,(ROW('Action Register'!$B$5:$B$104)-ROW('Action Register'!$B$5)+1)/(('Action Register'!$B$5:$B$104&lt;&gt;"")*('Action Register'!$T$5:$T$104="ACTIVE")),1)),IF(OR(_xlpm.x=0,_xlpm.x="0",_xlpm.x="N/A"),"",_xlpm.x)),"")</f>
        <v>Gene</v>
      </c>
      <c r="D6" s="143">
        <f t="array" ref="D6">IFERROR(_xlfn.LET(_xlpm.x,INDEX('Action Register'!$F$5:$F$104,_xlfn.AGGREGATE(15,6,(ROW('Action Register'!$B$5:$B$104)-ROW('Action Register'!$B$5)+1)/(('Action Register'!$B$5:$B$104&lt;&gt;"")*('Action Register'!$T$5:$T$104="ACTIVE")),1)),IF(OR(_xlpm.x=0,_xlpm.x="0",_xlpm.x="N/A"),"",_xlpm.x)),"")</f>
        <v>46254</v>
      </c>
      <c r="E6" s="142" t="str">
        <f t="array" ref="E6">IFERROR(_xlfn.LET(_xlpm.x,INDEX('Action Register'!$G$5:$G$104,_xlfn.AGGREGATE(15,6,(ROW('Action Register'!$B$5:$B$104)-ROW('Action Register'!$B$5)+1)/(('Action Register'!$B$5:$B$104&lt;&gt;"")*('Action Register'!$T$5:$T$104="ACTIVE")),1)),IF(OR(_xlpm.x=0,_xlpm.x="0",_xlpm.x="N/A"),"",_xlpm.x)),"")</f>
        <v>In Progress</v>
      </c>
      <c r="F6" s="144" t="str">
        <f t="array" ref="F6">IFERROR(_xlfn.LET(_xlpm.x,INDEX('Action Register'!$H$5:$H$104,_xlfn.AGGREGATE(15,6,(ROW('Action Register'!$B$5:$B$104)-ROW('Action Register'!$B$5)+1)/(('Action Register'!$B$5:$B$104&lt;&gt;"")*('Action Register'!$T$5:$T$104="ACTIVE")),1)),IF(OR(_xlpm.x=0,_xlpm.x="0",_xlpm.x="N/A"),"",_xlpm.x)),"")</f>
        <v>Medium</v>
      </c>
      <c r="G6" s="144" t="str">
        <f t="array" ref="G6">IFERROR(_xlfn.LET(_xlpm.x,INDEX('Action Register'!$J$5:$J$104,_xlfn.AGGREGATE(15,6,(ROW('Action Register'!$B$5:$B$104)-ROW('Action Register'!$B$5)+1)/(('Action Register'!$B$5:$B$104&lt;&gt;"")*('Action Register'!$T$5:$T$104="ACTIVE")),1)),IF(OR(_xlpm.x=0,_xlpm.x="0",_xlpm.x="N/A"),"",_xlpm.x)),"")</f>
        <v>Medium</v>
      </c>
      <c r="H6" s="144" t="str">
        <f t="array" ref="H6">IFERROR(_xlfn.LET(_xlpm.x,INDEX('Action Register'!$L$5:$L$104,_xlfn.AGGREGATE(15,6,(ROW('Action Register'!$B$5:$B$104)-ROW('Action Register'!$B$5)+1)/(('Action Register'!$B$5:$B$104&lt;&gt;"")*('Action Register'!$T$5:$T$104="ACTIVE")),1)),IF(OR(_xlpm.x=0,_xlpm.x="0",_xlpm.x="N/A"),"",_xlpm.x)),"")</f>
        <v>No</v>
      </c>
      <c r="I6" s="144" t="str">
        <f t="array" ref="I6">IFERROR(_xlfn.LET(_xlpm.x,INDEX('Action Register'!$M$5:$M$104,_xlfn.AGGREGATE(15,6,(ROW('Action Register'!$B$5:$B$104)-ROW('Action Register'!$B$5)+1)/(('Action Register'!$B$5:$B$104&lt;&gt;"")*('Action Register'!$T$5:$T$104="ACTIVE")),1)),IF(OR(_xlpm.x=0,_xlpm.x="0",_xlpm.x="N/A"),"",_xlpm.x)),"")</f>
        <v>Unknown / TBD</v>
      </c>
      <c r="J6" s="144" t="str">
        <f t="array" ref="J6">IFERROR(_xlfn.LET(_xlpm.x,INDEX('Action Register'!$N$5:$N$104,_xlfn.AGGREGATE(15,6,(ROW('Action Register'!$B$5:$B$104)-ROW('Action Register'!$B$5)+1)/(('Action Register'!$B$5:$B$104&lt;&gt;"")*('Action Register'!$T$5:$T$104="ACTIVE")),1)),IF(OR(_xlpm.x=0,_xlpm.x="0",_xlpm.x="N/A"),"",_xlpm.x)),"")</f>
        <v/>
      </c>
      <c r="K6" s="143">
        <f t="array" ref="K6">IFERROR(_xlfn.LET(_xlpm.x,INDEX('Action Register'!$Q$5:$Q$104,_xlfn.AGGREGATE(15,6,(ROW('Action Register'!$B$5:$B$104)-ROW('Action Register'!$B$5)+1)/(('Action Register'!$B$5:$B$104&lt;&gt;"")*('Action Register'!$T$5:$T$104="ACTIVE")),1)),IF(OR(_xlpm.x=0,_xlpm.x="0",_xlpm.x="N/A"),"",_xlpm.x)),"")</f>
        <v>46219</v>
      </c>
      <c r="L6" s="143">
        <f t="array" ref="L6">IFERROR(_xlfn.LET(_xlpm.x,INDEX('Action Register'!$R$5:$R$104,_xlfn.AGGREGATE(15,6,(ROW('Action Register'!$B$5:$B$104)-ROW('Action Register'!$B$5)+1)/(('Action Register'!$B$5:$B$104&lt;&gt;"")*('Action Register'!$T$5:$T$104="ACTIVE")),1)),IF(OR(_xlpm.x=0,_xlpm.x="0",_xlpm.x="N/A"),"",_xlpm.x)),"")</f>
        <v>46219</v>
      </c>
    </row>
    <row r="7" spans="1:12" ht="27" customHeight="1">
      <c r="A7" s="92" t="str">
        <f>IF(A6="","",A6&amp;" cont.")</f>
        <v>SLT-0001 cont.</v>
      </c>
      <c r="B7" s="145" t="str">
        <f t="array" ref="B7">IFERROR(_xlfn.LET(_xlpm.x,INDEX('Action Register'!$E$5:$E$104,_xlfn.AGGREGATE(15,6,(ROW('Action Register'!$B$5:$B$104)-ROW('Action Register'!$B$5)+1)/(('Action Register'!$B$5:$B$104&lt;&gt;"")*('Action Register'!$T$5:$T$104="ACTIVE")),1)),IF(OR(_xlpm.x=0,_xlpm.x="0",_xlpm.x="N/A"),"",_xlpm.x)),"")</f>
        <v>Review and refine the draft Payroll Advance Policy and return via Decision Brief for approval by July 20.</v>
      </c>
      <c r="C7" s="145" t="str">
        <f t="array" ref="C7">IFERROR(_xlfn.LET(_xlpm.x,INDEX('Action Register'!$C$5:$C$104,_xlfn.AGGREGATE(15,6,(ROW('Action Register'!$B$5:$B$104)-ROW('Action Register'!$B$5)+1)/(('Action Register'!$B$5:$B$104&lt;&gt;"")*('Action Register'!$T$5:$T$104="ACTIVE")),1)),IF(OR(_xlpm.x=0,_xlpm.x="0",_xlpm.x="N/A"),"",_xlpm.x)),"")</f>
        <v>Human Resources</v>
      </c>
      <c r="D7" s="146" t="str">
        <f t="array" ref="D7">IFERROR(_xlfn.LET(_xlpm.x,INDEX('Action Register'!$K$5:$K$104,_xlfn.AGGREGATE(15,6,(ROW('Action Register'!$B$5:$B$104)-ROW('Action Register'!$B$5)+1)/(('Action Register'!$B$5:$B$104&lt;&gt;"")*('Action Register'!$T$5:$T$104="ACTIVE")),1)),IF(OR(_xlpm.x=0,_xlpm.x="0",_xlpm.x="N/A"),"",_xlpm.x)),"")</f>
        <v>Governance</v>
      </c>
      <c r="E7" s="145" t="str">
        <f t="array" ref="E7">IFERROR(_xlfn.LET(_xlpm.x,INDEX('Action Register'!$P$5:$P$104,_xlfn.AGGREGATE(15,6,(ROW('Action Register'!$B$5:$B$104)-ROW('Action Register'!$B$5)+1)/(('Action Register'!$B$5:$B$104&lt;&gt;"")*('Action Register'!$T$5:$T$104="ACTIVE")),1)),IF(OR(_xlpm.x=0,_xlpm.x="0",_xlpm.x="N/A"),"",_xlpm.x)),"")</f>
        <v>Governance fields added for SLT visibility.</v>
      </c>
      <c r="F7" s="145" t="str">
        <f t="array" ref="F7">IFERROR(_xlfn.LET(_xlpm.x,INDEX('Action Register'!$O$5:$O$104,_xlfn.AGGREGATE(15,6,(ROW('Action Register'!$B$5:$B$104)-ROW('Action Register'!$B$5)+1)/(('Action Register'!$B$5:$B$104&lt;&gt;"")*('Action Register'!$T$5:$T$104="ACTIVE")),1)),IF(OR(_xlpm.x=0,_xlpm.x="0",_xlpm.x="N/A"),"",_xlpm.x)),"")</f>
        <v/>
      </c>
      <c r="G7" s="145"/>
      <c r="H7" s="145"/>
      <c r="I7" s="145"/>
      <c r="J7" s="145"/>
      <c r="K7" s="146"/>
      <c r="L7" s="146"/>
    </row>
    <row r="8" spans="1:12" ht="27" customHeight="1">
      <c r="A8" s="93" t="str">
        <f t="array" ref="A8">IFERROR(_xlfn.LET(_xlpm.x,INDEX('Action Register'!$A$5:$A$104,_xlfn.AGGREGATE(15,6,(ROW('Action Register'!$B$5:$B$104)-ROW('Action Register'!$B$5)+1)/(('Action Register'!$B$5:$B$104&lt;&gt;"")*('Action Register'!$T$5:$T$104="ACTIVE")),2)),IF(OR(_xlpm.x=0,_xlpm.x="0",_xlpm.x="N/A"),"",_xlpm.x)),"")</f>
        <v>SLT-0004</v>
      </c>
      <c r="B8" s="147" t="str">
        <f t="array" ref="B8">IFERROR(_xlfn.LET(_xlpm.x,INDEX('Action Register'!$B$5:$B$104,_xlfn.AGGREGATE(15,6,(ROW('Action Register'!$B$5:$B$104)-ROW('Action Register'!$B$5)+1)/(('Action Register'!$B$5:$B$104&lt;&gt;"")*('Action Register'!$T$5:$T$104="ACTIVE")),2)),IF(OR(_xlpm.x=0,_xlpm.x="0",_xlpm.x="N/A"),"",_xlpm.x)),"")</f>
        <v>CFO Governance &amp; Controls Register</v>
      </c>
      <c r="C8" s="147" t="str">
        <f t="array" ref="C8">IFERROR(_xlfn.LET(_xlpm.x,INDEX('Action Register'!$D$5:$D$104,_xlfn.AGGREGATE(15,6,(ROW('Action Register'!$B$5:$B$104)-ROW('Action Register'!$B$5)+1)/(('Action Register'!$B$5:$B$104&lt;&gt;"")*('Action Register'!$T$5:$T$104="ACTIVE")),2)),IF(OR(_xlpm.x=0,_xlpm.x="0",_xlpm.x="N/A"),"",_xlpm.x)),"")</f>
        <v>Sherry</v>
      </c>
      <c r="D8" s="148">
        <f t="array" ref="D8">IFERROR(_xlfn.LET(_xlpm.x,INDEX('Action Register'!$F$5:$F$104,_xlfn.AGGREGATE(15,6,(ROW('Action Register'!$B$5:$B$104)-ROW('Action Register'!$B$5)+1)/(('Action Register'!$B$5:$B$104&lt;&gt;"")*('Action Register'!$T$5:$T$104="ACTIVE")),2)),IF(OR(_xlpm.x=0,_xlpm.x="0",_xlpm.x="N/A"),"",_xlpm.x)),"")</f>
        <v>46321</v>
      </c>
      <c r="E8" s="147" t="str">
        <f t="array" ref="E8">IFERROR(_xlfn.LET(_xlpm.x,INDEX('Action Register'!$G$5:$G$104,_xlfn.AGGREGATE(15,6,(ROW('Action Register'!$B$5:$B$104)-ROW('Action Register'!$B$5)+1)/(('Action Register'!$B$5:$B$104&lt;&gt;"")*('Action Register'!$T$5:$T$104="ACTIVE")),2)),IF(OR(_xlpm.x=0,_xlpm.x="0",_xlpm.x="N/A"),"",_xlpm.x)),"")</f>
        <v>In Progress</v>
      </c>
      <c r="F8" s="149" t="str">
        <f t="array" ref="F8">IFERROR(_xlfn.LET(_xlpm.x,INDEX('Action Register'!$H$5:$H$104,_xlfn.AGGREGATE(15,6,(ROW('Action Register'!$B$5:$B$104)-ROW('Action Register'!$B$5)+1)/(('Action Register'!$B$5:$B$104&lt;&gt;"")*('Action Register'!$T$5:$T$104="ACTIVE")),2)),IF(OR(_xlpm.x=0,_xlpm.x="0",_xlpm.x="N/A"),"",_xlpm.x)),"")</f>
        <v>Medium</v>
      </c>
      <c r="G8" s="149" t="str">
        <f t="array" ref="G8">IFERROR(_xlfn.LET(_xlpm.x,INDEX('Action Register'!$J$5:$J$104,_xlfn.AGGREGATE(15,6,(ROW('Action Register'!$B$5:$B$104)-ROW('Action Register'!$B$5)+1)/(('Action Register'!$B$5:$B$104&lt;&gt;"")*('Action Register'!$T$5:$T$104="ACTIVE")),2)),IF(OR(_xlpm.x=0,_xlpm.x="0",_xlpm.x="N/A"),"",_xlpm.x)),"")</f>
        <v>Medium</v>
      </c>
      <c r="H8" s="149" t="str">
        <f t="array" ref="H8">IFERROR(_xlfn.LET(_xlpm.x,INDEX('Action Register'!$L$5:$L$104,_xlfn.AGGREGATE(15,6,(ROW('Action Register'!$B$5:$B$104)-ROW('Action Register'!$B$5)+1)/(('Action Register'!$B$5:$B$104&lt;&gt;"")*('Action Register'!$T$5:$T$104="ACTIVE")),2)),IF(OR(_xlpm.x=0,_xlpm.x="0",_xlpm.x="N/A"),"",_xlpm.x)),"")</f>
        <v>Yes</v>
      </c>
      <c r="I8" s="149" t="str">
        <f t="array" ref="I8">IFERROR(_xlfn.LET(_xlpm.x,INDEX('Action Register'!$M$5:$M$104,_xlfn.AGGREGATE(15,6,(ROW('Action Register'!$B$5:$B$104)-ROW('Action Register'!$B$5)+1)/(('Action Register'!$B$5:$B$104&lt;&gt;"")*('Action Register'!$T$5:$T$104="ACTIVE")),2)),IF(OR(_xlpm.x=0,_xlpm.x="0",_xlpm.x="N/A"),"",_xlpm.x)),"")</f>
        <v>Unknown / TBD</v>
      </c>
      <c r="J8" s="149" t="str">
        <f t="array" ref="J8">IFERROR(_xlfn.LET(_xlpm.x,INDEX('Action Register'!$N$5:$N$104,_xlfn.AGGREGATE(15,6,(ROW('Action Register'!$B$5:$B$104)-ROW('Action Register'!$B$5)+1)/(('Action Register'!$B$5:$B$104&lt;&gt;"")*('Action Register'!$T$5:$T$104="ACTIVE")),2)),IF(OR(_xlpm.x=0,_xlpm.x="0",_xlpm.x="N/A"),"",_xlpm.x)),"")</f>
        <v/>
      </c>
      <c r="K8" s="148">
        <f t="array" ref="K8">IFERROR(_xlfn.LET(_xlpm.x,INDEX('Action Register'!$Q$5:$Q$104,_xlfn.AGGREGATE(15,6,(ROW('Action Register'!$B$5:$B$104)-ROW('Action Register'!$B$5)+1)/(('Action Register'!$B$5:$B$104&lt;&gt;"")*('Action Register'!$T$5:$T$104="ACTIVE")),2)),IF(OR(_xlpm.x=0,_xlpm.x="0",_xlpm.x="N/A"),"",_xlpm.x)),"")</f>
        <v>46219</v>
      </c>
      <c r="L8" s="148">
        <f t="array" ref="L8">IFERROR(_xlfn.LET(_xlpm.x,INDEX('Action Register'!$R$5:$R$104,_xlfn.AGGREGATE(15,6,(ROW('Action Register'!$B$5:$B$104)-ROW('Action Register'!$B$5)+1)/(('Action Register'!$B$5:$B$104&lt;&gt;"")*('Action Register'!$T$5:$T$104="ACTIVE")),2)),IF(OR(_xlpm.x=0,_xlpm.x="0",_xlpm.x="N/A"),"",_xlpm.x)),"")</f>
        <v>46219</v>
      </c>
    </row>
    <row r="9" spans="1:12" ht="67.5" customHeight="1">
      <c r="A9" s="94" t="str">
        <f>IF(A8="","",A8&amp;" cont.")</f>
        <v>SLT-0004 cont.</v>
      </c>
      <c r="B9" s="150" t="str">
        <f t="array" ref="B9">IFERROR(_xlfn.LET(_xlpm.x,INDEX('Action Register'!$E$5:$E$104,_xlfn.AGGREGATE(15,6,(ROW('Action Register'!$B$5:$B$104)-ROW('Action Register'!$B$5)+1)/(('Action Register'!$B$5:$B$104&lt;&gt;"")*('Action Register'!$T$5:$T$104="ACTIVE")),2)),IF(OR(_xlpm.x=0,_xlpm.x="0",_xlpm.x="N/A"),"",_xlpm.x)),"")</f>
        <v>Maintain live register of DOA, contract policy, AI governance, incident management, internal audit findings, grant compliance and legal review items.</v>
      </c>
      <c r="C9" s="150" t="str">
        <f t="array" ref="C9">IFERROR(_xlfn.LET(_xlpm.x,INDEX('Action Register'!$C$5:$C$104,_xlfn.AGGREGATE(15,6,(ROW('Action Register'!$B$5:$B$104)-ROW('Action Register'!$B$5)+1)/(('Action Register'!$B$5:$B$104&lt;&gt;"")*('Action Register'!$T$5:$T$104="ACTIVE")),2)),IF(OR(_xlpm.x=0,_xlpm.x="0",_xlpm.x="N/A"),"",_xlpm.x)),"")</f>
        <v>Governance &amp; Controls</v>
      </c>
      <c r="D9" s="151" t="str">
        <f t="array" ref="D9">IFERROR(_xlfn.LET(_xlpm.x,INDEX('Action Register'!$K$5:$K$104,_xlfn.AGGREGATE(15,6,(ROW('Action Register'!$B$5:$B$104)-ROW('Action Register'!$B$5)+1)/(('Action Register'!$B$5:$B$104&lt;&gt;"")*('Action Register'!$T$5:$T$104="ACTIVE")),2)),IF(OR(_xlpm.x=0,_xlpm.x="0",_xlpm.x="N/A"),"",_xlpm.x)),"")</f>
        <v>Governance</v>
      </c>
      <c r="E9" s="150" t="str">
        <f t="array" ref="E9">IFERROR(_xlfn.LET(_xlpm.x,INDEX('Action Register'!$P$5:$P$104,_xlfn.AGGREGATE(15,6,(ROW('Action Register'!$B$5:$B$104)-ROW('Action Register'!$B$5)+1)/(('Action Register'!$B$5:$B$104&lt;&gt;"")*('Action Register'!$T$5:$T$104="ACTIVE")),2)),IF(OR(_xlpm.x=0,_xlpm.x="0",_xlpm.x="N/A"),"",_xlpm.x)),"")</f>
        <v>CFO governance visibility for policies, internal audit, grants, legal review, and controls.</v>
      </c>
      <c r="F9" s="150" t="str">
        <f t="array" ref="F9">IFERROR(_xlfn.LET(_xlpm.x,INDEX('Action Register'!$O$5:$O$104,_xlfn.AGGREGATE(15,6,(ROW('Action Register'!$B$5:$B$104)-ROW('Action Register'!$B$5)+1)/(('Action Register'!$B$5:$B$104&lt;&gt;"")*('Action Register'!$T$5:$T$104="ACTIVE")),2)),IF(OR(_xlpm.x=0,_xlpm.x="0",_xlpm.x="N/A"),"",_xlpm.x)),"")</f>
        <v/>
      </c>
      <c r="G9" s="150"/>
      <c r="H9" s="150"/>
      <c r="I9" s="150"/>
      <c r="J9" s="150"/>
      <c r="K9" s="151"/>
      <c r="L9" s="151"/>
    </row>
    <row r="10" spans="1:12">
      <c r="A10" s="93" t="str">
        <f t="array" ref="A10">IFERROR(_xlfn.LET(_xlpm.x,INDEX('Action Register'!$A$5:$A$104,_xlfn.AGGREGATE(15,6,(ROW('Action Register'!$B$5:$B$104)-ROW('Action Register'!$B$5)+1)/(('Action Register'!$B$5:$B$104&lt;&gt;"")*('Action Register'!$T$5:$T$104="ACTIVE")),3)),IF(OR(_xlpm.x=0,_xlpm.x="0",_xlpm.x="N/A"),"",_xlpm.x)),"")</f>
        <v>SLT-0008</v>
      </c>
      <c r="B10" s="152" t="str">
        <f t="array" ref="B10">IFERROR(_xlfn.LET(_xlpm.x,INDEX('Action Register'!$B$5:$B$104,_xlfn.AGGREGATE(15,6,(ROW('Action Register'!$B$5:$B$104)-ROW('Action Register'!$B$5)+1)/(('Action Register'!$B$5:$B$104&lt;&gt;"")*('Action Register'!$T$5:$T$104="ACTIVE")),3)),IF(OR(_xlpm.x=0,_xlpm.x="0",_xlpm.x="N/A"),"",_xlpm.x)),"")</f>
        <v xml:space="preserve">Develop a Performance Plan for Tatiana </v>
      </c>
      <c r="C10" s="152" t="str">
        <f t="array" ref="C10">IFERROR(_xlfn.LET(_xlpm.x,INDEX('Action Register'!$D$5:$D$104,_xlfn.AGGREGATE(15,6,(ROW('Action Register'!$B$5:$B$104)-ROW('Action Register'!$B$5)+1)/(('Action Register'!$B$5:$B$104&lt;&gt;"")*('Action Register'!$T$5:$T$104="ACTIVE")),3)),IF(OR(_xlpm.x=0,_xlpm.x="0",_xlpm.x="N/A"),"",_xlpm.x)),"")</f>
        <v>Adam</v>
      </c>
      <c r="D10" s="153">
        <f t="array" ref="D10">IFERROR(_xlfn.LET(_xlpm.x,INDEX('Action Register'!$F$5:$F$104,_xlfn.AGGREGATE(15,6,(ROW('Action Register'!$B$5:$B$104)-ROW('Action Register'!$B$5)+1)/(('Action Register'!$B$5:$B$104&lt;&gt;"")*('Action Register'!$T$5:$T$104="ACTIVE")),3)),IF(OR(_xlpm.x=0,_xlpm.x="0",_xlpm.x="N/A"),"",_xlpm.x)),"")</f>
        <v>46314</v>
      </c>
      <c r="E10" s="152" t="str">
        <f t="array" ref="E10">IFERROR(_xlfn.LET(_xlpm.x,INDEX('Action Register'!$G$5:$G$104,_xlfn.AGGREGATE(15,6,(ROW('Action Register'!$B$5:$B$104)-ROW('Action Register'!$B$5)+1)/(('Action Register'!$B$5:$B$104&lt;&gt;"")*('Action Register'!$T$5:$T$104="ACTIVE")),3)),IF(OR(_xlpm.x=0,_xlpm.x="0",_xlpm.x="N/A"),"",_xlpm.x)),"")</f>
        <v>In Progress</v>
      </c>
      <c r="F10" s="154" t="str">
        <f t="array" ref="F10">IFERROR(_xlfn.LET(_xlpm.x,INDEX('Action Register'!$H$5:$H$104,_xlfn.AGGREGATE(15,6,(ROW('Action Register'!$B$5:$B$104)-ROW('Action Register'!$B$5)+1)/(('Action Register'!$B$5:$B$104&lt;&gt;"")*('Action Register'!$T$5:$T$104="ACTIVE")),3)),IF(OR(_xlpm.x=0,_xlpm.x="0",_xlpm.x="N/A"),"",_xlpm.x)),"")</f>
        <v>Medium</v>
      </c>
      <c r="G10" s="154" t="str">
        <f t="array" ref="G10">IFERROR(_xlfn.LET(_xlpm.x,INDEX('Action Register'!$J$5:$J$104,_xlfn.AGGREGATE(15,6,(ROW('Action Register'!$B$5:$B$104)-ROW('Action Register'!$B$5)+1)/(('Action Register'!$B$5:$B$104&lt;&gt;"")*('Action Register'!$T$5:$T$104="ACTIVE")),3)),IF(OR(_xlpm.x=0,_xlpm.x="0",_xlpm.x="N/A"),"",_xlpm.x)),"")</f>
        <v>Medium</v>
      </c>
      <c r="H10" s="154" t="str">
        <f t="array" ref="H10">IFERROR(_xlfn.LET(_xlpm.x,INDEX('Action Register'!$L$5:$L$104,_xlfn.AGGREGATE(15,6,(ROW('Action Register'!$B$5:$B$104)-ROW('Action Register'!$B$5)+1)/(('Action Register'!$B$5:$B$104&lt;&gt;"")*('Action Register'!$T$5:$T$104="ACTIVE")),3)),IF(OR(_xlpm.x=0,_xlpm.x="0",_xlpm.x="N/A"),"",_xlpm.x)),"")</f>
        <v>No</v>
      </c>
      <c r="I10" s="154" t="str">
        <f t="array" ref="I10">IFERROR(_xlfn.LET(_xlpm.x,INDEX('Action Register'!$M$5:$M$104,_xlfn.AGGREGATE(15,6,(ROW('Action Register'!$B$5:$B$104)-ROW('Action Register'!$B$5)+1)/(('Action Register'!$B$5:$B$104&lt;&gt;"")*('Action Register'!$T$5:$T$104="ACTIVE")),3)),IF(OR(_xlpm.x=0,_xlpm.x="0",_xlpm.x="N/A"),"",_xlpm.x)),"")</f>
        <v>Unknown / TBD</v>
      </c>
      <c r="J10" s="154" t="str">
        <f t="array" ref="J10">IFERROR(_xlfn.LET(_xlpm.x,INDEX('Action Register'!$N$5:$N$104,_xlfn.AGGREGATE(15,6,(ROW('Action Register'!$B$5:$B$104)-ROW('Action Register'!$B$5)+1)/(('Action Register'!$B$5:$B$104&lt;&gt;"")*('Action Register'!$T$5:$T$104="ACTIVE")),3)),IF(OR(_xlpm.x=0,_xlpm.x="0",_xlpm.x="N/A"),"",_xlpm.x)),"")</f>
        <v/>
      </c>
      <c r="K10" s="153">
        <f t="array" ref="K10">IFERROR(_xlfn.LET(_xlpm.x,INDEX('Action Register'!$Q$5:$Q$104,_xlfn.AGGREGATE(15,6,(ROW('Action Register'!$B$5:$B$104)-ROW('Action Register'!$B$5)+1)/(('Action Register'!$B$5:$B$104&lt;&gt;"")*('Action Register'!$T$5:$T$104="ACTIVE")),3)),IF(OR(_xlpm.x=0,_xlpm.x="0",_xlpm.x="N/A"),"",_xlpm.x)),"")</f>
        <v>46226</v>
      </c>
      <c r="L10" s="153">
        <f t="array" ref="L10">IFERROR(_xlfn.LET(_xlpm.x,INDEX('Action Register'!$R$5:$R$104,_xlfn.AGGREGATE(15,6,(ROW('Action Register'!$B$5:$B$104)-ROW('Action Register'!$B$5)+1)/(('Action Register'!$B$5:$B$104&lt;&gt;"")*('Action Register'!$T$5:$T$104="ACTIVE")),3)),IF(OR(_xlpm.x=0,_xlpm.x="0",_xlpm.x="N/A"),"",_xlpm.x)),"")</f>
        <v>46226</v>
      </c>
    </row>
    <row r="11" spans="1:12" ht="40.5" customHeight="1">
      <c r="A11" s="92" t="str">
        <f>IF(A10="","",A10&amp;" cont.")</f>
        <v>SLT-0008 cont.</v>
      </c>
      <c r="B11" s="145" t="str">
        <f t="array" ref="B11">IFERROR(_xlfn.LET(_xlpm.x,INDEX('Action Register'!$E$5:$E$104,_xlfn.AGGREGATE(15,6,(ROW('Action Register'!$B$5:$B$104)-ROW('Action Register'!$B$5)+1)/(('Action Register'!$B$5:$B$104&lt;&gt;"")*('Action Register'!$T$5:$T$104="ACTIVE")),3)),IF(OR(_xlpm.x=0,_xlpm.x="0",_xlpm.x="N/A"),"",_xlpm.x)),"")</f>
        <v>Performance plan complete and deliver written operational improvement plan including KPIs, milestones (30/60/90 days), and review checkpoints. Meet with Tatiana by the end of the week, October 9.</v>
      </c>
      <c r="C11" s="145" t="str">
        <f t="array" ref="C11">IFERROR(_xlfn.LET(_xlpm.x,INDEX('Action Register'!$C$5:$C$104,_xlfn.AGGREGATE(15,6,(ROW('Action Register'!$B$5:$B$104)-ROW('Action Register'!$B$5)+1)/(('Action Register'!$B$5:$B$104&lt;&gt;"")*('Action Register'!$T$5:$T$104="ACTIVE")),3)),IF(OR(_xlpm.x=0,_xlpm.x="0",_xlpm.x="N/A"),"",_xlpm.x)),"")</f>
        <v>People &amp; Culture</v>
      </c>
      <c r="D11" s="146" t="str">
        <f t="array" ref="D11">IFERROR(_xlfn.LET(_xlpm.x,INDEX('Action Register'!$K$5:$K$104,_xlfn.AGGREGATE(15,6,(ROW('Action Register'!$B$5:$B$104)-ROW('Action Register'!$B$5)+1)/(('Action Register'!$B$5:$B$104&lt;&gt;"")*('Action Register'!$T$5:$T$104="ACTIVE")),3)),IF(OR(_xlpm.x=0,_xlpm.x="0",_xlpm.x="N/A"),"",_xlpm.x)),"")</f>
        <v>People &amp; Culture</v>
      </c>
      <c r="E11" s="145" t="str">
        <f t="array" ref="E11">IFERROR(_xlfn.LET(_xlpm.x,INDEX('Action Register'!$P$5:$P$104,_xlfn.AGGREGATE(15,6,(ROW('Action Register'!$B$5:$B$104)-ROW('Action Register'!$B$5)+1)/(('Action Register'!$B$5:$B$104&lt;&gt;"")*('Action Register'!$T$5:$T$104="ACTIVE")),3)),IF(OR(_xlpm.x=0,_xlpm.x="0",_xlpm.x="N/A"),"",_xlpm.x)),"")</f>
        <v/>
      </c>
      <c r="F11" s="145" t="str">
        <f t="array" ref="F11">IFERROR(_xlfn.LET(_xlpm.x,INDEX('Action Register'!$O$5:$O$104,_xlfn.AGGREGATE(15,6,(ROW('Action Register'!$B$5:$B$104)-ROW('Action Register'!$B$5)+1)/(('Action Register'!$B$5:$B$104&lt;&gt;"")*('Action Register'!$T$5:$T$104="ACTIVE")),3)),IF(OR(_xlpm.x=0,_xlpm.x="0",_xlpm.x="N/A"),"",_xlpm.x)),"")</f>
        <v/>
      </c>
      <c r="G11" s="145"/>
      <c r="H11" s="145"/>
      <c r="I11" s="145"/>
      <c r="J11" s="145"/>
      <c r="K11" s="146"/>
      <c r="L11" s="146"/>
    </row>
    <row r="12" spans="1:12">
      <c r="A12" s="93" t="str">
        <f t="array" ref="A12">IFERROR(_xlfn.LET(_xlpm.x,INDEX('Action Register'!$A$5:$A$104,_xlfn.AGGREGATE(15,6,(ROW('Action Register'!$B$5:$B$104)-ROW('Action Register'!$B$5)+1)/(('Action Register'!$B$5:$B$104&lt;&gt;"")*('Action Register'!$T$5:$T$104="ACTIVE")),4)),IF(OR(_xlpm.x=0,_xlpm.x="0",_xlpm.x="N/A"),"",_xlpm.x)),"")</f>
        <v>SLT-0011</v>
      </c>
      <c r="B12" s="147" t="str">
        <f t="array" ref="B12">IFERROR(_xlfn.LET(_xlpm.x,INDEX('Action Register'!$B$5:$B$104,_xlfn.AGGREGATE(15,6,(ROW('Action Register'!$B$5:$B$104)-ROW('Action Register'!$B$5)+1)/(('Action Register'!$B$5:$B$104&lt;&gt;"")*('Action Register'!$T$5:$T$104="ACTIVE")),4)),IF(OR(_xlpm.x=0,_xlpm.x="0",_xlpm.x="N/A"),"",_xlpm.x)),"")</f>
        <v>Standardizing Halal Certification Body Across AGC</v>
      </c>
      <c r="C12" s="147" t="str">
        <f t="array" ref="C12">IFERROR(_xlfn.LET(_xlpm.x,INDEX('Action Register'!$D$5:$D$104,_xlfn.AGGREGATE(15,6,(ROW('Action Register'!$B$5:$B$104)-ROW('Action Register'!$B$5)+1)/(('Action Register'!$B$5:$B$104&lt;&gt;"")*('Action Register'!$T$5:$T$104="ACTIVE")),4)),IF(OR(_xlpm.x=0,_xlpm.x="0",_xlpm.x="N/A"),"",_xlpm.x)),"")</f>
        <v>Tom</v>
      </c>
      <c r="D12" s="148">
        <f t="array" ref="D12">IFERROR(_xlfn.LET(_xlpm.x,INDEX('Action Register'!$F$5:$F$104,_xlfn.AGGREGATE(15,6,(ROW('Action Register'!$B$5:$B$104)-ROW('Action Register'!$B$5)+1)/(('Action Register'!$B$5:$B$104&lt;&gt;"")*('Action Register'!$T$5:$T$104="ACTIVE")),4)),IF(OR(_xlpm.x=0,_xlpm.x="0",_xlpm.x="N/A"),"",_xlpm.x)),"")</f>
        <v>46319</v>
      </c>
      <c r="E12" s="147" t="str">
        <f t="array" ref="E12">IFERROR(_xlfn.LET(_xlpm.x,INDEX('Action Register'!$G$5:$G$104,_xlfn.AGGREGATE(15,6,(ROW('Action Register'!$B$5:$B$104)-ROW('Action Register'!$B$5)+1)/(('Action Register'!$B$5:$B$104&lt;&gt;"")*('Action Register'!$T$5:$T$104="ACTIVE")),4)),IF(OR(_xlpm.x=0,_xlpm.x="0",_xlpm.x="N/A"),"",_xlpm.x)),"")</f>
        <v>Gathering Info</v>
      </c>
      <c r="F12" s="149" t="str">
        <f t="array" ref="F12">IFERROR(_xlfn.LET(_xlpm.x,INDEX('Action Register'!$H$5:$H$104,_xlfn.AGGREGATE(15,6,(ROW('Action Register'!$B$5:$B$104)-ROW('Action Register'!$B$5)+1)/(('Action Register'!$B$5:$B$104&lt;&gt;"")*('Action Register'!$T$5:$T$104="ACTIVE")),4)),IF(OR(_xlpm.x=0,_xlpm.x="0",_xlpm.x="N/A"),"",_xlpm.x)),"")</f>
        <v>Medium</v>
      </c>
      <c r="G12" s="149" t="str">
        <f t="array" ref="G12">IFERROR(_xlfn.LET(_xlpm.x,INDEX('Action Register'!$J$5:$J$104,_xlfn.AGGREGATE(15,6,(ROW('Action Register'!$B$5:$B$104)-ROW('Action Register'!$B$5)+1)/(('Action Register'!$B$5:$B$104&lt;&gt;"")*('Action Register'!$T$5:$T$104="ACTIVE")),4)),IF(OR(_xlpm.x=0,_xlpm.x="0",_xlpm.x="N/A"),"",_xlpm.x)),"")</f>
        <v>Medium</v>
      </c>
      <c r="H12" s="149" t="str">
        <f t="array" ref="H12">IFERROR(_xlfn.LET(_xlpm.x,INDEX('Action Register'!$L$5:$L$104,_xlfn.AGGREGATE(15,6,(ROW('Action Register'!$B$5:$B$104)-ROW('Action Register'!$B$5)+1)/(('Action Register'!$B$5:$B$104&lt;&gt;"")*('Action Register'!$T$5:$T$104="ACTIVE")),4)),IF(OR(_xlpm.x=0,_xlpm.x="0",_xlpm.x="N/A"),"",_xlpm.x)),"")</f>
        <v>No</v>
      </c>
      <c r="I12" s="149" t="str">
        <f t="array" ref="I12">IFERROR(_xlfn.LET(_xlpm.x,INDEX('Action Register'!$M$5:$M$104,_xlfn.AGGREGATE(15,6,(ROW('Action Register'!$B$5:$B$104)-ROW('Action Register'!$B$5)+1)/(('Action Register'!$B$5:$B$104&lt;&gt;"")*('Action Register'!$T$5:$T$104="ACTIVE")),4)),IF(OR(_xlpm.x=0,_xlpm.x="0",_xlpm.x="N/A"),"",_xlpm.x)),"")</f>
        <v>Unknown / TBD</v>
      </c>
      <c r="J12" s="149" t="str">
        <f t="array" ref="J12">IFERROR(_xlfn.LET(_xlpm.x,INDEX('Action Register'!$N$5:$N$104,_xlfn.AGGREGATE(15,6,(ROW('Action Register'!$B$5:$B$104)-ROW('Action Register'!$B$5)+1)/(('Action Register'!$B$5:$B$104&lt;&gt;"")*('Action Register'!$T$5:$T$104="ACTIVE")),4)),IF(OR(_xlpm.x=0,_xlpm.x="0",_xlpm.x="N/A"),"",_xlpm.x)),"")</f>
        <v>Operations Readiness</v>
      </c>
      <c r="K12" s="148">
        <f t="array" ref="K12">IFERROR(_xlfn.LET(_xlpm.x,INDEX('Action Register'!$Q$5:$Q$104,_xlfn.AGGREGATE(15,6,(ROW('Action Register'!$B$5:$B$104)-ROW('Action Register'!$B$5)+1)/(('Action Register'!$B$5:$B$104&lt;&gt;"")*('Action Register'!$T$5:$T$104="ACTIVE")),4)),IF(OR(_xlpm.x=0,_xlpm.x="0",_xlpm.x="N/A"),"",_xlpm.x)),"")</f>
        <v>46226</v>
      </c>
      <c r="L12" s="148">
        <f t="array" ref="L12">IFERROR(_xlfn.LET(_xlpm.x,INDEX('Action Register'!$R$5:$R$104,_xlfn.AGGREGATE(15,6,(ROW('Action Register'!$B$5:$B$104)-ROW('Action Register'!$B$5)+1)/(('Action Register'!$B$5:$B$104&lt;&gt;"")*('Action Register'!$T$5:$T$104="ACTIVE")),4)),IF(OR(_xlpm.x=0,_xlpm.x="0",_xlpm.x="N/A"),"",_xlpm.x)),"")</f>
        <v>46226</v>
      </c>
    </row>
    <row r="13" spans="1:12" ht="54" customHeight="1">
      <c r="A13" s="94" t="str">
        <f>IF(A12="","",A12&amp;" cont.")</f>
        <v>SLT-0011 cont.</v>
      </c>
      <c r="B13" s="150" t="str">
        <f t="array" ref="B13">IFERROR(_xlfn.LET(_xlpm.x,INDEX('Action Register'!$E$5:$E$104,_xlfn.AGGREGATE(15,6,(ROW('Action Register'!$B$5:$B$104)-ROW('Action Register'!$B$5)+1)/(('Action Register'!$B$5:$B$104&lt;&gt;"")*('Action Register'!$T$5:$T$104="ACTIVE")),4)),IF(OR(_xlpm.x=0,_xlpm.x="0",_xlpm.x="N/A"),"",_xlpm.x)),"")</f>
        <v>Refer to Dec003 - on Decision Queue - Quotes obtained from CHFCA and MANA for certification of AGC facilities. Maintain the certification consistent and centralized. Recommendation is CHFCA. Tony and Sherry to hold a separate, private conversation with Dr. Imam Slimi on the certification.</v>
      </c>
      <c r="C13" s="150" t="str">
        <f t="array" ref="C13">IFERROR(_xlfn.LET(_xlpm.x,INDEX('Action Register'!$C$5:$C$104,_xlfn.AGGREGATE(15,6,(ROW('Action Register'!$B$5:$B$104)-ROW('Action Register'!$B$5)+1)/(('Action Register'!$B$5:$B$104&lt;&gt;"")*('Action Register'!$T$5:$T$104="ACTIVE")),4)),IF(OR(_xlpm.x=0,_xlpm.x="0",_xlpm.x="N/A"),"",_xlpm.x)),"")</f>
        <v>Risk &amp; Compliance</v>
      </c>
      <c r="D13" s="151" t="str">
        <f t="array" ref="D13">IFERROR(_xlfn.LET(_xlpm.x,INDEX('Action Register'!$K$5:$K$104,_xlfn.AGGREGATE(15,6,(ROW('Action Register'!$B$5:$B$104)-ROW('Action Register'!$B$5)+1)/(('Action Register'!$B$5:$B$104&lt;&gt;"")*('Action Register'!$T$5:$T$104="ACTIVE")),4)),IF(OR(_xlpm.x=0,_xlpm.x="0",_xlpm.x="N/A"),"",_xlpm.x)),"")</f>
        <v>Food Safety</v>
      </c>
      <c r="E13" s="150" t="str">
        <f t="array" ref="E13">IFERROR(_xlfn.LET(_xlpm.x,INDEX('Action Register'!$P$5:$P$104,_xlfn.AGGREGATE(15,6,(ROW('Action Register'!$B$5:$B$104)-ROW('Action Register'!$B$5)+1)/(('Action Register'!$B$5:$B$104&lt;&gt;"")*('Action Register'!$T$5:$T$104="ACTIVE")),4)),IF(OR(_xlpm.x=0,_xlpm.x="0",_xlpm.x="N/A"),"",_xlpm.x)),"")</f>
        <v>Tony and Sherry to hold a separate, private conversation with Dr. Imam Slimi on the certification.</v>
      </c>
      <c r="F13" s="150" t="str">
        <f t="array" ref="F13">IFERROR(_xlfn.LET(_xlpm.x,INDEX('Action Register'!$O$5:$O$104,_xlfn.AGGREGATE(15,6,(ROW('Action Register'!$B$5:$B$104)-ROW('Action Register'!$B$5)+1)/(('Action Register'!$B$5:$B$104&lt;&gt;"")*('Action Register'!$T$5:$T$104="ACTIVE")),4)),IF(OR(_xlpm.x=0,_xlpm.x="0",_xlpm.x="N/A"),"",_xlpm.x)),"")</f>
        <v/>
      </c>
      <c r="G13" s="150"/>
      <c r="H13" s="150"/>
      <c r="I13" s="150"/>
      <c r="J13" s="150"/>
      <c r="K13" s="151"/>
      <c r="L13" s="151"/>
    </row>
    <row r="14" spans="1:12">
      <c r="A14" s="93" t="str">
        <f t="array" ref="A14">IFERROR(_xlfn.LET(_xlpm.x,INDEX('Action Register'!$A$5:$A$104,_xlfn.AGGREGATE(15,6,(ROW('Action Register'!$B$5:$B$104)-ROW('Action Register'!$B$5)+1)/(('Action Register'!$B$5:$B$104&lt;&gt;"")*('Action Register'!$T$5:$T$104="ACTIVE")),5)),IF(OR(_xlpm.x=0,_xlpm.x="0",_xlpm.x="N/A"),"",_xlpm.x)),"")</f>
        <v>SLT-0012</v>
      </c>
      <c r="B14" s="152" t="str">
        <f t="array" ref="B14">IFERROR(_xlfn.LET(_xlpm.x,INDEX('Action Register'!$B$5:$B$104,_xlfn.AGGREGATE(15,6,(ROW('Action Register'!$B$5:$B$104)-ROW('Action Register'!$B$5)+1)/(('Action Register'!$B$5:$B$104&lt;&gt;"")*('Action Register'!$T$5:$T$104="ACTIVE")),5)),IF(OR(_xlpm.x=0,_xlpm.x="0",_xlpm.x="N/A"),"",_xlpm.x)),"")</f>
        <v>PO Policy Rollout</v>
      </c>
      <c r="C14" s="152" t="str">
        <f t="array" ref="C14">IFERROR(_xlfn.LET(_xlpm.x,INDEX('Action Register'!$D$5:$D$104,_xlfn.AGGREGATE(15,6,(ROW('Action Register'!$B$5:$B$104)-ROW('Action Register'!$B$5)+1)/(('Action Register'!$B$5:$B$104&lt;&gt;"")*('Action Register'!$T$5:$T$104="ACTIVE")),5)),IF(OR(_xlpm.x=0,_xlpm.x="0",_xlpm.x="N/A"),"",_xlpm.x)),"")</f>
        <v>Dave</v>
      </c>
      <c r="D14" s="153">
        <f t="array" ref="D14">IFERROR(_xlfn.LET(_xlpm.x,INDEX('Action Register'!$F$5:$F$104,_xlfn.AGGREGATE(15,6,(ROW('Action Register'!$B$5:$B$104)-ROW('Action Register'!$B$5)+1)/(('Action Register'!$B$5:$B$104&lt;&gt;"")*('Action Register'!$T$5:$T$104="ACTIVE")),5)),IF(OR(_xlpm.x=0,_xlpm.x="0",_xlpm.x="N/A"),"",_xlpm.x)),"")</f>
        <v>46316</v>
      </c>
      <c r="E14" s="152" t="str">
        <f t="array" ref="E14">IFERROR(_xlfn.LET(_xlpm.x,INDEX('Action Register'!$G$5:$G$104,_xlfn.AGGREGATE(15,6,(ROW('Action Register'!$B$5:$B$104)-ROW('Action Register'!$B$5)+1)/(('Action Register'!$B$5:$B$104&lt;&gt;"")*('Action Register'!$T$5:$T$104="ACTIVE")),5)),IF(OR(_xlpm.x=0,_xlpm.x="0",_xlpm.x="N/A"),"",_xlpm.x)),"")</f>
        <v>In Progress</v>
      </c>
      <c r="F14" s="154" t="str">
        <f t="array" ref="F14">IFERROR(_xlfn.LET(_xlpm.x,INDEX('Action Register'!$H$5:$H$104,_xlfn.AGGREGATE(15,6,(ROW('Action Register'!$B$5:$B$104)-ROW('Action Register'!$B$5)+1)/(('Action Register'!$B$5:$B$104&lt;&gt;"")*('Action Register'!$T$5:$T$104="ACTIVE")),5)),IF(OR(_xlpm.x=0,_xlpm.x="0",_xlpm.x="N/A"),"",_xlpm.x)),"")</f>
        <v>Medium</v>
      </c>
      <c r="G14" s="154" t="str">
        <f t="array" ref="G14">IFERROR(_xlfn.LET(_xlpm.x,INDEX('Action Register'!$J$5:$J$104,_xlfn.AGGREGATE(15,6,(ROW('Action Register'!$B$5:$B$104)-ROW('Action Register'!$B$5)+1)/(('Action Register'!$B$5:$B$104&lt;&gt;"")*('Action Register'!$T$5:$T$104="ACTIVE")),5)),IF(OR(_xlpm.x=0,_xlpm.x="0",_xlpm.x="N/A"),"",_xlpm.x)),"")</f>
        <v>Medium</v>
      </c>
      <c r="H14" s="154" t="str">
        <f t="array" ref="H14">IFERROR(_xlfn.LET(_xlpm.x,INDEX('Action Register'!$L$5:$L$104,_xlfn.AGGREGATE(15,6,(ROW('Action Register'!$B$5:$B$104)-ROW('Action Register'!$B$5)+1)/(('Action Register'!$B$5:$B$104&lt;&gt;"")*('Action Register'!$T$5:$T$104="ACTIVE")),5)),IF(OR(_xlpm.x=0,_xlpm.x="0",_xlpm.x="N/A"),"",_xlpm.x)),"")</f>
        <v>No</v>
      </c>
      <c r="I14" s="154" t="str">
        <f t="array" ref="I14">IFERROR(_xlfn.LET(_xlpm.x,INDEX('Action Register'!$M$5:$M$104,_xlfn.AGGREGATE(15,6,(ROW('Action Register'!$B$5:$B$104)-ROW('Action Register'!$B$5)+1)/(('Action Register'!$B$5:$B$104&lt;&gt;"")*('Action Register'!$T$5:$T$104="ACTIVE")),5)),IF(OR(_xlpm.x=0,_xlpm.x="0",_xlpm.x="N/A"),"",_xlpm.x)),"")</f>
        <v>Unknown / TBD</v>
      </c>
      <c r="J14" s="154" t="str">
        <f t="array" ref="J14">IFERROR(_xlfn.LET(_xlpm.x,INDEX('Action Register'!$N$5:$N$104,_xlfn.AGGREGATE(15,6,(ROW('Action Register'!$B$5:$B$104)-ROW('Action Register'!$B$5)+1)/(('Action Register'!$B$5:$B$104&lt;&gt;"")*('Action Register'!$T$5:$T$104="ACTIVE")),5)),IF(OR(_xlpm.x=0,_xlpm.x="0",_xlpm.x="N/A"),"",_xlpm.x)),"")</f>
        <v>Operations Readiness</v>
      </c>
      <c r="K14" s="153">
        <f t="array" ref="K14">IFERROR(_xlfn.LET(_xlpm.x,INDEX('Action Register'!$Q$5:$Q$104,_xlfn.AGGREGATE(15,6,(ROW('Action Register'!$B$5:$B$104)-ROW('Action Register'!$B$5)+1)/(('Action Register'!$B$5:$B$104&lt;&gt;"")*('Action Register'!$T$5:$T$104="ACTIVE")),5)),IF(OR(_xlpm.x=0,_xlpm.x="0",_xlpm.x="N/A"),"",_xlpm.x)),"")</f>
        <v>46153</v>
      </c>
      <c r="L14" s="153">
        <f t="array" ref="L14">IFERROR(_xlfn.LET(_xlpm.x,INDEX('Action Register'!$R$5:$R$104,_xlfn.AGGREGATE(15,6,(ROW('Action Register'!$B$5:$B$104)-ROW('Action Register'!$B$5)+1)/(('Action Register'!$B$5:$B$104&lt;&gt;"")*('Action Register'!$T$5:$T$104="ACTIVE")),5)),IF(OR(_xlpm.x=0,_xlpm.x="0",_xlpm.x="N/A"),"",_xlpm.x)),"")</f>
        <v>46292</v>
      </c>
    </row>
    <row r="15" spans="1:12" ht="40.5" customHeight="1">
      <c r="A15" s="92" t="str">
        <f>IF(A14="","",A14&amp;" cont.")</f>
        <v>SLT-0012 cont.</v>
      </c>
      <c r="B15" s="145" t="str">
        <f t="array" ref="B15">IFERROR(_xlfn.LET(_xlpm.x,INDEX('Action Register'!$E$5:$E$104,_xlfn.AGGREGATE(15,6,(ROW('Action Register'!$B$5:$B$104)-ROW('Action Register'!$B$5)+1)/(('Action Register'!$B$5:$B$104&lt;&gt;"")*('Action Register'!$T$5:$T$104="ACTIVE")),5)),IF(OR(_xlpm.x=0,_xlpm.x="0",_xlpm.x="N/A"),"",_xlpm.x)),"")</f>
        <v>Rollout training. Full company-wide rollout of automated PO process in BC, including workflow routing and authorization controls.  Practical Approach selected as vendor based on $15K quote. Rollout trainging week of October 21.</v>
      </c>
      <c r="C15" s="145" t="str">
        <f t="array" ref="C15">IFERROR(_xlfn.LET(_xlpm.x,INDEX('Action Register'!$C$5:$C$104,_xlfn.AGGREGATE(15,6,(ROW('Action Register'!$B$5:$B$104)-ROW('Action Register'!$B$5)+1)/(('Action Register'!$B$5:$B$104&lt;&gt;"")*('Action Register'!$T$5:$T$104="ACTIVE")),5)),IF(OR(_xlpm.x=0,_xlpm.x="0",_xlpm.x="N/A"),"",_xlpm.x)),"")</f>
        <v>Governance &amp; Controls</v>
      </c>
      <c r="D15" s="146" t="str">
        <f t="array" ref="D15">IFERROR(_xlfn.LET(_xlpm.x,INDEX('Action Register'!$K$5:$K$104,_xlfn.AGGREGATE(15,6,(ROW('Action Register'!$B$5:$B$104)-ROW('Action Register'!$B$5)+1)/(('Action Register'!$B$5:$B$104&lt;&gt;"")*('Action Register'!$T$5:$T$104="ACTIVE")),5)),IF(OR(_xlpm.x=0,_xlpm.x="0",_xlpm.x="N/A"),"",_xlpm.x)),"")</f>
        <v>Governance</v>
      </c>
      <c r="E15" s="145" t="str">
        <f t="array" ref="E15">IFERROR(_xlfn.LET(_xlpm.x,INDEX('Action Register'!$P$5:$P$104,_xlfn.AGGREGATE(15,6,(ROW('Action Register'!$B$5:$B$104)-ROW('Action Register'!$B$5)+1)/(('Action Register'!$B$5:$B$104&lt;&gt;"")*('Action Register'!$T$5:$T$104="ACTIVE")),5)),IF(OR(_xlpm.x=0,_xlpm.x="0",_xlpm.x="N/A"),"",_xlpm.x)),"")</f>
        <v>Brought from deferred decision on May 11, 2026. Evaluated 2 vendor proposals.  Sherry Crawford and Practical Approach.</v>
      </c>
      <c r="F15" s="145" t="str">
        <f t="array" ref="F15">IFERROR(_xlfn.LET(_xlpm.x,INDEX('Action Register'!$O$5:$O$104,_xlfn.AGGREGATE(15,6,(ROW('Action Register'!$B$5:$B$104)-ROW('Action Register'!$B$5)+1)/(('Action Register'!$B$5:$B$104&lt;&gt;"")*('Action Register'!$T$5:$T$104="ACTIVE")),5)),IF(OR(_xlpm.x=0,_xlpm.x="0",_xlpm.x="N/A"),"",_xlpm.x)),"")</f>
        <v/>
      </c>
      <c r="G15" s="145"/>
      <c r="H15" s="145"/>
      <c r="I15" s="145"/>
      <c r="J15" s="145"/>
      <c r="K15" s="146"/>
      <c r="L15" s="146"/>
    </row>
    <row r="16" spans="1:12">
      <c r="A16" s="93" t="str">
        <f t="array" ref="A16">IFERROR(_xlfn.LET(_xlpm.x,INDEX('Action Register'!$A$5:$A$104,_xlfn.AGGREGATE(15,6,(ROW('Action Register'!$B$5:$B$104)-ROW('Action Register'!$B$5)+1)/(('Action Register'!$B$5:$B$104&lt;&gt;"")*('Action Register'!$T$5:$T$104="ACTIVE")),6)),IF(OR(_xlpm.x=0,_xlpm.x="0",_xlpm.x="N/A"),"",_xlpm.x)),"")</f>
        <v>SLT-0013</v>
      </c>
      <c r="B16" s="147" t="str">
        <f t="array" ref="B16">IFERROR(_xlfn.LET(_xlpm.x,INDEX('Action Register'!$B$5:$B$104,_xlfn.AGGREGATE(15,6,(ROW('Action Register'!$B$5:$B$104)-ROW('Action Register'!$B$5)+1)/(('Action Register'!$B$5:$B$104&lt;&gt;"")*('Action Register'!$T$5:$T$104="ACTIVE")),6)),IF(OR(_xlpm.x=0,_xlpm.x="0",_xlpm.x="N/A"),"",_xlpm.x)),"")</f>
        <v>Bill S-211 Compliance</v>
      </c>
      <c r="C16" s="147" t="str">
        <f t="array" ref="C16">IFERROR(_xlfn.LET(_xlpm.x,INDEX('Action Register'!$D$5:$D$104,_xlfn.AGGREGATE(15,6,(ROW('Action Register'!$B$5:$B$104)-ROW('Action Register'!$B$5)+1)/(('Action Register'!$B$5:$B$104&lt;&gt;"")*('Action Register'!$T$5:$T$104="ACTIVE")),6)),IF(OR(_xlpm.x=0,_xlpm.x="0",_xlpm.x="N/A"),"",_xlpm.x)),"")</f>
        <v>Sherry</v>
      </c>
      <c r="D16" s="148">
        <f t="array" ref="D16">IFERROR(_xlfn.LET(_xlpm.x,INDEX('Action Register'!$F$5:$F$104,_xlfn.AGGREGATE(15,6,(ROW('Action Register'!$B$5:$B$104)-ROW('Action Register'!$B$5)+1)/(('Action Register'!$B$5:$B$104&lt;&gt;"")*('Action Register'!$T$5:$T$104="ACTIVE")),6)),IF(OR(_xlpm.x=0,_xlpm.x="0",_xlpm.x="N/A"),"",_xlpm.x)),"")</f>
        <v>46322</v>
      </c>
      <c r="E16" s="147" t="str">
        <f t="array" ref="E16">IFERROR(_xlfn.LET(_xlpm.x,INDEX('Action Register'!$G$5:$G$104,_xlfn.AGGREGATE(15,6,(ROW('Action Register'!$B$5:$B$104)-ROW('Action Register'!$B$5)+1)/(('Action Register'!$B$5:$B$104&lt;&gt;"")*('Action Register'!$T$5:$T$104="ACTIVE")),6)),IF(OR(_xlpm.x=0,_xlpm.x="0",_xlpm.x="N/A"),"",_xlpm.x)),"")</f>
        <v>In Progress</v>
      </c>
      <c r="F16" s="149" t="str">
        <f t="array" ref="F16">IFERROR(_xlfn.LET(_xlpm.x,INDEX('Action Register'!$H$5:$H$104,_xlfn.AGGREGATE(15,6,(ROW('Action Register'!$B$5:$B$104)-ROW('Action Register'!$B$5)+1)/(('Action Register'!$B$5:$B$104&lt;&gt;"")*('Action Register'!$T$5:$T$104="ACTIVE")),6)),IF(OR(_xlpm.x=0,_xlpm.x="0",_xlpm.x="N/A"),"",_xlpm.x)),"")</f>
        <v>Medium</v>
      </c>
      <c r="G16" s="149" t="str">
        <f t="array" ref="G16">IFERROR(_xlfn.LET(_xlpm.x,INDEX('Action Register'!$J$5:$J$104,_xlfn.AGGREGATE(15,6,(ROW('Action Register'!$B$5:$B$104)-ROW('Action Register'!$B$5)+1)/(('Action Register'!$B$5:$B$104&lt;&gt;"")*('Action Register'!$T$5:$T$104="ACTIVE")),6)),IF(OR(_xlpm.x=0,_xlpm.x="0",_xlpm.x="N/A"),"",_xlpm.x)),"")</f>
        <v>Medium</v>
      </c>
      <c r="H16" s="149" t="str">
        <f t="array" ref="H16">IFERROR(_xlfn.LET(_xlpm.x,INDEX('Action Register'!$L$5:$L$104,_xlfn.AGGREGATE(15,6,(ROW('Action Register'!$B$5:$B$104)-ROW('Action Register'!$B$5)+1)/(('Action Register'!$B$5:$B$104&lt;&gt;"")*('Action Register'!$T$5:$T$104="ACTIVE")),6)),IF(OR(_xlpm.x=0,_xlpm.x="0",_xlpm.x="N/A"),"",_xlpm.x)),"")</f>
        <v>No</v>
      </c>
      <c r="I16" s="149" t="str">
        <f t="array" ref="I16">IFERROR(_xlfn.LET(_xlpm.x,INDEX('Action Register'!$M$5:$M$104,_xlfn.AGGREGATE(15,6,(ROW('Action Register'!$B$5:$B$104)-ROW('Action Register'!$B$5)+1)/(('Action Register'!$B$5:$B$104&lt;&gt;"")*('Action Register'!$T$5:$T$104="ACTIVE")),6)),IF(OR(_xlpm.x=0,_xlpm.x="0",_xlpm.x="N/A"),"",_xlpm.x)),"")</f>
        <v>Unknown / TBD</v>
      </c>
      <c r="J16" s="149" t="str">
        <f t="array" ref="J16">IFERROR(_xlfn.LET(_xlpm.x,INDEX('Action Register'!$N$5:$N$104,_xlfn.AGGREGATE(15,6,(ROW('Action Register'!$B$5:$B$104)-ROW('Action Register'!$B$5)+1)/(('Action Register'!$B$5:$B$104&lt;&gt;"")*('Action Register'!$T$5:$T$104="ACTIVE")),6)),IF(OR(_xlpm.x=0,_xlpm.x="0",_xlpm.x="N/A"),"",_xlpm.x)),"")</f>
        <v/>
      </c>
      <c r="K16" s="148">
        <f t="array" ref="K16">IFERROR(_xlfn.LET(_xlpm.x,INDEX('Action Register'!$Q$5:$Q$104,_xlfn.AGGREGATE(15,6,(ROW('Action Register'!$B$5:$B$104)-ROW('Action Register'!$B$5)+1)/(('Action Register'!$B$5:$B$104&lt;&gt;"")*('Action Register'!$T$5:$T$104="ACTIVE")),6)),IF(OR(_xlpm.x=0,_xlpm.x="0",_xlpm.x="N/A"),"",_xlpm.x)),"")</f>
        <v>46244</v>
      </c>
      <c r="L16" s="148" t="str">
        <f t="array" ref="L16">IFERROR(_xlfn.LET(_xlpm.x,INDEX('Action Register'!$R$5:$R$104,_xlfn.AGGREGATE(15,6,(ROW('Action Register'!$B$5:$B$104)-ROW('Action Register'!$B$5)+1)/(('Action Register'!$B$5:$B$104&lt;&gt;"")*('Action Register'!$T$5:$T$104="ACTIVE")),6)),IF(OR(_xlpm.x=0,_xlpm.x="0",_xlpm.x="N/A"),"",_xlpm.x)),"")</f>
        <v/>
      </c>
    </row>
    <row r="17" spans="1:12" ht="40.5" customHeight="1">
      <c r="A17" s="94" t="str">
        <f>IF(A16="","",A16&amp;" cont.")</f>
        <v>SLT-0013 cont.</v>
      </c>
      <c r="B17" s="150" t="str">
        <f t="array" ref="B17">IFERROR(_xlfn.LET(_xlpm.x,INDEX('Action Register'!$E$5:$E$104,_xlfn.AGGREGATE(15,6,(ROW('Action Register'!$B$5:$B$104)-ROW('Action Register'!$B$5)+1)/(('Action Register'!$B$5:$B$104&lt;&gt;"")*('Action Register'!$T$5:$T$104="ACTIVE")),6)),IF(OR(_xlpm.x=0,_xlpm.x="0",_xlpm.x="N/A"),"",_xlpm.x)),"")</f>
        <v>AGC to complete the required minimal compliance reporting internally rather than engage MNP, avoiding the quoted $12.5K external cost, while remaining compliant with reporting requirements.</v>
      </c>
      <c r="C17" s="150" t="str">
        <f t="array" ref="C17">IFERROR(_xlfn.LET(_xlpm.x,INDEX('Action Register'!$C$5:$C$104,_xlfn.AGGREGATE(15,6,(ROW('Action Register'!$B$5:$B$104)-ROW('Action Register'!$B$5)+1)/(('Action Register'!$B$5:$B$104&lt;&gt;"")*('Action Register'!$T$5:$T$104="ACTIVE")),6)),IF(OR(_xlpm.x=0,_xlpm.x="0",_xlpm.x="N/A"),"",_xlpm.x)),"")</f>
        <v>Governance &amp; Controls</v>
      </c>
      <c r="D17" s="151" t="str">
        <f t="array" ref="D17">IFERROR(_xlfn.LET(_xlpm.x,INDEX('Action Register'!$K$5:$K$104,_xlfn.AGGREGATE(15,6,(ROW('Action Register'!$B$5:$B$104)-ROW('Action Register'!$B$5)+1)/(('Action Register'!$B$5:$B$104&lt;&gt;"")*('Action Register'!$T$5:$T$104="ACTIVE")),6)),IF(OR(_xlpm.x=0,_xlpm.x="0",_xlpm.x="N/A"),"",_xlpm.x)),"")</f>
        <v>Governance</v>
      </c>
      <c r="E17" s="150" t="str">
        <f t="array" ref="E17">IFERROR(_xlfn.LET(_xlpm.x,INDEX('Action Register'!$P$5:$P$104,_xlfn.AGGREGATE(15,6,(ROW('Action Register'!$B$5:$B$104)-ROW('Action Register'!$B$5)+1)/(('Action Register'!$B$5:$B$104&lt;&gt;"")*('Action Register'!$T$5:$T$104="ACTIVE")),6)),IF(OR(_xlpm.x=0,_xlpm.x="0",_xlpm.x="N/A"),"",_xlpm.x)),"")</f>
        <v/>
      </c>
      <c r="F17" s="150" t="str">
        <f t="array" ref="F17">IFERROR(_xlfn.LET(_xlpm.x,INDEX('Action Register'!$O$5:$O$104,_xlfn.AGGREGATE(15,6,(ROW('Action Register'!$B$5:$B$104)-ROW('Action Register'!$B$5)+1)/(('Action Register'!$B$5:$B$104&lt;&gt;"")*('Action Register'!$T$5:$T$104="ACTIVE")),6)),IF(OR(_xlpm.x=0,_xlpm.x="0",_xlpm.x="N/A"),"",_xlpm.x)),"")</f>
        <v/>
      </c>
      <c r="G17" s="150"/>
      <c r="H17" s="150"/>
      <c r="I17" s="150"/>
      <c r="J17" s="150"/>
      <c r="K17" s="151"/>
      <c r="L17" s="151"/>
    </row>
    <row r="18" spans="1:12">
      <c r="A18" s="93" t="str">
        <f t="array" ref="A18">IFERROR(_xlfn.LET(_xlpm.x,INDEX('Action Register'!$A$5:$A$104,_xlfn.AGGREGATE(15,6,(ROW('Action Register'!$B$5:$B$104)-ROW('Action Register'!$B$5)+1)/(('Action Register'!$B$5:$B$104&lt;&gt;"")*('Action Register'!$T$5:$T$104="ACTIVE")),7)),IF(OR(_xlpm.x=0,_xlpm.x="0",_xlpm.x="N/A"),"",_xlpm.x)),"")</f>
        <v>SLT-0014</v>
      </c>
      <c r="B18" s="152" t="str">
        <f t="array" ref="B18">IFERROR(_xlfn.LET(_xlpm.x,INDEX('Action Register'!$B$5:$B$104,_xlfn.AGGREGATE(15,6,(ROW('Action Register'!$B$5:$B$104)-ROW('Action Register'!$B$5)+1)/(('Action Register'!$B$5:$B$104&lt;&gt;"")*('Action Register'!$T$5:$T$104="ACTIVE")),7)),IF(OR(_xlpm.x=0,_xlpm.x="0",_xlpm.x="N/A"),"",_xlpm.x)),"")</f>
        <v>2027 Civic Holiday - 2027 Planning Process</v>
      </c>
      <c r="C18" s="152" t="str">
        <f t="array" ref="C18">IFERROR(_xlfn.LET(_xlpm.x,INDEX('Action Register'!$D$5:$D$104,_xlfn.AGGREGATE(15,6,(ROW('Action Register'!$B$5:$B$104)-ROW('Action Register'!$B$5)+1)/(('Action Register'!$B$5:$B$104&lt;&gt;"")*('Action Register'!$T$5:$T$104="ACTIVE")),7)),IF(OR(_xlpm.x=0,_xlpm.x="0",_xlpm.x="N/A"),"",_xlpm.x)),"")</f>
        <v>Dave</v>
      </c>
      <c r="D18" s="153">
        <f t="array" ref="D18">IFERROR(_xlfn.LET(_xlpm.x,INDEX('Action Register'!$F$5:$F$104,_xlfn.AGGREGATE(15,6,(ROW('Action Register'!$B$5:$B$104)-ROW('Action Register'!$B$5)+1)/(('Action Register'!$B$5:$B$104&lt;&gt;"")*('Action Register'!$T$5:$T$104="ACTIVE")),7)),IF(OR(_xlpm.x=0,_xlpm.x="0",_xlpm.x="N/A"),"",_xlpm.x)),"")</f>
        <v>46451</v>
      </c>
      <c r="E18" s="152" t="str">
        <f t="array" ref="E18">IFERROR(_xlfn.LET(_xlpm.x,INDEX('Action Register'!$G$5:$G$104,_xlfn.AGGREGATE(15,6,(ROW('Action Register'!$B$5:$B$104)-ROW('Action Register'!$B$5)+1)/(('Action Register'!$B$5:$B$104&lt;&gt;"")*('Action Register'!$T$5:$T$104="ACTIVE")),7)),IF(OR(_xlpm.x=0,_xlpm.x="0",_xlpm.x="N/A"),"",_xlpm.x)),"")</f>
        <v>Assigned</v>
      </c>
      <c r="F18" s="154" t="str">
        <f t="array" ref="F18">IFERROR(_xlfn.LET(_xlpm.x,INDEX('Action Register'!$H$5:$H$104,_xlfn.AGGREGATE(15,6,(ROW('Action Register'!$B$5:$B$104)-ROW('Action Register'!$B$5)+1)/(('Action Register'!$B$5:$B$104&lt;&gt;"")*('Action Register'!$T$5:$T$104="ACTIVE")),7)),IF(OR(_xlpm.x=0,_xlpm.x="0",_xlpm.x="N/A"),"",_xlpm.x)),"")</f>
        <v>Medium</v>
      </c>
      <c r="G18" s="154" t="str">
        <f t="array" ref="G18">IFERROR(_xlfn.LET(_xlpm.x,INDEX('Action Register'!$J$5:$J$104,_xlfn.AGGREGATE(15,6,(ROW('Action Register'!$B$5:$B$104)-ROW('Action Register'!$B$5)+1)/(('Action Register'!$B$5:$B$104&lt;&gt;"")*('Action Register'!$T$5:$T$104="ACTIVE")),7)),IF(OR(_xlpm.x=0,_xlpm.x="0",_xlpm.x="N/A"),"",_xlpm.x)),"")</f>
        <v>Medium</v>
      </c>
      <c r="H18" s="154" t="str">
        <f t="array" ref="H18">IFERROR(_xlfn.LET(_xlpm.x,INDEX('Action Register'!$L$5:$L$104,_xlfn.AGGREGATE(15,6,(ROW('Action Register'!$B$5:$B$104)-ROW('Action Register'!$B$5)+1)/(('Action Register'!$B$5:$B$104&lt;&gt;"")*('Action Register'!$T$5:$T$104="ACTIVE")),7)),IF(OR(_xlpm.x=0,_xlpm.x="0",_xlpm.x="N/A"),"",_xlpm.x)),"")</f>
        <v>No</v>
      </c>
      <c r="I18" s="154" t="str">
        <f t="array" ref="I18">IFERROR(_xlfn.LET(_xlpm.x,INDEX('Action Register'!$M$5:$M$104,_xlfn.AGGREGATE(15,6,(ROW('Action Register'!$B$5:$B$104)-ROW('Action Register'!$B$5)+1)/(('Action Register'!$B$5:$B$104&lt;&gt;"")*('Action Register'!$T$5:$T$104="ACTIVE")),7)),IF(OR(_xlpm.x=0,_xlpm.x="0",_xlpm.x="N/A"),"",_xlpm.x)),"")</f>
        <v>Unknown / TBD</v>
      </c>
      <c r="J18" s="154" t="str">
        <f t="array" ref="J18">IFERROR(_xlfn.LET(_xlpm.x,INDEX('Action Register'!$N$5:$N$104,_xlfn.AGGREGATE(15,6,(ROW('Action Register'!$B$5:$B$104)-ROW('Action Register'!$B$5)+1)/(('Action Register'!$B$5:$B$104&lt;&gt;"")*('Action Register'!$T$5:$T$104="ACTIVE")),7)),IF(OR(_xlpm.x=0,_xlpm.x="0",_xlpm.x="N/A"),"",_xlpm.x)),"")</f>
        <v/>
      </c>
      <c r="K18" s="153">
        <f t="array" ref="K18">IFERROR(_xlfn.LET(_xlpm.x,INDEX('Action Register'!$Q$5:$Q$104,_xlfn.AGGREGATE(15,6,(ROW('Action Register'!$B$5:$B$104)-ROW('Action Register'!$B$5)+1)/(('Action Register'!$B$5:$B$104&lt;&gt;"")*('Action Register'!$T$5:$T$104="ACTIVE")),7)),IF(OR(_xlpm.x=0,_xlpm.x="0",_xlpm.x="N/A"),"",_xlpm.x)),"")</f>
        <v>46244</v>
      </c>
      <c r="L18" s="153">
        <f t="array" ref="L18">IFERROR(_xlfn.LET(_xlpm.x,INDEX('Action Register'!$R$5:$R$104,_xlfn.AGGREGATE(15,6,(ROW('Action Register'!$B$5:$B$104)-ROW('Action Register'!$B$5)+1)/(('Action Register'!$B$5:$B$104&lt;&gt;"")*('Action Register'!$T$5:$T$104="ACTIVE")),7)),IF(OR(_xlpm.x=0,_xlpm.x="0",_xlpm.x="N/A"),"",_xlpm.x)),"")</f>
        <v>46246</v>
      </c>
    </row>
    <row r="19" spans="1:12" ht="94.5" customHeight="1">
      <c r="A19" s="92" t="str">
        <f>IF(A18="","",A18&amp;" cont.")</f>
        <v>SLT-0014 cont.</v>
      </c>
      <c r="B19" s="145" t="str">
        <f t="array" ref="B19">IFERROR(_xlfn.LET(_xlpm.x,INDEX('Action Register'!$E$5:$E$104,_xlfn.AGGREGATE(15,6,(ROW('Action Register'!$B$5:$B$104)-ROW('Action Register'!$B$5)+1)/(('Action Register'!$B$5:$B$104&lt;&gt;"")*('Action Register'!$T$5:$T$104="ACTIVE")),7)),IF(OR(_xlpm.x=0,_xlpm.x="0",_xlpm.x="N/A"),"",_xlpm.x)),"")</f>
        <v>Gene and David to evaluate the cost and implications of introducing the Civic Holiday as a paid company holiday effective 2027 and return with a recommendation for an SLT decision.</v>
      </c>
      <c r="C19" s="145" t="str">
        <f t="array" ref="C19">IFERROR(_xlfn.LET(_xlpm.x,INDEX('Action Register'!$C$5:$C$104,_xlfn.AGGREGATE(15,6,(ROW('Action Register'!$B$5:$B$104)-ROW('Action Register'!$B$5)+1)/(('Action Register'!$B$5:$B$104&lt;&gt;"")*('Action Register'!$T$5:$T$104="ACTIVE")),7)),IF(OR(_xlpm.x=0,_xlpm.x="0",_xlpm.x="N/A"),"",_xlpm.x)),"")</f>
        <v>People &amp; Culture</v>
      </c>
      <c r="D19" s="146" t="str">
        <f t="array" ref="D19">IFERROR(_xlfn.LET(_xlpm.x,INDEX('Action Register'!$K$5:$K$104,_xlfn.AGGREGATE(15,6,(ROW('Action Register'!$B$5:$B$104)-ROW('Action Register'!$B$5)+1)/(('Action Register'!$B$5:$B$104&lt;&gt;"")*('Action Register'!$T$5:$T$104="ACTIVE")),7)),IF(OR(_xlpm.x=0,_xlpm.x="0",_xlpm.x="N/A"),"",_xlpm.x)),"")</f>
        <v>People &amp; Culture</v>
      </c>
      <c r="E19" s="145" t="str">
        <f t="array" ref="E19">IFERROR(_xlfn.LET(_xlpm.x,INDEX('Action Register'!$P$5:$P$104,_xlfn.AGGREGATE(15,6,(ROW('Action Register'!$B$5:$B$104)-ROW('Action Register'!$B$5)+1)/(('Action Register'!$B$5:$B$104&lt;&gt;"")*('Action Register'!$T$5:$T$104="ACTIVE")),7)),IF(OR(_xlpm.x=0,_xlpm.x="0",_xlpm.x="N/A"),"",_xlpm.x)),"")</f>
        <v/>
      </c>
      <c r="F19" s="145" t="str">
        <f t="array" ref="F19">IFERROR(_xlfn.LET(_xlpm.x,INDEX('Action Register'!$O$5:$O$104,_xlfn.AGGREGATE(15,6,(ROW('Action Register'!$B$5:$B$104)-ROW('Action Register'!$B$5)+1)/(('Action Register'!$B$5:$B$104&lt;&gt;"")*('Action Register'!$T$5:$T$104="ACTIVE")),7)),IF(OR(_xlpm.x=0,_xlpm.x="0",_xlpm.x="N/A"),"",_xlpm.x)),"")</f>
        <v/>
      </c>
      <c r="G19" s="145"/>
      <c r="H19" s="145"/>
      <c r="I19" s="145"/>
      <c r="J19" s="145"/>
      <c r="K19" s="146"/>
      <c r="L19" s="146"/>
    </row>
    <row r="20" spans="1:12">
      <c r="A20" s="93" t="str">
        <f t="array" ref="A20">IFERROR(_xlfn.LET(_xlpm.x,INDEX('Action Register'!$A$5:$A$104,_xlfn.AGGREGATE(15,6,(ROW('Action Register'!$B$5:$B$104)-ROW('Action Register'!$B$5)+1)/(('Action Register'!$B$5:$B$104&lt;&gt;"")*('Action Register'!$T$5:$T$104="ACTIVE")),8)),IF(OR(_xlpm.x=0,_xlpm.x="0",_xlpm.x="N/A"),"",_xlpm.x)),"")</f>
        <v>SLT-0015</v>
      </c>
      <c r="B20" s="147" t="str">
        <f t="array" ref="B20">IFERROR(_xlfn.LET(_xlpm.x,INDEX('Action Register'!$B$5:$B$104,_xlfn.AGGREGATE(15,6,(ROW('Action Register'!$B$5:$B$104)-ROW('Action Register'!$B$5)+1)/(('Action Register'!$B$5:$B$104&lt;&gt;"")*('Action Register'!$T$5:$T$104="ACTIVE")),8)),IF(OR(_xlpm.x=0,_xlpm.x="0",_xlpm.x="N/A"),"",_xlpm.x)),"")</f>
        <v>YVF Yield Report</v>
      </c>
      <c r="C20" s="147" t="str">
        <f t="array" ref="C20">IFERROR(_xlfn.LET(_xlpm.x,INDEX('Action Register'!$D$5:$D$104,_xlfn.AGGREGATE(15,6,(ROW('Action Register'!$B$5:$B$104)-ROW('Action Register'!$B$5)+1)/(('Action Register'!$B$5:$B$104&lt;&gt;"")*('Action Register'!$T$5:$T$104="ACTIVE")),8)),IF(OR(_xlpm.x=0,_xlpm.x="0",_xlpm.x="N/A"),"",_xlpm.x)),"")</f>
        <v>Tom</v>
      </c>
      <c r="D20" s="148">
        <f t="array" ref="D20">IFERROR(_xlfn.LET(_xlpm.x,INDEX('Action Register'!$F$5:$F$104,_xlfn.AGGREGATE(15,6,(ROW('Action Register'!$B$5:$B$104)-ROW('Action Register'!$B$5)+1)/(('Action Register'!$B$5:$B$104&lt;&gt;"")*('Action Register'!$T$5:$T$104="ACTIVE")),8)),IF(OR(_xlpm.x=0,_xlpm.x="0",_xlpm.x="N/A"),"",_xlpm.x)),"")</f>
        <v>46322</v>
      </c>
      <c r="E20" s="147" t="str">
        <f t="array" ref="E20">IFERROR(_xlfn.LET(_xlpm.x,INDEX('Action Register'!$G$5:$G$104,_xlfn.AGGREGATE(15,6,(ROW('Action Register'!$B$5:$B$104)-ROW('Action Register'!$B$5)+1)/(('Action Register'!$B$5:$B$104&lt;&gt;"")*('Action Register'!$T$5:$T$104="ACTIVE")),8)),IF(OR(_xlpm.x=0,_xlpm.x="0",_xlpm.x="N/A"),"",_xlpm.x)),"")</f>
        <v>In Progress</v>
      </c>
      <c r="F20" s="149" t="str">
        <f t="array" ref="F20">IFERROR(_xlfn.LET(_xlpm.x,INDEX('Action Register'!$H$5:$H$104,_xlfn.AGGREGATE(15,6,(ROW('Action Register'!$B$5:$B$104)-ROW('Action Register'!$B$5)+1)/(('Action Register'!$B$5:$B$104&lt;&gt;"")*('Action Register'!$T$5:$T$104="ACTIVE")),8)),IF(OR(_xlpm.x=0,_xlpm.x="0",_xlpm.x="N/A"),"",_xlpm.x)),"")</f>
        <v>High</v>
      </c>
      <c r="G20" s="149" t="str">
        <f t="array" ref="G20">IFERROR(_xlfn.LET(_xlpm.x,INDEX('Action Register'!$J$5:$J$104,_xlfn.AGGREGATE(15,6,(ROW('Action Register'!$B$5:$B$104)-ROW('Action Register'!$B$5)+1)/(('Action Register'!$B$5:$B$104&lt;&gt;"")*('Action Register'!$T$5:$T$104="ACTIVE")),8)),IF(OR(_xlpm.x=0,_xlpm.x="0",_xlpm.x="N/A"),"",_xlpm.x)),"")</f>
        <v>High</v>
      </c>
      <c r="H20" s="149" t="str">
        <f t="array" ref="H20">IFERROR(_xlfn.LET(_xlpm.x,INDEX('Action Register'!$L$5:$L$104,_xlfn.AGGREGATE(15,6,(ROW('Action Register'!$B$5:$B$104)-ROW('Action Register'!$B$5)+1)/(('Action Register'!$B$5:$B$104&lt;&gt;"")*('Action Register'!$T$5:$T$104="ACTIVE")),8)),IF(OR(_xlpm.x=0,_xlpm.x="0",_xlpm.x="N/A"),"",_xlpm.x)),"")</f>
        <v>No</v>
      </c>
      <c r="I20" s="149" t="str">
        <f t="array" ref="I20">IFERROR(_xlfn.LET(_xlpm.x,INDEX('Action Register'!$M$5:$M$104,_xlfn.AGGREGATE(15,6,(ROW('Action Register'!$B$5:$B$104)-ROW('Action Register'!$B$5)+1)/(('Action Register'!$B$5:$B$104&lt;&gt;"")*('Action Register'!$T$5:$T$104="ACTIVE")),8)),IF(OR(_xlpm.x=0,_xlpm.x="0",_xlpm.x="N/A"),"",_xlpm.x)),"")</f>
        <v>Unknown / TBD</v>
      </c>
      <c r="J20" s="149" t="str">
        <f t="array" ref="J20">IFERROR(_xlfn.LET(_xlpm.x,INDEX('Action Register'!$N$5:$N$104,_xlfn.AGGREGATE(15,6,(ROW('Action Register'!$B$5:$B$104)-ROW('Action Register'!$B$5)+1)/(('Action Register'!$B$5:$B$104&lt;&gt;"")*('Action Register'!$T$5:$T$104="ACTIVE")),8)),IF(OR(_xlpm.x=0,_xlpm.x="0",_xlpm.x="N/A"),"",_xlpm.x)),"")</f>
        <v/>
      </c>
      <c r="K20" s="148">
        <f t="array" ref="K20">IFERROR(_xlfn.LET(_xlpm.x,INDEX('Action Register'!$Q$5:$Q$104,_xlfn.AGGREGATE(15,6,(ROW('Action Register'!$B$5:$B$104)-ROW('Action Register'!$B$5)+1)/(('Action Register'!$B$5:$B$104&lt;&gt;"")*('Action Register'!$T$5:$T$104="ACTIVE")),8)),IF(OR(_xlpm.x=0,_xlpm.x="0",_xlpm.x="N/A"),"",_xlpm.x)),"")</f>
        <v>46246</v>
      </c>
      <c r="L20" s="148">
        <f t="array" ref="L20">IFERROR(_xlfn.LET(_xlpm.x,INDEX('Action Register'!$R$5:$R$104,_xlfn.AGGREGATE(15,6,(ROW('Action Register'!$B$5:$B$104)-ROW('Action Register'!$B$5)+1)/(('Action Register'!$B$5:$B$104&lt;&gt;"")*('Action Register'!$T$5:$T$104="ACTIVE")),8)),IF(OR(_xlpm.x=0,_xlpm.x="0",_xlpm.x="N/A"),"",_xlpm.x)),"")</f>
        <v>46300</v>
      </c>
    </row>
    <row r="21" spans="1:12" ht="67.5" customHeight="1">
      <c r="A21" s="94" t="str">
        <f>IF(A20="","",A20&amp;" cont.")</f>
        <v>SLT-0015 cont.</v>
      </c>
      <c r="B21" s="150" t="str">
        <f t="array" ref="B21">IFERROR(_xlfn.LET(_xlpm.x,INDEX('Action Register'!$E$5:$E$104,_xlfn.AGGREGATE(15,6,(ROW('Action Register'!$B$5:$B$104)-ROW('Action Register'!$B$5)+1)/(('Action Register'!$B$5:$B$104&lt;&gt;"")*('Action Register'!$T$5:$T$104="ACTIVE")),8)),IF(OR(_xlpm.x=0,_xlpm.x="0",_xlpm.x="N/A"),"",_xlpm.x)),"")</f>
        <v xml:space="preserve">
Next step – Share the 60/40 split with YVF and provide visibility into the calculation methodology for a representative item.
The YVF ask – Keep penny profits whole versus percentage. To be discussed at the weekly call.
Exploring a long-term pricing approach aligned with the lease agreement, including annual pricing adjustments.
First draft sent to YVF (50 cent change on boneless).</v>
      </c>
      <c r="C21" s="150" t="str">
        <f t="array" ref="C21">IFERROR(_xlfn.LET(_xlpm.x,INDEX('Action Register'!$C$5:$C$104,_xlfn.AGGREGATE(15,6,(ROW('Action Register'!$B$5:$B$104)-ROW('Action Register'!$B$5)+1)/(('Action Register'!$B$5:$B$104&lt;&gt;"")*('Action Register'!$T$5:$T$104="ACTIVE")),8)),IF(OR(_xlpm.x=0,_xlpm.x="0",_xlpm.x="N/A"),"",_xlpm.x)),"")</f>
        <v>Commercial</v>
      </c>
      <c r="D21" s="151" t="str">
        <f t="array" ref="D21">IFERROR(_xlfn.LET(_xlpm.x,INDEX('Action Register'!$K$5:$K$104,_xlfn.AGGREGATE(15,6,(ROW('Action Register'!$B$5:$B$104)-ROW('Action Register'!$B$5)+1)/(('Action Register'!$B$5:$B$104&lt;&gt;"")*('Action Register'!$T$5:$T$104="ACTIVE")),8)),IF(OR(_xlpm.x=0,_xlpm.x="0",_xlpm.x="N/A"),"",_xlpm.x)),"")</f>
        <v>Commercial Growth</v>
      </c>
      <c r="E21" s="150" t="str">
        <f t="array" ref="E21">IFERROR(_xlfn.LET(_xlpm.x,INDEX('Action Register'!$P$5:$P$104,_xlfn.AGGREGATE(15,6,(ROW('Action Register'!$B$5:$B$104)-ROW('Action Register'!$B$5)+1)/(('Action Register'!$B$5:$B$104&lt;&gt;"")*('Action Register'!$T$5:$T$104="ACTIVE")),8)),IF(OR(_xlpm.x=0,_xlpm.x="0",_xlpm.x="N/A"),"",_xlpm.x)),"")</f>
        <v>Original request - 1.	Confirm yield reports are being distributed to YVF stakeholders (Ryan and James).
2.	Add the dollar impact of yields to YVF reports.
Will support 2027 transfer price piece</v>
      </c>
      <c r="F21" s="150" t="str">
        <f t="array" ref="F21">IFERROR(_xlfn.LET(_xlpm.x,INDEX('Action Register'!$O$5:$O$104,_xlfn.AGGREGATE(15,6,(ROW('Action Register'!$B$5:$B$104)-ROW('Action Register'!$B$5)+1)/(('Action Register'!$B$5:$B$104&lt;&gt;"")*('Action Register'!$T$5:$T$104="ACTIVE")),8)),IF(OR(_xlpm.x=0,_xlpm.x="0",_xlpm.x="N/A"),"",_xlpm.x)),"")</f>
        <v/>
      </c>
      <c r="G21" s="150"/>
      <c r="H21" s="150"/>
      <c r="I21" s="150"/>
      <c r="J21" s="150"/>
      <c r="K21" s="151"/>
      <c r="L21" s="151"/>
    </row>
    <row r="22" spans="1:12">
      <c r="A22" s="93" t="str">
        <f t="array" ref="A22">IFERROR(_xlfn.LET(_xlpm.x,INDEX('Action Register'!$A$5:$A$104,_xlfn.AGGREGATE(15,6,(ROW('Action Register'!$B$5:$B$104)-ROW('Action Register'!$B$5)+1)/(('Action Register'!$B$5:$B$104&lt;&gt;"")*('Action Register'!$T$5:$T$104="ACTIVE")),9)),IF(OR(_xlpm.x=0,_xlpm.x="0",_xlpm.x="N/A"),"",_xlpm.x)),"")</f>
        <v>SLT-0017</v>
      </c>
      <c r="B22" s="152" t="str">
        <f t="array" ref="B22">IFERROR(_xlfn.LET(_xlpm.x,INDEX('Action Register'!$B$5:$B$104,_xlfn.AGGREGATE(15,6,(ROW('Action Register'!$B$5:$B$104)-ROW('Action Register'!$B$5)+1)/(('Action Register'!$B$5:$B$104&lt;&gt;"")*('Action Register'!$T$5:$T$104="ACTIVE")),9)),IF(OR(_xlpm.x=0,_xlpm.x="0",_xlpm.x="N/A"),"",_xlpm.x)),"")</f>
        <v>Deloitte's Best Managed Companies</v>
      </c>
      <c r="C22" s="152" t="str">
        <f t="array" ref="C22">IFERROR(_xlfn.LET(_xlpm.x,INDEX('Action Register'!$D$5:$D$104,_xlfn.AGGREGATE(15,6,(ROW('Action Register'!$B$5:$B$104)-ROW('Action Register'!$B$5)+1)/(('Action Register'!$B$5:$B$104&lt;&gt;"")*('Action Register'!$T$5:$T$104="ACTIVE")),9)),IF(OR(_xlpm.x=0,_xlpm.x="0",_xlpm.x="N/A"),"",_xlpm.x)),"")</f>
        <v>Tony</v>
      </c>
      <c r="D22" s="153">
        <f t="array" ref="D22">IFERROR(_xlfn.LET(_xlpm.x,INDEX('Action Register'!$F$5:$F$104,_xlfn.AGGREGATE(15,6,(ROW('Action Register'!$B$5:$B$104)-ROW('Action Register'!$B$5)+1)/(('Action Register'!$B$5:$B$104&lt;&gt;"")*('Action Register'!$T$5:$T$104="ACTIVE")),9)),IF(OR(_xlpm.x=0,_xlpm.x="0",_xlpm.x="N/A"),"",_xlpm.x)),"")</f>
        <v>46311</v>
      </c>
      <c r="E22" s="152" t="str">
        <f t="array" ref="E22">IFERROR(_xlfn.LET(_xlpm.x,INDEX('Action Register'!$G$5:$G$104,_xlfn.AGGREGATE(15,6,(ROW('Action Register'!$B$5:$B$104)-ROW('Action Register'!$B$5)+1)/(('Action Register'!$B$5:$B$104&lt;&gt;"")*('Action Register'!$T$5:$T$104="ACTIVE")),9)),IF(OR(_xlpm.x=0,_xlpm.x="0",_xlpm.x="N/A"),"",_xlpm.x)),"")</f>
        <v>In Progress</v>
      </c>
      <c r="F22" s="154" t="str">
        <f t="array" ref="F22">IFERROR(_xlfn.LET(_xlpm.x,INDEX('Action Register'!$H$5:$H$104,_xlfn.AGGREGATE(15,6,(ROW('Action Register'!$B$5:$B$104)-ROW('Action Register'!$B$5)+1)/(('Action Register'!$B$5:$B$104&lt;&gt;"")*('Action Register'!$T$5:$T$104="ACTIVE")),9)),IF(OR(_xlpm.x=0,_xlpm.x="0",_xlpm.x="N/A"),"",_xlpm.x)),"")</f>
        <v>Medium</v>
      </c>
      <c r="G22" s="154" t="str">
        <f t="array" ref="G22">IFERROR(_xlfn.LET(_xlpm.x,INDEX('Action Register'!$J$5:$J$104,_xlfn.AGGREGATE(15,6,(ROW('Action Register'!$B$5:$B$104)-ROW('Action Register'!$B$5)+1)/(('Action Register'!$B$5:$B$104&lt;&gt;"")*('Action Register'!$T$5:$T$104="ACTIVE")),9)),IF(OR(_xlpm.x=0,_xlpm.x="0",_xlpm.x="N/A"),"",_xlpm.x)),"")</f>
        <v>Low</v>
      </c>
      <c r="H22" s="154" t="str">
        <f t="array" ref="H22">IFERROR(_xlfn.LET(_xlpm.x,INDEX('Action Register'!$L$5:$L$104,_xlfn.AGGREGATE(15,6,(ROW('Action Register'!$B$5:$B$104)-ROW('Action Register'!$B$5)+1)/(('Action Register'!$B$5:$B$104&lt;&gt;"")*('Action Register'!$T$5:$T$104="ACTIVE")),9)),IF(OR(_xlpm.x=0,_xlpm.x="0",_xlpm.x="N/A"),"",_xlpm.x)),"")</f>
        <v>No</v>
      </c>
      <c r="I22" s="154" t="str">
        <f t="array" ref="I22">IFERROR(_xlfn.LET(_xlpm.x,INDEX('Action Register'!$M$5:$M$104,_xlfn.AGGREGATE(15,6,(ROW('Action Register'!$B$5:$B$104)-ROW('Action Register'!$B$5)+1)/(('Action Register'!$B$5:$B$104&lt;&gt;"")*('Action Register'!$T$5:$T$104="ACTIVE")),9)),IF(OR(_xlpm.x=0,_xlpm.x="0",_xlpm.x="N/A"),"",_xlpm.x)),"")</f>
        <v>Unknown / TBD</v>
      </c>
      <c r="J22" s="154" t="str">
        <f t="array" ref="J22">IFERROR(_xlfn.LET(_xlpm.x,INDEX('Action Register'!$N$5:$N$104,_xlfn.AGGREGATE(15,6,(ROW('Action Register'!$B$5:$B$104)-ROW('Action Register'!$B$5)+1)/(('Action Register'!$B$5:$B$104&lt;&gt;"")*('Action Register'!$T$5:$T$104="ACTIVE")),9)),IF(OR(_xlpm.x=0,_xlpm.x="0",_xlpm.x="N/A"),"",_xlpm.x)),"")</f>
        <v/>
      </c>
      <c r="K22" s="153">
        <f t="array" ref="K22">IFERROR(_xlfn.LET(_xlpm.x,INDEX('Action Register'!$Q$5:$Q$104,_xlfn.AGGREGATE(15,6,(ROW('Action Register'!$B$5:$B$104)-ROW('Action Register'!$B$5)+1)/(('Action Register'!$B$5:$B$104&lt;&gt;"")*('Action Register'!$T$5:$T$104="ACTIVE")),9)),IF(OR(_xlpm.x=0,_xlpm.x="0",_xlpm.x="N/A"),"",_xlpm.x)),"")</f>
        <v>46246</v>
      </c>
      <c r="L22" s="153">
        <f t="array" ref="L22">IFERROR(_xlfn.LET(_xlpm.x,INDEX('Action Register'!$R$5:$R$104,_xlfn.AGGREGATE(15,6,(ROW('Action Register'!$B$5:$B$104)-ROW('Action Register'!$B$5)+1)/(('Action Register'!$B$5:$B$104&lt;&gt;"")*('Action Register'!$T$5:$T$104="ACTIVE")),9)),IF(OR(_xlpm.x=0,_xlpm.x="0",_xlpm.x="N/A"),"",_xlpm.x)),"")</f>
        <v>46246</v>
      </c>
    </row>
    <row r="23" spans="1:12" ht="40.5" customHeight="1">
      <c r="A23" s="92" t="str">
        <f>IF(A22="","",A22&amp;" cont.")</f>
        <v>SLT-0017 cont.</v>
      </c>
      <c r="B23" s="145" t="str">
        <f t="array" ref="B23">IFERROR(_xlfn.LET(_xlpm.x,INDEX('Action Register'!$E$5:$E$104,_xlfn.AGGREGATE(15,6,(ROW('Action Register'!$B$5:$B$104)-ROW('Action Register'!$B$5)+1)/(('Action Register'!$B$5:$B$104&lt;&gt;"")*('Action Register'!$T$5:$T$104="ACTIVE")),9)),IF(OR(_xlpm.x=0,_xlpm.x="0",_xlpm.x="N/A"),"",_xlpm.x)),"")</f>
        <v>Deloitte’s Best Managed Companies —
Key Milestones:
🔴 August 17 | SLT Approval of Employee Survey
🟠 August 18 | Stakeholder Sections Due
       Tom: Strategy 
       Adam: Capabilities and Innovation
       Dave: Section delivered excluding Sherry’s input on questions.
🟡 August 20 | Extension Granted
       Gene: Culture and Commitment 
🟢 August 24 | Launch Employee Survey
🔵 September 8 | Deloitte Lab Session (2:00pm-4:00pm)
🟢 September 23 | Submit Draft to Deloitte coaches
🔵 October 16 | Final Online Submission</v>
      </c>
      <c r="C23" s="145" t="str">
        <f t="array" ref="C23">IFERROR(_xlfn.LET(_xlpm.x,INDEX('Action Register'!$C$5:$C$104,_xlfn.AGGREGATE(15,6,(ROW('Action Register'!$B$5:$B$104)-ROW('Action Register'!$B$5)+1)/(('Action Register'!$B$5:$B$104&lt;&gt;"")*('Action Register'!$T$5:$T$104="ACTIVE")),9)),IF(OR(_xlpm.x=0,_xlpm.x="0",_xlpm.x="N/A"),"",_xlpm.x)),"")</f>
        <v>Other</v>
      </c>
      <c r="D23" s="146" t="str">
        <f t="array" ref="D23">IFERROR(_xlfn.LET(_xlpm.x,INDEX('Action Register'!$K$5:$K$104,_xlfn.AGGREGATE(15,6,(ROW('Action Register'!$B$5:$B$104)-ROW('Action Register'!$B$5)+1)/(('Action Register'!$B$5:$B$104&lt;&gt;"")*('Action Register'!$T$5:$T$104="ACTIVE")),9)),IF(OR(_xlpm.x=0,_xlpm.x="0",_xlpm.x="N/A"),"",_xlpm.x)),"")</f>
        <v>Other</v>
      </c>
      <c r="E23" s="145" t="str">
        <f t="array" ref="E23">IFERROR(_xlfn.LET(_xlpm.x,INDEX('Action Register'!$P$5:$P$104,_xlfn.AGGREGATE(15,6,(ROW('Action Register'!$B$5:$B$104)-ROW('Action Register'!$B$5)+1)/(('Action Register'!$B$5:$B$104&lt;&gt;"")*('Action Register'!$T$5:$T$104="ACTIVE")),9)),IF(OR(_xlpm.x=0,_xlpm.x="0",_xlpm.x="N/A"),"",_xlpm.x)),"")</f>
        <v/>
      </c>
      <c r="F23" s="145" t="str">
        <f t="array" ref="F23">IFERROR(_xlfn.LET(_xlpm.x,INDEX('Action Register'!$O$5:$O$104,_xlfn.AGGREGATE(15,6,(ROW('Action Register'!$B$5:$B$104)-ROW('Action Register'!$B$5)+1)/(('Action Register'!$B$5:$B$104&lt;&gt;"")*('Action Register'!$T$5:$T$104="ACTIVE")),9)),IF(OR(_xlpm.x=0,_xlpm.x="0",_xlpm.x="N/A"),"",_xlpm.x)),"")</f>
        <v/>
      </c>
      <c r="G23" s="145"/>
      <c r="H23" s="145"/>
      <c r="I23" s="145"/>
      <c r="J23" s="145"/>
      <c r="K23" s="146"/>
      <c r="L23" s="146"/>
    </row>
    <row r="24" spans="1:12" ht="26">
      <c r="A24" s="93" t="str">
        <f t="array" ref="A24">IFERROR(_xlfn.LET(_xlpm.x,INDEX('Action Register'!$A$5:$A$104,_xlfn.AGGREGATE(15,6,(ROW('Action Register'!$B$5:$B$104)-ROW('Action Register'!$B$5)+1)/(('Action Register'!$B$5:$B$104&lt;&gt;"")*('Action Register'!$T$5:$T$104="ACTIVE")),10)),IF(OR(_xlpm.x=0,_xlpm.x="0",_xlpm.x="N/A"),"",_xlpm.x)),"")</f>
        <v>SLT-0021</v>
      </c>
      <c r="B24" s="147" t="str">
        <f t="array" ref="B24">IFERROR(_xlfn.LET(_xlpm.x,INDEX('Action Register'!$B$5:$B$104,_xlfn.AGGREGATE(15,6,(ROW('Action Register'!$B$5:$B$104)-ROW('Action Register'!$B$5)+1)/(('Action Register'!$B$5:$B$104&lt;&gt;"")*('Action Register'!$T$5:$T$104="ACTIVE")),10)),IF(OR(_xlpm.x=0,_xlpm.x="0",_xlpm.x="N/A"),"",_xlpm.x)),"")</f>
        <v xml:space="preserve">Governance Policy Alignment (DOA, Incident Governance, PO Approval) </v>
      </c>
      <c r="C24" s="147" t="str">
        <f t="array" ref="C24">IFERROR(_xlfn.LET(_xlpm.x,INDEX('Action Register'!$D$5:$D$104,_xlfn.AGGREGATE(15,6,(ROW('Action Register'!$B$5:$B$104)-ROW('Action Register'!$B$5)+1)/(('Action Register'!$B$5:$B$104&lt;&gt;"")*('Action Register'!$T$5:$T$104="ACTIVE")),10)),IF(OR(_xlpm.x=0,_xlpm.x="0",_xlpm.x="N/A"),"",_xlpm.x)),"")</f>
        <v>Sherry</v>
      </c>
      <c r="D24" s="148">
        <f t="array" ref="D24">IFERROR(_xlfn.LET(_xlpm.x,INDEX('Action Register'!$F$5:$F$104,_xlfn.AGGREGATE(15,6,(ROW('Action Register'!$B$5:$B$104)-ROW('Action Register'!$B$5)+1)/(('Action Register'!$B$5:$B$104&lt;&gt;"")*('Action Register'!$T$5:$T$104="ACTIVE")),10)),IF(OR(_xlpm.x=0,_xlpm.x="0",_xlpm.x="N/A"),"",_xlpm.x)),"")</f>
        <v>46321</v>
      </c>
      <c r="E24" s="147" t="str">
        <f t="array" ref="E24">IFERROR(_xlfn.LET(_xlpm.x,INDEX('Action Register'!$G$5:$G$104,_xlfn.AGGREGATE(15,6,(ROW('Action Register'!$B$5:$B$104)-ROW('Action Register'!$B$5)+1)/(('Action Register'!$B$5:$B$104&lt;&gt;"")*('Action Register'!$T$5:$T$104="ACTIVE")),10)),IF(OR(_xlpm.x=0,_xlpm.x="0",_xlpm.x="N/A"),"",_xlpm.x)),"")</f>
        <v>In Progress</v>
      </c>
      <c r="F24" s="149" t="str">
        <f t="array" ref="F24">IFERROR(_xlfn.LET(_xlpm.x,INDEX('Action Register'!$H$5:$H$104,_xlfn.AGGREGATE(15,6,(ROW('Action Register'!$B$5:$B$104)-ROW('Action Register'!$B$5)+1)/(('Action Register'!$B$5:$B$104&lt;&gt;"")*('Action Register'!$T$5:$T$104="ACTIVE")),10)),IF(OR(_xlpm.x=0,_xlpm.x="0",_xlpm.x="N/A"),"",_xlpm.x)),"")</f>
        <v>Medium</v>
      </c>
      <c r="G24" s="149" t="str">
        <f t="array" ref="G24">IFERROR(_xlfn.LET(_xlpm.x,INDEX('Action Register'!$J$5:$J$104,_xlfn.AGGREGATE(15,6,(ROW('Action Register'!$B$5:$B$104)-ROW('Action Register'!$B$5)+1)/(('Action Register'!$B$5:$B$104&lt;&gt;"")*('Action Register'!$T$5:$T$104="ACTIVE")),10)),IF(OR(_xlpm.x=0,_xlpm.x="0",_xlpm.x="N/A"),"",_xlpm.x)),"")</f>
        <v>Medium</v>
      </c>
      <c r="H24" s="149" t="str">
        <f t="array" ref="H24">IFERROR(_xlfn.LET(_xlpm.x,INDEX('Action Register'!$L$5:$L$104,_xlfn.AGGREGATE(15,6,(ROW('Action Register'!$B$5:$B$104)-ROW('Action Register'!$B$5)+1)/(('Action Register'!$B$5:$B$104&lt;&gt;"")*('Action Register'!$T$5:$T$104="ACTIVE")),10)),IF(OR(_xlpm.x=0,_xlpm.x="0",_xlpm.x="N/A"),"",_xlpm.x)),"")</f>
        <v>No</v>
      </c>
      <c r="I24" s="149" t="str">
        <f t="array" ref="I24">IFERROR(_xlfn.LET(_xlpm.x,INDEX('Action Register'!$M$5:$M$104,_xlfn.AGGREGATE(15,6,(ROW('Action Register'!$B$5:$B$104)-ROW('Action Register'!$B$5)+1)/(('Action Register'!$B$5:$B$104&lt;&gt;"")*('Action Register'!$T$5:$T$104="ACTIVE")),10)),IF(OR(_xlpm.x=0,_xlpm.x="0",_xlpm.x="N/A"),"",_xlpm.x)),"")</f>
        <v>Unknown / TBD</v>
      </c>
      <c r="J24" s="149" t="str">
        <f t="array" ref="J24">IFERROR(_xlfn.LET(_xlpm.x,INDEX('Action Register'!$N$5:$N$104,_xlfn.AGGREGATE(15,6,(ROW('Action Register'!$B$5:$B$104)-ROW('Action Register'!$B$5)+1)/(('Action Register'!$B$5:$B$104&lt;&gt;"")*('Action Register'!$T$5:$T$104="ACTIVE")),10)),IF(OR(_xlpm.x=0,_xlpm.x="0",_xlpm.x="N/A"),"",_xlpm.x)),"")</f>
        <v/>
      </c>
      <c r="K24" s="148">
        <f t="array" ref="K24">IFERROR(_xlfn.LET(_xlpm.x,INDEX('Action Register'!$Q$5:$Q$104,_xlfn.AGGREGATE(15,6,(ROW('Action Register'!$B$5:$B$104)-ROW('Action Register'!$B$5)+1)/(('Action Register'!$B$5:$B$104&lt;&gt;"")*('Action Register'!$T$5:$T$104="ACTIVE")),10)),IF(OR(_xlpm.x=0,_xlpm.x="0",_xlpm.x="N/A"),"",_xlpm.x)),"")</f>
        <v>46216</v>
      </c>
      <c r="L24" s="148" t="str">
        <f t="array" ref="L24">IFERROR(_xlfn.LET(_xlpm.x,INDEX('Action Register'!$R$5:$R$104,_xlfn.AGGREGATE(15,6,(ROW('Action Register'!$B$5:$B$104)-ROW('Action Register'!$B$5)+1)/(('Action Register'!$B$5:$B$104&lt;&gt;"")*('Action Register'!$T$5:$T$104="ACTIVE")),10)),IF(OR(_xlpm.x=0,_xlpm.x="0",_xlpm.x="N/A"),"",_xlpm.x)),"")</f>
        <v/>
      </c>
    </row>
    <row r="25" spans="1:12" ht="40.5" customHeight="1">
      <c r="A25" s="94" t="str">
        <f>IF(A24="","",A24&amp;" cont.")</f>
        <v>SLT-0021 cont.</v>
      </c>
      <c r="B25" s="150" t="str">
        <f t="array" ref="B25">IFERROR(_xlfn.LET(_xlpm.x,INDEX('Action Register'!$E$5:$E$104,_xlfn.AGGREGATE(15,6,(ROW('Action Register'!$B$5:$B$104)-ROW('Action Register'!$B$5)+1)/(('Action Register'!$B$5:$B$104&lt;&gt;"")*('Action Register'!$T$5:$T$104="ACTIVE")),10)),IF(OR(_xlpm.x=0,_xlpm.x="0",_xlpm.x="N/A"),"",_xlpm.x)),"")</f>
        <v>Presented the first draft of the AGC Enterprise Governance Framework, including delegation of authority, approval thresholds, and incident escalation requirements. Hard copy of DOA handed out at the meeting. 
-Distribute the updated DOA, including Tom’s tier.
-Pending feedback from Dave S.</v>
      </c>
      <c r="C25" s="150" t="str">
        <f t="array" ref="C25">IFERROR(_xlfn.LET(_xlpm.x,INDEX('Action Register'!$C$5:$C$104,_xlfn.AGGREGATE(15,6,(ROW('Action Register'!$B$5:$B$104)-ROW('Action Register'!$B$5)+1)/(('Action Register'!$B$5:$B$104&lt;&gt;"")*('Action Register'!$T$5:$T$104="ACTIVE")),10)),IF(OR(_xlpm.x=0,_xlpm.x="0",_xlpm.x="N/A"),"",_xlpm.x)),"")</f>
        <v>Governance &amp; Controls</v>
      </c>
      <c r="D25" s="151" t="str">
        <f t="array" ref="D25">IFERROR(_xlfn.LET(_xlpm.x,INDEX('Action Register'!$K$5:$K$104,_xlfn.AGGREGATE(15,6,(ROW('Action Register'!$B$5:$B$104)-ROW('Action Register'!$B$5)+1)/(('Action Register'!$B$5:$B$104&lt;&gt;"")*('Action Register'!$T$5:$T$104="ACTIVE")),10)),IF(OR(_xlpm.x=0,_xlpm.x="0",_xlpm.x="N/A"),"",_xlpm.x)),"")</f>
        <v>Governance</v>
      </c>
      <c r="E25" s="150" t="str">
        <f t="array" ref="E25">IFERROR(_xlfn.LET(_xlpm.x,INDEX('Action Register'!$P$5:$P$104,_xlfn.AGGREGATE(15,6,(ROW('Action Register'!$B$5:$B$104)-ROW('Action Register'!$B$5)+1)/(('Action Register'!$B$5:$B$104&lt;&gt;"")*('Action Register'!$T$5:$T$104="ACTIVE")),10)),IF(OR(_xlpm.x=0,_xlpm.x="0",_xlpm.x="N/A"),"",_xlpm.x)),"")</f>
        <v xml:space="preserve">
</v>
      </c>
      <c r="F25" s="150" t="str">
        <f t="array" ref="F25">IFERROR(_xlfn.LET(_xlpm.x,INDEX('Action Register'!$O$5:$O$104,_xlfn.AGGREGATE(15,6,(ROW('Action Register'!$B$5:$B$104)-ROW('Action Register'!$B$5)+1)/(('Action Register'!$B$5:$B$104&lt;&gt;"")*('Action Register'!$T$5:$T$104="ACTIVE")),10)),IF(OR(_xlpm.x=0,_xlpm.x="0",_xlpm.x="N/A"),"",_xlpm.x)),"")</f>
        <v/>
      </c>
      <c r="G25" s="150"/>
      <c r="H25" s="150"/>
      <c r="I25" s="150"/>
      <c r="J25" s="150"/>
      <c r="K25" s="151"/>
      <c r="L25" s="151"/>
    </row>
    <row r="26" spans="1:12">
      <c r="A26" s="93" t="str">
        <f t="array" ref="A26">IFERROR(_xlfn.LET(_xlpm.x,INDEX('Action Register'!$A$5:$A$104,_xlfn.AGGREGATE(15,6,(ROW('Action Register'!$B$5:$B$104)-ROW('Action Register'!$B$5)+1)/(('Action Register'!$B$5:$B$104&lt;&gt;"")*('Action Register'!$T$5:$T$104="ACTIVE")),11)),IF(OR(_xlpm.x=0,_xlpm.x="0",_xlpm.x="N/A"),"",_xlpm.x)),"")</f>
        <v>SLT-0022</v>
      </c>
      <c r="B26" s="152" t="str">
        <f t="array" ref="B26">IFERROR(_xlfn.LET(_xlpm.x,INDEX('Action Register'!$B$5:$B$104,_xlfn.AGGREGATE(15,6,(ROW('Action Register'!$B$5:$B$104)-ROW('Action Register'!$B$5)+1)/(('Action Register'!$B$5:$B$104&lt;&gt;"")*('Action Register'!$T$5:$T$104="ACTIVE")),11)),IF(OR(_xlpm.x=0,_xlpm.x="0",_xlpm.x="N/A"),"",_xlpm.x)),"")</f>
        <v>Division 9 Steel - Change Order</v>
      </c>
      <c r="C26" s="152" t="str">
        <f t="array" ref="C26">IFERROR(_xlfn.LET(_xlpm.x,INDEX('Action Register'!$D$5:$D$104,_xlfn.AGGREGATE(15,6,(ROW('Action Register'!$B$5:$B$104)-ROW('Action Register'!$B$5)+1)/(('Action Register'!$B$5:$B$104&lt;&gt;"")*('Action Register'!$T$5:$T$104="ACTIVE")),11)),IF(OR(_xlpm.x=0,_xlpm.x="0",_xlpm.x="N/A"),"",_xlpm.x)),"")</f>
        <v>Colin</v>
      </c>
      <c r="D26" s="153">
        <f t="array" ref="D26">IFERROR(_xlfn.LET(_xlpm.x,INDEX('Action Register'!$F$5:$F$104,_xlfn.AGGREGATE(15,6,(ROW('Action Register'!$B$5:$B$104)-ROW('Action Register'!$B$5)+1)/(('Action Register'!$B$5:$B$104&lt;&gt;"")*('Action Register'!$T$5:$T$104="ACTIVE")),11)),IF(OR(_xlpm.x=0,_xlpm.x="0",_xlpm.x="N/A"),"",_xlpm.x)),"")</f>
        <v>46321</v>
      </c>
      <c r="E26" s="152" t="str">
        <f t="array" ref="E26">IFERROR(_xlfn.LET(_xlpm.x,INDEX('Action Register'!$G$5:$G$104,_xlfn.AGGREGATE(15,6,(ROW('Action Register'!$B$5:$B$104)-ROW('Action Register'!$B$5)+1)/(('Action Register'!$B$5:$B$104&lt;&gt;"")*('Action Register'!$T$5:$T$104="ACTIVE")),11)),IF(OR(_xlpm.x=0,_xlpm.x="0",_xlpm.x="N/A"),"",_xlpm.x)),"")</f>
        <v>In Progress</v>
      </c>
      <c r="F26" s="154" t="str">
        <f t="array" ref="F26">IFERROR(_xlfn.LET(_xlpm.x,INDEX('Action Register'!$H$5:$H$104,_xlfn.AGGREGATE(15,6,(ROW('Action Register'!$B$5:$B$104)-ROW('Action Register'!$B$5)+1)/(('Action Register'!$B$5:$B$104&lt;&gt;"")*('Action Register'!$T$5:$T$104="ACTIVE")),11)),IF(OR(_xlpm.x=0,_xlpm.x="0",_xlpm.x="N/A"),"",_xlpm.x)),"")</f>
        <v>Medium</v>
      </c>
      <c r="G26" s="154" t="str">
        <f t="array" ref="G26">IFERROR(_xlfn.LET(_xlpm.x,INDEX('Action Register'!$J$5:$J$104,_xlfn.AGGREGATE(15,6,(ROW('Action Register'!$B$5:$B$104)-ROW('Action Register'!$B$5)+1)/(('Action Register'!$B$5:$B$104&lt;&gt;"")*('Action Register'!$T$5:$T$104="ACTIVE")),11)),IF(OR(_xlpm.x=0,_xlpm.x="0",_xlpm.x="N/A"),"",_xlpm.x)),"")</f>
        <v>High</v>
      </c>
      <c r="H26" s="154" t="str">
        <f t="array" ref="H26">IFERROR(_xlfn.LET(_xlpm.x,INDEX('Action Register'!$L$5:$L$104,_xlfn.AGGREGATE(15,6,(ROW('Action Register'!$B$5:$B$104)-ROW('Action Register'!$B$5)+1)/(('Action Register'!$B$5:$B$104&lt;&gt;"")*('Action Register'!$T$5:$T$104="ACTIVE")),11)),IF(OR(_xlpm.x=0,_xlpm.x="0",_xlpm.x="N/A"),"",_xlpm.x)),"")</f>
        <v>No</v>
      </c>
      <c r="I26" s="154" t="str">
        <f t="array" ref="I26">IFERROR(_xlfn.LET(_xlpm.x,INDEX('Action Register'!$M$5:$M$104,_xlfn.AGGREGATE(15,6,(ROW('Action Register'!$B$5:$B$104)-ROW('Action Register'!$B$5)+1)/(('Action Register'!$B$5:$B$104&lt;&gt;"")*('Action Register'!$T$5:$T$104="ACTIVE")),11)),IF(OR(_xlpm.x=0,_xlpm.x="0",_xlpm.x="N/A"),"",_xlpm.x)),"")</f>
        <v>$50K-$250K</v>
      </c>
      <c r="J26" s="154" t="str">
        <f t="array" ref="J26">IFERROR(_xlfn.LET(_xlpm.x,INDEX('Action Register'!$N$5:$N$104,_xlfn.AGGREGATE(15,6,(ROW('Action Register'!$B$5:$B$104)-ROW('Action Register'!$B$5)+1)/(('Action Register'!$B$5:$B$104&lt;&gt;"")*('Action Register'!$T$5:$T$104="ACTIVE")),11)),IF(OR(_xlpm.x=0,_xlpm.x="0",_xlpm.x="N/A"),"",_xlpm.x)),"")</f>
        <v>Capital Spend</v>
      </c>
      <c r="K26" s="153">
        <f t="array" ref="K26">IFERROR(_xlfn.LET(_xlpm.x,INDEX('Action Register'!$Q$5:$Q$104,_xlfn.AGGREGATE(15,6,(ROW('Action Register'!$B$5:$B$104)-ROW('Action Register'!$B$5)+1)/(('Action Register'!$B$5:$B$104&lt;&gt;"")*('Action Register'!$T$5:$T$104="ACTIVE")),11)),IF(OR(_xlpm.x=0,_xlpm.x="0",_xlpm.x="N/A"),"",_xlpm.x)),"")</f>
        <v>46258</v>
      </c>
      <c r="L26" s="153">
        <f t="array" ref="L26">IFERROR(_xlfn.LET(_xlpm.x,INDEX('Action Register'!$R$5:$R$104,_xlfn.AGGREGATE(15,6,(ROW('Action Register'!$B$5:$B$104)-ROW('Action Register'!$B$5)+1)/(('Action Register'!$B$5:$B$104&lt;&gt;"")*('Action Register'!$T$5:$T$104="ACTIVE")),11)),IF(OR(_xlpm.x=0,_xlpm.x="0",_xlpm.x="N/A"),"",_xlpm.x)),"")</f>
        <v>46300</v>
      </c>
    </row>
    <row r="27" spans="1:12" ht="40.5" customHeight="1">
      <c r="A27" s="92" t="str">
        <f>IF(A26="","",A26&amp;" cont.")</f>
        <v>SLT-0022 cont.</v>
      </c>
      <c r="B27" s="145" t="str">
        <f t="array" ref="B27">IFERROR(_xlfn.LET(_xlpm.x,INDEX('Action Register'!$E$5:$E$104,_xlfn.AGGREGATE(15,6,(ROW('Action Register'!$B$5:$B$104)-ROW('Action Register'!$B$5)+1)/(('Action Register'!$B$5:$B$104&lt;&gt;"")*('Action Register'!$T$5:$T$104="ACTIVE")),11)),IF(OR(_xlpm.x=0,_xlpm.x="0",_xlpm.x="N/A"),"",_xlpm.x)),"")</f>
        <v>Approximately $600K of spend has been incurred or defined, with remaining scope continuing to be assessed as CFIA requirements continue to be identified. Total costs are trending above the $800K allowance due to unidentified snow shed and additional CFIA requirements.</v>
      </c>
      <c r="C27" s="145" t="str">
        <f t="array" ref="C27">IFERROR(_xlfn.LET(_xlpm.x,INDEX('Action Register'!$C$5:$C$104,_xlfn.AGGREGATE(15,6,(ROW('Action Register'!$B$5:$B$104)-ROW('Action Register'!$B$5)+1)/(('Action Register'!$B$5:$B$104&lt;&gt;"")*('Action Register'!$T$5:$T$104="ACTIVE")),11)),IF(OR(_xlpm.x=0,_xlpm.x="0",_xlpm.x="N/A"),"",_xlpm.x)),"")</f>
        <v>Governance &amp; Controls</v>
      </c>
      <c r="D27" s="146" t="str">
        <f t="array" ref="D27">IFERROR(_xlfn.LET(_xlpm.x,INDEX('Action Register'!$K$5:$K$104,_xlfn.AGGREGATE(15,6,(ROW('Action Register'!$B$5:$B$104)-ROW('Action Register'!$B$5)+1)/(('Action Register'!$B$5:$B$104&lt;&gt;"")*('Action Register'!$T$5:$T$104="ACTIVE")),11)),IF(OR(_xlpm.x=0,_xlpm.x="0",_xlpm.x="N/A"),"",_xlpm.x)),"")</f>
        <v>ASP Go-Live</v>
      </c>
      <c r="E27" s="145" t="str">
        <f t="array" ref="E27">IFERROR(_xlfn.LET(_xlpm.x,INDEX('Action Register'!$P$5:$P$104,_xlfn.AGGREGATE(15,6,(ROW('Action Register'!$B$5:$B$104)-ROW('Action Register'!$B$5)+1)/(('Action Register'!$B$5:$B$104&lt;&gt;"")*('Action Register'!$T$5:$T$104="ACTIVE")),11)),IF(OR(_xlpm.x=0,_xlpm.x="0",_xlpm.x="N/A"),"",_xlpm.x)),"")</f>
        <v>Per Colin's Decision Brief submission $410,559.82 remains available for interior alterations according to CBB.  What happened to the $800K?
Recall this monthly to SLT meetings until it is resolved.</v>
      </c>
      <c r="F27" s="145" t="str">
        <f t="array" ref="F27">IFERROR(_xlfn.LET(_xlpm.x,INDEX('Action Register'!$O$5:$O$104,_xlfn.AGGREGATE(15,6,(ROW('Action Register'!$B$5:$B$104)-ROW('Action Register'!$B$5)+1)/(('Action Register'!$B$5:$B$104&lt;&gt;"")*('Action Register'!$T$5:$T$104="ACTIVE")),11)),IF(OR(_xlpm.x=0,_xlpm.x="0",_xlpm.x="N/A"),"",_xlpm.x)),"")</f>
        <v/>
      </c>
      <c r="G27" s="145"/>
      <c r="H27" s="145"/>
      <c r="I27" s="145"/>
      <c r="J27" s="145"/>
      <c r="K27" s="146"/>
      <c r="L27" s="146"/>
    </row>
    <row r="28" spans="1:12">
      <c r="A28" s="93" t="str">
        <f t="array" ref="A28">IFERROR(_xlfn.LET(_xlpm.x,INDEX('Action Register'!$A$5:$A$104,_xlfn.AGGREGATE(15,6,(ROW('Action Register'!$B$5:$B$104)-ROW('Action Register'!$B$5)+1)/(('Action Register'!$B$5:$B$104&lt;&gt;"")*('Action Register'!$T$5:$T$104="ACTIVE")),12)),IF(OR(_xlpm.x=0,_xlpm.x="0",_xlpm.x="N/A"),"",_xlpm.x)),"")</f>
        <v>SLT-0024</v>
      </c>
      <c r="B28" s="147" t="str">
        <f t="array" ref="B28">IFERROR(_xlfn.LET(_xlpm.x,INDEX('Action Register'!$B$5:$B$104,_xlfn.AGGREGATE(15,6,(ROW('Action Register'!$B$5:$B$104)-ROW('Action Register'!$B$5)+1)/(('Action Register'!$B$5:$B$104&lt;&gt;"")*('Action Register'!$T$5:$T$104="ACTIVE")),12)),IF(OR(_xlpm.x=0,_xlpm.x="0",_xlpm.x="N/A"),"",_xlpm.x)),"")</f>
        <v>UWB Generator Pad Change Order</v>
      </c>
      <c r="C28" s="147" t="str">
        <f t="array" ref="C28">IFERROR(_xlfn.LET(_xlpm.x,INDEX('Action Register'!$D$5:$D$104,_xlfn.AGGREGATE(15,6,(ROW('Action Register'!$B$5:$B$104)-ROW('Action Register'!$B$5)+1)/(('Action Register'!$B$5:$B$104&lt;&gt;"")*('Action Register'!$T$5:$T$104="ACTIVE")),12)),IF(OR(_xlpm.x=0,_xlpm.x="0",_xlpm.x="N/A"),"",_xlpm.x)),"")</f>
        <v>Colin</v>
      </c>
      <c r="D28" s="148">
        <f t="array" ref="D28">IFERROR(_xlfn.LET(_xlpm.x,INDEX('Action Register'!$F$5:$F$104,_xlfn.AGGREGATE(15,6,(ROW('Action Register'!$B$5:$B$104)-ROW('Action Register'!$B$5)+1)/(('Action Register'!$B$5:$B$104&lt;&gt;"")*('Action Register'!$T$5:$T$104="ACTIVE")),12)),IF(OR(_xlpm.x=0,_xlpm.x="0",_xlpm.x="N/A"),"",_xlpm.x)),"")</f>
        <v>46321</v>
      </c>
      <c r="E28" s="147" t="str">
        <f t="array" ref="E28">IFERROR(_xlfn.LET(_xlpm.x,INDEX('Action Register'!$G$5:$G$104,_xlfn.AGGREGATE(15,6,(ROW('Action Register'!$B$5:$B$104)-ROW('Action Register'!$B$5)+1)/(('Action Register'!$B$5:$B$104&lt;&gt;"")*('Action Register'!$T$5:$T$104="ACTIVE")),12)),IF(OR(_xlpm.x=0,_xlpm.x="0",_xlpm.x="N/A"),"",_xlpm.x)),"")</f>
        <v>In Progress</v>
      </c>
      <c r="F28" s="149" t="str">
        <f t="array" ref="F28">IFERROR(_xlfn.LET(_xlpm.x,INDEX('Action Register'!$H$5:$H$104,_xlfn.AGGREGATE(15,6,(ROW('Action Register'!$B$5:$B$104)-ROW('Action Register'!$B$5)+1)/(('Action Register'!$B$5:$B$104&lt;&gt;"")*('Action Register'!$T$5:$T$104="ACTIVE")),12)),IF(OR(_xlpm.x=0,_xlpm.x="0",_xlpm.x="N/A"),"",_xlpm.x)),"")</f>
        <v>Low</v>
      </c>
      <c r="G28" s="149" t="str">
        <f t="array" ref="G28">IFERROR(_xlfn.LET(_xlpm.x,INDEX('Action Register'!$J$5:$J$104,_xlfn.AGGREGATE(15,6,(ROW('Action Register'!$B$5:$B$104)-ROW('Action Register'!$B$5)+1)/(('Action Register'!$B$5:$B$104&lt;&gt;"")*('Action Register'!$T$5:$T$104="ACTIVE")),12)),IF(OR(_xlpm.x=0,_xlpm.x="0",_xlpm.x="N/A"),"",_xlpm.x)),"")</f>
        <v>Low</v>
      </c>
      <c r="H28" s="149" t="str">
        <f t="array" ref="H28">IFERROR(_xlfn.LET(_xlpm.x,INDEX('Action Register'!$L$5:$L$104,_xlfn.AGGREGATE(15,6,(ROW('Action Register'!$B$5:$B$104)-ROW('Action Register'!$B$5)+1)/(('Action Register'!$B$5:$B$104&lt;&gt;"")*('Action Register'!$T$5:$T$104="ACTIVE")),12)),IF(OR(_xlpm.x=0,_xlpm.x="0",_xlpm.x="N/A"),"",_xlpm.x)),"")</f>
        <v>No</v>
      </c>
      <c r="I28" s="149" t="str">
        <f t="array" ref="I28">IFERROR(_xlfn.LET(_xlpm.x,INDEX('Action Register'!$M$5:$M$104,_xlfn.AGGREGATE(15,6,(ROW('Action Register'!$B$5:$B$104)-ROW('Action Register'!$B$5)+1)/(('Action Register'!$B$5:$B$104&lt;&gt;"")*('Action Register'!$T$5:$T$104="ACTIVE")),12)),IF(OR(_xlpm.x=0,_xlpm.x="0",_xlpm.x="N/A"),"",_xlpm.x)),"")</f>
        <v>&gt;$250K</v>
      </c>
      <c r="J28" s="149" t="str">
        <f t="array" ref="J28">IFERROR(_xlfn.LET(_xlpm.x,INDEX('Action Register'!$N$5:$N$104,_xlfn.AGGREGATE(15,6,(ROW('Action Register'!$B$5:$B$104)-ROW('Action Register'!$B$5)+1)/(('Action Register'!$B$5:$B$104&lt;&gt;"")*('Action Register'!$T$5:$T$104="ACTIVE")),12)),IF(OR(_xlpm.x=0,_xlpm.x="0",_xlpm.x="N/A"),"",_xlpm.x)),"")</f>
        <v>Capital Spend</v>
      </c>
      <c r="K28" s="148">
        <f t="array" ref="K28">IFERROR(_xlfn.LET(_xlpm.x,INDEX('Action Register'!$Q$5:$Q$104,_xlfn.AGGREGATE(15,6,(ROW('Action Register'!$B$5:$B$104)-ROW('Action Register'!$B$5)+1)/(('Action Register'!$B$5:$B$104&lt;&gt;"")*('Action Register'!$T$5:$T$104="ACTIVE")),12)),IF(OR(_xlpm.x=0,_xlpm.x="0",_xlpm.x="N/A"),"",_xlpm.x)),"")</f>
        <v>46258</v>
      </c>
      <c r="L28" s="148" t="str">
        <f t="array" ref="L28">IFERROR(_xlfn.LET(_xlpm.x,INDEX('Action Register'!$R$5:$R$104,_xlfn.AGGREGATE(15,6,(ROW('Action Register'!$B$5:$B$104)-ROW('Action Register'!$B$5)+1)/(('Action Register'!$B$5:$B$104&lt;&gt;"")*('Action Register'!$T$5:$T$104="ACTIVE")),12)),IF(OR(_xlpm.x=0,_xlpm.x="0",_xlpm.x="N/A"),"",_xlpm.x)),"")</f>
        <v/>
      </c>
    </row>
    <row r="29" spans="1:12" ht="54" customHeight="1">
      <c r="A29" s="94" t="str">
        <f>IF(A28="","",A28&amp;" cont.")</f>
        <v>SLT-0024 cont.</v>
      </c>
      <c r="B29" s="150" t="str">
        <f t="array" ref="B29">IFERROR(_xlfn.LET(_xlpm.x,INDEX('Action Register'!$E$5:$E$104,_xlfn.AGGREGATE(15,6,(ROW('Action Register'!$B$5:$B$104)-ROW('Action Register'!$B$5)+1)/(('Action Register'!$B$5:$B$104&lt;&gt;"")*('Action Register'!$T$5:$T$104="ACTIVE")),12)),IF(OR(_xlpm.x=0,_xlpm.x="0",_xlpm.x="N/A"),"",_xlpm.x)),"")</f>
        <v>Obtain and share total credit amount once transformer is sold.
Project remains substantially on budget against the $950K allowance, with an estimated variance of approximately $12K. Approximately 85% of the change order has been signed off, with the remaining approval expected this week, completing the contract process.</v>
      </c>
      <c r="C29" s="150" t="str">
        <f t="array" ref="C29">IFERROR(_xlfn.LET(_xlpm.x,INDEX('Action Register'!$C$5:$C$104,_xlfn.AGGREGATE(15,6,(ROW('Action Register'!$B$5:$B$104)-ROW('Action Register'!$B$5)+1)/(('Action Register'!$B$5:$B$104&lt;&gt;"")*('Action Register'!$T$5:$T$104="ACTIVE")),12)),IF(OR(_xlpm.x=0,_xlpm.x="0",_xlpm.x="N/A"),"",_xlpm.x)),"")</f>
        <v>ASP Go-Live</v>
      </c>
      <c r="D29" s="151" t="str">
        <f t="array" ref="D29">IFERROR(_xlfn.LET(_xlpm.x,INDEX('Action Register'!$K$5:$K$104,_xlfn.AGGREGATE(15,6,(ROW('Action Register'!$B$5:$B$104)-ROW('Action Register'!$B$5)+1)/(('Action Register'!$B$5:$B$104&lt;&gt;"")*('Action Register'!$T$5:$T$104="ACTIVE")),12)),IF(OR(_xlpm.x=0,_xlpm.x="0",_xlpm.x="N/A"),"",_xlpm.x)),"")</f>
        <v>ASP Go-Live</v>
      </c>
      <c r="E29" s="150" t="str">
        <f t="array" ref="E29">IFERROR(_xlfn.LET(_xlpm.x,INDEX('Action Register'!$P$5:$P$104,_xlfn.AGGREGATE(15,6,(ROW('Action Register'!$B$5:$B$104)-ROW('Action Register'!$B$5)+1)/(('Action Register'!$B$5:$B$104&lt;&gt;"")*('Action Register'!$T$5:$T$104="ACTIVE")),12)),IF(OR(_xlpm.x=0,_xlpm.x="0",_xlpm.x="N/A"),"",_xlpm.x)),"")</f>
        <v>Recall this monthly to SLT meetings. Obtain and share total credit amount once transformer is sold.</v>
      </c>
      <c r="F29" s="150" t="str">
        <f t="array" ref="F29">IFERROR(_xlfn.LET(_xlpm.x,INDEX('Action Register'!$O$5:$O$104,_xlfn.AGGREGATE(15,6,(ROW('Action Register'!$B$5:$B$104)-ROW('Action Register'!$B$5)+1)/(('Action Register'!$B$5:$B$104&lt;&gt;"")*('Action Register'!$T$5:$T$104="ACTIVE")),12)),IF(OR(_xlpm.x=0,_xlpm.x="0",_xlpm.x="N/A"),"",_xlpm.x)),"")</f>
        <v/>
      </c>
      <c r="G29" s="150"/>
      <c r="H29" s="150"/>
      <c r="I29" s="150"/>
      <c r="J29" s="150"/>
      <c r="K29" s="151"/>
      <c r="L29" s="151"/>
    </row>
    <row r="30" spans="1:12" ht="26">
      <c r="A30" s="93" t="str">
        <f t="array" ref="A30">IFERROR(_xlfn.LET(_xlpm.x,INDEX('Action Register'!$A$5:$A$104,_xlfn.AGGREGATE(15,6,(ROW('Action Register'!$B$5:$B$104)-ROW('Action Register'!$B$5)+1)/(('Action Register'!$B$5:$B$104&lt;&gt;"")*('Action Register'!$T$5:$T$104="ACTIVE")),13)),IF(OR(_xlpm.x=0,_xlpm.x="0",_xlpm.x="N/A"),"",_xlpm.x)),"")</f>
        <v>SLT-0025</v>
      </c>
      <c r="B30" s="152" t="str">
        <f t="array" ref="B30">IFERROR(_xlfn.LET(_xlpm.x,INDEX('Action Register'!$B$5:$B$104,_xlfn.AGGREGATE(15,6,(ROW('Action Register'!$B$5:$B$104)-ROW('Action Register'!$B$5)+1)/(('Action Register'!$B$5:$B$104&lt;&gt;"")*('Action Register'!$T$5:$T$104="ACTIVE")),13)),IF(OR(_xlpm.x=0,_xlpm.x="0",_xlpm.x="N/A"),"",_xlpm.x)),"")</f>
        <v>Chilled Water System Change Order 
(OCO-008)</v>
      </c>
      <c r="C30" s="152" t="str">
        <f t="array" ref="C30">IFERROR(_xlfn.LET(_xlpm.x,INDEX('Action Register'!$D$5:$D$104,_xlfn.AGGREGATE(15,6,(ROW('Action Register'!$B$5:$B$104)-ROW('Action Register'!$B$5)+1)/(('Action Register'!$B$5:$B$104&lt;&gt;"")*('Action Register'!$T$5:$T$104="ACTIVE")),13)),IF(OR(_xlpm.x=0,_xlpm.x="0",_xlpm.x="N/A"),"",_xlpm.x)),"")</f>
        <v>Colin</v>
      </c>
      <c r="D30" s="153">
        <f t="array" ref="D30">IFERROR(_xlfn.LET(_xlpm.x,INDEX('Action Register'!$F$5:$F$104,_xlfn.AGGREGATE(15,6,(ROW('Action Register'!$B$5:$B$104)-ROW('Action Register'!$B$5)+1)/(('Action Register'!$B$5:$B$104&lt;&gt;"")*('Action Register'!$T$5:$T$104="ACTIVE")),13)),IF(OR(_xlpm.x=0,_xlpm.x="0",_xlpm.x="N/A"),"",_xlpm.x)),"")</f>
        <v>46321</v>
      </c>
      <c r="E30" s="152" t="str">
        <f t="array" ref="E30">IFERROR(_xlfn.LET(_xlpm.x,INDEX('Action Register'!$G$5:$G$104,_xlfn.AGGREGATE(15,6,(ROW('Action Register'!$B$5:$B$104)-ROW('Action Register'!$B$5)+1)/(('Action Register'!$B$5:$B$104&lt;&gt;"")*('Action Register'!$T$5:$T$104="ACTIVE")),13)),IF(OR(_xlpm.x=0,_xlpm.x="0",_xlpm.x="N/A"),"",_xlpm.x)),"")</f>
        <v>Assigned</v>
      </c>
      <c r="F30" s="154" t="str">
        <f t="array" ref="F30">IFERROR(_xlfn.LET(_xlpm.x,INDEX('Action Register'!$H$5:$H$104,_xlfn.AGGREGATE(15,6,(ROW('Action Register'!$B$5:$B$104)-ROW('Action Register'!$B$5)+1)/(('Action Register'!$B$5:$B$104&lt;&gt;"")*('Action Register'!$T$5:$T$104="ACTIVE")),13)),IF(OR(_xlpm.x=0,_xlpm.x="0",_xlpm.x="N/A"),"",_xlpm.x)),"")</f>
        <v>High</v>
      </c>
      <c r="G30" s="154" t="str">
        <f t="array" ref="G30">IFERROR(_xlfn.LET(_xlpm.x,INDEX('Action Register'!$J$5:$J$104,_xlfn.AGGREGATE(15,6,(ROW('Action Register'!$B$5:$B$104)-ROW('Action Register'!$B$5)+1)/(('Action Register'!$B$5:$B$104&lt;&gt;"")*('Action Register'!$T$5:$T$104="ACTIVE")),13)),IF(OR(_xlpm.x=0,_xlpm.x="0",_xlpm.x="N/A"),"",_xlpm.x)),"")</f>
        <v>High</v>
      </c>
      <c r="H30" s="154" t="str">
        <f t="array" ref="H30">IFERROR(_xlfn.LET(_xlpm.x,INDEX('Action Register'!$L$5:$L$104,_xlfn.AGGREGATE(15,6,(ROW('Action Register'!$B$5:$B$104)-ROW('Action Register'!$B$5)+1)/(('Action Register'!$B$5:$B$104&lt;&gt;"")*('Action Register'!$T$5:$T$104="ACTIVE")),13)),IF(OR(_xlpm.x=0,_xlpm.x="0",_xlpm.x="N/A"),"",_xlpm.x)),"")</f>
        <v>No</v>
      </c>
      <c r="I30" s="154" t="str">
        <f t="array" ref="I30">IFERROR(_xlfn.LET(_xlpm.x,INDEX('Action Register'!$M$5:$M$104,_xlfn.AGGREGATE(15,6,(ROW('Action Register'!$B$5:$B$104)-ROW('Action Register'!$B$5)+1)/(('Action Register'!$B$5:$B$104&lt;&gt;"")*('Action Register'!$T$5:$T$104="ACTIVE")),13)),IF(OR(_xlpm.x=0,_xlpm.x="0",_xlpm.x="N/A"),"",_xlpm.x)),"")</f>
        <v>&gt;$250K</v>
      </c>
      <c r="J30" s="154" t="str">
        <f t="array" ref="J30">IFERROR(_xlfn.LET(_xlpm.x,INDEX('Action Register'!$N$5:$N$104,_xlfn.AGGREGATE(15,6,(ROW('Action Register'!$B$5:$B$104)-ROW('Action Register'!$B$5)+1)/(('Action Register'!$B$5:$B$104&lt;&gt;"")*('Action Register'!$T$5:$T$104="ACTIVE")),13)),IF(OR(_xlpm.x=0,_xlpm.x="0",_xlpm.x="N/A"),"",_xlpm.x)),"")</f>
        <v>Operations Readiness</v>
      </c>
      <c r="K30" s="153">
        <f t="array" ref="K30">IFERROR(_xlfn.LET(_xlpm.x,INDEX('Action Register'!$Q$5:$Q$104,_xlfn.AGGREGATE(15,6,(ROW('Action Register'!$B$5:$B$104)-ROW('Action Register'!$B$5)+1)/(('Action Register'!$B$5:$B$104&lt;&gt;"")*('Action Register'!$T$5:$T$104="ACTIVE")),13)),IF(OR(_xlpm.x=0,_xlpm.x="0",_xlpm.x="N/A"),"",_xlpm.x)),"")</f>
        <v>46258</v>
      </c>
      <c r="L30" s="153" t="str">
        <f t="array" ref="L30">IFERROR(_xlfn.LET(_xlpm.x,INDEX('Action Register'!$R$5:$R$104,_xlfn.AGGREGATE(15,6,(ROW('Action Register'!$B$5:$B$104)-ROW('Action Register'!$B$5)+1)/(('Action Register'!$B$5:$B$104&lt;&gt;"")*('Action Register'!$T$5:$T$104="ACTIVE")),13)),IF(OR(_xlpm.x=0,_xlpm.x="0",_xlpm.x="N/A"),"",_xlpm.x)),"")</f>
        <v/>
      </c>
    </row>
    <row r="31" spans="1:12" ht="91">
      <c r="A31" s="92" t="str">
        <f>IF(A30="","",A30&amp;" cont.")</f>
        <v>SLT-0025 cont.</v>
      </c>
      <c r="B31" s="145" t="str">
        <f t="array" ref="B31">IFERROR(_xlfn.LET(_xlpm.x,INDEX('Action Register'!$E$5:$E$104,_xlfn.AGGREGATE(15,6,(ROW('Action Register'!$B$5:$B$104)-ROW('Action Register'!$B$5)+1)/(('Action Register'!$B$5:$B$104&lt;&gt;"")*('Action Register'!$T$5:$T$104="ACTIVE")),13)),IF(OR(_xlpm.x=0,_xlpm.x="0",_xlpm.x="N/A"),"",_xlpm.x)),"")</f>
        <v>Final approval remains contingent on Coldbox meeting the agreed occupancy date (Dec 12); Coldbox confirmed verbally, but  not yet formally confirmed in wirting. Negotiated change order value has been reduced from approximately $406K to $200K.</v>
      </c>
      <c r="C31" s="145" t="str">
        <f t="array" ref="C31">IFERROR(_xlfn.LET(_xlpm.x,INDEX('Action Register'!$C$5:$C$104,_xlfn.AGGREGATE(15,6,(ROW('Action Register'!$B$5:$B$104)-ROW('Action Register'!$B$5)+1)/(('Action Register'!$B$5:$B$104&lt;&gt;"")*('Action Register'!$T$5:$T$104="ACTIVE")),13)),IF(OR(_xlpm.x=0,_xlpm.x="0",_xlpm.x="N/A"),"",_xlpm.x)),"")</f>
        <v>ASP Go-Live</v>
      </c>
      <c r="D31" s="146" t="str">
        <f t="array" ref="D31">IFERROR(_xlfn.LET(_xlpm.x,INDEX('Action Register'!$K$5:$K$104,_xlfn.AGGREGATE(15,6,(ROW('Action Register'!$B$5:$B$104)-ROW('Action Register'!$B$5)+1)/(('Action Register'!$B$5:$B$104&lt;&gt;"")*('Action Register'!$T$5:$T$104="ACTIVE")),13)),IF(OR(_xlpm.x=0,_xlpm.x="0",_xlpm.x="N/A"),"",_xlpm.x)),"")</f>
        <v>ASP Go-Live</v>
      </c>
      <c r="E31" s="145" t="str">
        <f t="array" ref="E31">IFERROR(_xlfn.LET(_xlpm.x,INDEX('Action Register'!$P$5:$P$104,_xlfn.AGGREGATE(15,6,(ROW('Action Register'!$B$5:$B$104)-ROW('Action Register'!$B$5)+1)/(('Action Register'!$B$5:$B$104&lt;&gt;"")*('Action Register'!$T$5:$T$104="ACTIVE")),13)),IF(OR(_xlpm.x=0,_xlpm.x="0",_xlpm.x="N/A"),"",_xlpm.x)),"")</f>
        <v>Leadership also maintained that responsibility for the omission rests with Coldbox and should not be transferred to its subcontractor.</v>
      </c>
      <c r="F31" s="145" t="str">
        <f t="array" ref="F31">IFERROR(_xlfn.LET(_xlpm.x,INDEX('Action Register'!$O$5:$O$104,_xlfn.AGGREGATE(15,6,(ROW('Action Register'!$B$5:$B$104)-ROW('Action Register'!$B$5)+1)/(('Action Register'!$B$5:$B$104&lt;&gt;"")*('Action Register'!$T$5:$T$104="ACTIVE")),13)),IF(OR(_xlpm.x=0,_xlpm.x="0",_xlpm.x="N/A"),"",_xlpm.x)),"")</f>
        <v/>
      </c>
      <c r="G31" s="145"/>
      <c r="H31" s="145"/>
      <c r="I31" s="145"/>
      <c r="J31" s="145"/>
      <c r="K31" s="146"/>
      <c r="L31" s="146"/>
    </row>
    <row r="32" spans="1:12">
      <c r="A32" s="93" t="str">
        <f t="array" ref="A32">IFERROR(_xlfn.LET(_xlpm.x,INDEX('Action Register'!$A$5:$A$104,_xlfn.AGGREGATE(15,6,(ROW('Action Register'!$B$5:$B$104)-ROW('Action Register'!$B$5)+1)/(('Action Register'!$B$5:$B$104&lt;&gt;"")*('Action Register'!$T$5:$T$104="ACTIVE")),14)),IF(OR(_xlpm.x=0,_xlpm.x="0",_xlpm.x="N/A"),"",_xlpm.x)),"")</f>
        <v>SLT-0026</v>
      </c>
      <c r="B32" s="147" t="str">
        <f t="array" ref="B32">IFERROR(_xlfn.LET(_xlpm.x,INDEX('Action Register'!$B$5:$B$104,_xlfn.AGGREGATE(15,6,(ROW('Action Register'!$B$5:$B$104)-ROW('Action Register'!$B$5)+1)/(('Action Register'!$B$5:$B$104&lt;&gt;"")*('Action Register'!$T$5:$T$104="ACTIVE")),14)),IF(OR(_xlpm.x=0,_xlpm.x="0",_xlpm.x="N/A"),"",_xlpm.x)),"")</f>
        <v>Team Visit to Baader Facility</v>
      </c>
      <c r="C32" s="147" t="str">
        <f t="array" ref="C32">IFERROR(_xlfn.LET(_xlpm.x,INDEX('Action Register'!$D$5:$D$104,_xlfn.AGGREGATE(15,6,(ROW('Action Register'!$B$5:$B$104)-ROW('Action Register'!$B$5)+1)/(('Action Register'!$B$5:$B$104&lt;&gt;"")*('Action Register'!$T$5:$T$104="ACTIVE")),14)),IF(OR(_xlpm.x=0,_xlpm.x="0",_xlpm.x="N/A"),"",_xlpm.x)),"")</f>
        <v>Colin</v>
      </c>
      <c r="D32" s="148">
        <f t="array" ref="D32">IFERROR(_xlfn.LET(_xlpm.x,INDEX('Action Register'!$F$5:$F$104,_xlfn.AGGREGATE(15,6,(ROW('Action Register'!$B$5:$B$104)-ROW('Action Register'!$B$5)+1)/(('Action Register'!$B$5:$B$104&lt;&gt;"")*('Action Register'!$T$5:$T$104="ACTIVE")),14)),IF(OR(_xlpm.x=0,_xlpm.x="0",_xlpm.x="N/A"),"",_xlpm.x)),"")</f>
        <v>46321</v>
      </c>
      <c r="E32" s="147" t="str">
        <f t="array" ref="E32">IFERROR(_xlfn.LET(_xlpm.x,INDEX('Action Register'!$G$5:$G$104,_xlfn.AGGREGATE(15,6,(ROW('Action Register'!$B$5:$B$104)-ROW('Action Register'!$B$5)+1)/(('Action Register'!$B$5:$B$104&lt;&gt;"")*('Action Register'!$T$5:$T$104="ACTIVE")),14)),IF(OR(_xlpm.x=0,_xlpm.x="0",_xlpm.x="N/A"),"",_xlpm.x)),"")</f>
        <v>Assigned</v>
      </c>
      <c r="F32" s="149" t="str">
        <f t="array" ref="F32">IFERROR(_xlfn.LET(_xlpm.x,INDEX('Action Register'!$H$5:$H$104,_xlfn.AGGREGATE(15,6,(ROW('Action Register'!$B$5:$B$104)-ROW('Action Register'!$B$5)+1)/(('Action Register'!$B$5:$B$104&lt;&gt;"")*('Action Register'!$T$5:$T$104="ACTIVE")),14)),IF(OR(_xlpm.x=0,_xlpm.x="0",_xlpm.x="N/A"),"",_xlpm.x)),"")</f>
        <v>Medium</v>
      </c>
      <c r="G32" s="149" t="str">
        <f t="array" ref="G32">IFERROR(_xlfn.LET(_xlpm.x,INDEX('Action Register'!$J$5:$J$104,_xlfn.AGGREGATE(15,6,(ROW('Action Register'!$B$5:$B$104)-ROW('Action Register'!$B$5)+1)/(('Action Register'!$B$5:$B$104&lt;&gt;"")*('Action Register'!$T$5:$T$104="ACTIVE")),14)),IF(OR(_xlpm.x=0,_xlpm.x="0",_xlpm.x="N/A"),"",_xlpm.x)),"")</f>
        <v>Medium</v>
      </c>
      <c r="H32" s="149" t="str">
        <f t="array" ref="H32">IFERROR(_xlfn.LET(_xlpm.x,INDEX('Action Register'!$L$5:$L$104,_xlfn.AGGREGATE(15,6,(ROW('Action Register'!$B$5:$B$104)-ROW('Action Register'!$B$5)+1)/(('Action Register'!$B$5:$B$104&lt;&gt;"")*('Action Register'!$T$5:$T$104="ACTIVE")),14)),IF(OR(_xlpm.x=0,_xlpm.x="0",_xlpm.x="N/A"),"",_xlpm.x)),"")</f>
        <v>No</v>
      </c>
      <c r="I32" s="149" t="str">
        <f t="array" ref="I32">IFERROR(_xlfn.LET(_xlpm.x,INDEX('Action Register'!$M$5:$M$104,_xlfn.AGGREGATE(15,6,(ROW('Action Register'!$B$5:$B$104)-ROW('Action Register'!$B$5)+1)/(('Action Register'!$B$5:$B$104&lt;&gt;"")*('Action Register'!$T$5:$T$104="ACTIVE")),14)),IF(OR(_xlpm.x=0,_xlpm.x="0",_xlpm.x="N/A"),"",_xlpm.x)),"")</f>
        <v>Unknown / TBD</v>
      </c>
      <c r="J32" s="149" t="str">
        <f t="array" ref="J32">IFERROR(_xlfn.LET(_xlpm.x,INDEX('Action Register'!$N$5:$N$104,_xlfn.AGGREGATE(15,6,(ROW('Action Register'!$B$5:$B$104)-ROW('Action Register'!$B$5)+1)/(('Action Register'!$B$5:$B$104&lt;&gt;"")*('Action Register'!$T$5:$T$104="ACTIVE")),14)),IF(OR(_xlpm.x=0,_xlpm.x="0",_xlpm.x="N/A"),"",_xlpm.x)),"")</f>
        <v>Operations Readiness</v>
      </c>
      <c r="K32" s="148">
        <f t="array" ref="K32">IFERROR(_xlfn.LET(_xlpm.x,INDEX('Action Register'!$Q$5:$Q$104,_xlfn.AGGREGATE(15,6,(ROW('Action Register'!$B$5:$B$104)-ROW('Action Register'!$B$5)+1)/(('Action Register'!$B$5:$B$104&lt;&gt;"")*('Action Register'!$T$5:$T$104="ACTIVE")),14)),IF(OR(_xlpm.x=0,_xlpm.x="0",_xlpm.x="N/A"),"",_xlpm.x)),"")</f>
        <v>46258</v>
      </c>
      <c r="L32" s="148" t="str">
        <f t="array" ref="L32">IFERROR(_xlfn.LET(_xlpm.x,INDEX('Action Register'!$R$5:$R$104,_xlfn.AGGREGATE(15,6,(ROW('Action Register'!$B$5:$B$104)-ROW('Action Register'!$B$5)+1)/(('Action Register'!$B$5:$B$104&lt;&gt;"")*('Action Register'!$T$5:$T$104="ACTIVE")),14)),IF(OR(_xlpm.x=0,_xlpm.x="0",_xlpm.x="N/A"),"",_xlpm.x)),"")</f>
        <v/>
      </c>
    </row>
    <row r="33" spans="1:12" ht="78">
      <c r="A33" s="94" t="str">
        <f>IF(A32="","",A32&amp;" cont.")</f>
        <v>SLT-0026 cont.</v>
      </c>
      <c r="B33" s="150" t="str">
        <f t="array" ref="B33">IFERROR(_xlfn.LET(_xlpm.x,INDEX('Action Register'!$E$5:$E$104,_xlfn.AGGREGATE(15,6,(ROW('Action Register'!$B$5:$B$104)-ROW('Action Register'!$B$5)+1)/(('Action Register'!$B$5:$B$104&lt;&gt;"")*('Action Register'!$T$5:$T$104="ACTIVE")),14)),IF(OR(_xlpm.x=0,_xlpm.x="0",_xlpm.x="N/A"),"",_xlpm.x)),"")</f>
        <v>Engage Baader and identify suitable North American facility tour options.
Confirm recommended attendees (Adam, Tuhin, Maintenance Manager, Alexander).
Evaluate U.S. and Newfoundland sites and return with a proposed visit plan.</v>
      </c>
      <c r="C33" s="150" t="str">
        <f t="array" ref="C33">IFERROR(_xlfn.LET(_xlpm.x,INDEX('Action Register'!$C$5:$C$104,_xlfn.AGGREGATE(15,6,(ROW('Action Register'!$B$5:$B$104)-ROW('Action Register'!$B$5)+1)/(('Action Register'!$B$5:$B$104&lt;&gt;"")*('Action Register'!$T$5:$T$104="ACTIVE")),14)),IF(OR(_xlpm.x=0,_xlpm.x="0",_xlpm.x="N/A"),"",_xlpm.x)),"")</f>
        <v>ASP Go-Live</v>
      </c>
      <c r="D33" s="151" t="str">
        <f t="array" ref="D33">IFERROR(_xlfn.LET(_xlpm.x,INDEX('Action Register'!$K$5:$K$104,_xlfn.AGGREGATE(15,6,(ROW('Action Register'!$B$5:$B$104)-ROW('Action Register'!$B$5)+1)/(('Action Register'!$B$5:$B$104&lt;&gt;"")*('Action Register'!$T$5:$T$104="ACTIVE")),14)),IF(OR(_xlpm.x=0,_xlpm.x="0",_xlpm.x="N/A"),"",_xlpm.x)),"")</f>
        <v>ASP Go-Live</v>
      </c>
      <c r="E33" s="150" t="str">
        <f t="array" ref="E33">IFERROR(_xlfn.LET(_xlpm.x,INDEX('Action Register'!$P$5:$P$104,_xlfn.AGGREGATE(15,6,(ROW('Action Register'!$B$5:$B$104)-ROW('Action Register'!$B$5)+1)/(('Action Register'!$B$5:$B$104&lt;&gt;"")*('Action Register'!$T$5:$T$104="ACTIVE")),14)),IF(OR(_xlpm.x=0,_xlpm.x="0",_xlpm.x="N/A"),"",_xlpm.x)),"")</f>
        <v/>
      </c>
      <c r="F33" s="150" t="str">
        <f t="array" ref="F33">IFERROR(_xlfn.LET(_xlpm.x,INDEX('Action Register'!$O$5:$O$104,_xlfn.AGGREGATE(15,6,(ROW('Action Register'!$B$5:$B$104)-ROW('Action Register'!$B$5)+1)/(('Action Register'!$B$5:$B$104&lt;&gt;"")*('Action Register'!$T$5:$T$104="ACTIVE")),14)),IF(OR(_xlpm.x=0,_xlpm.x="0",_xlpm.x="N/A"),"",_xlpm.x)),"")</f>
        <v/>
      </c>
      <c r="G33" s="150"/>
      <c r="H33" s="150"/>
      <c r="I33" s="150"/>
      <c r="J33" s="150"/>
      <c r="K33" s="151"/>
      <c r="L33" s="151"/>
    </row>
    <row r="34" spans="1:12" ht="26">
      <c r="A34" s="93" t="str">
        <f t="array" ref="A34">IFERROR(_xlfn.LET(_xlpm.x,INDEX('Action Register'!$A$5:$A$104,_xlfn.AGGREGATE(15,6,(ROW('Action Register'!$B$5:$B$104)-ROW('Action Register'!$B$5)+1)/(('Action Register'!$B$5:$B$104&lt;&gt;"")*('Action Register'!$T$5:$T$104="ACTIVE")),15)),IF(OR(_xlpm.x=0,_xlpm.x="0",_xlpm.x="N/A"),"",_xlpm.x)),"")</f>
        <v>SLT-0029</v>
      </c>
      <c r="B34" s="152" t="str">
        <f t="array" ref="B34">IFERROR(_xlfn.LET(_xlpm.x,INDEX('Action Register'!$B$5:$B$104,_xlfn.AGGREGATE(15,6,(ROW('Action Register'!$B$5:$B$104)-ROW('Action Register'!$B$5)+1)/(('Action Register'!$B$5:$B$104&lt;&gt;"")*('Action Register'!$T$5:$T$104="ACTIVE")),15)),IF(OR(_xlpm.x=0,_xlpm.x="0",_xlpm.x="N/A"),"",_xlpm.x)),"")</f>
        <v xml:space="preserve">Workorder Closure - Sierra
</v>
      </c>
      <c r="C34" s="152" t="str">
        <f t="array" ref="C34">IFERROR(_xlfn.LET(_xlpm.x,INDEX('Action Register'!$D$5:$D$104,_xlfn.AGGREGATE(15,6,(ROW('Action Register'!$B$5:$B$104)-ROW('Action Register'!$B$5)+1)/(('Action Register'!$B$5:$B$104&lt;&gt;"")*('Action Register'!$T$5:$T$104="ACTIVE")),15)),IF(OR(_xlpm.x=0,_xlpm.x="0",_xlpm.x="N/A"),"",_xlpm.x)),"")</f>
        <v>Dave</v>
      </c>
      <c r="D34" s="153">
        <f t="array" ref="D34">IFERROR(_xlfn.LET(_xlpm.x,INDEX('Action Register'!$F$5:$F$104,_xlfn.AGGREGATE(15,6,(ROW('Action Register'!$B$5:$B$104)-ROW('Action Register'!$B$5)+1)/(('Action Register'!$B$5:$B$104&lt;&gt;"")*('Action Register'!$T$5:$T$104="ACTIVE")),15)),IF(OR(_xlpm.x=0,_xlpm.x="0",_xlpm.x="N/A"),"",_xlpm.x)),"")</f>
        <v>46310</v>
      </c>
      <c r="E34" s="152" t="str">
        <f t="array" ref="E34">IFERROR(_xlfn.LET(_xlpm.x,INDEX('Action Register'!$G$5:$G$104,_xlfn.AGGREGATE(15,6,(ROW('Action Register'!$B$5:$B$104)-ROW('Action Register'!$B$5)+1)/(('Action Register'!$B$5:$B$104&lt;&gt;"")*('Action Register'!$T$5:$T$104="ACTIVE")),15)),IF(OR(_xlpm.x=0,_xlpm.x="0",_xlpm.x="N/A"),"",_xlpm.x)),"")</f>
        <v>In Progress</v>
      </c>
      <c r="F34" s="154" t="str">
        <f t="array" ref="F34">IFERROR(_xlfn.LET(_xlpm.x,INDEX('Action Register'!$H$5:$H$104,_xlfn.AGGREGATE(15,6,(ROW('Action Register'!$B$5:$B$104)-ROW('Action Register'!$B$5)+1)/(('Action Register'!$B$5:$B$104&lt;&gt;"")*('Action Register'!$T$5:$T$104="ACTIVE")),15)),IF(OR(_xlpm.x=0,_xlpm.x="0",_xlpm.x="N/A"),"",_xlpm.x)),"")</f>
        <v>Medium</v>
      </c>
      <c r="G34" s="154" t="str">
        <f t="array" ref="G34">IFERROR(_xlfn.LET(_xlpm.x,INDEX('Action Register'!$J$5:$J$104,_xlfn.AGGREGATE(15,6,(ROW('Action Register'!$B$5:$B$104)-ROW('Action Register'!$B$5)+1)/(('Action Register'!$B$5:$B$104&lt;&gt;"")*('Action Register'!$T$5:$T$104="ACTIVE")),15)),IF(OR(_xlpm.x=0,_xlpm.x="0",_xlpm.x="N/A"),"",_xlpm.x)),"")</f>
        <v>Medium</v>
      </c>
      <c r="H34" s="154" t="str">
        <f t="array" ref="H34">IFERROR(_xlfn.LET(_xlpm.x,INDEX('Action Register'!$L$5:$L$104,_xlfn.AGGREGATE(15,6,(ROW('Action Register'!$B$5:$B$104)-ROW('Action Register'!$B$5)+1)/(('Action Register'!$B$5:$B$104&lt;&gt;"")*('Action Register'!$T$5:$T$104="ACTIVE")),15)),IF(OR(_xlpm.x=0,_xlpm.x="0",_xlpm.x="N/A"),"",_xlpm.x)),"")</f>
        <v>No</v>
      </c>
      <c r="I34" s="154" t="str">
        <f t="array" ref="I34">IFERROR(_xlfn.LET(_xlpm.x,INDEX('Action Register'!$M$5:$M$104,_xlfn.AGGREGATE(15,6,(ROW('Action Register'!$B$5:$B$104)-ROW('Action Register'!$B$5)+1)/(('Action Register'!$B$5:$B$104&lt;&gt;"")*('Action Register'!$T$5:$T$104="ACTIVE")),15)),IF(OR(_xlpm.x=0,_xlpm.x="0",_xlpm.x="N/A"),"",_xlpm.x)),"")</f>
        <v>Unknown / TBD</v>
      </c>
      <c r="J34" s="154" t="str">
        <f t="array" ref="J34">IFERROR(_xlfn.LET(_xlpm.x,INDEX('Action Register'!$N$5:$N$104,_xlfn.AGGREGATE(15,6,(ROW('Action Register'!$B$5:$B$104)-ROW('Action Register'!$B$5)+1)/(('Action Register'!$B$5:$B$104&lt;&gt;"")*('Action Register'!$T$5:$T$104="ACTIVE")),15)),IF(OR(_xlpm.x=0,_xlpm.x="0",_xlpm.x="N/A"),"",_xlpm.x)),"")</f>
        <v/>
      </c>
      <c r="K34" s="153">
        <f t="array" ref="K34">IFERROR(_xlfn.LET(_xlpm.x,INDEX('Action Register'!$Q$5:$Q$104,_xlfn.AGGREGATE(15,6,(ROW('Action Register'!$B$5:$B$104)-ROW('Action Register'!$B$5)+1)/(('Action Register'!$B$5:$B$104&lt;&gt;"")*('Action Register'!$T$5:$T$104="ACTIVE")),15)),IF(OR(_xlpm.x=0,_xlpm.x="0",_xlpm.x="N/A"),"",_xlpm.x)),"")</f>
        <v>46230</v>
      </c>
      <c r="L34" s="153" t="str">
        <f t="array" ref="L34">IFERROR(_xlfn.LET(_xlpm.x,INDEX('Action Register'!$R$5:$R$104,_xlfn.AGGREGATE(15,6,(ROW('Action Register'!$B$5:$B$104)-ROW('Action Register'!$B$5)+1)/(('Action Register'!$B$5:$B$104&lt;&gt;"")*('Action Register'!$T$5:$T$104="ACTIVE")),15)),IF(OR(_xlpm.x=0,_xlpm.x="0",_xlpm.x="N/A"),"",_xlpm.x)),"")</f>
        <v/>
      </c>
    </row>
    <row r="35" spans="1:12">
      <c r="A35" s="92" t="str">
        <f>IF(A34="","",A34&amp;" cont.")</f>
        <v>SLT-0029 cont.</v>
      </c>
      <c r="B35" s="145" t="str">
        <f t="array" ref="B35">IFERROR(_xlfn.LET(_xlpm.x,INDEX('Action Register'!$E$5:$E$104,_xlfn.AGGREGATE(15,6,(ROW('Action Register'!$B$5:$B$104)-ROW('Action Register'!$B$5)+1)/(('Action Register'!$B$5:$B$104&lt;&gt;"")*('Action Register'!$T$5:$T$104="ACTIVE")),15)),IF(OR(_xlpm.x=0,_xlpm.x="0",_xlpm.x="N/A"),"",_xlpm.x)),"")</f>
        <v>Sierra work order closures to be transitioned to finance.</v>
      </c>
      <c r="C35" s="145" t="str">
        <f t="array" ref="C35">IFERROR(_xlfn.LET(_xlpm.x,INDEX('Action Register'!$C$5:$C$104,_xlfn.AGGREGATE(15,6,(ROW('Action Register'!$B$5:$B$104)-ROW('Action Register'!$B$5)+1)/(('Action Register'!$B$5:$B$104&lt;&gt;"")*('Action Register'!$T$5:$T$104="ACTIVE")),15)),IF(OR(_xlpm.x=0,_xlpm.x="0",_xlpm.x="N/A"),"",_xlpm.x)),"")</f>
        <v>Finance</v>
      </c>
      <c r="D35" s="146" t="str">
        <f t="array" ref="D35">IFERROR(_xlfn.LET(_xlpm.x,INDEX('Action Register'!$K$5:$K$104,_xlfn.AGGREGATE(15,6,(ROW('Action Register'!$B$5:$B$104)-ROW('Action Register'!$B$5)+1)/(('Action Register'!$B$5:$B$104&lt;&gt;"")*('Action Register'!$T$5:$T$104="ACTIVE")),15)),IF(OR(_xlpm.x=0,_xlpm.x="0",_xlpm.x="N/A"),"",_xlpm.x)),"")</f>
        <v>Governance</v>
      </c>
      <c r="E35" s="145" t="str">
        <f t="array" ref="E35">IFERROR(_xlfn.LET(_xlpm.x,INDEX('Action Register'!$P$5:$P$104,_xlfn.AGGREGATE(15,6,(ROW('Action Register'!$B$5:$B$104)-ROW('Action Register'!$B$5)+1)/(('Action Register'!$B$5:$B$104&lt;&gt;"")*('Action Register'!$T$5:$T$104="ACTIVE")),15)),IF(OR(_xlpm.x=0,_xlpm.x="0",_xlpm.x="N/A"),"",_xlpm.x)),"")</f>
        <v/>
      </c>
      <c r="F35" s="145" t="str">
        <f t="array" ref="F35">IFERROR(_xlfn.LET(_xlpm.x,INDEX('Action Register'!$O$5:$O$104,_xlfn.AGGREGATE(15,6,(ROW('Action Register'!$B$5:$B$104)-ROW('Action Register'!$B$5)+1)/(('Action Register'!$B$5:$B$104&lt;&gt;"")*('Action Register'!$T$5:$T$104="ACTIVE")),15)),IF(OR(_xlpm.x=0,_xlpm.x="0",_xlpm.x="N/A"),"",_xlpm.x)),"")</f>
        <v/>
      </c>
      <c r="G35" s="145"/>
      <c r="H35" s="145"/>
      <c r="I35" s="145"/>
      <c r="J35" s="145"/>
      <c r="K35" s="146"/>
      <c r="L35" s="146"/>
    </row>
    <row r="36" spans="1:12" ht="26">
      <c r="A36" s="93" t="str">
        <f t="array" ref="A36">IFERROR(_xlfn.LET(_xlpm.x,INDEX('Action Register'!$A$5:$A$104,_xlfn.AGGREGATE(15,6,(ROW('Action Register'!$B$5:$B$104)-ROW('Action Register'!$B$5)+1)/(('Action Register'!$B$5:$B$104&lt;&gt;"")*('Action Register'!$T$5:$T$104="ACTIVE")),16)),IF(OR(_xlpm.x=0,_xlpm.x="0",_xlpm.x="N/A"),"",_xlpm.x)),"")</f>
        <v>SLT-0035</v>
      </c>
      <c r="B36" s="147" t="str">
        <f t="array" ref="B36">IFERROR(_xlfn.LET(_xlpm.x,INDEX('Action Register'!$B$5:$B$104,_xlfn.AGGREGATE(15,6,(ROW('Action Register'!$B$5:$B$104)-ROW('Action Register'!$B$5)+1)/(('Action Register'!$B$5:$B$104&lt;&gt;"")*('Action Register'!$T$5:$T$104="ACTIVE")),16)),IF(OR(_xlpm.x=0,_xlpm.x="0",_xlpm.x="N/A"),"",_xlpm.x)),"")</f>
        <v>Review December salary and pay-band alignment strategy in Q4</v>
      </c>
      <c r="C36" s="147" t="str">
        <f t="array" ref="C36">IFERROR(_xlfn.LET(_xlpm.x,INDEX('Action Register'!$D$5:$D$104,_xlfn.AGGREGATE(15,6,(ROW('Action Register'!$B$5:$B$104)-ROW('Action Register'!$B$5)+1)/(('Action Register'!$B$5:$B$104&lt;&gt;"")*('Action Register'!$T$5:$T$104="ACTIVE")),16)),IF(OR(_xlpm.x=0,_xlpm.x="0",_xlpm.x="N/A"),"",_xlpm.x)),"")</f>
        <v>Gene</v>
      </c>
      <c r="D36" s="148">
        <f t="array" ref="D36">IFERROR(_xlfn.LET(_xlpm.x,INDEX('Action Register'!$F$5:$F$104,_xlfn.AGGREGATE(15,6,(ROW('Action Register'!$B$5:$B$104)-ROW('Action Register'!$B$5)+1)/(('Action Register'!$B$5:$B$104&lt;&gt;"")*('Action Register'!$T$5:$T$104="ACTIVE")),16)),IF(OR(_xlpm.x=0,_xlpm.x="0",_xlpm.x="N/A"),"",_xlpm.x)),"")</f>
        <v>46308</v>
      </c>
      <c r="E36" s="147" t="str">
        <f t="array" ref="E36">IFERROR(_xlfn.LET(_xlpm.x,INDEX('Action Register'!$G$5:$G$104,_xlfn.AGGREGATE(15,6,(ROW('Action Register'!$B$5:$B$104)-ROW('Action Register'!$B$5)+1)/(('Action Register'!$B$5:$B$104&lt;&gt;"")*('Action Register'!$T$5:$T$104="ACTIVE")),16)),IF(OR(_xlpm.x=0,_xlpm.x="0",_xlpm.x="N/A"),"",_xlpm.x)),"")</f>
        <v>In Progress</v>
      </c>
      <c r="F36" s="149" t="str">
        <f t="array" ref="F36">IFERROR(_xlfn.LET(_xlpm.x,INDEX('Action Register'!$H$5:$H$104,_xlfn.AGGREGATE(15,6,(ROW('Action Register'!$B$5:$B$104)-ROW('Action Register'!$B$5)+1)/(('Action Register'!$B$5:$B$104&lt;&gt;"")*('Action Register'!$T$5:$T$104="ACTIVE")),16)),IF(OR(_xlpm.x=0,_xlpm.x="0",_xlpm.x="N/A"),"",_xlpm.x)),"")</f>
        <v>High</v>
      </c>
      <c r="G36" s="149" t="str">
        <f t="array" ref="G36">IFERROR(_xlfn.LET(_xlpm.x,INDEX('Action Register'!$J$5:$J$104,_xlfn.AGGREGATE(15,6,(ROW('Action Register'!$B$5:$B$104)-ROW('Action Register'!$B$5)+1)/(('Action Register'!$B$5:$B$104&lt;&gt;"")*('Action Register'!$T$5:$T$104="ACTIVE")),16)),IF(OR(_xlpm.x=0,_xlpm.x="0",_xlpm.x="N/A"),"",_xlpm.x)),"")</f>
        <v>Medium</v>
      </c>
      <c r="H36" s="149" t="str">
        <f t="array" ref="H36">IFERROR(_xlfn.LET(_xlpm.x,INDEX('Action Register'!$L$5:$L$104,_xlfn.AGGREGATE(15,6,(ROW('Action Register'!$B$5:$B$104)-ROW('Action Register'!$B$5)+1)/(('Action Register'!$B$5:$B$104&lt;&gt;"")*('Action Register'!$T$5:$T$104="ACTIVE")),16)),IF(OR(_xlpm.x=0,_xlpm.x="0",_xlpm.x="N/A"),"",_xlpm.x)),"")</f>
        <v>No</v>
      </c>
      <c r="I36" s="149" t="str">
        <f t="array" ref="I36">IFERROR(_xlfn.LET(_xlpm.x,INDEX('Action Register'!$M$5:$M$104,_xlfn.AGGREGATE(15,6,(ROW('Action Register'!$B$5:$B$104)-ROW('Action Register'!$B$5)+1)/(('Action Register'!$B$5:$B$104&lt;&gt;"")*('Action Register'!$T$5:$T$104="ACTIVE")),16)),IF(OR(_xlpm.x=0,_xlpm.x="0",_xlpm.x="N/A"),"",_xlpm.x)),"")</f>
        <v>$10K-$50K</v>
      </c>
      <c r="J36" s="149" t="str">
        <f t="array" ref="J36">IFERROR(_xlfn.LET(_xlpm.x,INDEX('Action Register'!$N$5:$N$104,_xlfn.AGGREGATE(15,6,(ROW('Action Register'!$B$5:$B$104)-ROW('Action Register'!$B$5)+1)/(('Action Register'!$B$5:$B$104&lt;&gt;"")*('Action Register'!$T$5:$T$104="ACTIVE")),16)),IF(OR(_xlpm.x=0,_xlpm.x="0",_xlpm.x="N/A"),"",_xlpm.x)),"")</f>
        <v/>
      </c>
      <c r="K36" s="148">
        <f t="array" ref="K36">IFERROR(_xlfn.LET(_xlpm.x,INDEX('Action Register'!$Q$5:$Q$104,_xlfn.AGGREGATE(15,6,(ROW('Action Register'!$B$5:$B$104)-ROW('Action Register'!$B$5)+1)/(('Action Register'!$B$5:$B$104&lt;&gt;"")*('Action Register'!$T$5:$T$104="ACTIVE")),16)),IF(OR(_xlpm.x=0,_xlpm.x="0",_xlpm.x="N/A"),"",_xlpm.x)),"")</f>
        <v>46223</v>
      </c>
      <c r="L36" s="148">
        <f t="array" ref="L36">IFERROR(_xlfn.LET(_xlpm.x,INDEX('Action Register'!$R$5:$R$104,_xlfn.AGGREGATE(15,6,(ROW('Action Register'!$B$5:$B$104)-ROW('Action Register'!$B$5)+1)/(('Action Register'!$B$5:$B$104&lt;&gt;"")*('Action Register'!$T$5:$T$104="ACTIVE")),16)),IF(OR(_xlpm.x=0,_xlpm.x="0",_xlpm.x="N/A"),"",_xlpm.x)),"")</f>
        <v>46292</v>
      </c>
    </row>
    <row r="37" spans="1:12" ht="117">
      <c r="A37" s="94" t="str">
        <f>IF(A36="","",A36&amp;" cont.")</f>
        <v>SLT-0035 cont.</v>
      </c>
      <c r="B37" s="150" t="str">
        <f t="array" ref="B37">IFERROR(_xlfn.LET(_xlpm.x,INDEX('Action Register'!$E$5:$E$104,_xlfn.AGGREGATE(15,6,(ROW('Action Register'!$B$5:$B$104)-ROW('Action Register'!$B$5)+1)/(('Action Register'!$B$5:$B$104&lt;&gt;"")*('Action Register'!$T$5:$T$104="ACTIVE")),16)),IF(OR(_xlpm.x=0,_xlpm.x="0",_xlpm.x="N/A"),"",_xlpm.x)),"")</f>
        <v>Review December salary and pay-band alignment strategy in Q4 Develop and finalize 2027 salary review and pay band process. Meet to align performance review timing, salary recommendations, budget assumptions, and January 1 implementation approach for 2027. Gene to simplify performance review template.
Gene and Dave to meet and return to SLT. 
Item to remain open until approval is finalized and changes are communicated.</v>
      </c>
      <c r="C37" s="150" t="str">
        <f t="array" ref="C37">IFERROR(_xlfn.LET(_xlpm.x,INDEX('Action Register'!$C$5:$C$104,_xlfn.AGGREGATE(15,6,(ROW('Action Register'!$B$5:$B$104)-ROW('Action Register'!$B$5)+1)/(('Action Register'!$B$5:$B$104&lt;&gt;"")*('Action Register'!$T$5:$T$104="ACTIVE")),16)),IF(OR(_xlpm.x=0,_xlpm.x="0",_xlpm.x="N/A"),"",_xlpm.x)),"")</f>
        <v>Human Resources</v>
      </c>
      <c r="D37" s="151" t="str">
        <f t="array" ref="D37">IFERROR(_xlfn.LET(_xlpm.x,INDEX('Action Register'!$K$5:$K$104,_xlfn.AGGREGATE(15,6,(ROW('Action Register'!$B$5:$B$104)-ROW('Action Register'!$B$5)+1)/(('Action Register'!$B$5:$B$104&lt;&gt;"")*('Action Register'!$T$5:$T$104="ACTIVE")),16)),IF(OR(_xlpm.x=0,_xlpm.x="0",_xlpm.x="N/A"),"",_xlpm.x)),"")</f>
        <v>People &amp; Culture</v>
      </c>
      <c r="E37" s="150" t="str">
        <f t="array" ref="E37">IFERROR(_xlfn.LET(_xlpm.x,INDEX('Action Register'!$P$5:$P$104,_xlfn.AGGREGATE(15,6,(ROW('Action Register'!$B$5:$B$104)-ROW('Action Register'!$B$5)+1)/(('Action Register'!$B$5:$B$104&lt;&gt;"")*('Action Register'!$T$5:$T$104="ACTIVE")),16)),IF(OR(_xlpm.x=0,_xlpm.x="0",_xlpm.x="N/A"),"",_xlpm.x)),"")</f>
        <v/>
      </c>
      <c r="F37" s="150" t="str">
        <f t="array" ref="F37">IFERROR(_xlfn.LET(_xlpm.x,INDEX('Action Register'!$O$5:$O$104,_xlfn.AGGREGATE(15,6,(ROW('Action Register'!$B$5:$B$104)-ROW('Action Register'!$B$5)+1)/(('Action Register'!$B$5:$B$104&lt;&gt;"")*('Action Register'!$T$5:$T$104="ACTIVE")),16)),IF(OR(_xlpm.x=0,_xlpm.x="0",_xlpm.x="N/A"),"",_xlpm.x)),"")</f>
        <v/>
      </c>
      <c r="G37" s="150"/>
      <c r="H37" s="150"/>
      <c r="I37" s="150"/>
      <c r="J37" s="150"/>
      <c r="K37" s="151"/>
      <c r="L37" s="151"/>
    </row>
    <row r="38" spans="1:12">
      <c r="A38" s="93" t="str">
        <f t="array" ref="A38">IFERROR(_xlfn.LET(_xlpm.x,INDEX('Action Register'!$A$5:$A$104,_xlfn.AGGREGATE(15,6,(ROW('Action Register'!$B$5:$B$104)-ROW('Action Register'!$B$5)+1)/(('Action Register'!$B$5:$B$104&lt;&gt;"")*('Action Register'!$T$5:$T$104="ACTIVE")),17)),IF(OR(_xlpm.x=0,_xlpm.x="0",_xlpm.x="N/A"),"",_xlpm.x)),"")</f>
        <v>SLT-0036</v>
      </c>
      <c r="B38" s="152" t="str">
        <f t="array" ref="B38">IFERROR(_xlfn.LET(_xlpm.x,INDEX('Action Register'!$B$5:$B$104,_xlfn.AGGREGATE(15,6,(ROW('Action Register'!$B$5:$B$104)-ROW('Action Register'!$B$5)+1)/(('Action Register'!$B$5:$B$104&lt;&gt;"")*('Action Register'!$T$5:$T$104="ACTIVE")),17)),IF(OR(_xlpm.x=0,_xlpm.x="0",_xlpm.x="N/A"),"",_xlpm.x)),"")</f>
        <v>RTRI Funding Application - Reapplication</v>
      </c>
      <c r="C38" s="152" t="str">
        <f t="array" ref="C38">IFERROR(_xlfn.LET(_xlpm.x,INDEX('Action Register'!$D$5:$D$104,_xlfn.AGGREGATE(15,6,(ROW('Action Register'!$B$5:$B$104)-ROW('Action Register'!$B$5)+1)/(('Action Register'!$B$5:$B$104&lt;&gt;"")*('Action Register'!$T$5:$T$104="ACTIVE")),17)),IF(OR(_xlpm.x=0,_xlpm.x="0",_xlpm.x="N/A"),"",_xlpm.x)),"")</f>
        <v>Dave</v>
      </c>
      <c r="D38" s="153">
        <f t="array" ref="D38">IFERROR(_xlfn.LET(_xlpm.x,INDEX('Action Register'!$F$5:$F$104,_xlfn.AGGREGATE(15,6,(ROW('Action Register'!$B$5:$B$104)-ROW('Action Register'!$B$5)+1)/(('Action Register'!$B$5:$B$104&lt;&gt;"")*('Action Register'!$T$5:$T$104="ACTIVE")),17)),IF(OR(_xlpm.x=0,_xlpm.x="0",_xlpm.x="N/A"),"",_xlpm.x)),"")</f>
        <v>46307</v>
      </c>
      <c r="E38" s="152" t="str">
        <f t="array" ref="E38">IFERROR(_xlfn.LET(_xlpm.x,INDEX('Action Register'!$G$5:$G$104,_xlfn.AGGREGATE(15,6,(ROW('Action Register'!$B$5:$B$104)-ROW('Action Register'!$B$5)+1)/(('Action Register'!$B$5:$B$104&lt;&gt;"")*('Action Register'!$T$5:$T$104="ACTIVE")),17)),IF(OR(_xlpm.x=0,_xlpm.x="0",_xlpm.x="N/A"),"",_xlpm.x)),"")</f>
        <v>In Progress</v>
      </c>
      <c r="F38" s="154" t="str">
        <f t="array" ref="F38">IFERROR(_xlfn.LET(_xlpm.x,INDEX('Action Register'!$H$5:$H$104,_xlfn.AGGREGATE(15,6,(ROW('Action Register'!$B$5:$B$104)-ROW('Action Register'!$B$5)+1)/(('Action Register'!$B$5:$B$104&lt;&gt;"")*('Action Register'!$T$5:$T$104="ACTIVE")),17)),IF(OR(_xlpm.x=0,_xlpm.x="0",_xlpm.x="N/A"),"",_xlpm.x)),"")</f>
        <v>High</v>
      </c>
      <c r="G38" s="154" t="str">
        <f t="array" ref="G38">IFERROR(_xlfn.LET(_xlpm.x,INDEX('Action Register'!$J$5:$J$104,_xlfn.AGGREGATE(15,6,(ROW('Action Register'!$B$5:$B$104)-ROW('Action Register'!$B$5)+1)/(('Action Register'!$B$5:$B$104&lt;&gt;"")*('Action Register'!$T$5:$T$104="ACTIVE")),17)),IF(OR(_xlpm.x=0,_xlpm.x="0",_xlpm.x="N/A"),"",_xlpm.x)),"")</f>
        <v>Medium</v>
      </c>
      <c r="H38" s="154" t="str">
        <f t="array" ref="H38">IFERROR(_xlfn.LET(_xlpm.x,INDEX('Action Register'!$L$5:$L$104,_xlfn.AGGREGATE(15,6,(ROW('Action Register'!$B$5:$B$104)-ROW('Action Register'!$B$5)+1)/(('Action Register'!$B$5:$B$104&lt;&gt;"")*('Action Register'!$T$5:$T$104="ACTIVE")),17)),IF(OR(_xlpm.x=0,_xlpm.x="0",_xlpm.x="N/A"),"",_xlpm.x)),"")</f>
        <v>No</v>
      </c>
      <c r="I38" s="154" t="str">
        <f t="array" ref="I38">IFERROR(_xlfn.LET(_xlpm.x,INDEX('Action Register'!$M$5:$M$104,_xlfn.AGGREGATE(15,6,(ROW('Action Register'!$B$5:$B$104)-ROW('Action Register'!$B$5)+1)/(('Action Register'!$B$5:$B$104&lt;&gt;"")*('Action Register'!$T$5:$T$104="ACTIVE")),17)),IF(OR(_xlpm.x=0,_xlpm.x="0",_xlpm.x="N/A"),"",_xlpm.x)),"")</f>
        <v>&gt;$250K</v>
      </c>
      <c r="J38" s="154" t="str">
        <f t="array" ref="J38">IFERROR(_xlfn.LET(_xlpm.x,INDEX('Action Register'!$N$5:$N$104,_xlfn.AGGREGATE(15,6,(ROW('Action Register'!$B$5:$B$104)-ROW('Action Register'!$B$5)+1)/(('Action Register'!$B$5:$B$104&lt;&gt;"")*('Action Register'!$T$5:$T$104="ACTIVE")),17)),IF(OR(_xlpm.x=0,_xlpm.x="0",_xlpm.x="N/A"),"",_xlpm.x)),"")</f>
        <v/>
      </c>
      <c r="K38" s="153">
        <f t="array" ref="K38">IFERROR(_xlfn.LET(_xlpm.x,INDEX('Action Register'!$Q$5:$Q$104,_xlfn.AGGREGATE(15,6,(ROW('Action Register'!$B$5:$B$104)-ROW('Action Register'!$B$5)+1)/(('Action Register'!$B$5:$B$104&lt;&gt;"")*('Action Register'!$T$5:$T$104="ACTIVE")),17)),IF(OR(_xlpm.x=0,_xlpm.x="0",_xlpm.x="N/A"),"",_xlpm.x)),"")</f>
        <v>46286</v>
      </c>
      <c r="L38" s="153">
        <f t="array" ref="L38">IFERROR(_xlfn.LET(_xlpm.x,INDEX('Action Register'!$R$5:$R$104,_xlfn.AGGREGATE(15,6,(ROW('Action Register'!$B$5:$B$104)-ROW('Action Register'!$B$5)+1)/(('Action Register'!$B$5:$B$104&lt;&gt;"")*('Action Register'!$T$5:$T$104="ACTIVE")),17)),IF(OR(_xlpm.x=0,_xlpm.x="0",_xlpm.x="N/A"),"",_xlpm.x)),"")</f>
        <v>46292</v>
      </c>
    </row>
    <row r="39" spans="1:12" ht="130">
      <c r="A39" s="92" t="str">
        <f>IF(A38="","",A38&amp;" cont.")</f>
        <v>SLT-0036 cont.</v>
      </c>
      <c r="B39" s="145" t="str">
        <f t="array" ref="B39">IFERROR(_xlfn.LET(_xlpm.x,INDEX('Action Register'!$E$5:$E$104,_xlfn.AGGREGATE(15,6,(ROW('Action Register'!$B$5:$B$104)-ROW('Action Register'!$B$5)+1)/(('Action Register'!$B$5:$B$104&lt;&gt;"")*('Action Register'!$T$5:$T$104="ACTIVE")),17)),IF(OR(_xlpm.x=0,_xlpm.x="0",_xlpm.x="N/A"),"",_xlpm.x)),"")</f>
        <v>Prepare and submit the application for up to $2 million in non-repayable funding and support the reassessment of the AQM application. Team to include Dave, Adam, Colin, Tom.
Target completion date - 2 weeks
Update: Application process formally initiated. Colin and team met with Grant Synergy to begin preparing the funding application, with a target to complete within two weeks. Dave performing assessment.</v>
      </c>
      <c r="C39" s="145" t="str">
        <f t="array" ref="C39">IFERROR(_xlfn.LET(_xlpm.x,INDEX('Action Register'!$C$5:$C$104,_xlfn.AGGREGATE(15,6,(ROW('Action Register'!$B$5:$B$104)-ROW('Action Register'!$B$5)+1)/(('Action Register'!$B$5:$B$104&lt;&gt;"")*('Action Register'!$T$5:$T$104="ACTIVE")),17)),IF(OR(_xlpm.x=0,_xlpm.x="0",_xlpm.x="N/A"),"",_xlpm.x)),"")</f>
        <v>Finance</v>
      </c>
      <c r="D39" s="146" t="str">
        <f t="array" ref="D39">IFERROR(_xlfn.LET(_xlpm.x,INDEX('Action Register'!$K$5:$K$104,_xlfn.AGGREGATE(15,6,(ROW('Action Register'!$B$5:$B$104)-ROW('Action Register'!$B$5)+1)/(('Action Register'!$B$5:$B$104&lt;&gt;"")*('Action Register'!$T$5:$T$104="ACTIVE")),17)),IF(OR(_xlpm.x=0,_xlpm.x="0",_xlpm.x="N/A"),"",_xlpm.x)),"")</f>
        <v>Cost Reduction</v>
      </c>
      <c r="E39" s="145" t="str">
        <f t="array" ref="E39">IFERROR(_xlfn.LET(_xlpm.x,INDEX('Action Register'!$P$5:$P$104,_xlfn.AGGREGATE(15,6,(ROW('Action Register'!$B$5:$B$104)-ROW('Action Register'!$B$5)+1)/(('Action Register'!$B$5:$B$104&lt;&gt;"")*('Action Register'!$T$5:$T$104="ACTIVE")),17)),IF(OR(_xlpm.x=0,_xlpm.x="0",_xlpm.x="N/A"),"",_xlpm.x)),"")</f>
        <v/>
      </c>
      <c r="F39" s="145" t="str">
        <f t="array" ref="F39">IFERROR(_xlfn.LET(_xlpm.x,INDEX('Action Register'!$O$5:$O$104,_xlfn.AGGREGATE(15,6,(ROW('Action Register'!$B$5:$B$104)-ROW('Action Register'!$B$5)+1)/(('Action Register'!$B$5:$B$104&lt;&gt;"")*('Action Register'!$T$5:$T$104="ACTIVE")),17)),IF(OR(_xlpm.x=0,_xlpm.x="0",_xlpm.x="N/A"),"",_xlpm.x)),"")</f>
        <v/>
      </c>
      <c r="G39" s="145"/>
      <c r="H39" s="145"/>
      <c r="I39" s="145"/>
      <c r="J39" s="145"/>
      <c r="K39" s="146"/>
      <c r="L39" s="146"/>
    </row>
    <row r="40" spans="1:12">
      <c r="A40" s="93" t="str">
        <f t="array" ref="A40">IFERROR(_xlfn.LET(_xlpm.x,INDEX('Action Register'!$A$5:$A$104,_xlfn.AGGREGATE(15,6,(ROW('Action Register'!$B$5:$B$104)-ROW('Action Register'!$B$5)+1)/(('Action Register'!$B$5:$B$104&lt;&gt;"")*('Action Register'!$T$5:$T$104="ACTIVE")),18)),IF(OR(_xlpm.x=0,_xlpm.x="0",_xlpm.x="N/A"),"",_xlpm.x)),"")</f>
        <v>SLT-0041</v>
      </c>
      <c r="B40" s="147" t="str">
        <f t="array" ref="B40">IFERROR(_xlfn.LET(_xlpm.x,INDEX('Action Register'!$B$5:$B$104,_xlfn.AGGREGATE(15,6,(ROW('Action Register'!$B$5:$B$104)-ROW('Action Register'!$B$5)+1)/(('Action Register'!$B$5:$B$104&lt;&gt;"")*('Action Register'!$T$5:$T$104="ACTIVE")),18)),IF(OR(_xlpm.x=0,_xlpm.x="0",_xlpm.x="N/A"),"",_xlpm.x)),"")</f>
        <v>Quarterly Sysco Volume Accountability</v>
      </c>
      <c r="C40" s="147" t="str">
        <f t="array" ref="C40">IFERROR(_xlfn.LET(_xlpm.x,INDEX('Action Register'!$D$5:$D$104,_xlfn.AGGREGATE(15,6,(ROW('Action Register'!$B$5:$B$104)-ROW('Action Register'!$B$5)+1)/(('Action Register'!$B$5:$B$104&lt;&gt;"")*('Action Register'!$T$5:$T$104="ACTIVE")),18)),IF(OR(_xlpm.x=0,_xlpm.x="0",_xlpm.x="N/A"),"",_xlpm.x)),"")</f>
        <v>Tom</v>
      </c>
      <c r="D40" s="148">
        <f t="array" ref="D40">IFERROR(_xlfn.LET(_xlpm.x,INDEX('Action Register'!$F$5:$F$104,_xlfn.AGGREGATE(15,6,(ROW('Action Register'!$B$5:$B$104)-ROW('Action Register'!$B$5)+1)/(('Action Register'!$B$5:$B$104&lt;&gt;"")*('Action Register'!$T$5:$T$104="ACTIVE")),18)),IF(OR(_xlpm.x=0,_xlpm.x="0",_xlpm.x="N/A"),"",_xlpm.x)),"")</f>
        <v>46331</v>
      </c>
      <c r="E40" s="147" t="str">
        <f t="array" ref="E40">IFERROR(_xlfn.LET(_xlpm.x,INDEX('Action Register'!$G$5:$G$104,_xlfn.AGGREGATE(15,6,(ROW('Action Register'!$B$5:$B$104)-ROW('Action Register'!$B$5)+1)/(('Action Register'!$B$5:$B$104&lt;&gt;"")*('Action Register'!$T$5:$T$104="ACTIVE")),18)),IF(OR(_xlpm.x=0,_xlpm.x="0",_xlpm.x="N/A"),"",_xlpm.x)),"")</f>
        <v>Assigned</v>
      </c>
      <c r="F40" s="149" t="str">
        <f t="array" ref="F40">IFERROR(_xlfn.LET(_xlpm.x,INDEX('Action Register'!$H$5:$H$104,_xlfn.AGGREGATE(15,6,(ROW('Action Register'!$B$5:$B$104)-ROW('Action Register'!$B$5)+1)/(('Action Register'!$B$5:$B$104&lt;&gt;"")*('Action Register'!$T$5:$T$104="ACTIVE")),18)),IF(OR(_xlpm.x=0,_xlpm.x="0",_xlpm.x="N/A"),"",_xlpm.x)),"")</f>
        <v>Medium</v>
      </c>
      <c r="G40" s="149" t="str">
        <f t="array" ref="G40">IFERROR(_xlfn.LET(_xlpm.x,INDEX('Action Register'!$J$5:$J$104,_xlfn.AGGREGATE(15,6,(ROW('Action Register'!$B$5:$B$104)-ROW('Action Register'!$B$5)+1)/(('Action Register'!$B$5:$B$104&lt;&gt;"")*('Action Register'!$T$5:$T$104="ACTIVE")),18)),IF(OR(_xlpm.x=0,_xlpm.x="0",_xlpm.x="N/A"),"",_xlpm.x)),"")</f>
        <v>Medium</v>
      </c>
      <c r="H40" s="149" t="str">
        <f t="array" ref="H40">IFERROR(_xlfn.LET(_xlpm.x,INDEX('Action Register'!$L$5:$L$104,_xlfn.AGGREGATE(15,6,(ROW('Action Register'!$B$5:$B$104)-ROW('Action Register'!$B$5)+1)/(('Action Register'!$B$5:$B$104&lt;&gt;"")*('Action Register'!$T$5:$T$104="ACTIVE")),18)),IF(OR(_xlpm.x=0,_xlpm.x="0",_xlpm.x="N/A"),"",_xlpm.x)),"")</f>
        <v>No</v>
      </c>
      <c r="I40" s="149" t="str">
        <f t="array" ref="I40">IFERROR(_xlfn.LET(_xlpm.x,INDEX('Action Register'!$M$5:$M$104,_xlfn.AGGREGATE(15,6,(ROW('Action Register'!$B$5:$B$104)-ROW('Action Register'!$B$5)+1)/(('Action Register'!$B$5:$B$104&lt;&gt;"")*('Action Register'!$T$5:$T$104="ACTIVE")),18)),IF(OR(_xlpm.x=0,_xlpm.x="0",_xlpm.x="N/A"),"",_xlpm.x)),"")</f>
        <v/>
      </c>
      <c r="J40" s="149" t="str">
        <f t="array" ref="J40">IFERROR(_xlfn.LET(_xlpm.x,INDEX('Action Register'!$N$5:$N$104,_xlfn.AGGREGATE(15,6,(ROW('Action Register'!$B$5:$B$104)-ROW('Action Register'!$B$5)+1)/(('Action Register'!$B$5:$B$104&lt;&gt;"")*('Action Register'!$T$5:$T$104="ACTIVE")),18)),IF(OR(_xlpm.x=0,_xlpm.x="0",_xlpm.x="N/A"),"",_xlpm.x)),"")</f>
        <v/>
      </c>
      <c r="K40" s="148">
        <f t="array" ref="K40">IFERROR(_xlfn.LET(_xlpm.x,INDEX('Action Register'!$Q$5:$Q$104,_xlfn.AGGREGATE(15,6,(ROW('Action Register'!$B$5:$B$104)-ROW('Action Register'!$B$5)+1)/(('Action Register'!$B$5:$B$104&lt;&gt;"")*('Action Register'!$T$5:$T$104="ACTIVE")),18)),IF(OR(_xlpm.x=0,_xlpm.x="0",_xlpm.x="N/A"),"",_xlpm.x)),"")</f>
        <v>46286</v>
      </c>
      <c r="L40" s="148">
        <f t="array" ref="L40">IFERROR(_xlfn.LET(_xlpm.x,INDEX('Action Register'!$R$5:$R$104,_xlfn.AGGREGATE(15,6,(ROW('Action Register'!$B$5:$B$104)-ROW('Action Register'!$B$5)+1)/(('Action Register'!$B$5:$B$104&lt;&gt;"")*('Action Register'!$T$5:$T$104="ACTIVE")),18)),IF(OR(_xlpm.x=0,_xlpm.x="0",_xlpm.x="N/A"),"",_xlpm.x)),"")</f>
        <v>46292</v>
      </c>
    </row>
    <row r="41" spans="1:12" ht="156">
      <c r="A41" s="94" t="str">
        <f>IF(A40="","",A40&amp;" cont.")</f>
        <v>SLT-0041 cont.</v>
      </c>
      <c r="B41" s="150" t="str">
        <f t="array" ref="B41">IFERROR(_xlfn.LET(_xlpm.x,INDEX('Action Register'!$E$5:$E$104,_xlfn.AGGREGATE(15,6,(ROW('Action Register'!$B$5:$B$104)-ROW('Action Register'!$B$5)+1)/(('Action Register'!$B$5:$B$104&lt;&gt;"")*('Action Register'!$T$5:$T$104="ACTIVE")),18)),IF(OR(_xlpm.x=0,_xlpm.x="0",_xlpm.x="N/A"),"",_xlpm.x)),"")</f>
        <v>To reinstate the Quarterly volume tracking for Sysco/Popeyes and hold client accountable.
Update: Tom is participating in ongoing meetings with Jason to review volume forecasts and actual performance. Action item can be closed; volume performance will be shared with the team monthly at the Thursday Finance meeting.
Note: David and Enid track it and update it weekly on an Excel file.
Move item to Finance meeting, once per month. Add to the Agenda.</v>
      </c>
      <c r="C41" s="150" t="str">
        <f t="array" ref="C41">IFERROR(_xlfn.LET(_xlpm.x,INDEX('Action Register'!$C$5:$C$104,_xlfn.AGGREGATE(15,6,(ROW('Action Register'!$B$5:$B$104)-ROW('Action Register'!$B$5)+1)/(('Action Register'!$B$5:$B$104&lt;&gt;"")*('Action Register'!$T$5:$T$104="ACTIVE")),18)),IF(OR(_xlpm.x=0,_xlpm.x="0",_xlpm.x="N/A"),"",_xlpm.x)),"")</f>
        <v>Commercial</v>
      </c>
      <c r="D41" s="151" t="str">
        <f t="array" ref="D41">IFERROR(_xlfn.LET(_xlpm.x,INDEX('Action Register'!$K$5:$K$104,_xlfn.AGGREGATE(15,6,(ROW('Action Register'!$B$5:$B$104)-ROW('Action Register'!$B$5)+1)/(('Action Register'!$B$5:$B$104&lt;&gt;"")*('Action Register'!$T$5:$T$104="ACTIVE")),18)),IF(OR(_xlpm.x=0,_xlpm.x="0",_xlpm.x="N/A"),"",_xlpm.x)),"")</f>
        <v>Commercial Growth</v>
      </c>
      <c r="E41" s="150" t="str">
        <f t="array" ref="E41">IFERROR(_xlfn.LET(_xlpm.x,INDEX('Action Register'!$P$5:$P$104,_xlfn.AGGREGATE(15,6,(ROW('Action Register'!$B$5:$B$104)-ROW('Action Register'!$B$5)+1)/(('Action Register'!$B$5:$B$104&lt;&gt;"")*('Action Register'!$T$5:$T$104="ACTIVE")),18)),IF(OR(_xlpm.x=0,_xlpm.x="0",_xlpm.x="N/A"),"",_xlpm.x)),"")</f>
        <v/>
      </c>
      <c r="F41" s="150" t="str">
        <f t="array" ref="F41">IFERROR(_xlfn.LET(_xlpm.x,INDEX('Action Register'!$O$5:$O$104,_xlfn.AGGREGATE(15,6,(ROW('Action Register'!$B$5:$B$104)-ROW('Action Register'!$B$5)+1)/(('Action Register'!$B$5:$B$104&lt;&gt;"")*('Action Register'!$T$5:$T$104="ACTIVE")),18)),IF(OR(_xlpm.x=0,_xlpm.x="0",_xlpm.x="N/A"),"",_xlpm.x)),"")</f>
        <v/>
      </c>
      <c r="G41" s="150"/>
      <c r="H41" s="150"/>
      <c r="I41" s="150"/>
      <c r="J41" s="150"/>
      <c r="K41" s="151"/>
      <c r="L41" s="151"/>
    </row>
    <row r="42" spans="1:12">
      <c r="A42" s="93" t="str">
        <f t="array" ref="A42">IFERROR(_xlfn.LET(_xlpm.x,INDEX('Action Register'!$A$5:$A$104,_xlfn.AGGREGATE(15,6,(ROW('Action Register'!$B$5:$B$104)-ROW('Action Register'!$B$5)+1)/(('Action Register'!$B$5:$B$104&lt;&gt;"")*('Action Register'!$T$5:$T$104="ACTIVE")),19)),IF(OR(_xlpm.x=0,_xlpm.x="0",_xlpm.x="N/A"),"",_xlpm.x)),"")</f>
        <v>SLT-0042</v>
      </c>
      <c r="B42" s="152" t="str">
        <f t="array" ref="B42">IFERROR(_xlfn.LET(_xlpm.x,INDEX('Action Register'!$B$5:$B$104,_xlfn.AGGREGATE(15,6,(ROW('Action Register'!$B$5:$B$104)-ROW('Action Register'!$B$5)+1)/(('Action Register'!$B$5:$B$104&lt;&gt;"")*('Action Register'!$T$5:$T$104="ACTIVE")),19)),IF(OR(_xlpm.x=0,_xlpm.x="0",_xlpm.x="N/A"),"",_xlpm.x)),"")</f>
        <v>$700K Risk - Maple Leaf Insurance Claim Risk</v>
      </c>
      <c r="C42" s="152" t="str">
        <f t="array" ref="C42">IFERROR(_xlfn.LET(_xlpm.x,INDEX('Action Register'!$D$5:$D$104,_xlfn.AGGREGATE(15,6,(ROW('Action Register'!$B$5:$B$104)-ROW('Action Register'!$B$5)+1)/(('Action Register'!$B$5:$B$104&lt;&gt;"")*('Action Register'!$T$5:$T$104="ACTIVE")),19)),IF(OR(_xlpm.x=0,_xlpm.x="0",_xlpm.x="N/A"),"",_xlpm.x)),"")</f>
        <v>Dave</v>
      </c>
      <c r="D42" s="153">
        <f t="array" ref="D42">IFERROR(_xlfn.LET(_xlpm.x,INDEX('Action Register'!$F$5:$F$104,_xlfn.AGGREGATE(15,6,(ROW('Action Register'!$B$5:$B$104)-ROW('Action Register'!$B$5)+1)/(('Action Register'!$B$5:$B$104&lt;&gt;"")*('Action Register'!$T$5:$T$104="ACTIVE")),19)),IF(OR(_xlpm.x=0,_xlpm.x="0",_xlpm.x="N/A"),"",_xlpm.x)),"")</f>
        <v>46321</v>
      </c>
      <c r="E42" s="152" t="str">
        <f t="array" ref="E42">IFERROR(_xlfn.LET(_xlpm.x,INDEX('Action Register'!$G$5:$G$104,_xlfn.AGGREGATE(15,6,(ROW('Action Register'!$B$5:$B$104)-ROW('Action Register'!$B$5)+1)/(('Action Register'!$B$5:$B$104&lt;&gt;"")*('Action Register'!$T$5:$T$104="ACTIVE")),19)),IF(OR(_xlpm.x=0,_xlpm.x="0",_xlpm.x="N/A"),"",_xlpm.x)),"")</f>
        <v>In Progress</v>
      </c>
      <c r="F42" s="154" t="str">
        <f t="array" ref="F42">IFERROR(_xlfn.LET(_xlpm.x,INDEX('Action Register'!$H$5:$H$104,_xlfn.AGGREGATE(15,6,(ROW('Action Register'!$B$5:$B$104)-ROW('Action Register'!$B$5)+1)/(('Action Register'!$B$5:$B$104&lt;&gt;"")*('Action Register'!$T$5:$T$104="ACTIVE")),19)),IF(OR(_xlpm.x=0,_xlpm.x="0",_xlpm.x="N/A"),"",_xlpm.x)),"")</f>
        <v>High</v>
      </c>
      <c r="G42" s="154" t="str">
        <f t="array" ref="G42">IFERROR(_xlfn.LET(_xlpm.x,INDEX('Action Register'!$J$5:$J$104,_xlfn.AGGREGATE(15,6,(ROW('Action Register'!$B$5:$B$104)-ROW('Action Register'!$B$5)+1)/(('Action Register'!$B$5:$B$104&lt;&gt;"")*('Action Register'!$T$5:$T$104="ACTIVE")),19)),IF(OR(_xlpm.x=0,_xlpm.x="0",_xlpm.x="N/A"),"",_xlpm.x)),"")</f>
        <v>High</v>
      </c>
      <c r="H42" s="154" t="str">
        <f t="array" ref="H42">IFERROR(_xlfn.LET(_xlpm.x,INDEX('Action Register'!$L$5:$L$104,_xlfn.AGGREGATE(15,6,(ROW('Action Register'!$B$5:$B$104)-ROW('Action Register'!$B$5)+1)/(('Action Register'!$B$5:$B$104&lt;&gt;"")*('Action Register'!$T$5:$T$104="ACTIVE")),19)),IF(OR(_xlpm.x=0,_xlpm.x="0",_xlpm.x="N/A"),"",_xlpm.x)),"")</f>
        <v>Yes</v>
      </c>
      <c r="I42" s="154" t="str">
        <f t="array" ref="I42">IFERROR(_xlfn.LET(_xlpm.x,INDEX('Action Register'!$M$5:$M$104,_xlfn.AGGREGATE(15,6,(ROW('Action Register'!$B$5:$B$104)-ROW('Action Register'!$B$5)+1)/(('Action Register'!$B$5:$B$104&lt;&gt;"")*('Action Register'!$T$5:$T$104="ACTIVE")),19)),IF(OR(_xlpm.x=0,_xlpm.x="0",_xlpm.x="N/A"),"",_xlpm.x)),"")</f>
        <v>&gt;$250K</v>
      </c>
      <c r="J42" s="154" t="str">
        <f t="array" ref="J42">IFERROR(_xlfn.LET(_xlpm.x,INDEX('Action Register'!$N$5:$N$104,_xlfn.AGGREGATE(15,6,(ROW('Action Register'!$B$5:$B$104)-ROW('Action Register'!$B$5)+1)/(('Action Register'!$B$5:$B$104&lt;&gt;"")*('Action Register'!$T$5:$T$104="ACTIVE")),19)),IF(OR(_xlpm.x=0,_xlpm.x="0",_xlpm.x="N/A"),"",_xlpm.x)),"")</f>
        <v/>
      </c>
      <c r="K42" s="153" t="str">
        <f t="array" ref="K42">IFERROR(_xlfn.LET(_xlpm.x,INDEX('Action Register'!$Q$5:$Q$104,_xlfn.AGGREGATE(15,6,(ROW('Action Register'!$B$5:$B$104)-ROW('Action Register'!$B$5)+1)/(('Action Register'!$B$5:$B$104&lt;&gt;"")*('Action Register'!$T$5:$T$104="ACTIVE")),19)),IF(OR(_xlpm.x=0,_xlpm.x="0",_xlpm.x="N/A"),"",_xlpm.x)),"")</f>
        <v/>
      </c>
      <c r="L42" s="153">
        <f t="array" ref="L42">IFERROR(_xlfn.LET(_xlpm.x,INDEX('Action Register'!$R$5:$R$104,_xlfn.AGGREGATE(15,6,(ROW('Action Register'!$B$5:$B$104)-ROW('Action Register'!$B$5)+1)/(('Action Register'!$B$5:$B$104&lt;&gt;"")*('Action Register'!$T$5:$T$104="ACTIVE")),19)),IF(OR(_xlpm.x=0,_xlpm.x="0",_xlpm.x="N/A"),"",_xlpm.x)),"")</f>
        <v>46293</v>
      </c>
    </row>
    <row r="43" spans="1:12" ht="117">
      <c r="A43" s="92" t="str">
        <f>IF(A42="","",A42&amp;" cont.")</f>
        <v>SLT-0042 cont.</v>
      </c>
      <c r="B43" s="145" t="str">
        <f t="array" ref="B43">IFERROR(_xlfn.LET(_xlpm.x,INDEX('Action Register'!$E$5:$E$104,_xlfn.AGGREGATE(15,6,(ROW('Action Register'!$B$5:$B$104)-ROW('Action Register'!$B$5)+1)/(('Action Register'!$B$5:$B$104&lt;&gt;"")*('Action Register'!$T$5:$T$104="ACTIVE")),19)),IF(OR(_xlpm.x=0,_xlpm.x="0",_xlpm.x="N/A"),"",_xlpm.x)),"")</f>
        <v>Maple Leaf Claim – Request Meeting
If no substantive response received week of October 5, request a face-to-face meeting, scheduled about two weeks out.
Insurance claim remains under review and has not yet been approved.  Status/Risk: The amount remains recorded in the balance sheet. If unresolved by year-end, it will need to be brought to EBITDA.</v>
      </c>
      <c r="C43" s="145" t="str">
        <f t="array" ref="C43">IFERROR(_xlfn.LET(_xlpm.x,INDEX('Action Register'!$C$5:$C$104,_xlfn.AGGREGATE(15,6,(ROW('Action Register'!$B$5:$B$104)-ROW('Action Register'!$B$5)+1)/(('Action Register'!$B$5:$B$104&lt;&gt;"")*('Action Register'!$T$5:$T$104="ACTIVE")),19)),IF(OR(_xlpm.x=0,_xlpm.x="0",_xlpm.x="N/A"),"",_xlpm.x)),"")</f>
        <v>Risk &amp; Compliance</v>
      </c>
      <c r="D43" s="146" t="str">
        <f t="array" ref="D43">IFERROR(_xlfn.LET(_xlpm.x,INDEX('Action Register'!$K$5:$K$104,_xlfn.AGGREGATE(15,6,(ROW('Action Register'!$B$5:$B$104)-ROW('Action Register'!$B$5)+1)/(('Action Register'!$B$5:$B$104&lt;&gt;"")*('Action Register'!$T$5:$T$104="ACTIVE")),19)),IF(OR(_xlpm.x=0,_xlpm.x="0",_xlpm.x="N/A"),"",_xlpm.x)),"")</f>
        <v>Other</v>
      </c>
      <c r="E43" s="145" t="str">
        <f t="array" ref="E43">IFERROR(_xlfn.LET(_xlpm.x,INDEX('Action Register'!$P$5:$P$104,_xlfn.AGGREGATE(15,6,(ROW('Action Register'!$B$5:$B$104)-ROW('Action Register'!$B$5)+1)/(('Action Register'!$B$5:$B$104&lt;&gt;"")*('Action Register'!$T$5:$T$104="ACTIVE")),19)),IF(OR(_xlpm.x=0,_xlpm.x="0",_xlpm.x="N/A"),"",_xlpm.x)),"")</f>
        <v/>
      </c>
      <c r="F43" s="145" t="str">
        <f t="array" ref="F43">IFERROR(_xlfn.LET(_xlpm.x,INDEX('Action Register'!$O$5:$O$104,_xlfn.AGGREGATE(15,6,(ROW('Action Register'!$B$5:$B$104)-ROW('Action Register'!$B$5)+1)/(('Action Register'!$B$5:$B$104&lt;&gt;"")*('Action Register'!$T$5:$T$104="ACTIVE")),19)),IF(OR(_xlpm.x=0,_xlpm.x="0",_xlpm.x="N/A"),"",_xlpm.x)),"")</f>
        <v/>
      </c>
      <c r="G43" s="145"/>
      <c r="H43" s="145"/>
      <c r="I43" s="145"/>
      <c r="J43" s="145"/>
      <c r="K43" s="146"/>
      <c r="L43" s="146"/>
    </row>
    <row r="44" spans="1:12">
      <c r="A44" s="93" t="str">
        <f t="array" ref="A44">IFERROR(_xlfn.LET(_xlpm.x,INDEX('Action Register'!$A$5:$A$104,_xlfn.AGGREGATE(15,6,(ROW('Action Register'!$B$5:$B$104)-ROW('Action Register'!$B$5)+1)/(('Action Register'!$B$5:$B$104&lt;&gt;"")*('Action Register'!$T$5:$T$104="ACTIVE")),20)),IF(OR(_xlpm.x=0,_xlpm.x="0",_xlpm.x="N/A"),"",_xlpm.x)),"")</f>
        <v>SLT-0043</v>
      </c>
      <c r="B44" s="147" t="str">
        <f t="array" ref="B44">IFERROR(_xlfn.LET(_xlpm.x,INDEX('Action Register'!$B$5:$B$104,_xlfn.AGGREGATE(15,6,(ROW('Action Register'!$B$5:$B$104)-ROW('Action Register'!$B$5)+1)/(('Action Register'!$B$5:$B$104&lt;&gt;"")*('Action Register'!$T$5:$T$104="ACTIVE")),20)),IF(OR(_xlpm.x=0,_xlpm.x="0",_xlpm.x="N/A"),"",_xlpm.x)),"")</f>
        <v>$200K - Inventory issue from 2025 year-end</v>
      </c>
      <c r="C44" s="147" t="str">
        <f t="array" ref="C44">IFERROR(_xlfn.LET(_xlpm.x,INDEX('Action Register'!$D$5:$D$104,_xlfn.AGGREGATE(15,6,(ROW('Action Register'!$B$5:$B$104)-ROW('Action Register'!$B$5)+1)/(('Action Register'!$B$5:$B$104&lt;&gt;"")*('Action Register'!$T$5:$T$104="ACTIVE")),20)),IF(OR(_xlpm.x=0,_xlpm.x="0",_xlpm.x="N/A"),"",_xlpm.x)),"")</f>
        <v>Dave</v>
      </c>
      <c r="D44" s="148">
        <f t="array" ref="D44">IFERROR(_xlfn.LET(_xlpm.x,INDEX('Action Register'!$F$5:$F$104,_xlfn.AGGREGATE(15,6,(ROW('Action Register'!$B$5:$B$104)-ROW('Action Register'!$B$5)+1)/(('Action Register'!$B$5:$B$104&lt;&gt;"")*('Action Register'!$T$5:$T$104="ACTIVE")),20)),IF(OR(_xlpm.x=0,_xlpm.x="0",_xlpm.x="N/A"),"",_xlpm.x)),"")</f>
        <v>46321</v>
      </c>
      <c r="E44" s="147" t="str">
        <f t="array" ref="E44">IFERROR(_xlfn.LET(_xlpm.x,INDEX('Action Register'!$G$5:$G$104,_xlfn.AGGREGATE(15,6,(ROW('Action Register'!$B$5:$B$104)-ROW('Action Register'!$B$5)+1)/(('Action Register'!$B$5:$B$104&lt;&gt;"")*('Action Register'!$T$5:$T$104="ACTIVE")),20)),IF(OR(_xlpm.x=0,_xlpm.x="0",_xlpm.x="N/A"),"",_xlpm.x)),"")</f>
        <v>In Progress</v>
      </c>
      <c r="F44" s="149" t="str">
        <f t="array" ref="F44">IFERROR(_xlfn.LET(_xlpm.x,INDEX('Action Register'!$H$5:$H$104,_xlfn.AGGREGATE(15,6,(ROW('Action Register'!$B$5:$B$104)-ROW('Action Register'!$B$5)+1)/(('Action Register'!$B$5:$B$104&lt;&gt;"")*('Action Register'!$T$5:$T$104="ACTIVE")),20)),IF(OR(_xlpm.x=0,_xlpm.x="0",_xlpm.x="N/A"),"",_xlpm.x)),"")</f>
        <v>High</v>
      </c>
      <c r="G44" s="149" t="str">
        <f t="array" ref="G44">IFERROR(_xlfn.LET(_xlpm.x,INDEX('Action Register'!$J$5:$J$104,_xlfn.AGGREGATE(15,6,(ROW('Action Register'!$B$5:$B$104)-ROW('Action Register'!$B$5)+1)/(('Action Register'!$B$5:$B$104&lt;&gt;"")*('Action Register'!$T$5:$T$104="ACTIVE")),20)),IF(OR(_xlpm.x=0,_xlpm.x="0",_xlpm.x="N/A"),"",_xlpm.x)),"")</f>
        <v>High</v>
      </c>
      <c r="H44" s="149" t="str">
        <f t="array" ref="H44">IFERROR(_xlfn.LET(_xlpm.x,INDEX('Action Register'!$L$5:$L$104,_xlfn.AGGREGATE(15,6,(ROW('Action Register'!$B$5:$B$104)-ROW('Action Register'!$B$5)+1)/(('Action Register'!$B$5:$B$104&lt;&gt;"")*('Action Register'!$T$5:$T$104="ACTIVE")),20)),IF(OR(_xlpm.x=0,_xlpm.x="0",_xlpm.x="N/A"),"",_xlpm.x)),"")</f>
        <v>No</v>
      </c>
      <c r="I44" s="149" t="str">
        <f t="array" ref="I44">IFERROR(_xlfn.LET(_xlpm.x,INDEX('Action Register'!$M$5:$M$104,_xlfn.AGGREGATE(15,6,(ROW('Action Register'!$B$5:$B$104)-ROW('Action Register'!$B$5)+1)/(('Action Register'!$B$5:$B$104&lt;&gt;"")*('Action Register'!$T$5:$T$104="ACTIVE")),20)),IF(OR(_xlpm.x=0,_xlpm.x="0",_xlpm.x="N/A"),"",_xlpm.x)),"")</f>
        <v>$50K-$250K</v>
      </c>
      <c r="J44" s="149" t="str">
        <f t="array" ref="J44">IFERROR(_xlfn.LET(_xlpm.x,INDEX('Action Register'!$N$5:$N$104,_xlfn.AGGREGATE(15,6,(ROW('Action Register'!$B$5:$B$104)-ROW('Action Register'!$B$5)+1)/(('Action Register'!$B$5:$B$104&lt;&gt;"")*('Action Register'!$T$5:$T$104="ACTIVE")),20)),IF(OR(_xlpm.x=0,_xlpm.x="0",_xlpm.x="N/A"),"",_xlpm.x)),"")</f>
        <v/>
      </c>
      <c r="K44" s="148" t="str">
        <f t="array" ref="K44">IFERROR(_xlfn.LET(_xlpm.x,INDEX('Action Register'!$Q$5:$Q$104,_xlfn.AGGREGATE(15,6,(ROW('Action Register'!$B$5:$B$104)-ROW('Action Register'!$B$5)+1)/(('Action Register'!$B$5:$B$104&lt;&gt;"")*('Action Register'!$T$5:$T$104="ACTIVE")),20)),IF(OR(_xlpm.x=0,_xlpm.x="0",_xlpm.x="N/A"),"",_xlpm.x)),"")</f>
        <v/>
      </c>
      <c r="L44" s="148">
        <f t="array" ref="L44">IFERROR(_xlfn.LET(_xlpm.x,INDEX('Action Register'!$R$5:$R$104,_xlfn.AGGREGATE(15,6,(ROW('Action Register'!$B$5:$B$104)-ROW('Action Register'!$B$5)+1)/(('Action Register'!$B$5:$B$104&lt;&gt;"")*('Action Register'!$T$5:$T$104="ACTIVE")),20)),IF(OR(_xlpm.x=0,_xlpm.x="0",_xlpm.x="N/A"),"",_xlpm.x)),"")</f>
        <v>46300</v>
      </c>
    </row>
    <row r="45" spans="1:12" ht="52">
      <c r="A45" s="94" t="str">
        <f>IF(A44="","",A44&amp;" cont.")</f>
        <v>SLT-0043 cont.</v>
      </c>
      <c r="B45" s="150" t="str">
        <f t="array" ref="B45">IFERROR(_xlfn.LET(_xlpm.x,INDEX('Action Register'!$E$5:$E$104,_xlfn.AGGREGATE(15,6,(ROW('Action Register'!$B$5:$B$104)-ROW('Action Register'!$B$5)+1)/(('Action Register'!$B$5:$B$104&lt;&gt;"")*('Action Register'!$T$5:$T$104="ACTIVE")),20)),IF(OR(_xlpm.x=0,_xlpm.x="0",_xlpm.x="N/A"),"",_xlpm.x)),"")</f>
        <v xml:space="preserve">Remaining ~$90K of $200K has been identified and is planned for write-off in September, along with related month-end adjustments and invoice matching.
</v>
      </c>
      <c r="C45" s="150" t="str">
        <f t="array" ref="C45">IFERROR(_xlfn.LET(_xlpm.x,INDEX('Action Register'!$C$5:$C$104,_xlfn.AGGREGATE(15,6,(ROW('Action Register'!$B$5:$B$104)-ROW('Action Register'!$B$5)+1)/(('Action Register'!$B$5:$B$104&lt;&gt;"")*('Action Register'!$T$5:$T$104="ACTIVE")),20)),IF(OR(_xlpm.x=0,_xlpm.x="0",_xlpm.x="N/A"),"",_xlpm.x)),"")</f>
        <v>Other</v>
      </c>
      <c r="D45" s="151" t="str">
        <f t="array" ref="D45">IFERROR(_xlfn.LET(_xlpm.x,INDEX('Action Register'!$K$5:$K$104,_xlfn.AGGREGATE(15,6,(ROW('Action Register'!$B$5:$B$104)-ROW('Action Register'!$B$5)+1)/(('Action Register'!$B$5:$B$104&lt;&gt;"")*('Action Register'!$T$5:$T$104="ACTIVE")),20)),IF(OR(_xlpm.x=0,_xlpm.x="0",_xlpm.x="N/A"),"",_xlpm.x)),"")</f>
        <v>Other</v>
      </c>
      <c r="E45" s="150" t="str">
        <f t="array" ref="E45">IFERROR(_xlfn.LET(_xlpm.x,INDEX('Action Register'!$P$5:$P$104,_xlfn.AGGREGATE(15,6,(ROW('Action Register'!$B$5:$B$104)-ROW('Action Register'!$B$5)+1)/(('Action Register'!$B$5:$B$104&lt;&gt;"")*('Action Register'!$T$5:$T$104="ACTIVE")),20)),IF(OR(_xlpm.x=0,_xlpm.x="0",_xlpm.x="N/A"),"",_xlpm.x)),"")</f>
        <v>Resolve and record the $200K inventory variance from FY2025 year-end</v>
      </c>
      <c r="F45" s="150" t="str">
        <f t="array" ref="F45">IFERROR(_xlfn.LET(_xlpm.x,INDEX('Action Register'!$O$5:$O$104,_xlfn.AGGREGATE(15,6,(ROW('Action Register'!$B$5:$B$104)-ROW('Action Register'!$B$5)+1)/(('Action Register'!$B$5:$B$104&lt;&gt;"")*('Action Register'!$T$5:$T$104="ACTIVE")),20)),IF(OR(_xlpm.x=0,_xlpm.x="0",_xlpm.x="N/A"),"",_xlpm.x)),"")</f>
        <v/>
      </c>
      <c r="G45" s="150"/>
      <c r="H45" s="150"/>
      <c r="I45" s="150"/>
      <c r="J45" s="150"/>
      <c r="K45" s="151"/>
      <c r="L45" s="151"/>
    </row>
    <row r="46" spans="1:12" ht="26">
      <c r="A46" s="93" t="str">
        <f t="array" ref="A46">IFERROR(_xlfn.LET(_xlpm.x,INDEX('Action Register'!$A$5:$A$104,_xlfn.AGGREGATE(15,6,(ROW('Action Register'!$B$5:$B$104)-ROW('Action Register'!$B$5)+1)/(('Action Register'!$B$5:$B$104&lt;&gt;"")*('Action Register'!$T$5:$T$104="ACTIVE")),21)),IF(OR(_xlpm.x=0,_xlpm.x="0",_xlpm.x="N/A"),"",_xlpm.x)),"")</f>
        <v>SLT-0044</v>
      </c>
      <c r="B46" s="152" t="str">
        <f t="array" ref="B46">IFERROR(_xlfn.LET(_xlpm.x,INDEX('Action Register'!$B$5:$B$104,_xlfn.AGGREGATE(15,6,(ROW('Action Register'!$B$5:$B$104)-ROW('Action Register'!$B$5)+1)/(('Action Register'!$B$5:$B$104&lt;&gt;"")*('Action Register'!$T$5:$T$104="ACTIVE")),21)),IF(OR(_xlpm.x=0,_xlpm.x="0",_xlpm.x="N/A"),"",_xlpm.x)),"")</f>
        <v>DSI Machine (Camera) Root Cause Analysis ($80K value equipment)</v>
      </c>
      <c r="C46" s="152" t="str">
        <f t="array" ref="C46">IFERROR(_xlfn.LET(_xlpm.x,INDEX('Action Register'!$D$5:$D$104,_xlfn.AGGREGATE(15,6,(ROW('Action Register'!$B$5:$B$104)-ROW('Action Register'!$B$5)+1)/(('Action Register'!$B$5:$B$104&lt;&gt;"")*('Action Register'!$T$5:$T$104="ACTIVE")),21)),IF(OR(_xlpm.x=0,_xlpm.x="0",_xlpm.x="N/A"),"",_xlpm.x)),"")</f>
        <v>Adam</v>
      </c>
      <c r="D46" s="153">
        <f t="array" ref="D46">IFERROR(_xlfn.LET(_xlpm.x,INDEX('Action Register'!$F$5:$F$104,_xlfn.AGGREGATE(15,6,(ROW('Action Register'!$B$5:$B$104)-ROW('Action Register'!$B$5)+1)/(('Action Register'!$B$5:$B$104&lt;&gt;"")*('Action Register'!$T$5:$T$104="ACTIVE")),21)),IF(OR(_xlpm.x=0,_xlpm.x="0",_xlpm.x="N/A"),"",_xlpm.x)),"")</f>
        <v>46321</v>
      </c>
      <c r="E46" s="152" t="str">
        <f t="array" ref="E46">IFERROR(_xlfn.LET(_xlpm.x,INDEX('Action Register'!$G$5:$G$104,_xlfn.AGGREGATE(15,6,(ROW('Action Register'!$B$5:$B$104)-ROW('Action Register'!$B$5)+1)/(('Action Register'!$B$5:$B$104&lt;&gt;"")*('Action Register'!$T$5:$T$104="ACTIVE")),21)),IF(OR(_xlpm.x=0,_xlpm.x="0",_xlpm.x="N/A"),"",_xlpm.x)),"")</f>
        <v>In Progress</v>
      </c>
      <c r="F46" s="154" t="str">
        <f t="array" ref="F46">IFERROR(_xlfn.LET(_xlpm.x,INDEX('Action Register'!$H$5:$H$104,_xlfn.AGGREGATE(15,6,(ROW('Action Register'!$B$5:$B$104)-ROW('Action Register'!$B$5)+1)/(('Action Register'!$B$5:$B$104&lt;&gt;"")*('Action Register'!$T$5:$T$104="ACTIVE")),21)),IF(OR(_xlpm.x=0,_xlpm.x="0",_xlpm.x="N/A"),"",_xlpm.x)),"")</f>
        <v>Medium</v>
      </c>
      <c r="G46" s="154" t="str">
        <f t="array" ref="G46">IFERROR(_xlfn.LET(_xlpm.x,INDEX('Action Register'!$J$5:$J$104,_xlfn.AGGREGATE(15,6,(ROW('Action Register'!$B$5:$B$104)-ROW('Action Register'!$B$5)+1)/(('Action Register'!$B$5:$B$104&lt;&gt;"")*('Action Register'!$T$5:$T$104="ACTIVE")),21)),IF(OR(_xlpm.x=0,_xlpm.x="0",_xlpm.x="N/A"),"",_xlpm.x)),"")</f>
        <v>Medium</v>
      </c>
      <c r="H46" s="154" t="str">
        <f t="array" ref="H46">IFERROR(_xlfn.LET(_xlpm.x,INDEX('Action Register'!$L$5:$L$104,_xlfn.AGGREGATE(15,6,(ROW('Action Register'!$B$5:$B$104)-ROW('Action Register'!$B$5)+1)/(('Action Register'!$B$5:$B$104&lt;&gt;"")*('Action Register'!$T$5:$T$104="ACTIVE")),21)),IF(OR(_xlpm.x=0,_xlpm.x="0",_xlpm.x="N/A"),"",_xlpm.x)),"")</f>
        <v>Yes</v>
      </c>
      <c r="I46" s="154" t="str">
        <f t="array" ref="I46">IFERROR(_xlfn.LET(_xlpm.x,INDEX('Action Register'!$M$5:$M$104,_xlfn.AGGREGATE(15,6,(ROW('Action Register'!$B$5:$B$104)-ROW('Action Register'!$B$5)+1)/(('Action Register'!$B$5:$B$104&lt;&gt;"")*('Action Register'!$T$5:$T$104="ACTIVE")),21)),IF(OR(_xlpm.x=0,_xlpm.x="0",_xlpm.x="N/A"),"",_xlpm.x)),"")</f>
        <v>$50K-$250K</v>
      </c>
      <c r="J46" s="154" t="str">
        <f t="array" ref="J46">IFERROR(_xlfn.LET(_xlpm.x,INDEX('Action Register'!$N$5:$N$104,_xlfn.AGGREGATE(15,6,(ROW('Action Register'!$B$5:$B$104)-ROW('Action Register'!$B$5)+1)/(('Action Register'!$B$5:$B$104&lt;&gt;"")*('Action Register'!$T$5:$T$104="ACTIVE")),21)),IF(OR(_xlpm.x=0,_xlpm.x="0",_xlpm.x="N/A"),"",_xlpm.x)),"")</f>
        <v/>
      </c>
      <c r="K46" s="153" t="str">
        <f t="array" ref="K46">IFERROR(_xlfn.LET(_xlpm.x,INDEX('Action Register'!$Q$5:$Q$104,_xlfn.AGGREGATE(15,6,(ROW('Action Register'!$B$5:$B$104)-ROW('Action Register'!$B$5)+1)/(('Action Register'!$B$5:$B$104&lt;&gt;"")*('Action Register'!$T$5:$T$104="ACTIVE")),21)),IF(OR(_xlpm.x=0,_xlpm.x="0",_xlpm.x="N/A"),"",_xlpm.x)),"")</f>
        <v/>
      </c>
      <c r="L46" s="153" t="str">
        <f t="array" ref="L46">IFERROR(_xlfn.LET(_xlpm.x,INDEX('Action Register'!$R$5:$R$104,_xlfn.AGGREGATE(15,6,(ROW('Action Register'!$B$5:$B$104)-ROW('Action Register'!$B$5)+1)/(('Action Register'!$B$5:$B$104&lt;&gt;"")*('Action Register'!$T$5:$T$104="ACTIVE")),21)),IF(OR(_xlpm.x=0,_xlpm.x="0",_xlpm.x="N/A"),"",_xlpm.x)),"")</f>
        <v/>
      </c>
    </row>
    <row r="47" spans="1:12" ht="26">
      <c r="A47" s="92" t="str">
        <f>IF(A46="","",A46&amp;" cont.")</f>
        <v>SLT-0044 cont.</v>
      </c>
      <c r="B47" s="145" t="str">
        <f t="array" ref="B47">IFERROR(_xlfn.LET(_xlpm.x,INDEX('Action Register'!$E$5:$E$104,_xlfn.AGGREGATE(15,6,(ROW('Action Register'!$B$5:$B$104)-ROW('Action Register'!$B$5)+1)/(('Action Register'!$B$5:$B$104&lt;&gt;"")*('Action Register'!$T$5:$T$104="ACTIVE")),21)),IF(OR(_xlpm.x=0,_xlpm.x="0",_xlpm.x="N/A"),"",_xlpm.x)),"")</f>
        <v>Tatiana to complete Root Cause Analysis / Corrective Actions</v>
      </c>
      <c r="C47" s="145" t="str">
        <f t="array" ref="C47">IFERROR(_xlfn.LET(_xlpm.x,INDEX('Action Register'!$C$5:$C$104,_xlfn.AGGREGATE(15,6,(ROW('Action Register'!$B$5:$B$104)-ROW('Action Register'!$B$5)+1)/(('Action Register'!$B$5:$B$104&lt;&gt;"")*('Action Register'!$T$5:$T$104="ACTIVE")),21)),IF(OR(_xlpm.x=0,_xlpm.x="0",_xlpm.x="N/A"),"",_xlpm.x)),"")</f>
        <v>Operations</v>
      </c>
      <c r="D47" s="146" t="str">
        <f t="array" ref="D47">IFERROR(_xlfn.LET(_xlpm.x,INDEX('Action Register'!$K$5:$K$104,_xlfn.AGGREGATE(15,6,(ROW('Action Register'!$B$5:$B$104)-ROW('Action Register'!$B$5)+1)/(('Action Register'!$B$5:$B$104&lt;&gt;"")*('Action Register'!$T$5:$T$104="ACTIVE")),21)),IF(OR(_xlpm.x=0,_xlpm.x="0",_xlpm.x="N/A"),"",_xlpm.x)),"")</f>
        <v>Cost Reduction</v>
      </c>
      <c r="E47" s="145" t="str">
        <f t="array" ref="E47">IFERROR(_xlfn.LET(_xlpm.x,INDEX('Action Register'!$P$5:$P$104,_xlfn.AGGREGATE(15,6,(ROW('Action Register'!$B$5:$B$104)-ROW('Action Register'!$B$5)+1)/(('Action Register'!$B$5:$B$104&lt;&gt;"")*('Action Register'!$T$5:$T$104="ACTIVE")),21)),IF(OR(_xlpm.x=0,_xlpm.x="0",_xlpm.x="N/A"),"",_xlpm.x)),"")</f>
        <v/>
      </c>
      <c r="F47" s="145" t="str">
        <f t="array" ref="F47">IFERROR(_xlfn.LET(_xlpm.x,INDEX('Action Register'!$O$5:$O$104,_xlfn.AGGREGATE(15,6,(ROW('Action Register'!$B$5:$B$104)-ROW('Action Register'!$B$5)+1)/(('Action Register'!$B$5:$B$104&lt;&gt;"")*('Action Register'!$T$5:$T$104="ACTIVE")),21)),IF(OR(_xlpm.x=0,_xlpm.x="0",_xlpm.x="N/A"),"",_xlpm.x)),"")</f>
        <v/>
      </c>
      <c r="G47" s="145"/>
      <c r="H47" s="145"/>
      <c r="I47" s="145"/>
      <c r="J47" s="145"/>
      <c r="K47" s="146"/>
      <c r="L47" s="146"/>
    </row>
    <row r="48" spans="1:12">
      <c r="A48" s="93" t="str">
        <f t="array" ref="A48">IFERROR(_xlfn.LET(_xlpm.x,INDEX('Action Register'!$A$5:$A$104,_xlfn.AGGREGATE(15,6,(ROW('Action Register'!$B$5:$B$104)-ROW('Action Register'!$B$5)+1)/(('Action Register'!$B$5:$B$104&lt;&gt;"")*('Action Register'!$T$5:$T$104="ACTIVE")),22)),IF(OR(_xlpm.x=0,_xlpm.x="0",_xlpm.x="N/A"),"",_xlpm.x)),"")</f>
        <v>SLT-0045</v>
      </c>
      <c r="B48" s="147" t="str">
        <f t="array" ref="B48">IFERROR(_xlfn.LET(_xlpm.x,INDEX('Action Register'!$B$5:$B$104,_xlfn.AGGREGATE(15,6,(ROW('Action Register'!$B$5:$B$104)-ROW('Action Register'!$B$5)+1)/(('Action Register'!$B$5:$B$104&lt;&gt;"")*('Action Register'!$T$5:$T$104="ACTIVE")),22)),IF(OR(_xlpm.x=0,_xlpm.x="0",_xlpm.x="N/A"),"",_xlpm.x)),"")</f>
        <v>ASP Generator</v>
      </c>
      <c r="C48" s="147" t="str">
        <f t="array" ref="C48">IFERROR(_xlfn.LET(_xlpm.x,INDEX('Action Register'!$D$5:$D$104,_xlfn.AGGREGATE(15,6,(ROW('Action Register'!$B$5:$B$104)-ROW('Action Register'!$B$5)+1)/(('Action Register'!$B$5:$B$104&lt;&gt;"")*('Action Register'!$T$5:$T$104="ACTIVE")),22)),IF(OR(_xlpm.x=0,_xlpm.x="0",_xlpm.x="N/A"),"",_xlpm.x)),"")</f>
        <v>Adam</v>
      </c>
      <c r="D48" s="148">
        <f t="array" ref="D48">IFERROR(_xlfn.LET(_xlpm.x,INDEX('Action Register'!$F$5:$F$104,_xlfn.AGGREGATE(15,6,(ROW('Action Register'!$B$5:$B$104)-ROW('Action Register'!$B$5)+1)/(('Action Register'!$B$5:$B$104&lt;&gt;"")*('Action Register'!$T$5:$T$104="ACTIVE")),22)),IF(OR(_xlpm.x=0,_xlpm.x="0",_xlpm.x="N/A"),"",_xlpm.x)),"")</f>
        <v>46321</v>
      </c>
      <c r="E48" s="147" t="str">
        <f t="array" ref="E48">IFERROR(_xlfn.LET(_xlpm.x,INDEX('Action Register'!$G$5:$G$104,_xlfn.AGGREGATE(15,6,(ROW('Action Register'!$B$5:$B$104)-ROW('Action Register'!$B$5)+1)/(('Action Register'!$B$5:$B$104&lt;&gt;"")*('Action Register'!$T$5:$T$104="ACTIVE")),22)),IF(OR(_xlpm.x=0,_xlpm.x="0",_xlpm.x="N/A"),"",_xlpm.x)),"")</f>
        <v/>
      </c>
      <c r="F48" s="149" t="str">
        <f t="array" ref="F48">IFERROR(_xlfn.LET(_xlpm.x,INDEX('Action Register'!$H$5:$H$104,_xlfn.AGGREGATE(15,6,(ROW('Action Register'!$B$5:$B$104)-ROW('Action Register'!$B$5)+1)/(('Action Register'!$B$5:$B$104&lt;&gt;"")*('Action Register'!$T$5:$T$104="ACTIVE")),22)),IF(OR(_xlpm.x=0,_xlpm.x="0",_xlpm.x="N/A"),"",_xlpm.x)),"")</f>
        <v>Medium</v>
      </c>
      <c r="G48" s="149" t="str">
        <f t="array" ref="G48">IFERROR(_xlfn.LET(_xlpm.x,INDEX('Action Register'!$J$5:$J$104,_xlfn.AGGREGATE(15,6,(ROW('Action Register'!$B$5:$B$104)-ROW('Action Register'!$B$5)+1)/(('Action Register'!$B$5:$B$104&lt;&gt;"")*('Action Register'!$T$5:$T$104="ACTIVE")),22)),IF(OR(_xlpm.x=0,_xlpm.x="0",_xlpm.x="N/A"),"",_xlpm.x)),"")</f>
        <v>Medium</v>
      </c>
      <c r="H48" s="149" t="str">
        <f t="array" ref="H48">IFERROR(_xlfn.LET(_xlpm.x,INDEX('Action Register'!$L$5:$L$104,_xlfn.AGGREGATE(15,6,(ROW('Action Register'!$B$5:$B$104)-ROW('Action Register'!$B$5)+1)/(('Action Register'!$B$5:$B$104&lt;&gt;"")*('Action Register'!$T$5:$T$104="ACTIVE")),22)),IF(OR(_xlpm.x=0,_xlpm.x="0",_xlpm.x="N/A"),"",_xlpm.x)),"")</f>
        <v/>
      </c>
      <c r="I48" s="149" t="str">
        <f t="array" ref="I48">IFERROR(_xlfn.LET(_xlpm.x,INDEX('Action Register'!$M$5:$M$104,_xlfn.AGGREGATE(15,6,(ROW('Action Register'!$B$5:$B$104)-ROW('Action Register'!$B$5)+1)/(('Action Register'!$B$5:$B$104&lt;&gt;"")*('Action Register'!$T$5:$T$104="ACTIVE")),22)),IF(OR(_xlpm.x=0,_xlpm.x="0",_xlpm.x="N/A"),"",_xlpm.x)),"")</f>
        <v/>
      </c>
      <c r="J48" s="149" t="str">
        <f t="array" ref="J48">IFERROR(_xlfn.LET(_xlpm.x,INDEX('Action Register'!$N$5:$N$104,_xlfn.AGGREGATE(15,6,(ROW('Action Register'!$B$5:$B$104)-ROW('Action Register'!$B$5)+1)/(('Action Register'!$B$5:$B$104&lt;&gt;"")*('Action Register'!$T$5:$T$104="ACTIVE")),22)),IF(OR(_xlpm.x=0,_xlpm.x="0",_xlpm.x="N/A"),"",_xlpm.x)),"")</f>
        <v/>
      </c>
      <c r="K48" s="148" t="str">
        <f t="array" ref="K48">IFERROR(_xlfn.LET(_xlpm.x,INDEX('Action Register'!$Q$5:$Q$104,_xlfn.AGGREGATE(15,6,(ROW('Action Register'!$B$5:$B$104)-ROW('Action Register'!$B$5)+1)/(('Action Register'!$B$5:$B$104&lt;&gt;"")*('Action Register'!$T$5:$T$104="ACTIVE")),22)),IF(OR(_xlpm.x=0,_xlpm.x="0",_xlpm.x="N/A"),"",_xlpm.x)),"")</f>
        <v/>
      </c>
      <c r="L48" s="148" t="str">
        <f t="array" ref="L48">IFERROR(_xlfn.LET(_xlpm.x,INDEX('Action Register'!$R$5:$R$104,_xlfn.AGGREGATE(15,6,(ROW('Action Register'!$B$5:$B$104)-ROW('Action Register'!$B$5)+1)/(('Action Register'!$B$5:$B$104&lt;&gt;"")*('Action Register'!$T$5:$T$104="ACTIVE")),22)),IF(OR(_xlpm.x=0,_xlpm.x="0",_xlpm.x="N/A"),"",_xlpm.x)),"")</f>
        <v/>
      </c>
    </row>
    <row r="49" spans="1:12">
      <c r="A49" s="94" t="str">
        <f>IF(A48="","",A48&amp;" cont.")</f>
        <v>SLT-0045 cont.</v>
      </c>
      <c r="B49" s="150" t="str">
        <f t="array" ref="B49">IFERROR(_xlfn.LET(_xlpm.x,INDEX('Action Register'!$E$5:$E$104,_xlfn.AGGREGATE(15,6,(ROW('Action Register'!$B$5:$B$104)-ROW('Action Register'!$B$5)+1)/(('Action Register'!$B$5:$B$104&lt;&gt;"")*('Action Register'!$T$5:$T$104="ACTIVE")),22)),IF(OR(_xlpm.x=0,_xlpm.x="0",_xlpm.x="N/A"),"",_xlpm.x)),"")</f>
        <v>Address Issues</v>
      </c>
      <c r="C49" s="150" t="str">
        <f t="array" ref="C49">IFERROR(_xlfn.LET(_xlpm.x,INDEX('Action Register'!$C$5:$C$104,_xlfn.AGGREGATE(15,6,(ROW('Action Register'!$B$5:$B$104)-ROW('Action Register'!$B$5)+1)/(('Action Register'!$B$5:$B$104&lt;&gt;"")*('Action Register'!$T$5:$T$104="ACTIVE")),22)),IF(OR(_xlpm.x=0,_xlpm.x="0",_xlpm.x="N/A"),"",_xlpm.x)),"")</f>
        <v>Operations</v>
      </c>
      <c r="D49" s="151" t="str">
        <f t="array" ref="D49">IFERROR(_xlfn.LET(_xlpm.x,INDEX('Action Register'!$K$5:$K$104,_xlfn.AGGREGATE(15,6,(ROW('Action Register'!$B$5:$B$104)-ROW('Action Register'!$B$5)+1)/(('Action Register'!$B$5:$B$104&lt;&gt;"")*('Action Register'!$T$5:$T$104="ACTIVE")),22)),IF(OR(_xlpm.x=0,_xlpm.x="0",_xlpm.x="N/A"),"",_xlpm.x)),"")</f>
        <v/>
      </c>
      <c r="E49" s="150" t="str">
        <f t="array" ref="E49">IFERROR(_xlfn.LET(_xlpm.x,INDEX('Action Register'!$P$5:$P$104,_xlfn.AGGREGATE(15,6,(ROW('Action Register'!$B$5:$B$104)-ROW('Action Register'!$B$5)+1)/(('Action Register'!$B$5:$B$104&lt;&gt;"")*('Action Register'!$T$5:$T$104="ACTIVE")),22)),IF(OR(_xlpm.x=0,_xlpm.x="0",_xlpm.x="N/A"),"",_xlpm.x)),"")</f>
        <v/>
      </c>
      <c r="F49" s="150" t="str">
        <f t="array" ref="F49">IFERROR(_xlfn.LET(_xlpm.x,INDEX('Action Register'!$O$5:$O$104,_xlfn.AGGREGATE(15,6,(ROW('Action Register'!$B$5:$B$104)-ROW('Action Register'!$B$5)+1)/(('Action Register'!$B$5:$B$104&lt;&gt;"")*('Action Register'!$T$5:$T$104="ACTIVE")),22)),IF(OR(_xlpm.x=0,_xlpm.x="0",_xlpm.x="N/A"),"",_xlpm.x)),"")</f>
        <v/>
      </c>
      <c r="G49" s="150"/>
      <c r="H49" s="150"/>
      <c r="I49" s="150"/>
      <c r="J49" s="150"/>
      <c r="K49" s="151"/>
      <c r="L49" s="151"/>
    </row>
    <row r="50" spans="1:12">
      <c r="A50" s="93" t="str">
        <f t="array" ref="A50">IFERROR(_xlfn.LET(_xlpm.x,INDEX('Action Register'!$A$5:$A$104,_xlfn.AGGREGATE(15,6,(ROW('Action Register'!$B$5:$B$104)-ROW('Action Register'!$B$5)+1)/(('Action Register'!$B$5:$B$104&lt;&gt;"")*('Action Register'!$T$5:$T$104="ACTIVE")),23)),IF(OR(_xlpm.x=0,_xlpm.x="0",_xlpm.x="N/A"),"",_xlpm.x)),"")</f>
        <v>SLT-0048</v>
      </c>
      <c r="B50" s="152" t="str">
        <f t="array" ref="B50">IFERROR(_xlfn.LET(_xlpm.x,INDEX('Action Register'!$B$5:$B$104,_xlfn.AGGREGATE(15,6,(ROW('Action Register'!$B$5:$B$104)-ROW('Action Register'!$B$5)+1)/(('Action Register'!$B$5:$B$104&lt;&gt;"")*('Action Register'!$T$5:$T$104="ACTIVE")),23)),IF(OR(_xlpm.x=0,_xlpm.x="0",_xlpm.x="N/A"),"",_xlpm.x)),"")</f>
        <v xml:space="preserve">Sierra Reserved Parking Policy </v>
      </c>
      <c r="C50" s="152" t="str">
        <f t="array" ref="C50">IFERROR(_xlfn.LET(_xlpm.x,INDEX('Action Register'!$D$5:$D$104,_xlfn.AGGREGATE(15,6,(ROW('Action Register'!$B$5:$B$104)-ROW('Action Register'!$B$5)+1)/(('Action Register'!$B$5:$B$104&lt;&gt;"")*('Action Register'!$T$5:$T$104="ACTIVE")),23)),IF(OR(_xlpm.x=0,_xlpm.x="0",_xlpm.x="N/A"),"",_xlpm.x)),"")</f>
        <v>Gene</v>
      </c>
      <c r="D50" s="153">
        <f t="array" ref="D50">IFERROR(_xlfn.LET(_xlpm.x,INDEX('Action Register'!$F$5:$F$104,_xlfn.AGGREGATE(15,6,(ROW('Action Register'!$B$5:$B$104)-ROW('Action Register'!$B$5)+1)/(('Action Register'!$B$5:$B$104&lt;&gt;"")*('Action Register'!$T$5:$T$104="ACTIVE")),23)),IF(OR(_xlpm.x=0,_xlpm.x="0",_xlpm.x="N/A"),"",_xlpm.x)),"")</f>
        <v>46310</v>
      </c>
      <c r="E50" s="152" t="str">
        <f t="array" ref="E50">IFERROR(_xlfn.LET(_xlpm.x,INDEX('Action Register'!$G$5:$G$104,_xlfn.AGGREGATE(15,6,(ROW('Action Register'!$B$5:$B$104)-ROW('Action Register'!$B$5)+1)/(('Action Register'!$B$5:$B$104&lt;&gt;"")*('Action Register'!$T$5:$T$104="ACTIVE")),23)),IF(OR(_xlpm.x=0,_xlpm.x="0",_xlpm.x="N/A"),"",_xlpm.x)),"")</f>
        <v>In Progress</v>
      </c>
      <c r="F50" s="154" t="str">
        <f t="array" ref="F50">IFERROR(_xlfn.LET(_xlpm.x,INDEX('Action Register'!$H$5:$H$104,_xlfn.AGGREGATE(15,6,(ROW('Action Register'!$B$5:$B$104)-ROW('Action Register'!$B$5)+1)/(('Action Register'!$B$5:$B$104&lt;&gt;"")*('Action Register'!$T$5:$T$104="ACTIVE")),23)),IF(OR(_xlpm.x=0,_xlpm.x="0",_xlpm.x="N/A"),"",_xlpm.x)),"")</f>
        <v>Low</v>
      </c>
      <c r="G50" s="154" t="str">
        <f t="array" ref="G50">IFERROR(_xlfn.LET(_xlpm.x,INDEX('Action Register'!$J$5:$J$104,_xlfn.AGGREGATE(15,6,(ROW('Action Register'!$B$5:$B$104)-ROW('Action Register'!$B$5)+1)/(('Action Register'!$B$5:$B$104&lt;&gt;"")*('Action Register'!$T$5:$T$104="ACTIVE")),23)),IF(OR(_xlpm.x=0,_xlpm.x="0",_xlpm.x="N/A"),"",_xlpm.x)),"")</f>
        <v>Low</v>
      </c>
      <c r="H50" s="154" t="str">
        <f t="array" ref="H50">IFERROR(_xlfn.LET(_xlpm.x,INDEX('Action Register'!$L$5:$L$104,_xlfn.AGGREGATE(15,6,(ROW('Action Register'!$B$5:$B$104)-ROW('Action Register'!$B$5)+1)/(('Action Register'!$B$5:$B$104&lt;&gt;"")*('Action Register'!$T$5:$T$104="ACTIVE")),23)),IF(OR(_xlpm.x=0,_xlpm.x="0",_xlpm.x="N/A"),"",_xlpm.x)),"")</f>
        <v>No</v>
      </c>
      <c r="I50" s="154" t="str">
        <f t="array" ref="I50">IFERROR(_xlfn.LET(_xlpm.x,INDEX('Action Register'!$M$5:$M$104,_xlfn.AGGREGATE(15,6,(ROW('Action Register'!$B$5:$B$104)-ROW('Action Register'!$B$5)+1)/(('Action Register'!$B$5:$B$104&lt;&gt;"")*('Action Register'!$T$5:$T$104="ACTIVE")),23)),IF(OR(_xlpm.x=0,_xlpm.x="0",_xlpm.x="N/A"),"",_xlpm.x)),"")</f>
        <v>Unknown / TBD</v>
      </c>
      <c r="J50" s="154" t="str">
        <f t="array" ref="J50">IFERROR(_xlfn.LET(_xlpm.x,INDEX('Action Register'!$N$5:$N$104,_xlfn.AGGREGATE(15,6,(ROW('Action Register'!$B$5:$B$104)-ROW('Action Register'!$B$5)+1)/(('Action Register'!$B$5:$B$104&lt;&gt;"")*('Action Register'!$T$5:$T$104="ACTIVE")),23)),IF(OR(_xlpm.x=0,_xlpm.x="0",_xlpm.x="N/A"),"",_xlpm.x)),"")</f>
        <v/>
      </c>
      <c r="K50" s="153">
        <f t="array" ref="K50">IFERROR(_xlfn.LET(_xlpm.x,INDEX('Action Register'!$Q$5:$Q$104,_xlfn.AGGREGATE(15,6,(ROW('Action Register'!$B$5:$B$104)-ROW('Action Register'!$B$5)+1)/(('Action Register'!$B$5:$B$104&lt;&gt;"")*('Action Register'!$T$5:$T$104="ACTIVE")),23)),IF(OR(_xlpm.x=0,_xlpm.x="0",_xlpm.x="N/A"),"",_xlpm.x)),"")</f>
        <v>46230</v>
      </c>
      <c r="L50" s="153">
        <f t="array" ref="L50">IFERROR(_xlfn.LET(_xlpm.x,INDEX('Action Register'!$R$5:$R$104,_xlfn.AGGREGATE(15,6,(ROW('Action Register'!$B$5:$B$104)-ROW('Action Register'!$B$5)+1)/(('Action Register'!$B$5:$B$104&lt;&gt;"")*('Action Register'!$T$5:$T$104="ACTIVE")),23)),IF(OR(_xlpm.x=0,_xlpm.x="0",_xlpm.x="N/A"),"",_xlpm.x)),"")</f>
        <v>46300</v>
      </c>
    </row>
    <row r="51" spans="1:12" ht="26">
      <c r="A51" s="92" t="str">
        <f>IF(A50="","",A50&amp;" cont.")</f>
        <v>SLT-0048 cont.</v>
      </c>
      <c r="B51" s="145" t="str">
        <f t="array" ref="B51">IFERROR(_xlfn.LET(_xlpm.x,INDEX('Action Register'!$E$5:$E$104,_xlfn.AGGREGATE(15,6,(ROW('Action Register'!$B$5:$B$104)-ROW('Action Register'!$B$5)+1)/(('Action Register'!$B$5:$B$104&lt;&gt;"")*('Action Register'!$T$5:$T$104="ACTIVE")),23)),IF(OR(_xlpm.x=0,_xlpm.x="0",_xlpm.x="N/A"),"",_xlpm.x)),"")</f>
        <v>Develop and implement a reserved parking policy and procedures for the reserved parking spaces at Sierra.</v>
      </c>
      <c r="C51" s="145" t="str">
        <f t="array" ref="C51">IFERROR(_xlfn.LET(_xlpm.x,INDEX('Action Register'!$C$5:$C$104,_xlfn.AGGREGATE(15,6,(ROW('Action Register'!$B$5:$B$104)-ROW('Action Register'!$B$5)+1)/(('Action Register'!$B$5:$B$104&lt;&gt;"")*('Action Register'!$T$5:$T$104="ACTIVE")),23)),IF(OR(_xlpm.x=0,_xlpm.x="0",_xlpm.x="N/A"),"",_xlpm.x)),"")</f>
        <v>Sierra</v>
      </c>
      <c r="D51" s="146" t="str">
        <f t="array" ref="D51">IFERROR(_xlfn.LET(_xlpm.x,INDEX('Action Register'!$K$5:$K$104,_xlfn.AGGREGATE(15,6,(ROW('Action Register'!$B$5:$B$104)-ROW('Action Register'!$B$5)+1)/(('Action Register'!$B$5:$B$104&lt;&gt;"")*('Action Register'!$T$5:$T$104="ACTIVE")),23)),IF(OR(_xlpm.x=0,_xlpm.x="0",_xlpm.x="N/A"),"",_xlpm.x)),"")</f>
        <v>People &amp; Culture</v>
      </c>
      <c r="E51" s="145" t="str">
        <f t="array" ref="E51">IFERROR(_xlfn.LET(_xlpm.x,INDEX('Action Register'!$P$5:$P$104,_xlfn.AGGREGATE(15,6,(ROW('Action Register'!$B$5:$B$104)-ROW('Action Register'!$B$5)+1)/(('Action Register'!$B$5:$B$104&lt;&gt;"")*('Action Register'!$T$5:$T$104="ACTIVE")),23)),IF(OR(_xlpm.x=0,_xlpm.x="0",_xlpm.x="N/A"),"",_xlpm.x)),"")</f>
        <v/>
      </c>
      <c r="F51" s="145" t="str">
        <f t="array" ref="F51">IFERROR(_xlfn.LET(_xlpm.x,INDEX('Action Register'!$O$5:$O$104,_xlfn.AGGREGATE(15,6,(ROW('Action Register'!$B$5:$B$104)-ROW('Action Register'!$B$5)+1)/(('Action Register'!$B$5:$B$104&lt;&gt;"")*('Action Register'!$T$5:$T$104="ACTIVE")),23)),IF(OR(_xlpm.x=0,_xlpm.x="0",_xlpm.x="N/A"),"",_xlpm.x)),"")</f>
        <v/>
      </c>
      <c r="G51" s="145"/>
      <c r="H51" s="145"/>
      <c r="I51" s="145"/>
      <c r="J51" s="145"/>
      <c r="K51" s="146"/>
      <c r="L51" s="146"/>
    </row>
    <row r="52" spans="1:12">
      <c r="A52" s="93" t="str">
        <f t="array" ref="A52">IFERROR(_xlfn.LET(_xlpm.x,INDEX('Action Register'!$A$5:$A$104,_xlfn.AGGREGATE(15,6,(ROW('Action Register'!$B$5:$B$104)-ROW('Action Register'!$B$5)+1)/(('Action Register'!$B$5:$B$104&lt;&gt;"")*('Action Register'!$T$5:$T$104="ACTIVE")),24)),IF(OR(_xlpm.x=0,_xlpm.x="0",_xlpm.x="N/A"),"",_xlpm.x)),"")</f>
        <v>SLT-0049</v>
      </c>
      <c r="B52" s="147" t="str">
        <f t="array" ref="B52">IFERROR(_xlfn.LET(_xlpm.x,INDEX('Action Register'!$B$5:$B$104,_xlfn.AGGREGATE(15,6,(ROW('Action Register'!$B$5:$B$104)-ROW('Action Register'!$B$5)+1)/(('Action Register'!$B$5:$B$104&lt;&gt;"")*('Action Register'!$T$5:$T$104="ACTIVE")),24)),IF(OR(_xlpm.x=0,_xlpm.x="0",_xlpm.x="N/A"),"",_xlpm.x)),"")</f>
        <v>Talent Acquisition Resourcing Strategy</v>
      </c>
      <c r="C52" s="147" t="str">
        <f t="array" ref="C52">IFERROR(_xlfn.LET(_xlpm.x,INDEX('Action Register'!$D$5:$D$104,_xlfn.AGGREGATE(15,6,(ROW('Action Register'!$B$5:$B$104)-ROW('Action Register'!$B$5)+1)/(('Action Register'!$B$5:$B$104&lt;&gt;"")*('Action Register'!$T$5:$T$104="ACTIVE")),24)),IF(OR(_xlpm.x=0,_xlpm.x="0",_xlpm.x="N/A"),"",_xlpm.x)),"")</f>
        <v>Maurizio</v>
      </c>
      <c r="D52" s="148">
        <f t="array" ref="D52">IFERROR(_xlfn.LET(_xlpm.x,INDEX('Action Register'!$F$5:$F$104,_xlfn.AGGREGATE(15,6,(ROW('Action Register'!$B$5:$B$104)-ROW('Action Register'!$B$5)+1)/(('Action Register'!$B$5:$B$104&lt;&gt;"")*('Action Register'!$T$5:$T$104="ACTIVE")),24)),IF(OR(_xlpm.x=0,_xlpm.x="0",_xlpm.x="N/A"),"",_xlpm.x)),"")</f>
        <v>46321</v>
      </c>
      <c r="E52" s="147" t="str">
        <f t="array" ref="E52">IFERROR(_xlfn.LET(_xlpm.x,INDEX('Action Register'!$G$5:$G$104,_xlfn.AGGREGATE(15,6,(ROW('Action Register'!$B$5:$B$104)-ROW('Action Register'!$B$5)+1)/(('Action Register'!$B$5:$B$104&lt;&gt;"")*('Action Register'!$T$5:$T$104="ACTIVE")),24)),IF(OR(_xlpm.x=0,_xlpm.x="0",_xlpm.x="N/A"),"",_xlpm.x)),"")</f>
        <v>Waiting on Information</v>
      </c>
      <c r="F52" s="149" t="str">
        <f t="array" ref="F52">IFERROR(_xlfn.LET(_xlpm.x,INDEX('Action Register'!$H$5:$H$104,_xlfn.AGGREGATE(15,6,(ROW('Action Register'!$B$5:$B$104)-ROW('Action Register'!$B$5)+1)/(('Action Register'!$B$5:$B$104&lt;&gt;"")*('Action Register'!$T$5:$T$104="ACTIVE")),24)),IF(OR(_xlpm.x=0,_xlpm.x="0",_xlpm.x="N/A"),"",_xlpm.x)),"")</f>
        <v>Medium</v>
      </c>
      <c r="G52" s="149" t="str">
        <f t="array" ref="G52">IFERROR(_xlfn.LET(_xlpm.x,INDEX('Action Register'!$J$5:$J$104,_xlfn.AGGREGATE(15,6,(ROW('Action Register'!$B$5:$B$104)-ROW('Action Register'!$B$5)+1)/(('Action Register'!$B$5:$B$104&lt;&gt;"")*('Action Register'!$T$5:$T$104="ACTIVE")),24)),IF(OR(_xlpm.x=0,_xlpm.x="0",_xlpm.x="N/A"),"",_xlpm.x)),"")</f>
        <v>Medium</v>
      </c>
      <c r="H52" s="149" t="str">
        <f t="array" ref="H52">IFERROR(_xlfn.LET(_xlpm.x,INDEX('Action Register'!$L$5:$L$104,_xlfn.AGGREGATE(15,6,(ROW('Action Register'!$B$5:$B$104)-ROW('Action Register'!$B$5)+1)/(('Action Register'!$B$5:$B$104&lt;&gt;"")*('Action Register'!$T$5:$T$104="ACTIVE")),24)),IF(OR(_xlpm.x=0,_xlpm.x="0",_xlpm.x="N/A"),"",_xlpm.x)),"")</f>
        <v>No</v>
      </c>
      <c r="I52" s="149" t="str">
        <f t="array" ref="I52">IFERROR(_xlfn.LET(_xlpm.x,INDEX('Action Register'!$M$5:$M$104,_xlfn.AGGREGATE(15,6,(ROW('Action Register'!$B$5:$B$104)-ROW('Action Register'!$B$5)+1)/(('Action Register'!$B$5:$B$104&lt;&gt;"")*('Action Register'!$T$5:$T$104="ACTIVE")),24)),IF(OR(_xlpm.x=0,_xlpm.x="0",_xlpm.x="N/A"),"",_xlpm.x)),"")</f>
        <v>$50K-$250K</v>
      </c>
      <c r="J52" s="149" t="str">
        <f t="array" ref="J52">IFERROR(_xlfn.LET(_xlpm.x,INDEX('Action Register'!$N$5:$N$104,_xlfn.AGGREGATE(15,6,(ROW('Action Register'!$B$5:$B$104)-ROW('Action Register'!$B$5)+1)/(('Action Register'!$B$5:$B$104&lt;&gt;"")*('Action Register'!$T$5:$T$104="ACTIVE")),24)),IF(OR(_xlpm.x=0,_xlpm.x="0",_xlpm.x="N/A"),"",_xlpm.x)),"")</f>
        <v>HR Readiness</v>
      </c>
      <c r="K52" s="148">
        <f t="array" ref="K52">IFERROR(_xlfn.LET(_xlpm.x,INDEX('Action Register'!$Q$5:$Q$104,_xlfn.AGGREGATE(15,6,(ROW('Action Register'!$B$5:$B$104)-ROW('Action Register'!$B$5)+1)/(('Action Register'!$B$5:$B$104&lt;&gt;"")*('Action Register'!$T$5:$T$104="ACTIVE")),24)),IF(OR(_xlpm.x=0,_xlpm.x="0",_xlpm.x="N/A"),"",_xlpm.x)),"")</f>
        <v>46293</v>
      </c>
      <c r="L52" s="148">
        <f t="array" ref="L52">IFERROR(_xlfn.LET(_xlpm.x,INDEX('Action Register'!$R$5:$R$104,_xlfn.AGGREGATE(15,6,(ROW('Action Register'!$B$5:$B$104)-ROW('Action Register'!$B$5)+1)/(('Action Register'!$B$5:$B$104&lt;&gt;"")*('Action Register'!$T$5:$T$104="ACTIVE")),24)),IF(OR(_xlpm.x=0,_xlpm.x="0",_xlpm.x="N/A"),"",_xlpm.x)),"")</f>
        <v>46300</v>
      </c>
    </row>
    <row r="53" spans="1:12" ht="78">
      <c r="A53" s="94" t="str">
        <f>IF(A52="","",A52&amp;" cont.")</f>
        <v>SLT-0049 cont.</v>
      </c>
      <c r="B53" s="150" t="str">
        <f t="array" ref="B53">IFERROR(_xlfn.LET(_xlpm.x,INDEX('Action Register'!$E$5:$E$104,_xlfn.AGGREGATE(15,6,(ROW('Action Register'!$B$5:$B$104)-ROW('Action Register'!$B$5)+1)/(('Action Register'!$B$5:$B$104&lt;&gt;"")*('Action Register'!$T$5:$T$104="ACTIVE")),24)),IF(OR(_xlpm.x=0,_xlpm.x="0",_xlpm.x="N/A"),"",_xlpm.x)),"")</f>
        <v xml:space="preserve">
Complete a comparative assessment of internal talent acquisition capability versus external agency support, including hiring requirements, costs, timing, and ROI, and return with a recommendation for decision.</v>
      </c>
      <c r="C53" s="150" t="str">
        <f t="array" ref="C53">IFERROR(_xlfn.LET(_xlpm.x,INDEX('Action Register'!$C$5:$C$104,_xlfn.AGGREGATE(15,6,(ROW('Action Register'!$B$5:$B$104)-ROW('Action Register'!$B$5)+1)/(('Action Register'!$B$5:$B$104&lt;&gt;"")*('Action Register'!$T$5:$T$104="ACTIVE")),24)),IF(OR(_xlpm.x=0,_xlpm.x="0",_xlpm.x="N/A"),"",_xlpm.x)),"")</f>
        <v>Human Resources</v>
      </c>
      <c r="D53" s="151" t="str">
        <f t="array" ref="D53">IFERROR(_xlfn.LET(_xlpm.x,INDEX('Action Register'!$K$5:$K$104,_xlfn.AGGREGATE(15,6,(ROW('Action Register'!$B$5:$B$104)-ROW('Action Register'!$B$5)+1)/(('Action Register'!$B$5:$B$104&lt;&gt;"")*('Action Register'!$T$5:$T$104="ACTIVE")),24)),IF(OR(_xlpm.x=0,_xlpm.x="0",_xlpm.x="N/A"),"",_xlpm.x)),"")</f>
        <v>People &amp; Culture</v>
      </c>
      <c r="E53" s="150" t="str">
        <f t="array" ref="E53">IFERROR(_xlfn.LET(_xlpm.x,INDEX('Action Register'!$P$5:$P$104,_xlfn.AGGREGATE(15,6,(ROW('Action Register'!$B$5:$B$104)-ROW('Action Register'!$B$5)+1)/(('Action Register'!$B$5:$B$104&lt;&gt;"")*('Action Register'!$T$5:$T$104="ACTIVE")),24)),IF(OR(_xlpm.x=0,_xlpm.x="0",_xlpm.x="N/A"),"",_xlpm.x)),"")</f>
        <v/>
      </c>
      <c r="F53" s="150" t="str">
        <f t="array" ref="F53">IFERROR(_xlfn.LET(_xlpm.x,INDEX('Action Register'!$O$5:$O$104,_xlfn.AGGREGATE(15,6,(ROW('Action Register'!$B$5:$B$104)-ROW('Action Register'!$B$5)+1)/(('Action Register'!$B$5:$B$104&lt;&gt;"")*('Action Register'!$T$5:$T$104="ACTIVE")),24)),IF(OR(_xlpm.x=0,_xlpm.x="0",_xlpm.x="N/A"),"",_xlpm.x)),"")</f>
        <v>Waiting on Maurizio to provide information, cost analysis, option A &amp; B</v>
      </c>
      <c r="G53" s="150"/>
      <c r="H53" s="150"/>
      <c r="I53" s="150"/>
      <c r="J53" s="150"/>
      <c r="K53" s="151"/>
      <c r="L53" s="151"/>
    </row>
    <row r="54" spans="1:12">
      <c r="A54" s="93" t="str">
        <f t="array" ref="A54">IFERROR(_xlfn.LET(_xlpm.x,INDEX('Action Register'!$A$5:$A$104,_xlfn.AGGREGATE(15,6,(ROW('Action Register'!$B$5:$B$104)-ROW('Action Register'!$B$5)+1)/(('Action Register'!$B$5:$B$104&lt;&gt;"")*('Action Register'!$T$5:$T$104="ACTIVE")),25)),IF(OR(_xlpm.x=0,_xlpm.x="0",_xlpm.x="N/A"),"",_xlpm.x)),"")</f>
        <v>SLT-0050</v>
      </c>
      <c r="B54" s="152" t="str">
        <f t="array" ref="B54">IFERROR(_xlfn.LET(_xlpm.x,INDEX('Action Register'!$B$5:$B$104,_xlfn.AGGREGATE(15,6,(ROW('Action Register'!$B$5:$B$104)-ROW('Action Register'!$B$5)+1)/(('Action Register'!$B$5:$B$104&lt;&gt;"")*('Action Register'!$T$5:$T$104="ACTIVE")),25)),IF(OR(_xlpm.x=0,_xlpm.x="0",_xlpm.x="N/A"),"",_xlpm.x)),"")</f>
        <v>Plant Manager Weekly Operational Meetings</v>
      </c>
      <c r="C54" s="152" t="str">
        <f t="array" ref="C54">IFERROR(_xlfn.LET(_xlpm.x,INDEX('Action Register'!$D$5:$D$104,_xlfn.AGGREGATE(15,6,(ROW('Action Register'!$B$5:$B$104)-ROW('Action Register'!$B$5)+1)/(('Action Register'!$B$5:$B$104&lt;&gt;"")*('Action Register'!$T$5:$T$104="ACTIVE")),25)),IF(OR(_xlpm.x=0,_xlpm.x="0",_xlpm.x="N/A"),"",_xlpm.x)),"")</f>
        <v>Adam</v>
      </c>
      <c r="D54" s="153">
        <f t="array" ref="D54">IFERROR(_xlfn.LET(_xlpm.x,INDEX('Action Register'!$F$5:$F$104,_xlfn.AGGREGATE(15,6,(ROW('Action Register'!$B$5:$B$104)-ROW('Action Register'!$B$5)+1)/(('Action Register'!$B$5:$B$104&lt;&gt;"")*('Action Register'!$T$5:$T$104="ACTIVE")),25)),IF(OR(_xlpm.x=0,_xlpm.x="0",_xlpm.x="N/A"),"",_xlpm.x)),"")</f>
        <v>46321</v>
      </c>
      <c r="E54" s="152" t="str">
        <f t="array" ref="E54">IFERROR(_xlfn.LET(_xlpm.x,INDEX('Action Register'!$G$5:$G$104,_xlfn.AGGREGATE(15,6,(ROW('Action Register'!$B$5:$B$104)-ROW('Action Register'!$B$5)+1)/(('Action Register'!$B$5:$B$104&lt;&gt;"")*('Action Register'!$T$5:$T$104="ACTIVE")),25)),IF(OR(_xlpm.x=0,_xlpm.x="0",_xlpm.x="N/A"),"",_xlpm.x)),"")</f>
        <v>Assigned</v>
      </c>
      <c r="F54" s="154" t="str">
        <f t="array" ref="F54">IFERROR(_xlfn.LET(_xlpm.x,INDEX('Action Register'!$H$5:$H$104,_xlfn.AGGREGATE(15,6,(ROW('Action Register'!$B$5:$B$104)-ROW('Action Register'!$B$5)+1)/(('Action Register'!$B$5:$B$104&lt;&gt;"")*('Action Register'!$T$5:$T$104="ACTIVE")),25)),IF(OR(_xlpm.x=0,_xlpm.x="0",_xlpm.x="N/A"),"",_xlpm.x)),"")</f>
        <v>Medium</v>
      </c>
      <c r="G54" s="154" t="str">
        <f t="array" ref="G54">IFERROR(_xlfn.LET(_xlpm.x,INDEX('Action Register'!$J$5:$J$104,_xlfn.AGGREGATE(15,6,(ROW('Action Register'!$B$5:$B$104)-ROW('Action Register'!$B$5)+1)/(('Action Register'!$B$5:$B$104&lt;&gt;"")*('Action Register'!$T$5:$T$104="ACTIVE")),25)),IF(OR(_xlpm.x=0,_xlpm.x="0",_xlpm.x="N/A"),"",_xlpm.x)),"")</f>
        <v>Medium</v>
      </c>
      <c r="H54" s="154" t="str">
        <f t="array" ref="H54">IFERROR(_xlfn.LET(_xlpm.x,INDEX('Action Register'!$L$5:$L$104,_xlfn.AGGREGATE(15,6,(ROW('Action Register'!$B$5:$B$104)-ROW('Action Register'!$B$5)+1)/(('Action Register'!$B$5:$B$104&lt;&gt;"")*('Action Register'!$T$5:$T$104="ACTIVE")),25)),IF(OR(_xlpm.x=0,_xlpm.x="0",_xlpm.x="N/A"),"",_xlpm.x)),"")</f>
        <v>No</v>
      </c>
      <c r="I54" s="154" t="str">
        <f t="array" ref="I54">IFERROR(_xlfn.LET(_xlpm.x,INDEX('Action Register'!$M$5:$M$104,_xlfn.AGGREGATE(15,6,(ROW('Action Register'!$B$5:$B$104)-ROW('Action Register'!$B$5)+1)/(('Action Register'!$B$5:$B$104&lt;&gt;"")*('Action Register'!$T$5:$T$104="ACTIVE")),25)),IF(OR(_xlpm.x=0,_xlpm.x="0",_xlpm.x="N/A"),"",_xlpm.x)),"")</f>
        <v>Unknown / TBD</v>
      </c>
      <c r="J54" s="154" t="str">
        <f t="array" ref="J54">IFERROR(_xlfn.LET(_xlpm.x,INDEX('Action Register'!$N$5:$N$104,_xlfn.AGGREGATE(15,6,(ROW('Action Register'!$B$5:$B$104)-ROW('Action Register'!$B$5)+1)/(('Action Register'!$B$5:$B$104&lt;&gt;"")*('Action Register'!$T$5:$T$104="ACTIVE")),25)),IF(OR(_xlpm.x=0,_xlpm.x="0",_xlpm.x="N/A"),"",_xlpm.x)),"")</f>
        <v/>
      </c>
      <c r="K54" s="153">
        <f t="array" ref="K54">IFERROR(_xlfn.LET(_xlpm.x,INDEX('Action Register'!$Q$5:$Q$104,_xlfn.AGGREGATE(15,6,(ROW('Action Register'!$B$5:$B$104)-ROW('Action Register'!$B$5)+1)/(('Action Register'!$B$5:$B$104&lt;&gt;"")*('Action Register'!$T$5:$T$104="ACTIVE")),25)),IF(OR(_xlpm.x=0,_xlpm.x="0",_xlpm.x="N/A"),"",_xlpm.x)),"")</f>
        <v>46286</v>
      </c>
      <c r="L54" s="153">
        <f t="array" ref="L54">IFERROR(_xlfn.LET(_xlpm.x,INDEX('Action Register'!$R$5:$R$104,_xlfn.AGGREGATE(15,6,(ROW('Action Register'!$B$5:$B$104)-ROW('Action Register'!$B$5)+1)/(('Action Register'!$B$5:$B$104&lt;&gt;"")*('Action Register'!$T$5:$T$104="ACTIVE")),25)),IF(OR(_xlpm.x=0,_xlpm.x="0",_xlpm.x="N/A"),"",_xlpm.x)),"")</f>
        <v>46321</v>
      </c>
    </row>
    <row r="55" spans="1:12" ht="65">
      <c r="A55" s="92" t="str">
        <f>IF(A54="","",A54&amp;" cont.")</f>
        <v>SLT-0050 cont.</v>
      </c>
      <c r="B55" s="145" t="str">
        <f t="array" ref="B55">IFERROR(_xlfn.LET(_xlpm.x,INDEX('Action Register'!$E$5:$E$104,_xlfn.AGGREGATE(15,6,(ROW('Action Register'!$B$5:$B$104)-ROW('Action Register'!$B$5)+1)/(('Action Register'!$B$5:$B$104&lt;&gt;"")*('Action Register'!$T$5:$T$104="ACTIVE")),25)),IF(OR(_xlpm.x=0,_xlpm.x="0",_xlpm.x="N/A"),"",_xlpm.x)),"")</f>
        <v xml:space="preserve">
Define the metrics, data sources, and reporting expectations for Plant Manager participation in weekly operational meetings (to include FSQA, Operations and SLT). Target implementation: end of October.</v>
      </c>
      <c r="C55" s="145" t="str">
        <f t="array" ref="C55">IFERROR(_xlfn.LET(_xlpm.x,INDEX('Action Register'!$C$5:$C$104,_xlfn.AGGREGATE(15,6,(ROW('Action Register'!$B$5:$B$104)-ROW('Action Register'!$B$5)+1)/(('Action Register'!$B$5:$B$104&lt;&gt;"")*('Action Register'!$T$5:$T$104="ACTIVE")),25)),IF(OR(_xlpm.x=0,_xlpm.x="0",_xlpm.x="N/A"),"",_xlpm.x)),"")</f>
        <v>Operations</v>
      </c>
      <c r="D55" s="146" t="str">
        <f t="array" ref="D55">IFERROR(_xlfn.LET(_xlpm.x,INDEX('Action Register'!$K$5:$K$104,_xlfn.AGGREGATE(15,6,(ROW('Action Register'!$B$5:$B$104)-ROW('Action Register'!$B$5)+1)/(('Action Register'!$B$5:$B$104&lt;&gt;"")*('Action Register'!$T$5:$T$104="ACTIVE")),25)),IF(OR(_xlpm.x=0,_xlpm.x="0",_xlpm.x="N/A"),"",_xlpm.x)),"")</f>
        <v>Other</v>
      </c>
      <c r="E55" s="145" t="str">
        <f t="array" ref="E55">IFERROR(_xlfn.LET(_xlpm.x,INDEX('Action Register'!$P$5:$P$104,_xlfn.AGGREGATE(15,6,(ROW('Action Register'!$B$5:$B$104)-ROW('Action Register'!$B$5)+1)/(('Action Register'!$B$5:$B$104&lt;&gt;"")*('Action Register'!$T$5:$T$104="ACTIVE")),25)),IF(OR(_xlpm.x=0,_xlpm.x="0",_xlpm.x="N/A"),"",_xlpm.x)),"")</f>
        <v/>
      </c>
      <c r="F55" s="145" t="str">
        <f t="array" ref="F55">IFERROR(_xlfn.LET(_xlpm.x,INDEX('Action Register'!$O$5:$O$104,_xlfn.AGGREGATE(15,6,(ROW('Action Register'!$B$5:$B$104)-ROW('Action Register'!$B$5)+1)/(('Action Register'!$B$5:$B$104&lt;&gt;"")*('Action Register'!$T$5:$T$104="ACTIVE")),25)),IF(OR(_xlpm.x=0,_xlpm.x="0",_xlpm.x="N/A"),"",_xlpm.x)),"")</f>
        <v/>
      </c>
      <c r="G55" s="145"/>
      <c r="H55" s="145"/>
      <c r="I55" s="145"/>
      <c r="J55" s="145"/>
      <c r="K55" s="146"/>
      <c r="L55" s="146"/>
    </row>
    <row r="56" spans="1:12">
      <c r="A56" s="93" t="str">
        <f t="array" ref="A56">IFERROR(_xlfn.LET(_xlpm.x,INDEX('Action Register'!$A$5:$A$104,_xlfn.AGGREGATE(15,6,(ROW('Action Register'!$B$5:$B$104)-ROW('Action Register'!$B$5)+1)/(('Action Register'!$B$5:$B$104&lt;&gt;"")*('Action Register'!$T$5:$T$104="ACTIVE")),26)),IF(OR(_xlpm.x=0,_xlpm.x="0",_xlpm.x="N/A"),"",_xlpm.x)),"")</f>
        <v>SLT-0051</v>
      </c>
      <c r="B56" s="147" t="str">
        <f t="array" ref="B56">IFERROR(_xlfn.LET(_xlpm.x,INDEX('Action Register'!$B$5:$B$104,_xlfn.AGGREGATE(15,6,(ROW('Action Register'!$B$5:$B$104)-ROW('Action Register'!$B$5)+1)/(('Action Register'!$B$5:$B$104&lt;&gt;"")*('Action Register'!$T$5:$T$104="ACTIVE")),26)),IF(OR(_xlpm.x=0,_xlpm.x="0",_xlpm.x="N/A"),"",_xlpm.x)),"")</f>
        <v>Customer Invoice Pricing Discrepancies - London Drugs</v>
      </c>
      <c r="C56" s="147" t="str">
        <f t="array" ref="C56">IFERROR(_xlfn.LET(_xlpm.x,INDEX('Action Register'!$D$5:$D$104,_xlfn.AGGREGATE(15,6,(ROW('Action Register'!$B$5:$B$104)-ROW('Action Register'!$B$5)+1)/(('Action Register'!$B$5:$B$104&lt;&gt;"")*('Action Register'!$T$5:$T$104="ACTIVE")),26)),IF(OR(_xlpm.x=0,_xlpm.x="0",_xlpm.x="N/A"),"",_xlpm.x)),"")</f>
        <v>Dave</v>
      </c>
      <c r="D56" s="148">
        <f t="array" ref="D56">IFERROR(_xlfn.LET(_xlpm.x,INDEX('Action Register'!$F$5:$F$104,_xlfn.AGGREGATE(15,6,(ROW('Action Register'!$B$5:$B$104)-ROW('Action Register'!$B$5)+1)/(('Action Register'!$B$5:$B$104&lt;&gt;"")*('Action Register'!$T$5:$T$104="ACTIVE")),26)),IF(OR(_xlpm.x=0,_xlpm.x="0",_xlpm.x="N/A"),"",_xlpm.x)),"")</f>
        <v>46311</v>
      </c>
      <c r="E56" s="147" t="str">
        <f t="array" ref="E56">IFERROR(_xlfn.LET(_xlpm.x,INDEX('Action Register'!$G$5:$G$104,_xlfn.AGGREGATE(15,6,(ROW('Action Register'!$B$5:$B$104)-ROW('Action Register'!$B$5)+1)/(('Action Register'!$B$5:$B$104&lt;&gt;"")*('Action Register'!$T$5:$T$104="ACTIVE")),26)),IF(OR(_xlpm.x=0,_xlpm.x="0",_xlpm.x="N/A"),"",_xlpm.x)),"")</f>
        <v>In Progress</v>
      </c>
      <c r="F56" s="149" t="str">
        <f t="array" ref="F56">IFERROR(_xlfn.LET(_xlpm.x,INDEX('Action Register'!$H$5:$H$104,_xlfn.AGGREGATE(15,6,(ROW('Action Register'!$B$5:$B$104)-ROW('Action Register'!$B$5)+1)/(('Action Register'!$B$5:$B$104&lt;&gt;"")*('Action Register'!$T$5:$T$104="ACTIVE")),26)),IF(OR(_xlpm.x=0,_xlpm.x="0",_xlpm.x="N/A"),"",_xlpm.x)),"")</f>
        <v>High</v>
      </c>
      <c r="G56" s="149" t="str">
        <f t="array" ref="G56">IFERROR(_xlfn.LET(_xlpm.x,INDEX('Action Register'!$J$5:$J$104,_xlfn.AGGREGATE(15,6,(ROW('Action Register'!$B$5:$B$104)-ROW('Action Register'!$B$5)+1)/(('Action Register'!$B$5:$B$104&lt;&gt;"")*('Action Register'!$T$5:$T$104="ACTIVE")),26)),IF(OR(_xlpm.x=0,_xlpm.x="0",_xlpm.x="N/A"),"",_xlpm.x)),"")</f>
        <v>High</v>
      </c>
      <c r="H56" s="149" t="str">
        <f t="array" ref="H56">IFERROR(_xlfn.LET(_xlpm.x,INDEX('Action Register'!$L$5:$L$104,_xlfn.AGGREGATE(15,6,(ROW('Action Register'!$B$5:$B$104)-ROW('Action Register'!$B$5)+1)/(('Action Register'!$B$5:$B$104&lt;&gt;"")*('Action Register'!$T$5:$T$104="ACTIVE")),26)),IF(OR(_xlpm.x=0,_xlpm.x="0",_xlpm.x="N/A"),"",_xlpm.x)),"")</f>
        <v>No</v>
      </c>
      <c r="I56" s="149" t="str">
        <f t="array" ref="I56">IFERROR(_xlfn.LET(_xlpm.x,INDEX('Action Register'!$M$5:$M$104,_xlfn.AGGREGATE(15,6,(ROW('Action Register'!$B$5:$B$104)-ROW('Action Register'!$B$5)+1)/(('Action Register'!$B$5:$B$104&lt;&gt;"")*('Action Register'!$T$5:$T$104="ACTIVE")),26)),IF(OR(_xlpm.x=0,_xlpm.x="0",_xlpm.x="N/A"),"",_xlpm.x)),"")</f>
        <v>Unknown / TBD</v>
      </c>
      <c r="J56" s="149" t="str">
        <f t="array" ref="J56">IFERROR(_xlfn.LET(_xlpm.x,INDEX('Action Register'!$N$5:$N$104,_xlfn.AGGREGATE(15,6,(ROW('Action Register'!$B$5:$B$104)-ROW('Action Register'!$B$5)+1)/(('Action Register'!$B$5:$B$104&lt;&gt;"")*('Action Register'!$T$5:$T$104="ACTIVE")),26)),IF(OR(_xlpm.x=0,_xlpm.x="0",_xlpm.x="N/A"),"",_xlpm.x)),"")</f>
        <v/>
      </c>
      <c r="K56" s="148">
        <f t="array" ref="K56">IFERROR(_xlfn.LET(_xlpm.x,INDEX('Action Register'!$Q$5:$Q$104,_xlfn.AGGREGATE(15,6,(ROW('Action Register'!$B$5:$B$104)-ROW('Action Register'!$B$5)+1)/(('Action Register'!$B$5:$B$104&lt;&gt;"")*('Action Register'!$T$5:$T$104="ACTIVE")),26)),IF(OR(_xlpm.x=0,_xlpm.x="0",_xlpm.x="N/A"),"",_xlpm.x)),"")</f>
        <v>46301</v>
      </c>
      <c r="L56" s="148">
        <f t="array" ref="L56">IFERROR(_xlfn.LET(_xlpm.x,INDEX('Action Register'!$R$5:$R$104,_xlfn.AGGREGATE(15,6,(ROW('Action Register'!$B$5:$B$104)-ROW('Action Register'!$B$5)+1)/(('Action Register'!$B$5:$B$104&lt;&gt;"")*('Action Register'!$T$5:$T$104="ACTIVE")),26)),IF(OR(_xlpm.x=0,_xlpm.x="0",_xlpm.x="N/A"),"",_xlpm.x)),"")</f>
        <v>46307</v>
      </c>
    </row>
    <row r="57" spans="1:12" ht="39">
      <c r="A57" s="94" t="str">
        <f>IF(A56="","",A56&amp;" cont.")</f>
        <v>SLT-0051 cont.</v>
      </c>
      <c r="B57" s="150" t="str">
        <f t="array" ref="B57">IFERROR(_xlfn.LET(_xlpm.x,INDEX('Action Register'!$E$5:$E$104,_xlfn.AGGREGATE(15,6,(ROW('Action Register'!$B$5:$B$104)-ROW('Action Register'!$B$5)+1)/(('Action Register'!$B$5:$B$104&lt;&gt;"")*('Action Register'!$T$5:$T$104="ACTIVE")),26)),IF(OR(_xlpm.x=0,_xlpm.x="0",_xlpm.x="N/A"),"",_xlpm.x)),"")</f>
        <v xml:space="preserve">
Confirm the pricing issue with London was human error. Follow up required.</v>
      </c>
      <c r="C57" s="150" t="str">
        <f t="array" ref="C57">IFERROR(_xlfn.LET(_xlpm.x,INDEX('Action Register'!$C$5:$C$104,_xlfn.AGGREGATE(15,6,(ROW('Action Register'!$B$5:$B$104)-ROW('Action Register'!$B$5)+1)/(('Action Register'!$B$5:$B$104&lt;&gt;"")*('Action Register'!$T$5:$T$104="ACTIVE")),26)),IF(OR(_xlpm.x=0,_xlpm.x="0",_xlpm.x="N/A"),"",_xlpm.x)),"")</f>
        <v>Finance</v>
      </c>
      <c r="D57" s="151" t="str">
        <f t="array" ref="D57">IFERROR(_xlfn.LET(_xlpm.x,INDEX('Action Register'!$K$5:$K$104,_xlfn.AGGREGATE(15,6,(ROW('Action Register'!$B$5:$B$104)-ROW('Action Register'!$B$5)+1)/(('Action Register'!$B$5:$B$104&lt;&gt;"")*('Action Register'!$T$5:$T$104="ACTIVE")),26)),IF(OR(_xlpm.x=0,_xlpm.x="0",_xlpm.x="N/A"),"",_xlpm.x)),"")</f>
        <v>Other</v>
      </c>
      <c r="E57" s="150" t="str">
        <f t="array" ref="E57">IFERROR(_xlfn.LET(_xlpm.x,INDEX('Action Register'!$P$5:$P$104,_xlfn.AGGREGATE(15,6,(ROW('Action Register'!$B$5:$B$104)-ROW('Action Register'!$B$5)+1)/(('Action Register'!$B$5:$B$104&lt;&gt;"")*('Action Register'!$T$5:$T$104="ACTIVE")),26)),IF(OR(_xlpm.x=0,_xlpm.x="0",_xlpm.x="N/A"),"",_xlpm.x)),"")</f>
        <v/>
      </c>
      <c r="F57" s="150" t="str">
        <f t="array" ref="F57">IFERROR(_xlfn.LET(_xlpm.x,INDEX('Action Register'!$O$5:$O$104,_xlfn.AGGREGATE(15,6,(ROW('Action Register'!$B$5:$B$104)-ROW('Action Register'!$B$5)+1)/(('Action Register'!$B$5:$B$104&lt;&gt;"")*('Action Register'!$T$5:$T$104="ACTIVE")),26)),IF(OR(_xlpm.x=0,_xlpm.x="0",_xlpm.x="N/A"),"",_xlpm.x)),"")</f>
        <v/>
      </c>
      <c r="G57" s="150"/>
      <c r="H57" s="150"/>
      <c r="I57" s="150"/>
      <c r="J57" s="150"/>
      <c r="K57" s="151"/>
      <c r="L57" s="151"/>
    </row>
    <row r="58" spans="1:12" ht="26">
      <c r="A58" s="93" t="str">
        <f t="array" ref="A58">IFERROR(_xlfn.LET(_xlpm.x,INDEX('Action Register'!$A$5:$A$104,_xlfn.AGGREGATE(15,6,(ROW('Action Register'!$B$5:$B$104)-ROW('Action Register'!$B$5)+1)/(('Action Register'!$B$5:$B$104&lt;&gt;"")*('Action Register'!$T$5:$T$104="ACTIVE")),27)),IF(OR(_xlpm.x=0,_xlpm.x="0",_xlpm.x="N/A"),"",_xlpm.x)),"")</f>
        <v>SLT-0053</v>
      </c>
      <c r="B58" s="152" t="str">
        <f t="array" ref="B58">IFERROR(_xlfn.LET(_xlpm.x,INDEX('Action Register'!$B$5:$B$104,_xlfn.AGGREGATE(15,6,(ROW('Action Register'!$B$5:$B$104)-ROW('Action Register'!$B$5)+1)/(('Action Register'!$B$5:$B$104&lt;&gt;"")*('Action Register'!$T$5:$T$104="ACTIVE")),27)),IF(OR(_xlpm.x=0,_xlpm.x="0",_xlpm.x="N/A"),"",_xlpm.x)),"")</f>
        <v>Analysis of Quota for 2027 – Impact of Redirecting Quota from Popeyes to Alternative Channels</v>
      </c>
      <c r="C58" s="152" t="str">
        <f t="array" ref="C58">IFERROR(_xlfn.LET(_xlpm.x,INDEX('Action Register'!$D$5:$D$104,_xlfn.AGGREGATE(15,6,(ROW('Action Register'!$B$5:$B$104)-ROW('Action Register'!$B$5)+1)/(('Action Register'!$B$5:$B$104&lt;&gt;"")*('Action Register'!$T$5:$T$104="ACTIVE")),27)),IF(OR(_xlpm.x=0,_xlpm.x="0",_xlpm.x="N/A"),"",_xlpm.x)),"")</f>
        <v>Tom</v>
      </c>
      <c r="D58" s="153">
        <f t="array" ref="D58">IFERROR(_xlfn.LET(_xlpm.x,INDEX('Action Register'!$F$5:$F$104,_xlfn.AGGREGATE(15,6,(ROW('Action Register'!$B$5:$B$104)-ROW('Action Register'!$B$5)+1)/(('Action Register'!$B$5:$B$104&lt;&gt;"")*('Action Register'!$T$5:$T$104="ACTIVE")),27)),IF(OR(_xlpm.x=0,_xlpm.x="0",_xlpm.x="N/A"),"",_xlpm.x)),"")</f>
        <v>46377</v>
      </c>
      <c r="E58" s="152" t="str">
        <f t="array" ref="E58">IFERROR(_xlfn.LET(_xlpm.x,INDEX('Action Register'!$G$5:$G$104,_xlfn.AGGREGATE(15,6,(ROW('Action Register'!$B$5:$B$104)-ROW('Action Register'!$B$5)+1)/(('Action Register'!$B$5:$B$104&lt;&gt;"")*('Action Register'!$T$5:$T$104="ACTIVE")),27)),IF(OR(_xlpm.x=0,_xlpm.x="0",_xlpm.x="N/A"),"",_xlpm.x)),"")</f>
        <v>Visibility Only</v>
      </c>
      <c r="F58" s="154" t="str">
        <f t="array" ref="F58">IFERROR(_xlfn.LET(_xlpm.x,INDEX('Action Register'!$H$5:$H$104,_xlfn.AGGREGATE(15,6,(ROW('Action Register'!$B$5:$B$104)-ROW('Action Register'!$B$5)+1)/(('Action Register'!$B$5:$B$104&lt;&gt;"")*('Action Register'!$T$5:$T$104="ACTIVE")),27)),IF(OR(_xlpm.x=0,_xlpm.x="0",_xlpm.x="N/A"),"",_xlpm.x)),"")</f>
        <v>Medium</v>
      </c>
      <c r="G58" s="154" t="str">
        <f t="array" ref="G58">IFERROR(_xlfn.LET(_xlpm.x,INDEX('Action Register'!$J$5:$J$104,_xlfn.AGGREGATE(15,6,(ROW('Action Register'!$B$5:$B$104)-ROW('Action Register'!$B$5)+1)/(('Action Register'!$B$5:$B$104&lt;&gt;"")*('Action Register'!$T$5:$T$104="ACTIVE")),27)),IF(OR(_xlpm.x=0,_xlpm.x="0",_xlpm.x="N/A"),"",_xlpm.x)),"")</f>
        <v>Medium</v>
      </c>
      <c r="H58" s="154" t="str">
        <f t="array" ref="H58">IFERROR(_xlfn.LET(_xlpm.x,INDEX('Action Register'!$L$5:$L$104,_xlfn.AGGREGATE(15,6,(ROW('Action Register'!$B$5:$B$104)-ROW('Action Register'!$B$5)+1)/(('Action Register'!$B$5:$B$104&lt;&gt;"")*('Action Register'!$T$5:$T$104="ACTIVE")),27)),IF(OR(_xlpm.x=0,_xlpm.x="0",_xlpm.x="N/A"),"",_xlpm.x)),"")</f>
        <v>No</v>
      </c>
      <c r="I58" s="154" t="str">
        <f t="array" ref="I58">IFERROR(_xlfn.LET(_xlpm.x,INDEX('Action Register'!$M$5:$M$104,_xlfn.AGGREGATE(15,6,(ROW('Action Register'!$B$5:$B$104)-ROW('Action Register'!$B$5)+1)/(('Action Register'!$B$5:$B$104&lt;&gt;"")*('Action Register'!$T$5:$T$104="ACTIVE")),27)),IF(OR(_xlpm.x=0,_xlpm.x="0",_xlpm.x="N/A"),"",_xlpm.x)),"")</f>
        <v>Unknown / TBD</v>
      </c>
      <c r="J58" s="154" t="str">
        <f t="array" ref="J58">IFERROR(_xlfn.LET(_xlpm.x,INDEX('Action Register'!$N$5:$N$104,_xlfn.AGGREGATE(15,6,(ROW('Action Register'!$B$5:$B$104)-ROW('Action Register'!$B$5)+1)/(('Action Register'!$B$5:$B$104&lt;&gt;"")*('Action Register'!$T$5:$T$104="ACTIVE")),27)),IF(OR(_xlpm.x=0,_xlpm.x="0",_xlpm.x="N/A"),"",_xlpm.x)),"")</f>
        <v/>
      </c>
      <c r="K58" s="153">
        <f t="array" ref="K58">IFERROR(_xlfn.LET(_xlpm.x,INDEX('Action Register'!$Q$5:$Q$104,_xlfn.AGGREGATE(15,6,(ROW('Action Register'!$B$5:$B$104)-ROW('Action Register'!$B$5)+1)/(('Action Register'!$B$5:$B$104&lt;&gt;"")*('Action Register'!$T$5:$T$104="ACTIVE")),27)),IF(OR(_xlpm.x=0,_xlpm.x="0",_xlpm.x="N/A"),"",_xlpm.x)),"")</f>
        <v>46265</v>
      </c>
      <c r="L58" s="153">
        <f t="array" ref="L58">IFERROR(_xlfn.LET(_xlpm.x,INDEX('Action Register'!$R$5:$R$104,_xlfn.AGGREGATE(15,6,(ROW('Action Register'!$B$5:$B$104)-ROW('Action Register'!$B$5)+1)/(('Action Register'!$B$5:$B$104&lt;&gt;"")*('Action Register'!$T$5:$T$104="ACTIVE")),27)),IF(OR(_xlpm.x=0,_xlpm.x="0",_xlpm.x="N/A"),"",_xlpm.x)),"")</f>
        <v>46307</v>
      </c>
    </row>
    <row r="59" spans="1:12" ht="104">
      <c r="A59" s="92" t="str">
        <f>IF(A58="","",A58&amp;" cont.")</f>
        <v>SLT-0053 cont.</v>
      </c>
      <c r="B59" s="145" t="str">
        <f t="array" ref="B59">IFERROR(_xlfn.LET(_xlpm.x,INDEX('Action Register'!$E$5:$E$104,_xlfn.AGGREGATE(15,6,(ROW('Action Register'!$B$5:$B$104)-ROW('Action Register'!$B$5)+1)/(('Action Register'!$B$5:$B$104&lt;&gt;"")*('Action Register'!$T$5:$T$104="ACTIVE")),27)),IF(OR(_xlpm.x=0,_xlpm.x="0",_xlpm.x="N/A"),"",_xlpm.x)),"")</f>
        <v>Perform analysis to evaluate the financial impact of reallocating quota from Popeyes to alternative channels (e.g. Loblaws feature programs or other customers).
Assess contribution margin, capacity utilization, white meat optimization, and overall profitability to determine the highest-value use of quota for 2027 planning.
Ongoing</v>
      </c>
      <c r="C59" s="145" t="str">
        <f t="array" ref="C59">IFERROR(_xlfn.LET(_xlpm.x,INDEX('Action Register'!$C$5:$C$104,_xlfn.AGGREGATE(15,6,(ROW('Action Register'!$B$5:$B$104)-ROW('Action Register'!$B$5)+1)/(('Action Register'!$B$5:$B$104&lt;&gt;"")*('Action Register'!$T$5:$T$104="ACTIVE")),27)),IF(OR(_xlpm.x=0,_xlpm.x="0",_xlpm.x="N/A"),"",_xlpm.x)),"")</f>
        <v>Commercial</v>
      </c>
      <c r="D59" s="146" t="str">
        <f t="array" ref="D59">IFERROR(_xlfn.LET(_xlpm.x,INDEX('Action Register'!$K$5:$K$104,_xlfn.AGGREGATE(15,6,(ROW('Action Register'!$B$5:$B$104)-ROW('Action Register'!$B$5)+1)/(('Action Register'!$B$5:$B$104&lt;&gt;"")*('Action Register'!$T$5:$T$104="ACTIVE")),27)),IF(OR(_xlpm.x=0,_xlpm.x="0",_xlpm.x="N/A"),"",_xlpm.x)),"")</f>
        <v>Commercial Growth</v>
      </c>
      <c r="E59" s="145" t="str">
        <f t="array" ref="E59">IFERROR(_xlfn.LET(_xlpm.x,INDEX('Action Register'!$P$5:$P$104,_xlfn.AGGREGATE(15,6,(ROW('Action Register'!$B$5:$B$104)-ROW('Action Register'!$B$5)+1)/(('Action Register'!$B$5:$B$104&lt;&gt;"")*('Action Register'!$T$5:$T$104="ACTIVE")),27)),IF(OR(_xlpm.x=0,_xlpm.x="0",_xlpm.x="N/A"),"",_xlpm.x)),"")</f>
        <v/>
      </c>
      <c r="F59" s="145" t="str">
        <f t="array" ref="F59">IFERROR(_xlfn.LET(_xlpm.x,INDEX('Action Register'!$O$5:$O$104,_xlfn.AGGREGATE(15,6,(ROW('Action Register'!$B$5:$B$104)-ROW('Action Register'!$B$5)+1)/(('Action Register'!$B$5:$B$104&lt;&gt;"")*('Action Register'!$T$5:$T$104="ACTIVE")),27)),IF(OR(_xlpm.x=0,_xlpm.x="0",_xlpm.x="N/A"),"",_xlpm.x)),"")</f>
        <v/>
      </c>
      <c r="G59" s="145"/>
      <c r="H59" s="145"/>
      <c r="I59" s="145"/>
      <c r="J59" s="145"/>
      <c r="K59" s="146"/>
      <c r="L59" s="146"/>
    </row>
    <row r="60" spans="1:12">
      <c r="A60" s="93" t="str">
        <f t="array" ref="A60">IFERROR(_xlfn.LET(_xlpm.x,INDEX('Action Register'!$A$5:$A$104,_xlfn.AGGREGATE(15,6,(ROW('Action Register'!$B$5:$B$104)-ROW('Action Register'!$B$5)+1)/(('Action Register'!$B$5:$B$104&lt;&gt;"")*('Action Register'!$T$5:$T$104="ACTIVE")),28)),IF(OR(_xlpm.x=0,_xlpm.x="0",_xlpm.x="N/A"),"",_xlpm.x)),"")</f>
        <v>SLT-0054</v>
      </c>
      <c r="B60" s="147" t="str">
        <f t="array" ref="B60">IFERROR(_xlfn.LET(_xlpm.x,INDEX('Action Register'!$B$5:$B$104,_xlfn.AGGREGATE(15,6,(ROW('Action Register'!$B$5:$B$104)-ROW('Action Register'!$B$5)+1)/(('Action Register'!$B$5:$B$104&lt;&gt;"")*('Action Register'!$T$5:$T$104="ACTIVE")),28)),IF(OR(_xlpm.x=0,_xlpm.x="0",_xlpm.x="N/A"),"",_xlpm.x)),"")</f>
        <v>Vacation and Blackout Period Planning</v>
      </c>
      <c r="C60" s="147" t="str">
        <f t="array" ref="C60">IFERROR(_xlfn.LET(_xlpm.x,INDEX('Action Register'!$D$5:$D$104,_xlfn.AGGREGATE(15,6,(ROW('Action Register'!$B$5:$B$104)-ROW('Action Register'!$B$5)+1)/(('Action Register'!$B$5:$B$104&lt;&gt;"")*('Action Register'!$T$5:$T$104="ACTIVE")),28)),IF(OR(_xlpm.x=0,_xlpm.x="0",_xlpm.x="N/A"),"",_xlpm.x)),"")</f>
        <v>Gene</v>
      </c>
      <c r="D60" s="148">
        <f t="array" ref="D60">IFERROR(_xlfn.LET(_xlpm.x,INDEX('Action Register'!$F$5:$F$104,_xlfn.AGGREGATE(15,6,(ROW('Action Register'!$B$5:$B$104)-ROW('Action Register'!$B$5)+1)/(('Action Register'!$B$5:$B$104&lt;&gt;"")*('Action Register'!$T$5:$T$104="ACTIVE")),28)),IF(OR(_xlpm.x=0,_xlpm.x="0",_xlpm.x="N/A"),"",_xlpm.x)),"")</f>
        <v>46304</v>
      </c>
      <c r="E60" s="147" t="str">
        <f t="array" ref="E60">IFERROR(_xlfn.LET(_xlpm.x,INDEX('Action Register'!$G$5:$G$104,_xlfn.AGGREGATE(15,6,(ROW('Action Register'!$B$5:$B$104)-ROW('Action Register'!$B$5)+1)/(('Action Register'!$B$5:$B$104&lt;&gt;"")*('Action Register'!$T$5:$T$104="ACTIVE")),28)),IF(OR(_xlpm.x=0,_xlpm.x="0",_xlpm.x="N/A"),"",_xlpm.x)),"")</f>
        <v>In Progress</v>
      </c>
      <c r="F60" s="149" t="str">
        <f t="array" ref="F60">IFERROR(_xlfn.LET(_xlpm.x,INDEX('Action Register'!$H$5:$H$104,_xlfn.AGGREGATE(15,6,(ROW('Action Register'!$B$5:$B$104)-ROW('Action Register'!$B$5)+1)/(('Action Register'!$B$5:$B$104&lt;&gt;"")*('Action Register'!$T$5:$T$104="ACTIVE")),28)),IF(OR(_xlpm.x=0,_xlpm.x="0",_xlpm.x="N/A"),"",_xlpm.x)),"")</f>
        <v>High</v>
      </c>
      <c r="G60" s="149" t="str">
        <f t="array" ref="G60">IFERROR(_xlfn.LET(_xlpm.x,INDEX('Action Register'!$J$5:$J$104,_xlfn.AGGREGATE(15,6,(ROW('Action Register'!$B$5:$B$104)-ROW('Action Register'!$B$5)+1)/(('Action Register'!$B$5:$B$104&lt;&gt;"")*('Action Register'!$T$5:$T$104="ACTIVE")),28)),IF(OR(_xlpm.x=0,_xlpm.x="0",_xlpm.x="N/A"),"",_xlpm.x)),"")</f>
        <v>Medium</v>
      </c>
      <c r="H60" s="149" t="str">
        <f t="array" ref="H60">IFERROR(_xlfn.LET(_xlpm.x,INDEX('Action Register'!$L$5:$L$104,_xlfn.AGGREGATE(15,6,(ROW('Action Register'!$B$5:$B$104)-ROW('Action Register'!$B$5)+1)/(('Action Register'!$B$5:$B$104&lt;&gt;"")*('Action Register'!$T$5:$T$104="ACTIVE")),28)),IF(OR(_xlpm.x=0,_xlpm.x="0",_xlpm.x="N/A"),"",_xlpm.x)),"")</f>
        <v>No</v>
      </c>
      <c r="I60" s="149" t="str">
        <f t="array" ref="I60">IFERROR(_xlfn.LET(_xlpm.x,INDEX('Action Register'!$M$5:$M$104,_xlfn.AGGREGATE(15,6,(ROW('Action Register'!$B$5:$B$104)-ROW('Action Register'!$B$5)+1)/(('Action Register'!$B$5:$B$104&lt;&gt;"")*('Action Register'!$T$5:$T$104="ACTIVE")),28)),IF(OR(_xlpm.x=0,_xlpm.x="0",_xlpm.x="N/A"),"",_xlpm.x)),"")</f>
        <v>Unknown / TBD</v>
      </c>
      <c r="J60" s="149" t="str">
        <f t="array" ref="J60">IFERROR(_xlfn.LET(_xlpm.x,INDEX('Action Register'!$N$5:$N$104,_xlfn.AGGREGATE(15,6,(ROW('Action Register'!$B$5:$B$104)-ROW('Action Register'!$B$5)+1)/(('Action Register'!$B$5:$B$104&lt;&gt;"")*('Action Register'!$T$5:$T$104="ACTIVE")),28)),IF(OR(_xlpm.x=0,_xlpm.x="0",_xlpm.x="N/A"),"",_xlpm.x)),"")</f>
        <v/>
      </c>
      <c r="K60" s="148">
        <f t="array" ref="K60">IFERROR(_xlfn.LET(_xlpm.x,INDEX('Action Register'!$Q$5:$Q$104,_xlfn.AGGREGATE(15,6,(ROW('Action Register'!$B$5:$B$104)-ROW('Action Register'!$B$5)+1)/(('Action Register'!$B$5:$B$104&lt;&gt;"")*('Action Register'!$T$5:$T$104="ACTIVE")),28)),IF(OR(_xlpm.x=0,_xlpm.x="0",_xlpm.x="N/A"),"",_xlpm.x)),"")</f>
        <v>46300</v>
      </c>
      <c r="L60" s="148">
        <f t="array" ref="L60">IFERROR(_xlfn.LET(_xlpm.x,INDEX('Action Register'!$R$5:$R$104,_xlfn.AGGREGATE(15,6,(ROW('Action Register'!$B$5:$B$104)-ROW('Action Register'!$B$5)+1)/(('Action Register'!$B$5:$B$104&lt;&gt;"")*('Action Register'!$T$5:$T$104="ACTIVE")),28)),IF(OR(_xlpm.x=0,_xlpm.x="0",_xlpm.x="N/A"),"",_xlpm.x)),"")</f>
        <v>46300</v>
      </c>
    </row>
    <row r="61" spans="1:12" ht="39">
      <c r="A61" s="94" t="str">
        <f>IF(A60="","",A60&amp;" cont.")</f>
        <v>SLT-0054 cont.</v>
      </c>
      <c r="B61" s="150" t="str">
        <f t="array" ref="B61">IFERROR(_xlfn.LET(_xlpm.x,INDEX('Action Register'!$E$5:$E$104,_xlfn.AGGREGATE(15,6,(ROW('Action Register'!$B$5:$B$104)-ROW('Action Register'!$B$5)+1)/(('Action Register'!$B$5:$B$104&lt;&gt;"")*('Action Register'!$T$5:$T$104="ACTIVE")),28)),IF(OR(_xlpm.x=0,_xlpm.x="0",_xlpm.x="N/A"),"",_xlpm.x)),"")</f>
        <v>Circulate employee vacation balances and identify employees with significant unused vacation that may impact year-end operations</v>
      </c>
      <c r="C61" s="150" t="str">
        <f t="array" ref="C61">IFERROR(_xlfn.LET(_xlpm.x,INDEX('Action Register'!$C$5:$C$104,_xlfn.AGGREGATE(15,6,(ROW('Action Register'!$B$5:$B$104)-ROW('Action Register'!$B$5)+1)/(('Action Register'!$B$5:$B$104&lt;&gt;"")*('Action Register'!$T$5:$T$104="ACTIVE")),28)),IF(OR(_xlpm.x=0,_xlpm.x="0",_xlpm.x="N/A"),"",_xlpm.x)),"")</f>
        <v>Human Resources</v>
      </c>
      <c r="D61" s="151" t="str">
        <f t="array" ref="D61">IFERROR(_xlfn.LET(_xlpm.x,INDEX('Action Register'!$K$5:$K$104,_xlfn.AGGREGATE(15,6,(ROW('Action Register'!$B$5:$B$104)-ROW('Action Register'!$B$5)+1)/(('Action Register'!$B$5:$B$104&lt;&gt;"")*('Action Register'!$T$5:$T$104="ACTIVE")),28)),IF(OR(_xlpm.x=0,_xlpm.x="0",_xlpm.x="N/A"),"",_xlpm.x)),"")</f>
        <v>People &amp; Culture</v>
      </c>
      <c r="E61" s="150" t="str">
        <f t="array" ref="E61">IFERROR(_xlfn.LET(_xlpm.x,INDEX('Action Register'!$P$5:$P$104,_xlfn.AGGREGATE(15,6,(ROW('Action Register'!$B$5:$B$104)-ROW('Action Register'!$B$5)+1)/(('Action Register'!$B$5:$B$104&lt;&gt;"")*('Action Register'!$T$5:$T$104="ACTIVE")),28)),IF(OR(_xlpm.x=0,_xlpm.x="0",_xlpm.x="N/A"),"",_xlpm.x)),"")</f>
        <v/>
      </c>
      <c r="F61" s="150" t="str">
        <f t="array" ref="F61">IFERROR(_xlfn.LET(_xlpm.x,INDEX('Action Register'!$O$5:$O$104,_xlfn.AGGREGATE(15,6,(ROW('Action Register'!$B$5:$B$104)-ROW('Action Register'!$B$5)+1)/(('Action Register'!$B$5:$B$104&lt;&gt;"")*('Action Register'!$T$5:$T$104="ACTIVE")),28)),IF(OR(_xlpm.x=0,_xlpm.x="0",_xlpm.x="N/A"),"",_xlpm.x)),"")</f>
        <v/>
      </c>
      <c r="G61" s="150"/>
      <c r="H61" s="150"/>
      <c r="I61" s="150"/>
      <c r="J61" s="150"/>
      <c r="K61" s="151"/>
      <c r="L61" s="151"/>
    </row>
    <row r="62" spans="1:12">
      <c r="A62" s="93" t="str">
        <f t="array" ref="A62">IFERROR(_xlfn.LET(_xlpm.x,INDEX('Action Register'!$A$5:$A$104,_xlfn.AGGREGATE(15,6,(ROW('Action Register'!$B$5:$B$104)-ROW('Action Register'!$B$5)+1)/(('Action Register'!$B$5:$B$104&lt;&gt;"")*('Action Register'!$T$5:$T$104="ACTIVE")),29)),IF(OR(_xlpm.x=0,_xlpm.x="0",_xlpm.x="N/A"),"",_xlpm.x)),"")</f>
        <v>SLT-0055</v>
      </c>
      <c r="B62" s="152" t="str">
        <f t="array" ref="B62">IFERROR(_xlfn.LET(_xlpm.x,INDEX('Action Register'!$B$5:$B$104,_xlfn.AGGREGATE(15,6,(ROW('Action Register'!$B$5:$B$104)-ROW('Action Register'!$B$5)+1)/(('Action Register'!$B$5:$B$104&lt;&gt;"")*('Action Register'!$T$5:$T$104="ACTIVE")),29)),IF(OR(_xlpm.x=0,_xlpm.x="0",_xlpm.x="N/A"),"",_xlpm.x)),"")</f>
        <v>Farmer Intake Process &amp; Ownership</v>
      </c>
      <c r="C62" s="152" t="str">
        <f t="array" ref="C62">IFERROR(_xlfn.LET(_xlpm.x,INDEX('Action Register'!$D$5:$D$104,_xlfn.AGGREGATE(15,6,(ROW('Action Register'!$B$5:$B$104)-ROW('Action Register'!$B$5)+1)/(('Action Register'!$B$5:$B$104&lt;&gt;"")*('Action Register'!$T$5:$T$104="ACTIVE")),29)),IF(OR(_xlpm.x=0,_xlpm.x="0",_xlpm.x="N/A"),"",_xlpm.x)),"")</f>
        <v>Tom</v>
      </c>
      <c r="D62" s="153">
        <f t="array" ref="D62">IFERROR(_xlfn.LET(_xlpm.x,INDEX('Action Register'!$F$5:$F$104,_xlfn.AGGREGATE(15,6,(ROW('Action Register'!$B$5:$B$104)-ROW('Action Register'!$B$5)+1)/(('Action Register'!$B$5:$B$104&lt;&gt;"")*('Action Register'!$T$5:$T$104="ACTIVE")),29)),IF(OR(_xlpm.x=0,_xlpm.x="0",_xlpm.x="N/A"),"",_xlpm.x)),"")</f>
        <v>46321</v>
      </c>
      <c r="E62" s="152" t="str">
        <f t="array" ref="E62">IFERROR(_xlfn.LET(_xlpm.x,INDEX('Action Register'!$G$5:$G$104,_xlfn.AGGREGATE(15,6,(ROW('Action Register'!$B$5:$B$104)-ROW('Action Register'!$B$5)+1)/(('Action Register'!$B$5:$B$104&lt;&gt;"")*('Action Register'!$T$5:$T$104="ACTIVE")),29)),IF(OR(_xlpm.x=0,_xlpm.x="0",_xlpm.x="N/A"),"",_xlpm.x)),"")</f>
        <v>Assigned</v>
      </c>
      <c r="F62" s="154" t="str">
        <f t="array" ref="F62">IFERROR(_xlfn.LET(_xlpm.x,INDEX('Action Register'!$H$5:$H$104,_xlfn.AGGREGATE(15,6,(ROW('Action Register'!$B$5:$B$104)-ROW('Action Register'!$B$5)+1)/(('Action Register'!$B$5:$B$104&lt;&gt;"")*('Action Register'!$T$5:$T$104="ACTIVE")),29)),IF(OR(_xlpm.x=0,_xlpm.x="0",_xlpm.x="N/A"),"",_xlpm.x)),"")</f>
        <v>Medium</v>
      </c>
      <c r="G62" s="154" t="str">
        <f t="array" ref="G62">IFERROR(_xlfn.LET(_xlpm.x,INDEX('Action Register'!$J$5:$J$104,_xlfn.AGGREGATE(15,6,(ROW('Action Register'!$B$5:$B$104)-ROW('Action Register'!$B$5)+1)/(('Action Register'!$B$5:$B$104&lt;&gt;"")*('Action Register'!$T$5:$T$104="ACTIVE")),29)),IF(OR(_xlpm.x=0,_xlpm.x="0",_xlpm.x="N/A"),"",_xlpm.x)),"")</f>
        <v>Medium</v>
      </c>
      <c r="H62" s="154" t="str">
        <f t="array" ref="H62">IFERROR(_xlfn.LET(_xlpm.x,INDEX('Action Register'!$L$5:$L$104,_xlfn.AGGREGATE(15,6,(ROW('Action Register'!$B$5:$B$104)-ROW('Action Register'!$B$5)+1)/(('Action Register'!$B$5:$B$104&lt;&gt;"")*('Action Register'!$T$5:$T$104="ACTIVE")),29)),IF(OR(_xlpm.x=0,_xlpm.x="0",_xlpm.x="N/A"),"",_xlpm.x)),"")</f>
        <v>No</v>
      </c>
      <c r="I62" s="154" t="str">
        <f t="array" ref="I62">IFERROR(_xlfn.LET(_xlpm.x,INDEX('Action Register'!$M$5:$M$104,_xlfn.AGGREGATE(15,6,(ROW('Action Register'!$B$5:$B$104)-ROW('Action Register'!$B$5)+1)/(('Action Register'!$B$5:$B$104&lt;&gt;"")*('Action Register'!$T$5:$T$104="ACTIVE")),29)),IF(OR(_xlpm.x=0,_xlpm.x="0",_xlpm.x="N/A"),"",_xlpm.x)),"")</f>
        <v>Unknown / TBD</v>
      </c>
      <c r="J62" s="154" t="str">
        <f t="array" ref="J62">IFERROR(_xlfn.LET(_xlpm.x,INDEX('Action Register'!$N$5:$N$104,_xlfn.AGGREGATE(15,6,(ROW('Action Register'!$B$5:$B$104)-ROW('Action Register'!$B$5)+1)/(('Action Register'!$B$5:$B$104&lt;&gt;"")*('Action Register'!$T$5:$T$104="ACTIVE")),29)),IF(OR(_xlpm.x=0,_xlpm.x="0",_xlpm.x="N/A"),"",_xlpm.x)),"")</f>
        <v/>
      </c>
      <c r="K62" s="153">
        <f t="array" ref="K62">IFERROR(_xlfn.LET(_xlpm.x,INDEX('Action Register'!$Q$5:$Q$104,_xlfn.AGGREGATE(15,6,(ROW('Action Register'!$B$5:$B$104)-ROW('Action Register'!$B$5)+1)/(('Action Register'!$B$5:$B$104&lt;&gt;"")*('Action Register'!$T$5:$T$104="ACTIVE")),29)),IF(OR(_xlpm.x=0,_xlpm.x="0",_xlpm.x="N/A"),"",_xlpm.x)),"")</f>
        <v>46300</v>
      </c>
      <c r="L62" s="153">
        <f t="array" ref="L62">IFERROR(_xlfn.LET(_xlpm.x,INDEX('Action Register'!$R$5:$R$104,_xlfn.AGGREGATE(15,6,(ROW('Action Register'!$B$5:$B$104)-ROW('Action Register'!$B$5)+1)/(('Action Register'!$B$5:$B$104&lt;&gt;"")*('Action Register'!$T$5:$T$104="ACTIVE")),29)),IF(OR(_xlpm.x=0,_xlpm.x="0",_xlpm.x="N/A"),"",_xlpm.x)),"")</f>
        <v>46307</v>
      </c>
    </row>
    <row r="63" spans="1:12" ht="26">
      <c r="A63" s="92" t="str">
        <f>IF(A62="","",A62&amp;" cont.")</f>
        <v>SLT-0055 cont.</v>
      </c>
      <c r="B63" s="145" t="str">
        <f t="array" ref="B63">IFERROR(_xlfn.LET(_xlpm.x,INDEX('Action Register'!$E$5:$E$104,_xlfn.AGGREGATE(15,6,(ROW('Action Register'!$B$5:$B$104)-ROW('Action Register'!$B$5)+1)/(('Action Register'!$B$5:$B$104&lt;&gt;"")*('Action Register'!$T$5:$T$104="ACTIVE")),29)),IF(OR(_xlpm.x=0,_xlpm.x="0",_xlpm.x="N/A"),"",_xlpm.x)),"")</f>
        <v>Ali to become the central coordinator for the farmer intake process.</v>
      </c>
      <c r="C63" s="145" t="str">
        <f t="array" ref="C63">IFERROR(_xlfn.LET(_xlpm.x,INDEX('Action Register'!$C$5:$C$104,_xlfn.AGGREGATE(15,6,(ROW('Action Register'!$B$5:$B$104)-ROW('Action Register'!$B$5)+1)/(('Action Register'!$B$5:$B$104&lt;&gt;"")*('Action Register'!$T$5:$T$104="ACTIVE")),29)),IF(OR(_xlpm.x=0,_xlpm.x="0",_xlpm.x="N/A"),"",_xlpm.x)),"")</f>
        <v>ASP Go-Live</v>
      </c>
      <c r="D63" s="146" t="str">
        <f t="array" ref="D63">IFERROR(_xlfn.LET(_xlpm.x,INDEX('Action Register'!$K$5:$K$104,_xlfn.AGGREGATE(15,6,(ROW('Action Register'!$B$5:$B$104)-ROW('Action Register'!$B$5)+1)/(('Action Register'!$B$5:$B$104&lt;&gt;"")*('Action Register'!$T$5:$T$104="ACTIVE")),29)),IF(OR(_xlpm.x=0,_xlpm.x="0",_xlpm.x="N/A"),"",_xlpm.x)),"")</f>
        <v>ASP Go-Live</v>
      </c>
      <c r="E63" s="145" t="str">
        <f t="array" ref="E63">IFERROR(_xlfn.LET(_xlpm.x,INDEX('Action Register'!$P$5:$P$104,_xlfn.AGGREGATE(15,6,(ROW('Action Register'!$B$5:$B$104)-ROW('Action Register'!$B$5)+1)/(('Action Register'!$B$5:$B$104&lt;&gt;"")*('Action Register'!$T$5:$T$104="ACTIVE")),29)),IF(OR(_xlpm.x=0,_xlpm.x="0",_xlpm.x="N/A"),"",_xlpm.x)),"")</f>
        <v/>
      </c>
      <c r="F63" s="145" t="str">
        <f t="array" ref="F63">IFERROR(_xlfn.LET(_xlpm.x,INDEX('Action Register'!$O$5:$O$104,_xlfn.AGGREGATE(15,6,(ROW('Action Register'!$B$5:$B$104)-ROW('Action Register'!$B$5)+1)/(('Action Register'!$B$5:$B$104&lt;&gt;"")*('Action Register'!$T$5:$T$104="ACTIVE")),29)),IF(OR(_xlpm.x=0,_xlpm.x="0",_xlpm.x="N/A"),"",_xlpm.x)),"")</f>
        <v/>
      </c>
      <c r="G63" s="145"/>
      <c r="H63" s="145"/>
      <c r="I63" s="145"/>
      <c r="J63" s="145"/>
      <c r="K63" s="146"/>
      <c r="L63" s="146"/>
    </row>
    <row r="64" spans="1:12">
      <c r="A64" s="93" t="str">
        <f t="array" ref="A64">IFERROR(_xlfn.LET(_xlpm.x,INDEX('Action Register'!$A$5:$A$104,_xlfn.AGGREGATE(15,6,(ROW('Action Register'!$B$5:$B$104)-ROW('Action Register'!$B$5)+1)/(('Action Register'!$B$5:$B$104&lt;&gt;"")*('Action Register'!$T$5:$T$104="ACTIVE")),30)),IF(OR(_xlpm.x=0,_xlpm.x="0",_xlpm.x="N/A"),"",_xlpm.x)),"")</f>
        <v/>
      </c>
      <c r="B64" s="147" t="str">
        <f t="array" ref="B64">IFERROR(_xlfn.LET(_xlpm.x,INDEX('Action Register'!$B$5:$B$104,_xlfn.AGGREGATE(15,6,(ROW('Action Register'!$B$5:$B$104)-ROW('Action Register'!$B$5)+1)/(('Action Register'!$B$5:$B$104&lt;&gt;"")*('Action Register'!$T$5:$T$104="ACTIVE")),30)),IF(OR(_xlpm.x=0,_xlpm.x="0",_xlpm.x="N/A"),"",_xlpm.x)),"")</f>
        <v/>
      </c>
      <c r="C64" s="147" t="str">
        <f t="array" ref="C64">IFERROR(_xlfn.LET(_xlpm.x,INDEX('Action Register'!$D$5:$D$104,_xlfn.AGGREGATE(15,6,(ROW('Action Register'!$B$5:$B$104)-ROW('Action Register'!$B$5)+1)/(('Action Register'!$B$5:$B$104&lt;&gt;"")*('Action Register'!$T$5:$T$104="ACTIVE")),30)),IF(OR(_xlpm.x=0,_xlpm.x="0",_xlpm.x="N/A"),"",_xlpm.x)),"")</f>
        <v/>
      </c>
      <c r="D64" s="148" t="str">
        <f t="array" ref="D64">IFERROR(_xlfn.LET(_xlpm.x,INDEX('Action Register'!$F$5:$F$104,_xlfn.AGGREGATE(15,6,(ROW('Action Register'!$B$5:$B$104)-ROW('Action Register'!$B$5)+1)/(('Action Register'!$B$5:$B$104&lt;&gt;"")*('Action Register'!$T$5:$T$104="ACTIVE")),30)),IF(OR(_xlpm.x=0,_xlpm.x="0",_xlpm.x="N/A"),"",_xlpm.x)),"")</f>
        <v/>
      </c>
      <c r="E64" s="147" t="str">
        <f t="array" ref="E64">IFERROR(_xlfn.LET(_xlpm.x,INDEX('Action Register'!$G$5:$G$104,_xlfn.AGGREGATE(15,6,(ROW('Action Register'!$B$5:$B$104)-ROW('Action Register'!$B$5)+1)/(('Action Register'!$B$5:$B$104&lt;&gt;"")*('Action Register'!$T$5:$T$104="ACTIVE")),30)),IF(OR(_xlpm.x=0,_xlpm.x="0",_xlpm.x="N/A"),"",_xlpm.x)),"")</f>
        <v/>
      </c>
      <c r="F64" s="149" t="str">
        <f t="array" ref="F64">IFERROR(_xlfn.LET(_xlpm.x,INDEX('Action Register'!$H$5:$H$104,_xlfn.AGGREGATE(15,6,(ROW('Action Register'!$B$5:$B$104)-ROW('Action Register'!$B$5)+1)/(('Action Register'!$B$5:$B$104&lt;&gt;"")*('Action Register'!$T$5:$T$104="ACTIVE")),30)),IF(OR(_xlpm.x=0,_xlpm.x="0",_xlpm.x="N/A"),"",_xlpm.x)),"")</f>
        <v/>
      </c>
      <c r="G64" s="149" t="str">
        <f t="array" ref="G64">IFERROR(_xlfn.LET(_xlpm.x,INDEX('Action Register'!$J$5:$J$104,_xlfn.AGGREGATE(15,6,(ROW('Action Register'!$B$5:$B$104)-ROW('Action Register'!$B$5)+1)/(('Action Register'!$B$5:$B$104&lt;&gt;"")*('Action Register'!$T$5:$T$104="ACTIVE")),30)),IF(OR(_xlpm.x=0,_xlpm.x="0",_xlpm.x="N/A"),"",_xlpm.x)),"")</f>
        <v/>
      </c>
      <c r="H64" s="149" t="str">
        <f t="array" ref="H64">IFERROR(_xlfn.LET(_xlpm.x,INDEX('Action Register'!$L$5:$L$104,_xlfn.AGGREGATE(15,6,(ROW('Action Register'!$B$5:$B$104)-ROW('Action Register'!$B$5)+1)/(('Action Register'!$B$5:$B$104&lt;&gt;"")*('Action Register'!$T$5:$T$104="ACTIVE")),30)),IF(OR(_xlpm.x=0,_xlpm.x="0",_xlpm.x="N/A"),"",_xlpm.x)),"")</f>
        <v/>
      </c>
      <c r="I64" s="149" t="str">
        <f t="array" ref="I64">IFERROR(_xlfn.LET(_xlpm.x,INDEX('Action Register'!$M$5:$M$104,_xlfn.AGGREGATE(15,6,(ROW('Action Register'!$B$5:$B$104)-ROW('Action Register'!$B$5)+1)/(('Action Register'!$B$5:$B$104&lt;&gt;"")*('Action Register'!$T$5:$T$104="ACTIVE")),30)),IF(OR(_xlpm.x=0,_xlpm.x="0",_xlpm.x="N/A"),"",_xlpm.x)),"")</f>
        <v/>
      </c>
      <c r="J64" s="149" t="str">
        <f t="array" ref="J64">IFERROR(_xlfn.LET(_xlpm.x,INDEX('Action Register'!$N$5:$N$104,_xlfn.AGGREGATE(15,6,(ROW('Action Register'!$B$5:$B$104)-ROW('Action Register'!$B$5)+1)/(('Action Register'!$B$5:$B$104&lt;&gt;"")*('Action Register'!$T$5:$T$104="ACTIVE")),30)),IF(OR(_xlpm.x=0,_xlpm.x="0",_xlpm.x="N/A"),"",_xlpm.x)),"")</f>
        <v/>
      </c>
      <c r="K64" s="148" t="str">
        <f t="array" ref="K64">IFERROR(_xlfn.LET(_xlpm.x,INDEX('Action Register'!$Q$5:$Q$104,_xlfn.AGGREGATE(15,6,(ROW('Action Register'!$B$5:$B$104)-ROW('Action Register'!$B$5)+1)/(('Action Register'!$B$5:$B$104&lt;&gt;"")*('Action Register'!$T$5:$T$104="ACTIVE")),30)),IF(OR(_xlpm.x=0,_xlpm.x="0",_xlpm.x="N/A"),"",_xlpm.x)),"")</f>
        <v/>
      </c>
      <c r="L64" s="148" t="str">
        <f t="array" ref="L64">IFERROR(_xlfn.LET(_xlpm.x,INDEX('Action Register'!$R$5:$R$104,_xlfn.AGGREGATE(15,6,(ROW('Action Register'!$B$5:$B$104)-ROW('Action Register'!$B$5)+1)/(('Action Register'!$B$5:$B$104&lt;&gt;"")*('Action Register'!$T$5:$T$104="ACTIVE")),30)),IF(OR(_xlpm.x=0,_xlpm.x="0",_xlpm.x="N/A"),"",_xlpm.x)),"")</f>
        <v/>
      </c>
    </row>
    <row r="65" spans="1:12">
      <c r="A65" s="94" t="str">
        <f>IF(A64="","",A64&amp;" cont.")</f>
        <v/>
      </c>
      <c r="B65" s="150" t="str">
        <f t="array" ref="B65">IFERROR(_xlfn.LET(_xlpm.x,INDEX('Action Register'!$E$5:$E$104,_xlfn.AGGREGATE(15,6,(ROW('Action Register'!$B$5:$B$104)-ROW('Action Register'!$B$5)+1)/(('Action Register'!$B$5:$B$104&lt;&gt;"")*('Action Register'!$T$5:$T$104="ACTIVE")),30)),IF(OR(_xlpm.x=0,_xlpm.x="0",_xlpm.x="N/A"),"",_xlpm.x)),"")</f>
        <v/>
      </c>
      <c r="C65" s="150" t="str">
        <f t="array" ref="C65">IFERROR(_xlfn.LET(_xlpm.x,INDEX('Action Register'!$C$5:$C$104,_xlfn.AGGREGATE(15,6,(ROW('Action Register'!$B$5:$B$104)-ROW('Action Register'!$B$5)+1)/(('Action Register'!$B$5:$B$104&lt;&gt;"")*('Action Register'!$T$5:$T$104="ACTIVE")),30)),IF(OR(_xlpm.x=0,_xlpm.x="0",_xlpm.x="N/A"),"",_xlpm.x)),"")</f>
        <v/>
      </c>
      <c r="D65" s="151" t="str">
        <f t="array" ref="D65">IFERROR(_xlfn.LET(_xlpm.x,INDEX('Action Register'!$K$5:$K$104,_xlfn.AGGREGATE(15,6,(ROW('Action Register'!$B$5:$B$104)-ROW('Action Register'!$B$5)+1)/(('Action Register'!$B$5:$B$104&lt;&gt;"")*('Action Register'!$T$5:$T$104="ACTIVE")),30)),IF(OR(_xlpm.x=0,_xlpm.x="0",_xlpm.x="N/A"),"",_xlpm.x)),"")</f>
        <v/>
      </c>
      <c r="E65" s="150" t="str">
        <f t="array" ref="E65">IFERROR(_xlfn.LET(_xlpm.x,INDEX('Action Register'!$P$5:$P$104,_xlfn.AGGREGATE(15,6,(ROW('Action Register'!$B$5:$B$104)-ROW('Action Register'!$B$5)+1)/(('Action Register'!$B$5:$B$104&lt;&gt;"")*('Action Register'!$T$5:$T$104="ACTIVE")),30)),IF(OR(_xlpm.x=0,_xlpm.x="0",_xlpm.x="N/A"),"",_xlpm.x)),"")</f>
        <v/>
      </c>
      <c r="F65" s="150" t="str">
        <f t="array" ref="F65">IFERROR(_xlfn.LET(_xlpm.x,INDEX('Action Register'!$O$5:$O$104,_xlfn.AGGREGATE(15,6,(ROW('Action Register'!$B$5:$B$104)-ROW('Action Register'!$B$5)+1)/(('Action Register'!$B$5:$B$104&lt;&gt;"")*('Action Register'!$T$5:$T$104="ACTIVE")),30)),IF(OR(_xlpm.x=0,_xlpm.x="0",_xlpm.x="N/A"),"",_xlpm.x)),"")</f>
        <v/>
      </c>
      <c r="G65" s="150"/>
      <c r="H65" s="150"/>
      <c r="I65" s="150"/>
      <c r="J65" s="150"/>
      <c r="K65" s="151"/>
      <c r="L65" s="151"/>
    </row>
    <row r="66" spans="1:12">
      <c r="A66" s="90"/>
      <c r="B66" s="90"/>
      <c r="C66" s="90"/>
      <c r="D66" s="90"/>
      <c r="E66" s="90"/>
      <c r="F66" s="90"/>
      <c r="G66" s="90"/>
      <c r="H66" s="90"/>
      <c r="I66" s="90"/>
      <c r="J66" s="90"/>
      <c r="K66" s="90"/>
      <c r="L66" s="90"/>
    </row>
    <row r="67" spans="1:12">
      <c r="A67" s="370" t="s">
        <v>2590</v>
      </c>
      <c r="B67" s="368"/>
      <c r="C67" s="368"/>
      <c r="D67" s="368"/>
      <c r="E67" s="368"/>
      <c r="F67" s="368"/>
      <c r="G67" s="368"/>
      <c r="H67" s="368"/>
      <c r="I67" s="368"/>
      <c r="J67" s="368"/>
      <c r="K67" s="368"/>
      <c r="L67" s="368"/>
    </row>
    <row r="69" spans="1:12" hidden="1"/>
    <row r="70" spans="1:12" hidden="1"/>
    <row r="71" spans="1:12" hidden="1"/>
    <row r="72" spans="1:12" hidden="1"/>
    <row r="73" spans="1:12" hidden="1"/>
    <row r="74" spans="1:12" hidden="1"/>
    <row r="75" spans="1:12" hidden="1"/>
    <row r="76" spans="1:12" hidden="1"/>
    <row r="77" spans="1:12" hidden="1"/>
    <row r="78" spans="1:12" hidden="1"/>
    <row r="79" spans="1:12" hidden="1"/>
    <row r="80" spans="1:12"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sheetProtection sheet="1" objects="1" scenarios="1"/>
  <mergeCells count="3">
    <mergeCell ref="A2:L2"/>
    <mergeCell ref="A1:L1"/>
    <mergeCell ref="A67:L67"/>
  </mergeCells>
  <conditionalFormatting sqref="D6:D65">
    <cfRule type="expression" dxfId="15" priority="7">
      <formula>AND(MOD(ROW(),2)=0,ISNUMBER($D6),$D6&lt;TODAY())</formula>
    </cfRule>
    <cfRule type="expression" dxfId="14" priority="8">
      <formula>AND(MOD(ROW(),2)=0,ISNUMBER($D6),$D6&gt;=TODAY(),$D6&lt;=TODAY()+1)</formula>
    </cfRule>
  </conditionalFormatting>
  <conditionalFormatting sqref="F6:F65">
    <cfRule type="expression" dxfId="13" priority="1">
      <formula>AND(MOD(ROW(),2)=0,$F6="Critical")</formula>
    </cfRule>
    <cfRule type="expression" dxfId="12" priority="2">
      <formula>AND(MOD(ROW(),2)=0,$F6="High")</formula>
    </cfRule>
    <cfRule type="expression" dxfId="11" priority="3">
      <formula>AND(MOD(ROW(),2)=0,$F6="Medium")</formula>
    </cfRule>
  </conditionalFormatting>
  <conditionalFormatting sqref="G6:G65">
    <cfRule type="expression" dxfId="10" priority="4">
      <formula>AND(MOD(ROW(),2)=0,$G6="Critical")</formula>
    </cfRule>
    <cfRule type="expression" dxfId="9" priority="5">
      <formula>AND(MOD(ROW(),2)=0,$G6="High")</formula>
    </cfRule>
    <cfRule type="expression" dxfId="8" priority="6">
      <formula>AND(MOD(ROW(),2)=0,$G6="Medium")</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00"/>
  <sheetViews>
    <sheetView workbookViewId="0">
      <selection activeCell="A17" sqref="A17"/>
    </sheetView>
  </sheetViews>
  <sheetFormatPr defaultRowHeight="14.5"/>
  <cols>
    <col min="1" max="1" width="18.1796875" style="96" customWidth="1"/>
    <col min="2" max="2" width="47.54296875" style="96" customWidth="1"/>
    <col min="3" max="3" width="20" style="96" customWidth="1"/>
    <col min="4" max="4" width="17.1796875" style="96" customWidth="1"/>
    <col min="5" max="6" width="24.7265625" style="96" customWidth="1"/>
    <col min="7" max="7" width="18.1796875" style="96" customWidth="1"/>
    <col min="8" max="8" width="21.81640625" style="96" customWidth="1"/>
    <col min="9" max="9" width="17.1796875" style="96" customWidth="1"/>
    <col min="10" max="10" width="22.81640625" style="96" customWidth="1"/>
    <col min="11" max="11" width="17.1796875" style="96" customWidth="1"/>
    <col min="12" max="12" width="20" style="96" customWidth="1"/>
    <col min="13" max="52" width="0" hidden="1"/>
  </cols>
  <sheetData>
    <row r="1" spans="1:12" ht="30" customHeight="1">
      <c r="A1" s="371" t="s">
        <v>2591</v>
      </c>
      <c r="B1" s="368"/>
      <c r="C1" s="368"/>
      <c r="D1" s="368"/>
      <c r="E1" s="368"/>
      <c r="F1" s="368"/>
      <c r="G1" s="368"/>
      <c r="H1" s="368"/>
      <c r="I1" s="368"/>
      <c r="J1" s="368"/>
      <c r="K1" s="368"/>
      <c r="L1" s="368"/>
    </row>
    <row r="2" spans="1:12">
      <c r="A2" s="367" t="s">
        <v>2592</v>
      </c>
      <c r="B2" s="368"/>
      <c r="C2" s="368"/>
      <c r="D2" s="368"/>
      <c r="E2" s="368"/>
      <c r="F2" s="368"/>
      <c r="G2" s="368"/>
      <c r="H2" s="368"/>
      <c r="I2" s="368"/>
      <c r="J2" s="368"/>
      <c r="K2" s="368"/>
      <c r="L2" s="368"/>
    </row>
    <row r="4" spans="1:12">
      <c r="A4" s="155" t="s">
        <v>439</v>
      </c>
      <c r="B4" s="155" t="s">
        <v>440</v>
      </c>
      <c r="C4" s="155" t="s">
        <v>442</v>
      </c>
      <c r="D4" s="155" t="s">
        <v>2593</v>
      </c>
      <c r="E4" s="155" t="s">
        <v>102</v>
      </c>
      <c r="F4" s="155" t="s">
        <v>445</v>
      </c>
      <c r="G4" s="155" t="s">
        <v>159</v>
      </c>
      <c r="H4" s="155" t="s">
        <v>161</v>
      </c>
      <c r="I4" s="155" t="s">
        <v>2594</v>
      </c>
      <c r="J4" s="155" t="s">
        <v>441</v>
      </c>
      <c r="K4" s="155" t="s">
        <v>452</v>
      </c>
      <c r="L4" s="155" t="s">
        <v>450</v>
      </c>
    </row>
    <row r="5" spans="1:12">
      <c r="A5" s="155" t="s">
        <v>2589</v>
      </c>
      <c r="B5" s="155" t="s">
        <v>444</v>
      </c>
      <c r="C5" s="155" t="s">
        <v>451</v>
      </c>
      <c r="D5" s="155" t="s">
        <v>447</v>
      </c>
      <c r="E5" s="155" t="s">
        <v>2595</v>
      </c>
      <c r="F5" s="155" t="s">
        <v>105</v>
      </c>
      <c r="G5" s="155" t="s">
        <v>453</v>
      </c>
      <c r="H5" s="155" t="s">
        <v>2596</v>
      </c>
      <c r="I5" s="155" t="s">
        <v>163</v>
      </c>
      <c r="J5" s="155" t="s">
        <v>164</v>
      </c>
      <c r="K5" s="155"/>
      <c r="L5" s="155"/>
    </row>
    <row r="6" spans="1:12">
      <c r="A6" s="156" t="str">
        <f t="array" ref="A6">IFERROR(_xlfn.LET(_xlpm.x,INDEX('Decision Queue_Bak'!$A$5:$A$108,_xlfn.AGGREGATE(15,6,(ROW('Decision Queue_Bak'!$B$5:$B$108)-ROW('Decision Queue_Bak'!$B$5)+1)/(('Decision Queue_Bak'!$B$5:$B$108&lt;&gt;"")*('Decision Queue_Bak'!$W$5:$W$108="ACTIVE")),1)),IF(OR(_xlpm.x=0,_xlpm.x="0",_xlpm.x="N/A"),"",_xlpm.x)),"")</f>
        <v>DEC-0001</v>
      </c>
      <c r="B6" s="157" t="str">
        <f t="array" ref="B6">IFERROR(_xlfn.LET(_xlpm.x,INDEX('Decision Queue_Bak'!$B$5:$B$108,_xlfn.AGGREGATE(15,6,(ROW('Decision Queue_Bak'!$B$5:$B$108)-ROW('Decision Queue_Bak'!$B$5)+1)/(('Decision Queue_Bak'!$B$5:$B$108&lt;&gt;"")*('Decision Queue_Bak'!$W$5:$W$108="ACTIVE")),1)),IF(OR(_xlpm.x=0,_xlpm.x="0",_xlpm.x="N/A"),"",_xlpm.x)),"")</f>
        <v>Confirm SLT tracker governance fields and dashboard structure</v>
      </c>
      <c r="C6" s="157" t="str">
        <f t="array" ref="C6">IFERROR(_xlfn.LET(_xlpm.x,INDEX('Decision Queue_Bak'!$D$5:$D$108,_xlfn.AGGREGATE(15,6,(ROW('Decision Queue_Bak'!$B$5:$B$108)-ROW('Decision Queue_Bak'!$B$5)+1)/(('Decision Queue_Bak'!$B$5:$B$108&lt;&gt;"")*('Decision Queue_Bak'!$W$5:$W$108="ACTIVE")),1)),IF(OR(_xlpm.x=0,_xlpm.x="0",_xlpm.x="N/A"),"",_xlpm.x)),"")</f>
        <v>Sandy</v>
      </c>
      <c r="D6" s="158">
        <f t="array" ref="D6">IFERROR(_xlfn.LET(_xlpm.x,INDEX('Decision Queue_Bak'!$E$5:$E$108,_xlfn.AGGREGATE(15,6,(ROW('Decision Queue_Bak'!$B$5:$B$108)-ROW('Decision Queue_Bak'!$B$5)+1)/(('Decision Queue_Bak'!$B$5:$B$108&lt;&gt;"")*('Decision Queue_Bak'!$W$5:$W$108="ACTIVE")),1)),IF(OR(_xlpm.x=0,_xlpm.x="0",_xlpm.x="N/A"),"",_xlpm.x)),"")</f>
        <v>46225</v>
      </c>
      <c r="E6" s="157" t="str">
        <f t="array" ref="E6">IFERROR(_xlfn.LET(_xlpm.x,INDEX('Decision Queue_Bak'!$G$5:$G$108,_xlfn.AGGREGATE(15,6,(ROW('Decision Queue_Bak'!$B$5:$B$108)-ROW('Decision Queue_Bak'!$B$5)+1)/(('Decision Queue_Bak'!$B$5:$B$108&lt;&gt;"")*('Decision Queue_Bak'!$W$5:$W$108="ACTIVE")),1)),IF(OR(_xlpm.x=0,_xlpm.x="0",_xlpm.x="N/A"),"",_xlpm.x)),"")</f>
        <v>Ready for Decision</v>
      </c>
      <c r="F6" s="159" t="str">
        <f t="array" ref="F6">IFERROR(_xlfn.LET(_xlpm.x,INDEX('Decision Queue_Bak'!$H$5:$H$108,_xlfn.AGGREGATE(15,6,(ROW('Decision Queue_Bak'!$B$5:$B$108)-ROW('Decision Queue_Bak'!$B$5)+1)/(('Decision Queue_Bak'!$B$5:$B$108&lt;&gt;"")*('Decision Queue_Bak'!$W$5:$W$108="ACTIVE")),1)),IF(OR(_xlpm.x=0,_xlpm.x="0",_xlpm.x="N/A"),"",_xlpm.x)),"")</f>
        <v>Governance Decision</v>
      </c>
      <c r="G6" s="159" t="str">
        <f t="array" ref="G6">IFERROR(_xlfn.LET(_xlpm.x,INDEX('Decision Queue_Bak'!$K$5:$K$108,_xlfn.AGGREGATE(15,6,(ROW('Decision Queue_Bak'!$B$5:$B$108)-ROW('Decision Queue_Bak'!$B$5)+1)/(('Decision Queue_Bak'!$B$5:$B$108&lt;&gt;"")*('Decision Queue_Bak'!$W$5:$W$108="ACTIVE")),1)),IF(OR(_xlpm.x=0,_xlpm.x="0",_xlpm.x="N/A"),"",_xlpm.x)),"")</f>
        <v>Medium</v>
      </c>
      <c r="H6" s="159" t="str">
        <f t="array" ref="H6">IFERROR(_xlfn.LET(_xlpm.x,INDEX('Decision Queue_Bak'!$J$5:$J$108,_xlfn.AGGREGATE(15,6,(ROW('Decision Queue_Bak'!$B$5:$B$108)-ROW('Decision Queue_Bak'!$B$5)+1)/(('Decision Queue_Bak'!$B$5:$B$108&lt;&gt;"")*('Decision Queue_Bak'!$W$5:$W$108="ACTIVE")),1)),IF(OR(_xlpm.x=0,_xlpm.x="0",_xlpm.x="N/A"),"",_xlpm.x)),"")</f>
        <v>Unknown / TBD</v>
      </c>
      <c r="I6" s="159" t="str">
        <f t="array" ref="I6">IFERROR(_xlfn.LET(_xlpm.x,INDEX('Decision Queue_Bak'!$I$5:$I$108,_xlfn.AGGREGATE(15,6,(ROW('Decision Queue_Bak'!$B$5:$B$108)-ROW('Decision Queue_Bak'!$B$5)+1)/(('Decision Queue_Bak'!$B$5:$B$108&lt;&gt;"")*('Decision Queue_Bak'!$W$5:$W$108="ACTIVE")),1)),IF(OR(_xlpm.x=0,_xlpm.x="0",_xlpm.x="N/A"),"",_xlpm.x)),"")</f>
        <v>CEO &amp; CFO</v>
      </c>
      <c r="J6" s="159" t="str">
        <f t="array" ref="J6">IFERROR(_xlfn.LET(_xlpm.x,INDEX('Decision Queue_Bak'!$C$5:$C$108,_xlfn.AGGREGATE(15,6,(ROW('Decision Queue_Bak'!$B$5:$B$108)-ROW('Decision Queue_Bak'!$B$5)+1)/(('Decision Queue_Bak'!$B$5:$B$108&lt;&gt;"")*('Decision Queue_Bak'!$W$5:$W$108="ACTIVE")),1)),IF(OR(_xlpm.x=0,_xlpm.x="0",_xlpm.x="N/A"),"",_xlpm.x)),"")</f>
        <v>Governance</v>
      </c>
      <c r="K6" s="158">
        <f t="array" ref="K6">IFERROR(_xlfn.LET(_xlpm.x,INDEX('Decision Queue_Bak'!$R$5:$R$108,_xlfn.AGGREGATE(15,6,(ROW('Decision Queue_Bak'!$B$5:$B$108)-ROW('Decision Queue_Bak'!$B$5)+1)/(('Decision Queue_Bak'!$B$5:$B$108&lt;&gt;"")*('Decision Queue_Bak'!$W$5:$W$108="ACTIVE")),1)),IF(OR(_xlpm.x=0,_xlpm.x="0",_xlpm.x="N/A"),"",_xlpm.x)),"")</f>
        <v>46219</v>
      </c>
      <c r="L6" s="159" t="str">
        <f t="array" ref="L6">IFERROR(_xlfn.LET(_xlpm.x,INDEX('Decision Queue_Bak'!$P$5:$P$108,_xlfn.AGGREGATE(15,6,(ROW('Decision Queue_Bak'!$B$5:$B$108)-ROW('Decision Queue_Bak'!$B$5)+1)/(('Decision Queue_Bak'!$B$5:$B$108&lt;&gt;"")*('Decision Queue_Bak'!$W$5:$W$108="ACTIVE")),1)),IF(OR(_xlpm.x=0,_xlpm.x="0",_xlpm.x="N/A"),"",_xlpm.x)),"")</f>
        <v>Sandy</v>
      </c>
    </row>
    <row r="7" spans="1:12">
      <c r="A7" s="97" t="str">
        <f>IF(A6="","",A6&amp;" cont.")</f>
        <v>DEC-0001 cont.</v>
      </c>
      <c r="B7" s="160" t="str">
        <f t="array" ref="B7">IFERROR(_xlfn.LET(_xlpm.x,INDEX('Decision Queue_Bak'!$F$5:$F$108,_xlfn.AGGREGATE(15,6,(ROW('Decision Queue_Bak'!$B$5:$B$108)-ROW('Decision Queue_Bak'!$B$5)+1)/(('Decision Queue_Bak'!$B$5:$B$108&lt;&gt;"")*('Decision Queue_Bak'!$W$5:$W$108="ACTIVE")),1)),IF(OR(_xlpm.x=0,_xlpm.x="0",_xlpm.x="N/A"),"",_xlpm.x)),"")</f>
        <v>Adopt enhanced tracker with priority, risk, strategic alignment, financial impact and escalation fields.</v>
      </c>
      <c r="C7" s="160" t="str">
        <f t="array" ref="C7">IFERROR(_xlfn.LET(_xlpm.x,INDEX('Decision Queue_Bak'!$Q$5:$Q$108,_xlfn.AGGREGATE(15,6,(ROW('Decision Queue_Bak'!$B$5:$B$108)-ROW('Decision Queue_Bak'!$B$5)+1)/(('Decision Queue_Bak'!$B$5:$B$108&lt;&gt;"")*('Decision Queue_Bak'!$W$5:$W$108="ACTIVE")),1)),IF(OR(_xlpm.x=0,_xlpm.x="0",_xlpm.x="N/A"),"",_xlpm.x)),"")</f>
        <v>Sherry</v>
      </c>
      <c r="D7" s="161" t="str">
        <f t="array" ref="D7">IFERROR(_xlfn.LET(_xlpm.x,INDEX('Decision Queue_Bak'!$M$5:$M$108,_xlfn.AGGREGATE(15,6,(ROW('Decision Queue_Bak'!$B$5:$B$108)-ROW('Decision Queue_Bak'!$B$5)+1)/(('Decision Queue_Bak'!$B$5:$B$108&lt;&gt;"")*('Decision Queue_Bak'!$W$5:$W$108="ACTIVE")),1)),IF(OR(_xlpm.x=0,_xlpm.x="0",_xlpm.x="N/A"),"",_xlpm.x)),"")</f>
        <v/>
      </c>
      <c r="E7" s="160" t="str">
        <f t="array" ref="E7">IFERROR(_xlfn.LET(_xlpm.x,INDEX('Decision Queue_Bak'!$N$5:$N$108,_xlfn.AGGREGATE(15,6,(ROW('Decision Queue_Bak'!$B$5:$B$108)-ROW('Decision Queue_Bak'!$B$5)+1)/(('Decision Queue_Bak'!$B$5:$B$108&lt;&gt;"")*('Decision Queue_Bak'!$W$5:$W$108="ACTIVE")),1)),IF(OR(_xlpm.x=0,_xlpm.x="0",_xlpm.x="N/A"),"",_xlpm.x)),"")</f>
        <v>Yes</v>
      </c>
      <c r="F7" s="160" t="str">
        <f t="array" ref="F7">IFERROR(_xlfn.LET(_xlpm.x,INDEX('Decision Queue_Bak'!$L$5:$L$108,_xlfn.AGGREGATE(15,6,(ROW('Decision Queue_Bak'!$B$5:$B$108)-ROW('Decision Queue_Bak'!$B$5)+1)/(('Decision Queue_Bak'!$B$5:$B$108&lt;&gt;"")*('Decision Queue_Bak'!$W$5:$W$108="ACTIVE")),1)),IF(OR(_xlpm.x=0,_xlpm.x="0",_xlpm.x="N/A"),"",_xlpm.x)),"")</f>
        <v>Governance</v>
      </c>
      <c r="G7" s="160" t="str">
        <f t="array" ref="G7">IFERROR(_xlfn.LET(_xlpm.x,INDEX('Decision Queue_Bak'!$S$5:$S$108,_xlfn.AGGREGATE(15,6,(ROW('Decision Queue_Bak'!$B$5:$B$108)-ROW('Decision Queue_Bak'!$B$5)+1)/(('Decision Queue_Bak'!$B$5:$B$108&lt;&gt;"")*('Decision Queue_Bak'!$W$5:$W$108="ACTIVE")),1)),IF(OR(_xlpm.x=0,_xlpm.x="0",_xlpm.x="N/A"),"",_xlpm.x)),"")</f>
        <v>Without a standard data model, tracker may remain administrative rather than decision-focused.</v>
      </c>
      <c r="H7" s="160" t="str">
        <f t="array" ref="H7">IFERROR(_xlfn.LET(_xlpm.x,INDEX('Decision Queue_Bak'!$O$5:$O$108,_xlfn.AGGREGATE(15,6,(ROW('Decision Queue_Bak'!$B$5:$B$108)-ROW('Decision Queue_Bak'!$B$5)+1)/(('Decision Queue_Bak'!$B$5:$B$108&lt;&gt;"")*('Decision Queue_Bak'!$W$5:$W$108="ACTIVE")),1)),IF(OR(_xlpm.x=0,_xlpm.x="0",_xlpm.x="N/A"),"",_xlpm.x)),"")</f>
        <v>Agree which fields are mandatory for weekly SLT review.</v>
      </c>
      <c r="I7" s="160" t="str">
        <f t="array" ref="I7">IFERROR(_xlfn.LET(_xlpm.x,INDEX('Decision Queue_Bak'!$T$5:$T$108,_xlfn.AGGREGATE(15,6,(ROW('Decision Queue_Bak'!$B$5:$B$108)-ROW('Decision Queue_Bak'!$B$5)+1)/(('Decision Queue_Bak'!$B$5:$B$108&lt;&gt;"")*('Decision Queue_Bak'!$W$5:$W$108="ACTIVE")),1)),IF(OR(_xlpm.x=0,_xlpm.x="0",_xlpm.x="N/A"),"",_xlpm.x)),"")</f>
        <v/>
      </c>
      <c r="J7" s="160" t="str">
        <f t="array" ref="J7">IFERROR(_xlfn.LET(_xlpm.x,INDEX('Decision Queue_Bak'!$U$5:$U$108,_xlfn.AGGREGATE(15,6,(ROW('Decision Queue_Bak'!$B$5:$B$108)-ROW('Decision Queue_Bak'!$B$5)+1)/(('Decision Queue_Bak'!$B$5:$B$108&lt;&gt;"")*('Decision Queue_Bak'!$W$5:$W$108="ACTIVE")),1)),IF(OR(_xlpm.x=0,_xlpm.x="0",_xlpm.x="N/A"),"",_xlpm.x)),"")</f>
        <v>Proposed enhancement from CFO review.</v>
      </c>
      <c r="K7" s="161"/>
      <c r="L7" s="160"/>
    </row>
    <row r="8" spans="1:12">
      <c r="A8" s="162" t="str">
        <f t="array" ref="A8">IFERROR(_xlfn.LET(_xlpm.x,INDEX('Decision Queue_Bak'!$A$5:$A$108,_xlfn.AGGREGATE(15,6,(ROW('Decision Queue_Bak'!$B$5:$B$108)-ROW('Decision Queue_Bak'!$B$5)+1)/(('Decision Queue_Bak'!$B$5:$B$108&lt;&gt;"")*('Decision Queue_Bak'!$W$5:$W$108="ACTIVE")),2)),IF(OR(_xlpm.x=0,_xlpm.x="0",_xlpm.x="N/A"),"",_xlpm.x)),"")</f>
        <v>DEC-0002</v>
      </c>
      <c r="B8" s="163" t="str">
        <f t="array" ref="B8">IFERROR(_xlfn.LET(_xlpm.x,INDEX('Decision Queue_Bak'!$B$5:$B$108,_xlfn.AGGREGATE(15,6,(ROW('Decision Queue_Bak'!$B$5:$B$108)-ROW('Decision Queue_Bak'!$B$5)+1)/(('Decision Queue_Bak'!$B$5:$B$108&lt;&gt;"")*('Decision Queue_Bak'!$W$5:$W$108="ACTIVE")),2)),IF(OR(_xlpm.x=0,_xlpm.x="0",_xlpm.x="N/A"),"",_xlpm.x)),"")</f>
        <v>Confirm separate ASP Go-Live executive section</v>
      </c>
      <c r="C8" s="163" t="str">
        <f t="array" ref="C8">IFERROR(_xlfn.LET(_xlpm.x,INDEX('Decision Queue_Bak'!$D$5:$D$108,_xlfn.AGGREGATE(15,6,(ROW('Decision Queue_Bak'!$B$5:$B$108)-ROW('Decision Queue_Bak'!$B$5)+1)/(('Decision Queue_Bak'!$B$5:$B$108&lt;&gt;"")*('Decision Queue_Bak'!$W$5:$W$108="ACTIVE")),2)),IF(OR(_xlpm.x=0,_xlpm.x="0",_xlpm.x="N/A"),"",_xlpm.x)),"")</f>
        <v>Maurizio</v>
      </c>
      <c r="D8" s="164">
        <f t="array" ref="D8">IFERROR(_xlfn.LET(_xlpm.x,INDEX('Decision Queue_Bak'!$E$5:$E$108,_xlfn.AGGREGATE(15,6,(ROW('Decision Queue_Bak'!$B$5:$B$108)-ROW('Decision Queue_Bak'!$B$5)+1)/(('Decision Queue_Bak'!$B$5:$B$108&lt;&gt;"")*('Decision Queue_Bak'!$W$5:$W$108="ACTIVE")),2)),IF(OR(_xlpm.x=0,_xlpm.x="0",_xlpm.x="N/A"),"",_xlpm.x)),"")</f>
        <v>46227</v>
      </c>
      <c r="E8" s="163" t="str">
        <f t="array" ref="E8">IFERROR(_xlfn.LET(_xlpm.x,INDEX('Decision Queue_Bak'!$G$5:$G$108,_xlfn.AGGREGATE(15,6,(ROW('Decision Queue_Bak'!$B$5:$B$108)-ROW('Decision Queue_Bak'!$B$5)+1)/(('Decision Queue_Bak'!$B$5:$B$108&lt;&gt;"")*('Decision Queue_Bak'!$W$5:$W$108="ACTIVE")),2)),IF(OR(_xlpm.x=0,_xlpm.x="0",_xlpm.x="N/A"),"",_xlpm.x)),"")</f>
        <v>Gathering Input</v>
      </c>
      <c r="F8" s="165" t="str">
        <f t="array" ref="F8">IFERROR(_xlfn.LET(_xlpm.x,INDEX('Decision Queue_Bak'!$H$5:$H$108,_xlfn.AGGREGATE(15,6,(ROW('Decision Queue_Bak'!$B$5:$B$108)-ROW('Decision Queue_Bak'!$B$5)+1)/(('Decision Queue_Bak'!$B$5:$B$108&lt;&gt;"")*('Decision Queue_Bak'!$W$5:$W$108="ACTIVE")),2)),IF(OR(_xlpm.x=0,_xlpm.x="0",_xlpm.x="N/A"),"",_xlpm.x)),"")</f>
        <v>Strategic Decision</v>
      </c>
      <c r="G8" s="165" t="str">
        <f t="array" ref="G8">IFERROR(_xlfn.LET(_xlpm.x,INDEX('Decision Queue_Bak'!$K$5:$K$108,_xlfn.AGGREGATE(15,6,(ROW('Decision Queue_Bak'!$B$5:$B$108)-ROW('Decision Queue_Bak'!$B$5)+1)/(('Decision Queue_Bak'!$B$5:$B$108&lt;&gt;"")*('Decision Queue_Bak'!$W$5:$W$108="ACTIVE")),2)),IF(OR(_xlpm.x=0,_xlpm.x="0",_xlpm.x="N/A"),"",_xlpm.x)),"")</f>
        <v>High</v>
      </c>
      <c r="H8" s="165" t="str">
        <f t="array" ref="H8">IFERROR(_xlfn.LET(_xlpm.x,INDEX('Decision Queue_Bak'!$J$5:$J$108,_xlfn.AGGREGATE(15,6,(ROW('Decision Queue_Bak'!$B$5:$B$108)-ROW('Decision Queue_Bak'!$B$5)+1)/(('Decision Queue_Bak'!$B$5:$B$108&lt;&gt;"")*('Decision Queue_Bak'!$W$5:$W$108="ACTIVE")),2)),IF(OR(_xlpm.x=0,_xlpm.x="0",_xlpm.x="N/A"),"",_xlpm.x)),"")</f>
        <v>&gt;$250K</v>
      </c>
      <c r="I8" s="165" t="str">
        <f t="array" ref="I8">IFERROR(_xlfn.LET(_xlpm.x,INDEX('Decision Queue_Bak'!$I$5:$I$108,_xlfn.AGGREGATE(15,6,(ROW('Decision Queue_Bak'!$B$5:$B$108)-ROW('Decision Queue_Bak'!$B$5)+1)/(('Decision Queue_Bak'!$B$5:$B$108&lt;&gt;"")*('Decision Queue_Bak'!$W$5:$W$108="ACTIVE")),2)),IF(OR(_xlpm.x=0,_xlpm.x="0",_xlpm.x="N/A"),"",_xlpm.x)),"")</f>
        <v>CEO &amp; CFO</v>
      </c>
      <c r="J8" s="165" t="str">
        <f t="array" ref="J8">IFERROR(_xlfn.LET(_xlpm.x,INDEX('Decision Queue_Bak'!$C$5:$C$108,_xlfn.AGGREGATE(15,6,(ROW('Decision Queue_Bak'!$B$5:$B$108)-ROW('Decision Queue_Bak'!$B$5)+1)/(('Decision Queue_Bak'!$B$5:$B$108&lt;&gt;"")*('Decision Queue_Bak'!$W$5:$W$108="ACTIVE")),2)),IF(OR(_xlpm.x=0,_xlpm.x="0",_xlpm.x="N/A"),"",_xlpm.x)),"")</f>
        <v>ASP Go-Live</v>
      </c>
      <c r="K8" s="164">
        <f t="array" ref="K8">IFERROR(_xlfn.LET(_xlpm.x,INDEX('Decision Queue_Bak'!$R$5:$R$108,_xlfn.AGGREGATE(15,6,(ROW('Decision Queue_Bak'!$B$5:$B$108)-ROW('Decision Queue_Bak'!$B$5)+1)/(('Decision Queue_Bak'!$B$5:$B$108&lt;&gt;"")*('Decision Queue_Bak'!$W$5:$W$108="ACTIVE")),2)),IF(OR(_xlpm.x=0,_xlpm.x="0",_xlpm.x="N/A"),"",_xlpm.x)),"")</f>
        <v>46219</v>
      </c>
      <c r="L8" s="165" t="str">
        <f t="array" ref="L8">IFERROR(_xlfn.LET(_xlpm.x,INDEX('Decision Queue_Bak'!$P$5:$P$108,_xlfn.AGGREGATE(15,6,(ROW('Decision Queue_Bak'!$B$5:$B$108)-ROW('Decision Queue_Bak'!$B$5)+1)/(('Decision Queue_Bak'!$B$5:$B$108&lt;&gt;"")*('Decision Queue_Bak'!$W$5:$W$108="ACTIVE")),2)),IF(OR(_xlpm.x=0,_xlpm.x="0",_xlpm.x="N/A"),"",_xlpm.x)),"")</f>
        <v>Maurizio</v>
      </c>
    </row>
    <row r="9" spans="1:12">
      <c r="A9" s="98" t="str">
        <f>IF(A8="","",A8&amp;" cont.")</f>
        <v>DEC-0002 cont.</v>
      </c>
      <c r="B9" s="166" t="str">
        <f t="array" ref="B9">IFERROR(_xlfn.LET(_xlpm.x,INDEX('Decision Queue_Bak'!$F$5:$F$108,_xlfn.AGGREGATE(15,6,(ROW('Decision Queue_Bak'!$B$5:$B$108)-ROW('Decision Queue_Bak'!$B$5)+1)/(('Decision Queue_Bak'!$B$5:$B$108&lt;&gt;"")*('Decision Queue_Bak'!$W$5:$W$108="ACTIVE")),2)),IF(OR(_xlpm.x=0,_xlpm.x="0",_xlpm.x="N/A"),"",_xlpm.x)),"")</f>
        <v>Track ASP as separate executive workstream with readiness sub-streams rather than generic Projects category.</v>
      </c>
      <c r="C9" s="166" t="str">
        <f t="array" ref="C9">IFERROR(_xlfn.LET(_xlpm.x,INDEX('Decision Queue_Bak'!$Q$5:$Q$108,_xlfn.AGGREGATE(15,6,(ROW('Decision Queue_Bak'!$B$5:$B$108)-ROW('Decision Queue_Bak'!$B$5)+1)/(('Decision Queue_Bak'!$B$5:$B$108&lt;&gt;"")*('Decision Queue_Bak'!$W$5:$W$108="ACTIVE")),2)),IF(OR(_xlpm.x=0,_xlpm.x="0",_xlpm.x="N/A"),"",_xlpm.x)),"")</f>
        <v>Sherry</v>
      </c>
      <c r="D9" s="167" t="str">
        <f t="array" ref="D9">IFERROR(_xlfn.LET(_xlpm.x,INDEX('Decision Queue_Bak'!$M$5:$M$108,_xlfn.AGGREGATE(15,6,(ROW('Decision Queue_Bak'!$B$5:$B$108)-ROW('Decision Queue_Bak'!$B$5)+1)/(('Decision Queue_Bak'!$B$5:$B$108&lt;&gt;"")*('Decision Queue_Bak'!$W$5:$W$108="ACTIVE")),2)),IF(OR(_xlpm.x=0,_xlpm.x="0",_xlpm.x="N/A"),"",_xlpm.x)),"")</f>
        <v/>
      </c>
      <c r="E9" s="166" t="str">
        <f t="array" ref="E9">IFERROR(_xlfn.LET(_xlpm.x,INDEX('Decision Queue_Bak'!$N$5:$N$108,_xlfn.AGGREGATE(15,6,(ROW('Decision Queue_Bak'!$B$5:$B$108)-ROW('Decision Queue_Bak'!$B$5)+1)/(('Decision Queue_Bak'!$B$5:$B$108&lt;&gt;"")*('Decision Queue_Bak'!$W$5:$W$108="ACTIVE")),2)),IF(OR(_xlpm.x=0,_xlpm.x="0",_xlpm.x="N/A"),"",_xlpm.x)),"")</f>
        <v>Yes</v>
      </c>
      <c r="F9" s="166" t="str">
        <f t="array" ref="F9">IFERROR(_xlfn.LET(_xlpm.x,INDEX('Decision Queue_Bak'!$L$5:$L$108,_xlfn.AGGREGATE(15,6,(ROW('Decision Queue_Bak'!$B$5:$B$108)-ROW('Decision Queue_Bak'!$B$5)+1)/(('Decision Queue_Bak'!$B$5:$B$108&lt;&gt;"")*('Decision Queue_Bak'!$W$5:$W$108="ACTIVE")),2)),IF(OR(_xlpm.x=0,_xlpm.x="0",_xlpm.x="N/A"),"",_xlpm.x)),"")</f>
        <v>ASP Go-Live</v>
      </c>
      <c r="G9" s="166" t="str">
        <f t="array" ref="G9">IFERROR(_xlfn.LET(_xlpm.x,INDEX('Decision Queue_Bak'!$S$5:$S$108,_xlfn.AGGREGATE(15,6,(ROW('Decision Queue_Bak'!$B$5:$B$108)-ROW('Decision Queue_Bak'!$B$5)+1)/(('Decision Queue_Bak'!$B$5:$B$108&lt;&gt;"")*('Decision Queue_Bak'!$W$5:$W$108="ACTIVE")),2)),IF(OR(_xlpm.x=0,_xlpm.x="0",_xlpm.x="N/A"),"",_xlpm.x)),"")</f>
        <v>ASP risk may be diluted if tracked only as a generic project.</v>
      </c>
      <c r="H9" s="166" t="str">
        <f t="array" ref="H9">IFERROR(_xlfn.LET(_xlpm.x,INDEX('Decision Queue_Bak'!$O$5:$O$108,_xlfn.AGGREGATE(15,6,(ROW('Decision Queue_Bak'!$B$5:$B$108)-ROW('Decision Queue_Bak'!$B$5)+1)/(('Decision Queue_Bak'!$B$5:$B$108&lt;&gt;"")*('Decision Queue_Bak'!$W$5:$W$108="ACTIVE")),2)),IF(OR(_xlpm.x=0,_xlpm.x="0",_xlpm.x="N/A"),"",_xlpm.x)),"")</f>
        <v>Confirm owner and weekly reporting cadence.</v>
      </c>
      <c r="I9" s="166" t="str">
        <f t="array" ref="I9">IFERROR(_xlfn.LET(_xlpm.x,INDEX('Decision Queue_Bak'!$T$5:$T$108,_xlfn.AGGREGATE(15,6,(ROW('Decision Queue_Bak'!$B$5:$B$108)-ROW('Decision Queue_Bak'!$B$5)+1)/(('Decision Queue_Bak'!$B$5:$B$108&lt;&gt;"")*('Decision Queue_Bak'!$W$5:$W$108="ACTIVE")),2)),IF(OR(_xlpm.x=0,_xlpm.x="0",_xlpm.x="N/A"),"",_xlpm.x)),"")</f>
        <v/>
      </c>
      <c r="J9" s="166" t="str">
        <f t="array" ref="J9">IFERROR(_xlfn.LET(_xlpm.x,INDEX('Decision Queue_Bak'!$U$5:$U$108,_xlfn.AGGREGATE(15,6,(ROW('Decision Queue_Bak'!$B$5:$B$108)-ROW('Decision Queue_Bak'!$B$5)+1)/(('Decision Queue_Bak'!$B$5:$B$108&lt;&gt;"")*('Decision Queue_Bak'!$W$5:$W$108="ACTIVE")),2)),IF(OR(_xlpm.x=0,_xlpm.x="0",_xlpm.x="N/A"),"",_xlpm.x)),"")</f>
        <v>Recommended due to ASP scale and governance visibility needs.</v>
      </c>
      <c r="K9" s="167"/>
      <c r="L9" s="166"/>
    </row>
    <row r="10" spans="1:12">
      <c r="A10" s="162" t="str">
        <f t="array" ref="A10">IFERROR(_xlfn.LET(_xlpm.x,INDEX('Decision Queue_Bak'!$A$5:$A$108,_xlfn.AGGREGATE(15,6,(ROW('Decision Queue_Bak'!$B$5:$B$108)-ROW('Decision Queue_Bak'!$B$5)+1)/(('Decision Queue_Bak'!$B$5:$B$108&lt;&gt;"")*('Decision Queue_Bak'!$W$5:$W$108="ACTIVE")),3)),IF(OR(_xlpm.x=0,_xlpm.x="0",_xlpm.x="N/A"),"",_xlpm.x)),"")</f>
        <v>DEC-0003</v>
      </c>
      <c r="B10" s="168" t="str">
        <f t="array" ref="B10">IFERROR(_xlfn.LET(_xlpm.x,INDEX('Decision Queue_Bak'!$B$5:$B$108,_xlfn.AGGREGATE(15,6,(ROW('Decision Queue_Bak'!$B$5:$B$108)-ROW('Decision Queue_Bak'!$B$5)+1)/(('Decision Queue_Bak'!$B$5:$B$108&lt;&gt;"")*('Decision Queue_Bak'!$W$5:$W$108="ACTIVE")),3)),IF(OR(_xlpm.x=0,_xlpm.x="0",_xlpm.x="N/A"),"",_xlpm.x)),"")</f>
        <v>Standardize Halal Certification Body Across AGC</v>
      </c>
      <c r="C10" s="168" t="str">
        <f t="array" ref="C10">IFERROR(_xlfn.LET(_xlpm.x,INDEX('Decision Queue_Bak'!$D$5:$D$108,_xlfn.AGGREGATE(15,6,(ROW('Decision Queue_Bak'!$B$5:$B$108)-ROW('Decision Queue_Bak'!$B$5)+1)/(('Decision Queue_Bak'!$B$5:$B$108&lt;&gt;"")*('Decision Queue_Bak'!$W$5:$W$108="ACTIVE")),3)),IF(OR(_xlpm.x=0,_xlpm.x="0",_xlpm.x="N/A"),"",_xlpm.x)),"")</f>
        <v>Tom</v>
      </c>
      <c r="D10" s="169">
        <f t="array" ref="D10">IFERROR(_xlfn.LET(_xlpm.x,INDEX('Decision Queue_Bak'!$E$5:$E$108,_xlfn.AGGREGATE(15,6,(ROW('Decision Queue_Bak'!$B$5:$B$108)-ROW('Decision Queue_Bak'!$B$5)+1)/(('Decision Queue_Bak'!$B$5:$B$108&lt;&gt;"")*('Decision Queue_Bak'!$W$5:$W$108="ACTIVE")),3)),IF(OR(_xlpm.x=0,_xlpm.x="0",_xlpm.x="N/A"),"",_xlpm.x)),"")</f>
        <v>46244</v>
      </c>
      <c r="E10" s="168" t="str">
        <f t="array" ref="E10">IFERROR(_xlfn.LET(_xlpm.x,INDEX('Decision Queue_Bak'!$G$5:$G$108,_xlfn.AGGREGATE(15,6,(ROW('Decision Queue_Bak'!$B$5:$B$108)-ROW('Decision Queue_Bak'!$B$5)+1)/(('Decision Queue_Bak'!$B$5:$B$108&lt;&gt;"")*('Decision Queue_Bak'!$W$5:$W$108="ACTIVE")),3)),IF(OR(_xlpm.x=0,_xlpm.x="0",_xlpm.x="N/A"),"",_xlpm.x)),"")</f>
        <v>Assigned</v>
      </c>
      <c r="F10" s="170" t="str">
        <f t="array" ref="F10">IFERROR(_xlfn.LET(_xlpm.x,INDEX('Decision Queue_Bak'!$H$5:$H$108,_xlfn.AGGREGATE(15,6,(ROW('Decision Queue_Bak'!$B$5:$B$108)-ROW('Decision Queue_Bak'!$B$5)+1)/(('Decision Queue_Bak'!$B$5:$B$108&lt;&gt;"")*('Decision Queue_Bak'!$W$5:$W$108="ACTIVE")),3)),IF(OR(_xlpm.x=0,_xlpm.x="0",_xlpm.x="N/A"),"",_xlpm.x)),"")</f>
        <v>Approval Required</v>
      </c>
      <c r="G10" s="170" t="str">
        <f t="array" ref="G10">IFERROR(_xlfn.LET(_xlpm.x,INDEX('Decision Queue_Bak'!$K$5:$K$108,_xlfn.AGGREGATE(15,6,(ROW('Decision Queue_Bak'!$B$5:$B$108)-ROW('Decision Queue_Bak'!$B$5)+1)/(('Decision Queue_Bak'!$B$5:$B$108&lt;&gt;"")*('Decision Queue_Bak'!$W$5:$W$108="ACTIVE")),3)),IF(OR(_xlpm.x=0,_xlpm.x="0",_xlpm.x="N/A"),"",_xlpm.x)),"")</f>
        <v>Medium</v>
      </c>
      <c r="H10" s="170" t="str">
        <f t="array" ref="H10">IFERROR(_xlfn.LET(_xlpm.x,INDEX('Decision Queue_Bak'!$J$5:$J$108,_xlfn.AGGREGATE(15,6,(ROW('Decision Queue_Bak'!$B$5:$B$108)-ROW('Decision Queue_Bak'!$B$5)+1)/(('Decision Queue_Bak'!$B$5:$B$108&lt;&gt;"")*('Decision Queue_Bak'!$W$5:$W$108="ACTIVE")),3)),IF(OR(_xlpm.x=0,_xlpm.x="0",_xlpm.x="N/A"),"",_xlpm.x)),"")</f>
        <v>Unknown / TBD</v>
      </c>
      <c r="I10" s="170" t="str">
        <f t="array" ref="I10">IFERROR(_xlfn.LET(_xlpm.x,INDEX('Decision Queue_Bak'!$I$5:$I$108,_xlfn.AGGREGATE(15,6,(ROW('Decision Queue_Bak'!$B$5:$B$108)-ROW('Decision Queue_Bak'!$B$5)+1)/(('Decision Queue_Bak'!$B$5:$B$108&lt;&gt;"")*('Decision Queue_Bak'!$W$5:$W$108="ACTIVE")),3)),IF(OR(_xlpm.x=0,_xlpm.x="0",_xlpm.x="N/A"),"",_xlpm.x)),"")</f>
        <v>SLT</v>
      </c>
      <c r="J10" s="170" t="str">
        <f t="array" ref="J10">IFERROR(_xlfn.LET(_xlpm.x,INDEX('Decision Queue_Bak'!$C$5:$C$108,_xlfn.AGGREGATE(15,6,(ROW('Decision Queue_Bak'!$B$5:$B$108)-ROW('Decision Queue_Bak'!$B$5)+1)/(('Decision Queue_Bak'!$B$5:$B$108&lt;&gt;"")*('Decision Queue_Bak'!$W$5:$W$108="ACTIVE")),3)),IF(OR(_xlpm.x=0,_xlpm.x="0",_xlpm.x="N/A"),"",_xlpm.x)),"")</f>
        <v>Risk &amp; Compliance</v>
      </c>
      <c r="K10" s="169">
        <f t="array" ref="K10">IFERROR(_xlfn.LET(_xlpm.x,INDEX('Decision Queue_Bak'!$R$5:$R$108,_xlfn.AGGREGATE(15,6,(ROW('Decision Queue_Bak'!$B$5:$B$108)-ROW('Decision Queue_Bak'!$B$5)+1)/(('Decision Queue_Bak'!$B$5:$B$108&lt;&gt;"")*('Decision Queue_Bak'!$W$5:$W$108="ACTIVE")),3)),IF(OR(_xlpm.x=0,_xlpm.x="0",_xlpm.x="N/A"),"",_xlpm.x)),"")</f>
        <v>46223</v>
      </c>
      <c r="L10" s="170" t="str">
        <f t="array" ref="L10">IFERROR(_xlfn.LET(_xlpm.x,INDEX('Decision Queue_Bak'!$P$5:$P$108,_xlfn.AGGREGATE(15,6,(ROW('Decision Queue_Bak'!$B$5:$B$108)-ROW('Decision Queue_Bak'!$B$5)+1)/(('Decision Queue_Bak'!$B$5:$B$108&lt;&gt;"")*('Decision Queue_Bak'!$W$5:$W$108="ACTIVE")),3)),IF(OR(_xlpm.x=0,_xlpm.x="0",_xlpm.x="N/A"),"",_xlpm.x)),"")</f>
        <v>Tom</v>
      </c>
    </row>
    <row r="11" spans="1:12">
      <c r="A11" s="97" t="str">
        <f>IF(A10="","",A10&amp;" cont.")</f>
        <v>DEC-0003 cont.</v>
      </c>
      <c r="B11" s="160" t="str">
        <f t="array" ref="B11">IFERROR(_xlfn.LET(_xlpm.x,INDEX('Decision Queue_Bak'!$F$5:$F$108,_xlfn.AGGREGATE(15,6,(ROW('Decision Queue_Bak'!$B$5:$B$108)-ROW('Decision Queue_Bak'!$B$5)+1)/(('Decision Queue_Bak'!$B$5:$B$108&lt;&gt;"")*('Decision Queue_Bak'!$W$5:$W$108="ACTIVE")),3)),IF(OR(_xlpm.x=0,_xlpm.x="0",_xlpm.x="N/A"),"",_xlpm.x)),"")</f>
        <v>Establish CHFCA as the primary corporate Halal certification body for future Halal certification activities across AQM, ASP and SCF. Existing customer or commercial requirements requiring alternative certification bodies (e.g., HMA for specific Maple Leaf programs) would continue to be supported where necessary. Existing facility certifications would transition to the corporate standard as renewals and business requirements permit.</v>
      </c>
      <c r="C11" s="160" t="str">
        <f t="array" ref="C11">IFERROR(_xlfn.LET(_xlpm.x,INDEX('Decision Queue_Bak'!$Q$5:$Q$108,_xlfn.AGGREGATE(15,6,(ROW('Decision Queue_Bak'!$B$5:$B$108)-ROW('Decision Queue_Bak'!$B$5)+1)/(('Decision Queue_Bak'!$B$5:$B$108&lt;&gt;"")*('Decision Queue_Bak'!$W$5:$W$108="ACTIVE")),3)),IF(OR(_xlpm.x=0,_xlpm.x="0",_xlpm.x="N/A"),"",_xlpm.x)),"")</f>
        <v>Tom</v>
      </c>
      <c r="D11" s="161" t="str">
        <f t="array" ref="D11">IFERROR(_xlfn.LET(_xlpm.x,INDEX('Decision Queue_Bak'!$M$5:$M$108,_xlfn.AGGREGATE(15,6,(ROW('Decision Queue_Bak'!$B$5:$B$108)-ROW('Decision Queue_Bak'!$B$5)+1)/(('Decision Queue_Bak'!$B$5:$B$108&lt;&gt;"")*('Decision Queue_Bak'!$W$5:$W$108="ACTIVE")),3)),IF(OR(_xlpm.x=0,_xlpm.x="0",_xlpm.x="N/A"),"",_xlpm.x)),"")</f>
        <v/>
      </c>
      <c r="E11" s="160" t="str">
        <f t="array" ref="E11">IFERROR(_xlfn.LET(_xlpm.x,INDEX('Decision Queue_Bak'!$N$5:$N$108,_xlfn.AGGREGATE(15,6,(ROW('Decision Queue_Bak'!$B$5:$B$108)-ROW('Decision Queue_Bak'!$B$5)+1)/(('Decision Queue_Bak'!$B$5:$B$108&lt;&gt;"")*('Decision Queue_Bak'!$W$5:$W$108="ACTIVE")),3)),IF(OR(_xlpm.x=0,_xlpm.x="0",_xlpm.x="N/A"),"",_xlpm.x)),"")</f>
        <v>Yes</v>
      </c>
      <c r="F11" s="160" t="str">
        <f t="array" ref="F11">IFERROR(_xlfn.LET(_xlpm.x,INDEX('Decision Queue_Bak'!$L$5:$L$108,_xlfn.AGGREGATE(15,6,(ROW('Decision Queue_Bak'!$B$5:$B$108)-ROW('Decision Queue_Bak'!$B$5)+1)/(('Decision Queue_Bak'!$B$5:$B$108&lt;&gt;"")*('Decision Queue_Bak'!$W$5:$W$108="ACTIVE")),3)),IF(OR(_xlpm.x=0,_xlpm.x="0",_xlpm.x="N/A"),"",_xlpm.x)),"")</f>
        <v>Food Safety</v>
      </c>
      <c r="G11" s="160" t="str">
        <f t="array" ref="G11">IFERROR(_xlfn.LET(_xlpm.x,INDEX('Decision Queue_Bak'!$S$5:$S$108,_xlfn.AGGREGATE(15,6,(ROW('Decision Queue_Bak'!$B$5:$B$108)-ROW('Decision Queue_Bak'!$B$5)+1)/(('Decision Queue_Bak'!$B$5:$B$108&lt;&gt;"")*('Decision Queue_Bak'!$W$5:$W$108="ACTIVE")),3)),IF(OR(_xlpm.x=0,_xlpm.x="0",_xlpm.x="N/A"),"",_xlpm.x)),"")</f>
        <v>Continuing with multiple Halal certification bodies will increase administrative effort, maintain different audit methodologies and documentation requirements, limit opportunities to standardize procedures and training, and reduce the ability to present a consistent corporate Halal program across Amir Group.</v>
      </c>
      <c r="H11" s="160" t="str">
        <f t="array" ref="H11">IFERROR(_xlfn.LET(_xlpm.x,INDEX('Decision Queue_Bak'!$O$5:$O$108,_xlfn.AGGREGATE(15,6,(ROW('Decision Queue_Bak'!$B$5:$B$108)-ROW('Decision Queue_Bak'!$B$5)+1)/(('Decision Queue_Bak'!$B$5:$B$108&lt;&gt;"")*('Decision Queue_Bak'!$W$5:$W$108="ACTIVE")),3)),IF(OR(_xlpm.x=0,_xlpm.x="0",_xlpm.x="N/A"),"",_xlpm.x)),"")</f>
        <v>Gather pricing and information first. Follow up with Troy Warren regarding export market certification requirements and recognized bodies.</v>
      </c>
      <c r="I11" s="160" t="str">
        <f t="array" ref="I11">IFERROR(_xlfn.LET(_xlpm.x,INDEX('Decision Queue_Bak'!$T$5:$T$108,_xlfn.AGGREGATE(15,6,(ROW('Decision Queue_Bak'!$B$5:$B$108)-ROW('Decision Queue_Bak'!$B$5)+1)/(('Decision Queue_Bak'!$B$5:$B$108&lt;&gt;"")*('Decision Queue_Bak'!$W$5:$W$108="ACTIVE")),3)),IF(OR(_xlpm.x=0,_xlpm.x="0",_xlpm.x="N/A"),"",_xlpm.x)),"")</f>
        <v/>
      </c>
      <c r="J11" s="160" t="str">
        <f t="array" ref="J11">IFERROR(_xlfn.LET(_xlpm.x,INDEX('Decision Queue_Bak'!$U$5:$U$108,_xlfn.AGGREGATE(15,6,(ROW('Decision Queue_Bak'!$B$5:$B$108)-ROW('Decision Queue_Bak'!$B$5)+1)/(('Decision Queue_Bak'!$B$5:$B$108&lt;&gt;"")*('Decision Queue_Bak'!$W$5:$W$108="ACTIVE")),3)),IF(OR(_xlpm.x=0,_xlpm.x="0",_xlpm.x="N/A"),"",_xlpm.x)),"")</f>
        <v/>
      </c>
      <c r="K11" s="161"/>
      <c r="L11" s="160"/>
    </row>
    <row r="12" spans="1:12">
      <c r="A12" s="162" t="str">
        <f t="array" ref="A12">IFERROR(_xlfn.LET(_xlpm.x,INDEX('Decision Queue_Bak'!$A$5:$A$108,_xlfn.AGGREGATE(15,6,(ROW('Decision Queue_Bak'!$B$5:$B$108)-ROW('Decision Queue_Bak'!$B$5)+1)/(('Decision Queue_Bak'!$B$5:$B$108&lt;&gt;"")*('Decision Queue_Bak'!$W$5:$W$108="ACTIVE")),4)),IF(OR(_xlpm.x=0,_xlpm.x="0",_xlpm.x="N/A"),"",_xlpm.x)),"")</f>
        <v/>
      </c>
      <c r="B12" s="163" t="str">
        <f t="array" ref="B12">IFERROR(_xlfn.LET(_xlpm.x,INDEX('Decision Queue_Bak'!$B$5:$B$108,_xlfn.AGGREGATE(15,6,(ROW('Decision Queue_Bak'!$B$5:$B$108)-ROW('Decision Queue_Bak'!$B$5)+1)/(('Decision Queue_Bak'!$B$5:$B$108&lt;&gt;"")*('Decision Queue_Bak'!$W$5:$W$108="ACTIVE")),4)),IF(OR(_xlpm.x=0,_xlpm.x="0",_xlpm.x="N/A"),"",_xlpm.x)),"")</f>
        <v/>
      </c>
      <c r="C12" s="163" t="str">
        <f t="array" ref="C12">IFERROR(_xlfn.LET(_xlpm.x,INDEX('Decision Queue_Bak'!$D$5:$D$108,_xlfn.AGGREGATE(15,6,(ROW('Decision Queue_Bak'!$B$5:$B$108)-ROW('Decision Queue_Bak'!$B$5)+1)/(('Decision Queue_Bak'!$B$5:$B$108&lt;&gt;"")*('Decision Queue_Bak'!$W$5:$W$108="ACTIVE")),4)),IF(OR(_xlpm.x=0,_xlpm.x="0",_xlpm.x="N/A"),"",_xlpm.x)),"")</f>
        <v/>
      </c>
      <c r="D12" s="164" t="str">
        <f t="array" ref="D12">IFERROR(_xlfn.LET(_xlpm.x,INDEX('Decision Queue_Bak'!$E$5:$E$108,_xlfn.AGGREGATE(15,6,(ROW('Decision Queue_Bak'!$B$5:$B$108)-ROW('Decision Queue_Bak'!$B$5)+1)/(('Decision Queue_Bak'!$B$5:$B$108&lt;&gt;"")*('Decision Queue_Bak'!$W$5:$W$108="ACTIVE")),4)),IF(OR(_xlpm.x=0,_xlpm.x="0",_xlpm.x="N/A"),"",_xlpm.x)),"")</f>
        <v/>
      </c>
      <c r="E12" s="163" t="str">
        <f t="array" ref="E12">IFERROR(_xlfn.LET(_xlpm.x,INDEX('Decision Queue_Bak'!$G$5:$G$108,_xlfn.AGGREGATE(15,6,(ROW('Decision Queue_Bak'!$B$5:$B$108)-ROW('Decision Queue_Bak'!$B$5)+1)/(('Decision Queue_Bak'!$B$5:$B$108&lt;&gt;"")*('Decision Queue_Bak'!$W$5:$W$108="ACTIVE")),4)),IF(OR(_xlpm.x=0,_xlpm.x="0",_xlpm.x="N/A"),"",_xlpm.x)),"")</f>
        <v/>
      </c>
      <c r="F12" s="165" t="str">
        <f t="array" ref="F12">IFERROR(_xlfn.LET(_xlpm.x,INDEX('Decision Queue_Bak'!$H$5:$H$108,_xlfn.AGGREGATE(15,6,(ROW('Decision Queue_Bak'!$B$5:$B$108)-ROW('Decision Queue_Bak'!$B$5)+1)/(('Decision Queue_Bak'!$B$5:$B$108&lt;&gt;"")*('Decision Queue_Bak'!$W$5:$W$108="ACTIVE")),4)),IF(OR(_xlpm.x=0,_xlpm.x="0",_xlpm.x="N/A"),"",_xlpm.x)),"")</f>
        <v/>
      </c>
      <c r="G12" s="165" t="str">
        <f t="array" ref="G12">IFERROR(_xlfn.LET(_xlpm.x,INDEX('Decision Queue_Bak'!$K$5:$K$108,_xlfn.AGGREGATE(15,6,(ROW('Decision Queue_Bak'!$B$5:$B$108)-ROW('Decision Queue_Bak'!$B$5)+1)/(('Decision Queue_Bak'!$B$5:$B$108&lt;&gt;"")*('Decision Queue_Bak'!$W$5:$W$108="ACTIVE")),4)),IF(OR(_xlpm.x=0,_xlpm.x="0",_xlpm.x="N/A"),"",_xlpm.x)),"")</f>
        <v/>
      </c>
      <c r="H12" s="165" t="str">
        <f t="array" ref="H12">IFERROR(_xlfn.LET(_xlpm.x,INDEX('Decision Queue_Bak'!$J$5:$J$108,_xlfn.AGGREGATE(15,6,(ROW('Decision Queue_Bak'!$B$5:$B$108)-ROW('Decision Queue_Bak'!$B$5)+1)/(('Decision Queue_Bak'!$B$5:$B$108&lt;&gt;"")*('Decision Queue_Bak'!$W$5:$W$108="ACTIVE")),4)),IF(OR(_xlpm.x=0,_xlpm.x="0",_xlpm.x="N/A"),"",_xlpm.x)),"")</f>
        <v/>
      </c>
      <c r="I12" s="165" t="str">
        <f t="array" ref="I12">IFERROR(_xlfn.LET(_xlpm.x,INDEX('Decision Queue_Bak'!$I$5:$I$108,_xlfn.AGGREGATE(15,6,(ROW('Decision Queue_Bak'!$B$5:$B$108)-ROW('Decision Queue_Bak'!$B$5)+1)/(('Decision Queue_Bak'!$B$5:$B$108&lt;&gt;"")*('Decision Queue_Bak'!$W$5:$W$108="ACTIVE")),4)),IF(OR(_xlpm.x=0,_xlpm.x="0",_xlpm.x="N/A"),"",_xlpm.x)),"")</f>
        <v/>
      </c>
      <c r="J12" s="165" t="str">
        <f t="array" ref="J12">IFERROR(_xlfn.LET(_xlpm.x,INDEX('Decision Queue_Bak'!$C$5:$C$108,_xlfn.AGGREGATE(15,6,(ROW('Decision Queue_Bak'!$B$5:$B$108)-ROW('Decision Queue_Bak'!$B$5)+1)/(('Decision Queue_Bak'!$B$5:$B$108&lt;&gt;"")*('Decision Queue_Bak'!$W$5:$W$108="ACTIVE")),4)),IF(OR(_xlpm.x=0,_xlpm.x="0",_xlpm.x="N/A"),"",_xlpm.x)),"")</f>
        <v/>
      </c>
      <c r="K12" s="164" t="str">
        <f t="array" ref="K12">IFERROR(_xlfn.LET(_xlpm.x,INDEX('Decision Queue_Bak'!$R$5:$R$108,_xlfn.AGGREGATE(15,6,(ROW('Decision Queue_Bak'!$B$5:$B$108)-ROW('Decision Queue_Bak'!$B$5)+1)/(('Decision Queue_Bak'!$B$5:$B$108&lt;&gt;"")*('Decision Queue_Bak'!$W$5:$W$108="ACTIVE")),4)),IF(OR(_xlpm.x=0,_xlpm.x="0",_xlpm.x="N/A"),"",_xlpm.x)),"")</f>
        <v/>
      </c>
      <c r="L12" s="165" t="str">
        <f t="array" ref="L12">IFERROR(_xlfn.LET(_xlpm.x,INDEX('Decision Queue_Bak'!$P$5:$P$108,_xlfn.AGGREGATE(15,6,(ROW('Decision Queue_Bak'!$B$5:$B$108)-ROW('Decision Queue_Bak'!$B$5)+1)/(('Decision Queue_Bak'!$B$5:$B$108&lt;&gt;"")*('Decision Queue_Bak'!$W$5:$W$108="ACTIVE")),4)),IF(OR(_xlpm.x=0,_xlpm.x="0",_xlpm.x="N/A"),"",_xlpm.x)),"")</f>
        <v/>
      </c>
    </row>
    <row r="13" spans="1:12">
      <c r="A13" s="98" t="str">
        <f>IF(A12="","",A12&amp;" cont.")</f>
        <v/>
      </c>
      <c r="B13" s="166" t="str">
        <f t="array" ref="B13">IFERROR(_xlfn.LET(_xlpm.x,INDEX('Decision Queue_Bak'!$F$5:$F$108,_xlfn.AGGREGATE(15,6,(ROW('Decision Queue_Bak'!$B$5:$B$108)-ROW('Decision Queue_Bak'!$B$5)+1)/(('Decision Queue_Bak'!$B$5:$B$108&lt;&gt;"")*('Decision Queue_Bak'!$W$5:$W$108="ACTIVE")),4)),IF(OR(_xlpm.x=0,_xlpm.x="0",_xlpm.x="N/A"),"",_xlpm.x)),"")</f>
        <v/>
      </c>
      <c r="C13" s="166" t="str">
        <f t="array" ref="C13">IFERROR(_xlfn.LET(_xlpm.x,INDEX('Decision Queue_Bak'!$Q$5:$Q$108,_xlfn.AGGREGATE(15,6,(ROW('Decision Queue_Bak'!$B$5:$B$108)-ROW('Decision Queue_Bak'!$B$5)+1)/(('Decision Queue_Bak'!$B$5:$B$108&lt;&gt;"")*('Decision Queue_Bak'!$W$5:$W$108="ACTIVE")),4)),IF(OR(_xlpm.x=0,_xlpm.x="0",_xlpm.x="N/A"),"",_xlpm.x)),"")</f>
        <v/>
      </c>
      <c r="D13" s="167" t="str">
        <f t="array" ref="D13">IFERROR(_xlfn.LET(_xlpm.x,INDEX('Decision Queue_Bak'!$M$5:$M$108,_xlfn.AGGREGATE(15,6,(ROW('Decision Queue_Bak'!$B$5:$B$108)-ROW('Decision Queue_Bak'!$B$5)+1)/(('Decision Queue_Bak'!$B$5:$B$108&lt;&gt;"")*('Decision Queue_Bak'!$W$5:$W$108="ACTIVE")),4)),IF(OR(_xlpm.x=0,_xlpm.x="0",_xlpm.x="N/A"),"",_xlpm.x)),"")</f>
        <v/>
      </c>
      <c r="E13" s="166" t="str">
        <f t="array" ref="E13">IFERROR(_xlfn.LET(_xlpm.x,INDEX('Decision Queue_Bak'!$N$5:$N$108,_xlfn.AGGREGATE(15,6,(ROW('Decision Queue_Bak'!$B$5:$B$108)-ROW('Decision Queue_Bak'!$B$5)+1)/(('Decision Queue_Bak'!$B$5:$B$108&lt;&gt;"")*('Decision Queue_Bak'!$W$5:$W$108="ACTIVE")),4)),IF(OR(_xlpm.x=0,_xlpm.x="0",_xlpm.x="N/A"),"",_xlpm.x)),"")</f>
        <v/>
      </c>
      <c r="F13" s="166" t="str">
        <f t="array" ref="F13">IFERROR(_xlfn.LET(_xlpm.x,INDEX('Decision Queue_Bak'!$L$5:$L$108,_xlfn.AGGREGATE(15,6,(ROW('Decision Queue_Bak'!$B$5:$B$108)-ROW('Decision Queue_Bak'!$B$5)+1)/(('Decision Queue_Bak'!$B$5:$B$108&lt;&gt;"")*('Decision Queue_Bak'!$W$5:$W$108="ACTIVE")),4)),IF(OR(_xlpm.x=0,_xlpm.x="0",_xlpm.x="N/A"),"",_xlpm.x)),"")</f>
        <v/>
      </c>
      <c r="G13" s="166" t="str">
        <f t="array" ref="G13">IFERROR(_xlfn.LET(_xlpm.x,INDEX('Decision Queue_Bak'!$S$5:$S$108,_xlfn.AGGREGATE(15,6,(ROW('Decision Queue_Bak'!$B$5:$B$108)-ROW('Decision Queue_Bak'!$B$5)+1)/(('Decision Queue_Bak'!$B$5:$B$108&lt;&gt;"")*('Decision Queue_Bak'!$W$5:$W$108="ACTIVE")),4)),IF(OR(_xlpm.x=0,_xlpm.x="0",_xlpm.x="N/A"),"",_xlpm.x)),"")</f>
        <v/>
      </c>
      <c r="H13" s="166" t="str">
        <f t="array" ref="H13">IFERROR(_xlfn.LET(_xlpm.x,INDEX('Decision Queue_Bak'!$O$5:$O$108,_xlfn.AGGREGATE(15,6,(ROW('Decision Queue_Bak'!$B$5:$B$108)-ROW('Decision Queue_Bak'!$B$5)+1)/(('Decision Queue_Bak'!$B$5:$B$108&lt;&gt;"")*('Decision Queue_Bak'!$W$5:$W$108="ACTIVE")),4)),IF(OR(_xlpm.x=0,_xlpm.x="0",_xlpm.x="N/A"),"",_xlpm.x)),"")</f>
        <v/>
      </c>
      <c r="I13" s="166" t="str">
        <f t="array" ref="I13">IFERROR(_xlfn.LET(_xlpm.x,INDEX('Decision Queue_Bak'!$T$5:$T$108,_xlfn.AGGREGATE(15,6,(ROW('Decision Queue_Bak'!$B$5:$B$108)-ROW('Decision Queue_Bak'!$B$5)+1)/(('Decision Queue_Bak'!$B$5:$B$108&lt;&gt;"")*('Decision Queue_Bak'!$W$5:$W$108="ACTIVE")),4)),IF(OR(_xlpm.x=0,_xlpm.x="0",_xlpm.x="N/A"),"",_xlpm.x)),"")</f>
        <v/>
      </c>
      <c r="J13" s="166" t="str">
        <f t="array" ref="J13">IFERROR(_xlfn.LET(_xlpm.x,INDEX('Decision Queue_Bak'!$U$5:$U$108,_xlfn.AGGREGATE(15,6,(ROW('Decision Queue_Bak'!$B$5:$B$108)-ROW('Decision Queue_Bak'!$B$5)+1)/(('Decision Queue_Bak'!$B$5:$B$108&lt;&gt;"")*('Decision Queue_Bak'!$W$5:$W$108="ACTIVE")),4)),IF(OR(_xlpm.x=0,_xlpm.x="0",_xlpm.x="N/A"),"",_xlpm.x)),"")</f>
        <v/>
      </c>
      <c r="K13" s="167"/>
      <c r="L13" s="166"/>
    </row>
    <row r="14" spans="1:12">
      <c r="A14" s="162" t="str">
        <f t="array" ref="A14">IFERROR(_xlfn.LET(_xlpm.x,INDEX('Decision Queue_Bak'!$A$5:$A$108,_xlfn.AGGREGATE(15,6,(ROW('Decision Queue_Bak'!$B$5:$B$108)-ROW('Decision Queue_Bak'!$B$5)+1)/(('Decision Queue_Bak'!$B$5:$B$108&lt;&gt;"")*('Decision Queue_Bak'!$W$5:$W$108="ACTIVE")),5)),IF(OR(_xlpm.x=0,_xlpm.x="0",_xlpm.x="N/A"),"",_xlpm.x)),"")</f>
        <v/>
      </c>
      <c r="B14" s="168" t="str">
        <f t="array" ref="B14">IFERROR(_xlfn.LET(_xlpm.x,INDEX('Decision Queue_Bak'!$B$5:$B$108,_xlfn.AGGREGATE(15,6,(ROW('Decision Queue_Bak'!$B$5:$B$108)-ROW('Decision Queue_Bak'!$B$5)+1)/(('Decision Queue_Bak'!$B$5:$B$108&lt;&gt;"")*('Decision Queue_Bak'!$W$5:$W$108="ACTIVE")),5)),IF(OR(_xlpm.x=0,_xlpm.x="0",_xlpm.x="N/A"),"",_xlpm.x)),"")</f>
        <v/>
      </c>
      <c r="C14" s="168" t="str">
        <f t="array" ref="C14">IFERROR(_xlfn.LET(_xlpm.x,INDEX('Decision Queue_Bak'!$D$5:$D$108,_xlfn.AGGREGATE(15,6,(ROW('Decision Queue_Bak'!$B$5:$B$108)-ROW('Decision Queue_Bak'!$B$5)+1)/(('Decision Queue_Bak'!$B$5:$B$108&lt;&gt;"")*('Decision Queue_Bak'!$W$5:$W$108="ACTIVE")),5)),IF(OR(_xlpm.x=0,_xlpm.x="0",_xlpm.x="N/A"),"",_xlpm.x)),"")</f>
        <v/>
      </c>
      <c r="D14" s="169" t="str">
        <f t="array" ref="D14">IFERROR(_xlfn.LET(_xlpm.x,INDEX('Decision Queue_Bak'!$E$5:$E$108,_xlfn.AGGREGATE(15,6,(ROW('Decision Queue_Bak'!$B$5:$B$108)-ROW('Decision Queue_Bak'!$B$5)+1)/(('Decision Queue_Bak'!$B$5:$B$108&lt;&gt;"")*('Decision Queue_Bak'!$W$5:$W$108="ACTIVE")),5)),IF(OR(_xlpm.x=0,_xlpm.x="0",_xlpm.x="N/A"),"",_xlpm.x)),"")</f>
        <v/>
      </c>
      <c r="E14" s="168" t="str">
        <f t="array" ref="E14">IFERROR(_xlfn.LET(_xlpm.x,INDEX('Decision Queue_Bak'!$G$5:$G$108,_xlfn.AGGREGATE(15,6,(ROW('Decision Queue_Bak'!$B$5:$B$108)-ROW('Decision Queue_Bak'!$B$5)+1)/(('Decision Queue_Bak'!$B$5:$B$108&lt;&gt;"")*('Decision Queue_Bak'!$W$5:$W$108="ACTIVE")),5)),IF(OR(_xlpm.x=0,_xlpm.x="0",_xlpm.x="N/A"),"",_xlpm.x)),"")</f>
        <v/>
      </c>
      <c r="F14" s="170" t="str">
        <f t="array" ref="F14">IFERROR(_xlfn.LET(_xlpm.x,INDEX('Decision Queue_Bak'!$H$5:$H$108,_xlfn.AGGREGATE(15,6,(ROW('Decision Queue_Bak'!$B$5:$B$108)-ROW('Decision Queue_Bak'!$B$5)+1)/(('Decision Queue_Bak'!$B$5:$B$108&lt;&gt;"")*('Decision Queue_Bak'!$W$5:$W$108="ACTIVE")),5)),IF(OR(_xlpm.x=0,_xlpm.x="0",_xlpm.x="N/A"),"",_xlpm.x)),"")</f>
        <v/>
      </c>
      <c r="G14" s="170" t="str">
        <f t="array" ref="G14">IFERROR(_xlfn.LET(_xlpm.x,INDEX('Decision Queue_Bak'!$K$5:$K$108,_xlfn.AGGREGATE(15,6,(ROW('Decision Queue_Bak'!$B$5:$B$108)-ROW('Decision Queue_Bak'!$B$5)+1)/(('Decision Queue_Bak'!$B$5:$B$108&lt;&gt;"")*('Decision Queue_Bak'!$W$5:$W$108="ACTIVE")),5)),IF(OR(_xlpm.x=0,_xlpm.x="0",_xlpm.x="N/A"),"",_xlpm.x)),"")</f>
        <v/>
      </c>
      <c r="H14" s="170" t="str">
        <f t="array" ref="H14">IFERROR(_xlfn.LET(_xlpm.x,INDEX('Decision Queue_Bak'!$J$5:$J$108,_xlfn.AGGREGATE(15,6,(ROW('Decision Queue_Bak'!$B$5:$B$108)-ROW('Decision Queue_Bak'!$B$5)+1)/(('Decision Queue_Bak'!$B$5:$B$108&lt;&gt;"")*('Decision Queue_Bak'!$W$5:$W$108="ACTIVE")),5)),IF(OR(_xlpm.x=0,_xlpm.x="0",_xlpm.x="N/A"),"",_xlpm.x)),"")</f>
        <v/>
      </c>
      <c r="I14" s="170" t="str">
        <f t="array" ref="I14">IFERROR(_xlfn.LET(_xlpm.x,INDEX('Decision Queue_Bak'!$I$5:$I$108,_xlfn.AGGREGATE(15,6,(ROW('Decision Queue_Bak'!$B$5:$B$108)-ROW('Decision Queue_Bak'!$B$5)+1)/(('Decision Queue_Bak'!$B$5:$B$108&lt;&gt;"")*('Decision Queue_Bak'!$W$5:$W$108="ACTIVE")),5)),IF(OR(_xlpm.x=0,_xlpm.x="0",_xlpm.x="N/A"),"",_xlpm.x)),"")</f>
        <v/>
      </c>
      <c r="J14" s="170" t="str">
        <f t="array" ref="J14">IFERROR(_xlfn.LET(_xlpm.x,INDEX('Decision Queue_Bak'!$C$5:$C$108,_xlfn.AGGREGATE(15,6,(ROW('Decision Queue_Bak'!$B$5:$B$108)-ROW('Decision Queue_Bak'!$B$5)+1)/(('Decision Queue_Bak'!$B$5:$B$108&lt;&gt;"")*('Decision Queue_Bak'!$W$5:$W$108="ACTIVE")),5)),IF(OR(_xlpm.x=0,_xlpm.x="0",_xlpm.x="N/A"),"",_xlpm.x)),"")</f>
        <v/>
      </c>
      <c r="K14" s="169" t="str">
        <f t="array" ref="K14">IFERROR(_xlfn.LET(_xlpm.x,INDEX('Decision Queue_Bak'!$R$5:$R$108,_xlfn.AGGREGATE(15,6,(ROW('Decision Queue_Bak'!$B$5:$B$108)-ROW('Decision Queue_Bak'!$B$5)+1)/(('Decision Queue_Bak'!$B$5:$B$108&lt;&gt;"")*('Decision Queue_Bak'!$W$5:$W$108="ACTIVE")),5)),IF(OR(_xlpm.x=0,_xlpm.x="0",_xlpm.x="N/A"),"",_xlpm.x)),"")</f>
        <v/>
      </c>
      <c r="L14" s="170" t="str">
        <f t="array" ref="L14">IFERROR(_xlfn.LET(_xlpm.x,INDEX('Decision Queue_Bak'!$P$5:$P$108,_xlfn.AGGREGATE(15,6,(ROW('Decision Queue_Bak'!$B$5:$B$108)-ROW('Decision Queue_Bak'!$B$5)+1)/(('Decision Queue_Bak'!$B$5:$B$108&lt;&gt;"")*('Decision Queue_Bak'!$W$5:$W$108="ACTIVE")),5)),IF(OR(_xlpm.x=0,_xlpm.x="0",_xlpm.x="N/A"),"",_xlpm.x)),"")</f>
        <v/>
      </c>
    </row>
    <row r="15" spans="1:12">
      <c r="A15" s="97" t="str">
        <f>IF(A14="","",A14&amp;" cont.")</f>
        <v/>
      </c>
      <c r="B15" s="160" t="str">
        <f t="array" ref="B15">IFERROR(_xlfn.LET(_xlpm.x,INDEX('Decision Queue_Bak'!$F$5:$F$108,_xlfn.AGGREGATE(15,6,(ROW('Decision Queue_Bak'!$B$5:$B$108)-ROW('Decision Queue_Bak'!$B$5)+1)/(('Decision Queue_Bak'!$B$5:$B$108&lt;&gt;"")*('Decision Queue_Bak'!$W$5:$W$108="ACTIVE")),5)),IF(OR(_xlpm.x=0,_xlpm.x="0",_xlpm.x="N/A"),"",_xlpm.x)),"")</f>
        <v/>
      </c>
      <c r="C15" s="160" t="str">
        <f t="array" ref="C15">IFERROR(_xlfn.LET(_xlpm.x,INDEX('Decision Queue_Bak'!$Q$5:$Q$108,_xlfn.AGGREGATE(15,6,(ROW('Decision Queue_Bak'!$B$5:$B$108)-ROW('Decision Queue_Bak'!$B$5)+1)/(('Decision Queue_Bak'!$B$5:$B$108&lt;&gt;"")*('Decision Queue_Bak'!$W$5:$W$108="ACTIVE")),5)),IF(OR(_xlpm.x=0,_xlpm.x="0",_xlpm.x="N/A"),"",_xlpm.x)),"")</f>
        <v/>
      </c>
      <c r="D15" s="161" t="str">
        <f t="array" ref="D15">IFERROR(_xlfn.LET(_xlpm.x,INDEX('Decision Queue_Bak'!$M$5:$M$108,_xlfn.AGGREGATE(15,6,(ROW('Decision Queue_Bak'!$B$5:$B$108)-ROW('Decision Queue_Bak'!$B$5)+1)/(('Decision Queue_Bak'!$B$5:$B$108&lt;&gt;"")*('Decision Queue_Bak'!$W$5:$W$108="ACTIVE")),5)),IF(OR(_xlpm.x=0,_xlpm.x="0",_xlpm.x="N/A"),"",_xlpm.x)),"")</f>
        <v/>
      </c>
      <c r="E15" s="160" t="str">
        <f t="array" ref="E15">IFERROR(_xlfn.LET(_xlpm.x,INDEX('Decision Queue_Bak'!$N$5:$N$108,_xlfn.AGGREGATE(15,6,(ROW('Decision Queue_Bak'!$B$5:$B$108)-ROW('Decision Queue_Bak'!$B$5)+1)/(('Decision Queue_Bak'!$B$5:$B$108&lt;&gt;"")*('Decision Queue_Bak'!$W$5:$W$108="ACTIVE")),5)),IF(OR(_xlpm.x=0,_xlpm.x="0",_xlpm.x="N/A"),"",_xlpm.x)),"")</f>
        <v/>
      </c>
      <c r="F15" s="160" t="str">
        <f t="array" ref="F15">IFERROR(_xlfn.LET(_xlpm.x,INDEX('Decision Queue_Bak'!$L$5:$L$108,_xlfn.AGGREGATE(15,6,(ROW('Decision Queue_Bak'!$B$5:$B$108)-ROW('Decision Queue_Bak'!$B$5)+1)/(('Decision Queue_Bak'!$B$5:$B$108&lt;&gt;"")*('Decision Queue_Bak'!$W$5:$W$108="ACTIVE")),5)),IF(OR(_xlpm.x=0,_xlpm.x="0",_xlpm.x="N/A"),"",_xlpm.x)),"")</f>
        <v/>
      </c>
      <c r="G15" s="160" t="str">
        <f t="array" ref="G15">IFERROR(_xlfn.LET(_xlpm.x,INDEX('Decision Queue_Bak'!$S$5:$S$108,_xlfn.AGGREGATE(15,6,(ROW('Decision Queue_Bak'!$B$5:$B$108)-ROW('Decision Queue_Bak'!$B$5)+1)/(('Decision Queue_Bak'!$B$5:$B$108&lt;&gt;"")*('Decision Queue_Bak'!$W$5:$W$108="ACTIVE")),5)),IF(OR(_xlpm.x=0,_xlpm.x="0",_xlpm.x="N/A"),"",_xlpm.x)),"")</f>
        <v/>
      </c>
      <c r="H15" s="160" t="str">
        <f t="array" ref="H15">IFERROR(_xlfn.LET(_xlpm.x,INDEX('Decision Queue_Bak'!$O$5:$O$108,_xlfn.AGGREGATE(15,6,(ROW('Decision Queue_Bak'!$B$5:$B$108)-ROW('Decision Queue_Bak'!$B$5)+1)/(('Decision Queue_Bak'!$B$5:$B$108&lt;&gt;"")*('Decision Queue_Bak'!$W$5:$W$108="ACTIVE")),5)),IF(OR(_xlpm.x=0,_xlpm.x="0",_xlpm.x="N/A"),"",_xlpm.x)),"")</f>
        <v/>
      </c>
      <c r="I15" s="160" t="str">
        <f t="array" ref="I15">IFERROR(_xlfn.LET(_xlpm.x,INDEX('Decision Queue_Bak'!$T$5:$T$108,_xlfn.AGGREGATE(15,6,(ROW('Decision Queue_Bak'!$B$5:$B$108)-ROW('Decision Queue_Bak'!$B$5)+1)/(('Decision Queue_Bak'!$B$5:$B$108&lt;&gt;"")*('Decision Queue_Bak'!$W$5:$W$108="ACTIVE")),5)),IF(OR(_xlpm.x=0,_xlpm.x="0",_xlpm.x="N/A"),"",_xlpm.x)),"")</f>
        <v/>
      </c>
      <c r="J15" s="160" t="str">
        <f t="array" ref="J15">IFERROR(_xlfn.LET(_xlpm.x,INDEX('Decision Queue_Bak'!$U$5:$U$108,_xlfn.AGGREGATE(15,6,(ROW('Decision Queue_Bak'!$B$5:$B$108)-ROW('Decision Queue_Bak'!$B$5)+1)/(('Decision Queue_Bak'!$B$5:$B$108&lt;&gt;"")*('Decision Queue_Bak'!$W$5:$W$108="ACTIVE")),5)),IF(OR(_xlpm.x=0,_xlpm.x="0",_xlpm.x="N/A"),"",_xlpm.x)),"")</f>
        <v/>
      </c>
      <c r="K15" s="161"/>
      <c r="L15" s="160"/>
    </row>
    <row r="16" spans="1:12">
      <c r="A16" s="162" t="str">
        <f t="array" ref="A16">IFERROR(_xlfn.LET(_xlpm.x,INDEX('Decision Queue_Bak'!$A$5:$A$108,_xlfn.AGGREGATE(15,6,(ROW('Decision Queue_Bak'!$B$5:$B$108)-ROW('Decision Queue_Bak'!$B$5)+1)/(('Decision Queue_Bak'!$B$5:$B$108&lt;&gt;"")*('Decision Queue_Bak'!$W$5:$W$108="ACTIVE")),6)),IF(OR(_xlpm.x=0,_xlpm.x="0",_xlpm.x="N/A"),"",_xlpm.x)),"")</f>
        <v/>
      </c>
      <c r="B16" s="163" t="str">
        <f t="array" ref="B16">IFERROR(_xlfn.LET(_xlpm.x,INDEX('Decision Queue_Bak'!$B$5:$B$108,_xlfn.AGGREGATE(15,6,(ROW('Decision Queue_Bak'!$B$5:$B$108)-ROW('Decision Queue_Bak'!$B$5)+1)/(('Decision Queue_Bak'!$B$5:$B$108&lt;&gt;"")*('Decision Queue_Bak'!$W$5:$W$108="ACTIVE")),6)),IF(OR(_xlpm.x=0,_xlpm.x="0",_xlpm.x="N/A"),"",_xlpm.x)),"")</f>
        <v/>
      </c>
      <c r="C16" s="163" t="str">
        <f t="array" ref="C16">IFERROR(_xlfn.LET(_xlpm.x,INDEX('Decision Queue_Bak'!$D$5:$D$108,_xlfn.AGGREGATE(15,6,(ROW('Decision Queue_Bak'!$B$5:$B$108)-ROW('Decision Queue_Bak'!$B$5)+1)/(('Decision Queue_Bak'!$B$5:$B$108&lt;&gt;"")*('Decision Queue_Bak'!$W$5:$W$108="ACTIVE")),6)),IF(OR(_xlpm.x=0,_xlpm.x="0",_xlpm.x="N/A"),"",_xlpm.x)),"")</f>
        <v/>
      </c>
      <c r="D16" s="164" t="str">
        <f t="array" ref="D16">IFERROR(_xlfn.LET(_xlpm.x,INDEX('Decision Queue_Bak'!$E$5:$E$108,_xlfn.AGGREGATE(15,6,(ROW('Decision Queue_Bak'!$B$5:$B$108)-ROW('Decision Queue_Bak'!$B$5)+1)/(('Decision Queue_Bak'!$B$5:$B$108&lt;&gt;"")*('Decision Queue_Bak'!$W$5:$W$108="ACTIVE")),6)),IF(OR(_xlpm.x=0,_xlpm.x="0",_xlpm.x="N/A"),"",_xlpm.x)),"")</f>
        <v/>
      </c>
      <c r="E16" s="163" t="str">
        <f t="array" ref="E16">IFERROR(_xlfn.LET(_xlpm.x,INDEX('Decision Queue_Bak'!$G$5:$G$108,_xlfn.AGGREGATE(15,6,(ROW('Decision Queue_Bak'!$B$5:$B$108)-ROW('Decision Queue_Bak'!$B$5)+1)/(('Decision Queue_Bak'!$B$5:$B$108&lt;&gt;"")*('Decision Queue_Bak'!$W$5:$W$108="ACTIVE")),6)),IF(OR(_xlpm.x=0,_xlpm.x="0",_xlpm.x="N/A"),"",_xlpm.x)),"")</f>
        <v/>
      </c>
      <c r="F16" s="165" t="str">
        <f t="array" ref="F16">IFERROR(_xlfn.LET(_xlpm.x,INDEX('Decision Queue_Bak'!$H$5:$H$108,_xlfn.AGGREGATE(15,6,(ROW('Decision Queue_Bak'!$B$5:$B$108)-ROW('Decision Queue_Bak'!$B$5)+1)/(('Decision Queue_Bak'!$B$5:$B$108&lt;&gt;"")*('Decision Queue_Bak'!$W$5:$W$108="ACTIVE")),6)),IF(OR(_xlpm.x=0,_xlpm.x="0",_xlpm.x="N/A"),"",_xlpm.x)),"")</f>
        <v/>
      </c>
      <c r="G16" s="165" t="str">
        <f t="array" ref="G16">IFERROR(_xlfn.LET(_xlpm.x,INDEX('Decision Queue_Bak'!$K$5:$K$108,_xlfn.AGGREGATE(15,6,(ROW('Decision Queue_Bak'!$B$5:$B$108)-ROW('Decision Queue_Bak'!$B$5)+1)/(('Decision Queue_Bak'!$B$5:$B$108&lt;&gt;"")*('Decision Queue_Bak'!$W$5:$W$108="ACTIVE")),6)),IF(OR(_xlpm.x=0,_xlpm.x="0",_xlpm.x="N/A"),"",_xlpm.x)),"")</f>
        <v/>
      </c>
      <c r="H16" s="165" t="str">
        <f t="array" ref="H16">IFERROR(_xlfn.LET(_xlpm.x,INDEX('Decision Queue_Bak'!$J$5:$J$108,_xlfn.AGGREGATE(15,6,(ROW('Decision Queue_Bak'!$B$5:$B$108)-ROW('Decision Queue_Bak'!$B$5)+1)/(('Decision Queue_Bak'!$B$5:$B$108&lt;&gt;"")*('Decision Queue_Bak'!$W$5:$W$108="ACTIVE")),6)),IF(OR(_xlpm.x=0,_xlpm.x="0",_xlpm.x="N/A"),"",_xlpm.x)),"")</f>
        <v/>
      </c>
      <c r="I16" s="165" t="str">
        <f t="array" ref="I16">IFERROR(_xlfn.LET(_xlpm.x,INDEX('Decision Queue_Bak'!$I$5:$I$108,_xlfn.AGGREGATE(15,6,(ROW('Decision Queue_Bak'!$B$5:$B$108)-ROW('Decision Queue_Bak'!$B$5)+1)/(('Decision Queue_Bak'!$B$5:$B$108&lt;&gt;"")*('Decision Queue_Bak'!$W$5:$W$108="ACTIVE")),6)),IF(OR(_xlpm.x=0,_xlpm.x="0",_xlpm.x="N/A"),"",_xlpm.x)),"")</f>
        <v/>
      </c>
      <c r="J16" s="165" t="str">
        <f t="array" ref="J16">IFERROR(_xlfn.LET(_xlpm.x,INDEX('Decision Queue_Bak'!$C$5:$C$108,_xlfn.AGGREGATE(15,6,(ROW('Decision Queue_Bak'!$B$5:$B$108)-ROW('Decision Queue_Bak'!$B$5)+1)/(('Decision Queue_Bak'!$B$5:$B$108&lt;&gt;"")*('Decision Queue_Bak'!$W$5:$W$108="ACTIVE")),6)),IF(OR(_xlpm.x=0,_xlpm.x="0",_xlpm.x="N/A"),"",_xlpm.x)),"")</f>
        <v/>
      </c>
      <c r="K16" s="164" t="str">
        <f t="array" ref="K16">IFERROR(_xlfn.LET(_xlpm.x,INDEX('Decision Queue_Bak'!$R$5:$R$108,_xlfn.AGGREGATE(15,6,(ROW('Decision Queue_Bak'!$B$5:$B$108)-ROW('Decision Queue_Bak'!$B$5)+1)/(('Decision Queue_Bak'!$B$5:$B$108&lt;&gt;"")*('Decision Queue_Bak'!$W$5:$W$108="ACTIVE")),6)),IF(OR(_xlpm.x=0,_xlpm.x="0",_xlpm.x="N/A"),"",_xlpm.x)),"")</f>
        <v/>
      </c>
      <c r="L16" s="165" t="str">
        <f t="array" ref="L16">IFERROR(_xlfn.LET(_xlpm.x,INDEX('Decision Queue_Bak'!$P$5:$P$108,_xlfn.AGGREGATE(15,6,(ROW('Decision Queue_Bak'!$B$5:$B$108)-ROW('Decision Queue_Bak'!$B$5)+1)/(('Decision Queue_Bak'!$B$5:$B$108&lt;&gt;"")*('Decision Queue_Bak'!$W$5:$W$108="ACTIVE")),6)),IF(OR(_xlpm.x=0,_xlpm.x="0",_xlpm.x="N/A"),"",_xlpm.x)),"")</f>
        <v/>
      </c>
    </row>
    <row r="17" spans="1:12">
      <c r="A17" s="98" t="str">
        <f>IF(A16="","",A16&amp;" cont.")</f>
        <v/>
      </c>
      <c r="B17" s="166" t="str">
        <f t="array" ref="B17">IFERROR(_xlfn.LET(_xlpm.x,INDEX('Decision Queue_Bak'!$F$5:$F$108,_xlfn.AGGREGATE(15,6,(ROW('Decision Queue_Bak'!$B$5:$B$108)-ROW('Decision Queue_Bak'!$B$5)+1)/(('Decision Queue_Bak'!$B$5:$B$108&lt;&gt;"")*('Decision Queue_Bak'!$W$5:$W$108="ACTIVE")),6)),IF(OR(_xlpm.x=0,_xlpm.x="0",_xlpm.x="N/A"),"",_xlpm.x)),"")</f>
        <v/>
      </c>
      <c r="C17" s="166" t="str">
        <f t="array" ref="C17">IFERROR(_xlfn.LET(_xlpm.x,INDEX('Decision Queue_Bak'!$Q$5:$Q$108,_xlfn.AGGREGATE(15,6,(ROW('Decision Queue_Bak'!$B$5:$B$108)-ROW('Decision Queue_Bak'!$B$5)+1)/(('Decision Queue_Bak'!$B$5:$B$108&lt;&gt;"")*('Decision Queue_Bak'!$W$5:$W$108="ACTIVE")),6)),IF(OR(_xlpm.x=0,_xlpm.x="0",_xlpm.x="N/A"),"",_xlpm.x)),"")</f>
        <v/>
      </c>
      <c r="D17" s="167" t="str">
        <f t="array" ref="D17">IFERROR(_xlfn.LET(_xlpm.x,INDEX('Decision Queue_Bak'!$M$5:$M$108,_xlfn.AGGREGATE(15,6,(ROW('Decision Queue_Bak'!$B$5:$B$108)-ROW('Decision Queue_Bak'!$B$5)+1)/(('Decision Queue_Bak'!$B$5:$B$108&lt;&gt;"")*('Decision Queue_Bak'!$W$5:$W$108="ACTIVE")),6)),IF(OR(_xlpm.x=0,_xlpm.x="0",_xlpm.x="N/A"),"",_xlpm.x)),"")</f>
        <v/>
      </c>
      <c r="E17" s="166" t="str">
        <f t="array" ref="E17">IFERROR(_xlfn.LET(_xlpm.x,INDEX('Decision Queue_Bak'!$N$5:$N$108,_xlfn.AGGREGATE(15,6,(ROW('Decision Queue_Bak'!$B$5:$B$108)-ROW('Decision Queue_Bak'!$B$5)+1)/(('Decision Queue_Bak'!$B$5:$B$108&lt;&gt;"")*('Decision Queue_Bak'!$W$5:$W$108="ACTIVE")),6)),IF(OR(_xlpm.x=0,_xlpm.x="0",_xlpm.x="N/A"),"",_xlpm.x)),"")</f>
        <v/>
      </c>
      <c r="F17" s="166" t="str">
        <f t="array" ref="F17">IFERROR(_xlfn.LET(_xlpm.x,INDEX('Decision Queue_Bak'!$L$5:$L$108,_xlfn.AGGREGATE(15,6,(ROW('Decision Queue_Bak'!$B$5:$B$108)-ROW('Decision Queue_Bak'!$B$5)+1)/(('Decision Queue_Bak'!$B$5:$B$108&lt;&gt;"")*('Decision Queue_Bak'!$W$5:$W$108="ACTIVE")),6)),IF(OR(_xlpm.x=0,_xlpm.x="0",_xlpm.x="N/A"),"",_xlpm.x)),"")</f>
        <v/>
      </c>
      <c r="G17" s="166" t="str">
        <f t="array" ref="G17">IFERROR(_xlfn.LET(_xlpm.x,INDEX('Decision Queue_Bak'!$S$5:$S$108,_xlfn.AGGREGATE(15,6,(ROW('Decision Queue_Bak'!$B$5:$B$108)-ROW('Decision Queue_Bak'!$B$5)+1)/(('Decision Queue_Bak'!$B$5:$B$108&lt;&gt;"")*('Decision Queue_Bak'!$W$5:$W$108="ACTIVE")),6)),IF(OR(_xlpm.x=0,_xlpm.x="0",_xlpm.x="N/A"),"",_xlpm.x)),"")</f>
        <v/>
      </c>
      <c r="H17" s="166" t="str">
        <f t="array" ref="H17">IFERROR(_xlfn.LET(_xlpm.x,INDEX('Decision Queue_Bak'!$O$5:$O$108,_xlfn.AGGREGATE(15,6,(ROW('Decision Queue_Bak'!$B$5:$B$108)-ROW('Decision Queue_Bak'!$B$5)+1)/(('Decision Queue_Bak'!$B$5:$B$108&lt;&gt;"")*('Decision Queue_Bak'!$W$5:$W$108="ACTIVE")),6)),IF(OR(_xlpm.x=0,_xlpm.x="0",_xlpm.x="N/A"),"",_xlpm.x)),"")</f>
        <v/>
      </c>
      <c r="I17" s="166" t="str">
        <f t="array" ref="I17">IFERROR(_xlfn.LET(_xlpm.x,INDEX('Decision Queue_Bak'!$T$5:$T$108,_xlfn.AGGREGATE(15,6,(ROW('Decision Queue_Bak'!$B$5:$B$108)-ROW('Decision Queue_Bak'!$B$5)+1)/(('Decision Queue_Bak'!$B$5:$B$108&lt;&gt;"")*('Decision Queue_Bak'!$W$5:$W$108="ACTIVE")),6)),IF(OR(_xlpm.x=0,_xlpm.x="0",_xlpm.x="N/A"),"",_xlpm.x)),"")</f>
        <v/>
      </c>
      <c r="J17" s="166" t="str">
        <f t="array" ref="J17">IFERROR(_xlfn.LET(_xlpm.x,INDEX('Decision Queue_Bak'!$U$5:$U$108,_xlfn.AGGREGATE(15,6,(ROW('Decision Queue_Bak'!$B$5:$B$108)-ROW('Decision Queue_Bak'!$B$5)+1)/(('Decision Queue_Bak'!$B$5:$B$108&lt;&gt;"")*('Decision Queue_Bak'!$W$5:$W$108="ACTIVE")),6)),IF(OR(_xlpm.x=0,_xlpm.x="0",_xlpm.x="N/A"),"",_xlpm.x)),"")</f>
        <v/>
      </c>
      <c r="K17" s="167"/>
      <c r="L17" s="166"/>
    </row>
    <row r="18" spans="1:12">
      <c r="A18" s="162" t="str">
        <f t="array" ref="A18">IFERROR(_xlfn.LET(_xlpm.x,INDEX('Decision Queue_Bak'!$A$5:$A$108,_xlfn.AGGREGATE(15,6,(ROW('Decision Queue_Bak'!$B$5:$B$108)-ROW('Decision Queue_Bak'!$B$5)+1)/(('Decision Queue_Bak'!$B$5:$B$108&lt;&gt;"")*('Decision Queue_Bak'!$W$5:$W$108="ACTIVE")),7)),IF(OR(_xlpm.x=0,_xlpm.x="0",_xlpm.x="N/A"),"",_xlpm.x)),"")</f>
        <v/>
      </c>
      <c r="B18" s="168" t="str">
        <f t="array" ref="B18">IFERROR(_xlfn.LET(_xlpm.x,INDEX('Decision Queue_Bak'!$B$5:$B$108,_xlfn.AGGREGATE(15,6,(ROW('Decision Queue_Bak'!$B$5:$B$108)-ROW('Decision Queue_Bak'!$B$5)+1)/(('Decision Queue_Bak'!$B$5:$B$108&lt;&gt;"")*('Decision Queue_Bak'!$W$5:$W$108="ACTIVE")),7)),IF(OR(_xlpm.x=0,_xlpm.x="0",_xlpm.x="N/A"),"",_xlpm.x)),"")</f>
        <v/>
      </c>
      <c r="C18" s="168" t="str">
        <f t="array" ref="C18">IFERROR(_xlfn.LET(_xlpm.x,INDEX('Decision Queue_Bak'!$D$5:$D$108,_xlfn.AGGREGATE(15,6,(ROW('Decision Queue_Bak'!$B$5:$B$108)-ROW('Decision Queue_Bak'!$B$5)+1)/(('Decision Queue_Bak'!$B$5:$B$108&lt;&gt;"")*('Decision Queue_Bak'!$W$5:$W$108="ACTIVE")),7)),IF(OR(_xlpm.x=0,_xlpm.x="0",_xlpm.x="N/A"),"",_xlpm.x)),"")</f>
        <v/>
      </c>
      <c r="D18" s="169" t="str">
        <f t="array" ref="D18">IFERROR(_xlfn.LET(_xlpm.x,INDEX('Decision Queue_Bak'!$E$5:$E$108,_xlfn.AGGREGATE(15,6,(ROW('Decision Queue_Bak'!$B$5:$B$108)-ROW('Decision Queue_Bak'!$B$5)+1)/(('Decision Queue_Bak'!$B$5:$B$108&lt;&gt;"")*('Decision Queue_Bak'!$W$5:$W$108="ACTIVE")),7)),IF(OR(_xlpm.x=0,_xlpm.x="0",_xlpm.x="N/A"),"",_xlpm.x)),"")</f>
        <v/>
      </c>
      <c r="E18" s="168" t="str">
        <f t="array" ref="E18">IFERROR(_xlfn.LET(_xlpm.x,INDEX('Decision Queue_Bak'!$G$5:$G$108,_xlfn.AGGREGATE(15,6,(ROW('Decision Queue_Bak'!$B$5:$B$108)-ROW('Decision Queue_Bak'!$B$5)+1)/(('Decision Queue_Bak'!$B$5:$B$108&lt;&gt;"")*('Decision Queue_Bak'!$W$5:$W$108="ACTIVE")),7)),IF(OR(_xlpm.x=0,_xlpm.x="0",_xlpm.x="N/A"),"",_xlpm.x)),"")</f>
        <v/>
      </c>
      <c r="F18" s="170" t="str">
        <f t="array" ref="F18">IFERROR(_xlfn.LET(_xlpm.x,INDEX('Decision Queue_Bak'!$H$5:$H$108,_xlfn.AGGREGATE(15,6,(ROW('Decision Queue_Bak'!$B$5:$B$108)-ROW('Decision Queue_Bak'!$B$5)+1)/(('Decision Queue_Bak'!$B$5:$B$108&lt;&gt;"")*('Decision Queue_Bak'!$W$5:$W$108="ACTIVE")),7)),IF(OR(_xlpm.x=0,_xlpm.x="0",_xlpm.x="N/A"),"",_xlpm.x)),"")</f>
        <v/>
      </c>
      <c r="G18" s="170" t="str">
        <f t="array" ref="G18">IFERROR(_xlfn.LET(_xlpm.x,INDEX('Decision Queue_Bak'!$K$5:$K$108,_xlfn.AGGREGATE(15,6,(ROW('Decision Queue_Bak'!$B$5:$B$108)-ROW('Decision Queue_Bak'!$B$5)+1)/(('Decision Queue_Bak'!$B$5:$B$108&lt;&gt;"")*('Decision Queue_Bak'!$W$5:$W$108="ACTIVE")),7)),IF(OR(_xlpm.x=0,_xlpm.x="0",_xlpm.x="N/A"),"",_xlpm.x)),"")</f>
        <v/>
      </c>
      <c r="H18" s="170" t="str">
        <f t="array" ref="H18">IFERROR(_xlfn.LET(_xlpm.x,INDEX('Decision Queue_Bak'!$J$5:$J$108,_xlfn.AGGREGATE(15,6,(ROW('Decision Queue_Bak'!$B$5:$B$108)-ROW('Decision Queue_Bak'!$B$5)+1)/(('Decision Queue_Bak'!$B$5:$B$108&lt;&gt;"")*('Decision Queue_Bak'!$W$5:$W$108="ACTIVE")),7)),IF(OR(_xlpm.x=0,_xlpm.x="0",_xlpm.x="N/A"),"",_xlpm.x)),"")</f>
        <v/>
      </c>
      <c r="I18" s="170" t="str">
        <f t="array" ref="I18">IFERROR(_xlfn.LET(_xlpm.x,INDEX('Decision Queue_Bak'!$I$5:$I$108,_xlfn.AGGREGATE(15,6,(ROW('Decision Queue_Bak'!$B$5:$B$108)-ROW('Decision Queue_Bak'!$B$5)+1)/(('Decision Queue_Bak'!$B$5:$B$108&lt;&gt;"")*('Decision Queue_Bak'!$W$5:$W$108="ACTIVE")),7)),IF(OR(_xlpm.x=0,_xlpm.x="0",_xlpm.x="N/A"),"",_xlpm.x)),"")</f>
        <v/>
      </c>
      <c r="J18" s="170" t="str">
        <f t="array" ref="J18">IFERROR(_xlfn.LET(_xlpm.x,INDEX('Decision Queue_Bak'!$C$5:$C$108,_xlfn.AGGREGATE(15,6,(ROW('Decision Queue_Bak'!$B$5:$B$108)-ROW('Decision Queue_Bak'!$B$5)+1)/(('Decision Queue_Bak'!$B$5:$B$108&lt;&gt;"")*('Decision Queue_Bak'!$W$5:$W$108="ACTIVE")),7)),IF(OR(_xlpm.x=0,_xlpm.x="0",_xlpm.x="N/A"),"",_xlpm.x)),"")</f>
        <v/>
      </c>
      <c r="K18" s="169" t="str">
        <f t="array" ref="K18">IFERROR(_xlfn.LET(_xlpm.x,INDEX('Decision Queue_Bak'!$R$5:$R$108,_xlfn.AGGREGATE(15,6,(ROW('Decision Queue_Bak'!$B$5:$B$108)-ROW('Decision Queue_Bak'!$B$5)+1)/(('Decision Queue_Bak'!$B$5:$B$108&lt;&gt;"")*('Decision Queue_Bak'!$W$5:$W$108="ACTIVE")),7)),IF(OR(_xlpm.x=0,_xlpm.x="0",_xlpm.x="N/A"),"",_xlpm.x)),"")</f>
        <v/>
      </c>
      <c r="L18" s="170" t="str">
        <f t="array" ref="L18">IFERROR(_xlfn.LET(_xlpm.x,INDEX('Decision Queue_Bak'!$P$5:$P$108,_xlfn.AGGREGATE(15,6,(ROW('Decision Queue_Bak'!$B$5:$B$108)-ROW('Decision Queue_Bak'!$B$5)+1)/(('Decision Queue_Bak'!$B$5:$B$108&lt;&gt;"")*('Decision Queue_Bak'!$W$5:$W$108="ACTIVE")),7)),IF(OR(_xlpm.x=0,_xlpm.x="0",_xlpm.x="N/A"),"",_xlpm.x)),"")</f>
        <v/>
      </c>
    </row>
    <row r="19" spans="1:12">
      <c r="A19" s="97" t="str">
        <f>IF(A18="","",A18&amp;" cont.")</f>
        <v/>
      </c>
      <c r="B19" s="160" t="str">
        <f t="array" ref="B19">IFERROR(_xlfn.LET(_xlpm.x,INDEX('Decision Queue_Bak'!$F$5:$F$108,_xlfn.AGGREGATE(15,6,(ROW('Decision Queue_Bak'!$B$5:$B$108)-ROW('Decision Queue_Bak'!$B$5)+1)/(('Decision Queue_Bak'!$B$5:$B$108&lt;&gt;"")*('Decision Queue_Bak'!$W$5:$W$108="ACTIVE")),7)),IF(OR(_xlpm.x=0,_xlpm.x="0",_xlpm.x="N/A"),"",_xlpm.x)),"")</f>
        <v/>
      </c>
      <c r="C19" s="160" t="str">
        <f t="array" ref="C19">IFERROR(_xlfn.LET(_xlpm.x,INDEX('Decision Queue_Bak'!$Q$5:$Q$108,_xlfn.AGGREGATE(15,6,(ROW('Decision Queue_Bak'!$B$5:$B$108)-ROW('Decision Queue_Bak'!$B$5)+1)/(('Decision Queue_Bak'!$B$5:$B$108&lt;&gt;"")*('Decision Queue_Bak'!$W$5:$W$108="ACTIVE")),7)),IF(OR(_xlpm.x=0,_xlpm.x="0",_xlpm.x="N/A"),"",_xlpm.x)),"")</f>
        <v/>
      </c>
      <c r="D19" s="161" t="str">
        <f t="array" ref="D19">IFERROR(_xlfn.LET(_xlpm.x,INDEX('Decision Queue_Bak'!$M$5:$M$108,_xlfn.AGGREGATE(15,6,(ROW('Decision Queue_Bak'!$B$5:$B$108)-ROW('Decision Queue_Bak'!$B$5)+1)/(('Decision Queue_Bak'!$B$5:$B$108&lt;&gt;"")*('Decision Queue_Bak'!$W$5:$W$108="ACTIVE")),7)),IF(OR(_xlpm.x=0,_xlpm.x="0",_xlpm.x="N/A"),"",_xlpm.x)),"")</f>
        <v/>
      </c>
      <c r="E19" s="160" t="str">
        <f t="array" ref="E19">IFERROR(_xlfn.LET(_xlpm.x,INDEX('Decision Queue_Bak'!$N$5:$N$108,_xlfn.AGGREGATE(15,6,(ROW('Decision Queue_Bak'!$B$5:$B$108)-ROW('Decision Queue_Bak'!$B$5)+1)/(('Decision Queue_Bak'!$B$5:$B$108&lt;&gt;"")*('Decision Queue_Bak'!$W$5:$W$108="ACTIVE")),7)),IF(OR(_xlpm.x=0,_xlpm.x="0",_xlpm.x="N/A"),"",_xlpm.x)),"")</f>
        <v/>
      </c>
      <c r="F19" s="160" t="str">
        <f t="array" ref="F19">IFERROR(_xlfn.LET(_xlpm.x,INDEX('Decision Queue_Bak'!$L$5:$L$108,_xlfn.AGGREGATE(15,6,(ROW('Decision Queue_Bak'!$B$5:$B$108)-ROW('Decision Queue_Bak'!$B$5)+1)/(('Decision Queue_Bak'!$B$5:$B$108&lt;&gt;"")*('Decision Queue_Bak'!$W$5:$W$108="ACTIVE")),7)),IF(OR(_xlpm.x=0,_xlpm.x="0",_xlpm.x="N/A"),"",_xlpm.x)),"")</f>
        <v/>
      </c>
      <c r="G19" s="160" t="str">
        <f t="array" ref="G19">IFERROR(_xlfn.LET(_xlpm.x,INDEX('Decision Queue_Bak'!$S$5:$S$108,_xlfn.AGGREGATE(15,6,(ROW('Decision Queue_Bak'!$B$5:$B$108)-ROW('Decision Queue_Bak'!$B$5)+1)/(('Decision Queue_Bak'!$B$5:$B$108&lt;&gt;"")*('Decision Queue_Bak'!$W$5:$W$108="ACTIVE")),7)),IF(OR(_xlpm.x=0,_xlpm.x="0",_xlpm.x="N/A"),"",_xlpm.x)),"")</f>
        <v/>
      </c>
      <c r="H19" s="160" t="str">
        <f t="array" ref="H19">IFERROR(_xlfn.LET(_xlpm.x,INDEX('Decision Queue_Bak'!$O$5:$O$108,_xlfn.AGGREGATE(15,6,(ROW('Decision Queue_Bak'!$B$5:$B$108)-ROW('Decision Queue_Bak'!$B$5)+1)/(('Decision Queue_Bak'!$B$5:$B$108&lt;&gt;"")*('Decision Queue_Bak'!$W$5:$W$108="ACTIVE")),7)),IF(OR(_xlpm.x=0,_xlpm.x="0",_xlpm.x="N/A"),"",_xlpm.x)),"")</f>
        <v/>
      </c>
      <c r="I19" s="160" t="str">
        <f t="array" ref="I19">IFERROR(_xlfn.LET(_xlpm.x,INDEX('Decision Queue_Bak'!$T$5:$T$108,_xlfn.AGGREGATE(15,6,(ROW('Decision Queue_Bak'!$B$5:$B$108)-ROW('Decision Queue_Bak'!$B$5)+1)/(('Decision Queue_Bak'!$B$5:$B$108&lt;&gt;"")*('Decision Queue_Bak'!$W$5:$W$108="ACTIVE")),7)),IF(OR(_xlpm.x=0,_xlpm.x="0",_xlpm.x="N/A"),"",_xlpm.x)),"")</f>
        <v/>
      </c>
      <c r="J19" s="160" t="str">
        <f t="array" ref="J19">IFERROR(_xlfn.LET(_xlpm.x,INDEX('Decision Queue_Bak'!$U$5:$U$108,_xlfn.AGGREGATE(15,6,(ROW('Decision Queue_Bak'!$B$5:$B$108)-ROW('Decision Queue_Bak'!$B$5)+1)/(('Decision Queue_Bak'!$B$5:$B$108&lt;&gt;"")*('Decision Queue_Bak'!$W$5:$W$108="ACTIVE")),7)),IF(OR(_xlpm.x=0,_xlpm.x="0",_xlpm.x="N/A"),"",_xlpm.x)),"")</f>
        <v/>
      </c>
      <c r="K19" s="161"/>
      <c r="L19" s="160"/>
    </row>
    <row r="20" spans="1:12">
      <c r="A20" s="162" t="str">
        <f t="array" ref="A20">IFERROR(_xlfn.LET(_xlpm.x,INDEX('Decision Queue_Bak'!$A$5:$A$108,_xlfn.AGGREGATE(15,6,(ROW('Decision Queue_Bak'!$B$5:$B$108)-ROW('Decision Queue_Bak'!$B$5)+1)/(('Decision Queue_Bak'!$B$5:$B$108&lt;&gt;"")*('Decision Queue_Bak'!$W$5:$W$108="ACTIVE")),8)),IF(OR(_xlpm.x=0,_xlpm.x="0",_xlpm.x="N/A"),"",_xlpm.x)),"")</f>
        <v/>
      </c>
      <c r="B20" s="163" t="str">
        <f t="array" ref="B20">IFERROR(_xlfn.LET(_xlpm.x,INDEX('Decision Queue_Bak'!$B$5:$B$108,_xlfn.AGGREGATE(15,6,(ROW('Decision Queue_Bak'!$B$5:$B$108)-ROW('Decision Queue_Bak'!$B$5)+1)/(('Decision Queue_Bak'!$B$5:$B$108&lt;&gt;"")*('Decision Queue_Bak'!$W$5:$W$108="ACTIVE")),8)),IF(OR(_xlpm.x=0,_xlpm.x="0",_xlpm.x="N/A"),"",_xlpm.x)),"")</f>
        <v/>
      </c>
      <c r="C20" s="163" t="str">
        <f t="array" ref="C20">IFERROR(_xlfn.LET(_xlpm.x,INDEX('Decision Queue_Bak'!$D$5:$D$108,_xlfn.AGGREGATE(15,6,(ROW('Decision Queue_Bak'!$B$5:$B$108)-ROW('Decision Queue_Bak'!$B$5)+1)/(('Decision Queue_Bak'!$B$5:$B$108&lt;&gt;"")*('Decision Queue_Bak'!$W$5:$W$108="ACTIVE")),8)),IF(OR(_xlpm.x=0,_xlpm.x="0",_xlpm.x="N/A"),"",_xlpm.x)),"")</f>
        <v/>
      </c>
      <c r="D20" s="164" t="str">
        <f t="array" ref="D20">IFERROR(_xlfn.LET(_xlpm.x,INDEX('Decision Queue_Bak'!$E$5:$E$108,_xlfn.AGGREGATE(15,6,(ROW('Decision Queue_Bak'!$B$5:$B$108)-ROW('Decision Queue_Bak'!$B$5)+1)/(('Decision Queue_Bak'!$B$5:$B$108&lt;&gt;"")*('Decision Queue_Bak'!$W$5:$W$108="ACTIVE")),8)),IF(OR(_xlpm.x=0,_xlpm.x="0",_xlpm.x="N/A"),"",_xlpm.x)),"")</f>
        <v/>
      </c>
      <c r="E20" s="163" t="str">
        <f t="array" ref="E20">IFERROR(_xlfn.LET(_xlpm.x,INDEX('Decision Queue_Bak'!$G$5:$G$108,_xlfn.AGGREGATE(15,6,(ROW('Decision Queue_Bak'!$B$5:$B$108)-ROW('Decision Queue_Bak'!$B$5)+1)/(('Decision Queue_Bak'!$B$5:$B$108&lt;&gt;"")*('Decision Queue_Bak'!$W$5:$W$108="ACTIVE")),8)),IF(OR(_xlpm.x=0,_xlpm.x="0",_xlpm.x="N/A"),"",_xlpm.x)),"")</f>
        <v/>
      </c>
      <c r="F20" s="165" t="str">
        <f t="array" ref="F20">IFERROR(_xlfn.LET(_xlpm.x,INDEX('Decision Queue_Bak'!$H$5:$H$108,_xlfn.AGGREGATE(15,6,(ROW('Decision Queue_Bak'!$B$5:$B$108)-ROW('Decision Queue_Bak'!$B$5)+1)/(('Decision Queue_Bak'!$B$5:$B$108&lt;&gt;"")*('Decision Queue_Bak'!$W$5:$W$108="ACTIVE")),8)),IF(OR(_xlpm.x=0,_xlpm.x="0",_xlpm.x="N/A"),"",_xlpm.x)),"")</f>
        <v/>
      </c>
      <c r="G20" s="165" t="str">
        <f t="array" ref="G20">IFERROR(_xlfn.LET(_xlpm.x,INDEX('Decision Queue_Bak'!$K$5:$K$108,_xlfn.AGGREGATE(15,6,(ROW('Decision Queue_Bak'!$B$5:$B$108)-ROW('Decision Queue_Bak'!$B$5)+1)/(('Decision Queue_Bak'!$B$5:$B$108&lt;&gt;"")*('Decision Queue_Bak'!$W$5:$W$108="ACTIVE")),8)),IF(OR(_xlpm.x=0,_xlpm.x="0",_xlpm.x="N/A"),"",_xlpm.x)),"")</f>
        <v/>
      </c>
      <c r="H20" s="165" t="str">
        <f t="array" ref="H20">IFERROR(_xlfn.LET(_xlpm.x,INDEX('Decision Queue_Bak'!$J$5:$J$108,_xlfn.AGGREGATE(15,6,(ROW('Decision Queue_Bak'!$B$5:$B$108)-ROW('Decision Queue_Bak'!$B$5)+1)/(('Decision Queue_Bak'!$B$5:$B$108&lt;&gt;"")*('Decision Queue_Bak'!$W$5:$W$108="ACTIVE")),8)),IF(OR(_xlpm.x=0,_xlpm.x="0",_xlpm.x="N/A"),"",_xlpm.x)),"")</f>
        <v/>
      </c>
      <c r="I20" s="165" t="str">
        <f t="array" ref="I20">IFERROR(_xlfn.LET(_xlpm.x,INDEX('Decision Queue_Bak'!$I$5:$I$108,_xlfn.AGGREGATE(15,6,(ROW('Decision Queue_Bak'!$B$5:$B$108)-ROW('Decision Queue_Bak'!$B$5)+1)/(('Decision Queue_Bak'!$B$5:$B$108&lt;&gt;"")*('Decision Queue_Bak'!$W$5:$W$108="ACTIVE")),8)),IF(OR(_xlpm.x=0,_xlpm.x="0",_xlpm.x="N/A"),"",_xlpm.x)),"")</f>
        <v/>
      </c>
      <c r="J20" s="165" t="str">
        <f t="array" ref="J20">IFERROR(_xlfn.LET(_xlpm.x,INDEX('Decision Queue_Bak'!$C$5:$C$108,_xlfn.AGGREGATE(15,6,(ROW('Decision Queue_Bak'!$B$5:$B$108)-ROW('Decision Queue_Bak'!$B$5)+1)/(('Decision Queue_Bak'!$B$5:$B$108&lt;&gt;"")*('Decision Queue_Bak'!$W$5:$W$108="ACTIVE")),8)),IF(OR(_xlpm.x=0,_xlpm.x="0",_xlpm.x="N/A"),"",_xlpm.x)),"")</f>
        <v/>
      </c>
      <c r="K20" s="164" t="str">
        <f t="array" ref="K20">IFERROR(_xlfn.LET(_xlpm.x,INDEX('Decision Queue_Bak'!$R$5:$R$108,_xlfn.AGGREGATE(15,6,(ROW('Decision Queue_Bak'!$B$5:$B$108)-ROW('Decision Queue_Bak'!$B$5)+1)/(('Decision Queue_Bak'!$B$5:$B$108&lt;&gt;"")*('Decision Queue_Bak'!$W$5:$W$108="ACTIVE")),8)),IF(OR(_xlpm.x=0,_xlpm.x="0",_xlpm.x="N/A"),"",_xlpm.x)),"")</f>
        <v/>
      </c>
      <c r="L20" s="165" t="str">
        <f t="array" ref="L20">IFERROR(_xlfn.LET(_xlpm.x,INDEX('Decision Queue_Bak'!$P$5:$P$108,_xlfn.AGGREGATE(15,6,(ROW('Decision Queue_Bak'!$B$5:$B$108)-ROW('Decision Queue_Bak'!$B$5)+1)/(('Decision Queue_Bak'!$B$5:$B$108&lt;&gt;"")*('Decision Queue_Bak'!$W$5:$W$108="ACTIVE")),8)),IF(OR(_xlpm.x=0,_xlpm.x="0",_xlpm.x="N/A"),"",_xlpm.x)),"")</f>
        <v/>
      </c>
    </row>
    <row r="21" spans="1:12">
      <c r="A21" s="98" t="str">
        <f>IF(A20="","",A20&amp;" cont.")</f>
        <v/>
      </c>
      <c r="B21" s="166" t="str">
        <f t="array" ref="B21">IFERROR(_xlfn.LET(_xlpm.x,INDEX('Decision Queue_Bak'!$F$5:$F$108,_xlfn.AGGREGATE(15,6,(ROW('Decision Queue_Bak'!$B$5:$B$108)-ROW('Decision Queue_Bak'!$B$5)+1)/(('Decision Queue_Bak'!$B$5:$B$108&lt;&gt;"")*('Decision Queue_Bak'!$W$5:$W$108="ACTIVE")),8)),IF(OR(_xlpm.x=0,_xlpm.x="0",_xlpm.x="N/A"),"",_xlpm.x)),"")</f>
        <v/>
      </c>
      <c r="C21" s="166" t="str">
        <f t="array" ref="C21">IFERROR(_xlfn.LET(_xlpm.x,INDEX('Decision Queue_Bak'!$Q$5:$Q$108,_xlfn.AGGREGATE(15,6,(ROW('Decision Queue_Bak'!$B$5:$B$108)-ROW('Decision Queue_Bak'!$B$5)+1)/(('Decision Queue_Bak'!$B$5:$B$108&lt;&gt;"")*('Decision Queue_Bak'!$W$5:$W$108="ACTIVE")),8)),IF(OR(_xlpm.x=0,_xlpm.x="0",_xlpm.x="N/A"),"",_xlpm.x)),"")</f>
        <v/>
      </c>
      <c r="D21" s="167" t="str">
        <f t="array" ref="D21">IFERROR(_xlfn.LET(_xlpm.x,INDEX('Decision Queue_Bak'!$M$5:$M$108,_xlfn.AGGREGATE(15,6,(ROW('Decision Queue_Bak'!$B$5:$B$108)-ROW('Decision Queue_Bak'!$B$5)+1)/(('Decision Queue_Bak'!$B$5:$B$108&lt;&gt;"")*('Decision Queue_Bak'!$W$5:$W$108="ACTIVE")),8)),IF(OR(_xlpm.x=0,_xlpm.x="0",_xlpm.x="N/A"),"",_xlpm.x)),"")</f>
        <v/>
      </c>
      <c r="E21" s="166" t="str">
        <f t="array" ref="E21">IFERROR(_xlfn.LET(_xlpm.x,INDEX('Decision Queue_Bak'!$N$5:$N$108,_xlfn.AGGREGATE(15,6,(ROW('Decision Queue_Bak'!$B$5:$B$108)-ROW('Decision Queue_Bak'!$B$5)+1)/(('Decision Queue_Bak'!$B$5:$B$108&lt;&gt;"")*('Decision Queue_Bak'!$W$5:$W$108="ACTIVE")),8)),IF(OR(_xlpm.x=0,_xlpm.x="0",_xlpm.x="N/A"),"",_xlpm.x)),"")</f>
        <v/>
      </c>
      <c r="F21" s="166" t="str">
        <f t="array" ref="F21">IFERROR(_xlfn.LET(_xlpm.x,INDEX('Decision Queue_Bak'!$L$5:$L$108,_xlfn.AGGREGATE(15,6,(ROW('Decision Queue_Bak'!$B$5:$B$108)-ROW('Decision Queue_Bak'!$B$5)+1)/(('Decision Queue_Bak'!$B$5:$B$108&lt;&gt;"")*('Decision Queue_Bak'!$W$5:$W$108="ACTIVE")),8)),IF(OR(_xlpm.x=0,_xlpm.x="0",_xlpm.x="N/A"),"",_xlpm.x)),"")</f>
        <v/>
      </c>
      <c r="G21" s="166" t="str">
        <f t="array" ref="G21">IFERROR(_xlfn.LET(_xlpm.x,INDEX('Decision Queue_Bak'!$S$5:$S$108,_xlfn.AGGREGATE(15,6,(ROW('Decision Queue_Bak'!$B$5:$B$108)-ROW('Decision Queue_Bak'!$B$5)+1)/(('Decision Queue_Bak'!$B$5:$B$108&lt;&gt;"")*('Decision Queue_Bak'!$W$5:$W$108="ACTIVE")),8)),IF(OR(_xlpm.x=0,_xlpm.x="0",_xlpm.x="N/A"),"",_xlpm.x)),"")</f>
        <v/>
      </c>
      <c r="H21" s="166" t="str">
        <f t="array" ref="H21">IFERROR(_xlfn.LET(_xlpm.x,INDEX('Decision Queue_Bak'!$O$5:$O$108,_xlfn.AGGREGATE(15,6,(ROW('Decision Queue_Bak'!$B$5:$B$108)-ROW('Decision Queue_Bak'!$B$5)+1)/(('Decision Queue_Bak'!$B$5:$B$108&lt;&gt;"")*('Decision Queue_Bak'!$W$5:$W$108="ACTIVE")),8)),IF(OR(_xlpm.x=0,_xlpm.x="0",_xlpm.x="N/A"),"",_xlpm.x)),"")</f>
        <v/>
      </c>
      <c r="I21" s="166" t="str">
        <f t="array" ref="I21">IFERROR(_xlfn.LET(_xlpm.x,INDEX('Decision Queue_Bak'!$T$5:$T$108,_xlfn.AGGREGATE(15,6,(ROW('Decision Queue_Bak'!$B$5:$B$108)-ROW('Decision Queue_Bak'!$B$5)+1)/(('Decision Queue_Bak'!$B$5:$B$108&lt;&gt;"")*('Decision Queue_Bak'!$W$5:$W$108="ACTIVE")),8)),IF(OR(_xlpm.x=0,_xlpm.x="0",_xlpm.x="N/A"),"",_xlpm.x)),"")</f>
        <v/>
      </c>
      <c r="J21" s="166" t="str">
        <f t="array" ref="J21">IFERROR(_xlfn.LET(_xlpm.x,INDEX('Decision Queue_Bak'!$U$5:$U$108,_xlfn.AGGREGATE(15,6,(ROW('Decision Queue_Bak'!$B$5:$B$108)-ROW('Decision Queue_Bak'!$B$5)+1)/(('Decision Queue_Bak'!$B$5:$B$108&lt;&gt;"")*('Decision Queue_Bak'!$W$5:$W$108="ACTIVE")),8)),IF(OR(_xlpm.x=0,_xlpm.x="0",_xlpm.x="N/A"),"",_xlpm.x)),"")</f>
        <v/>
      </c>
      <c r="K21" s="167"/>
      <c r="L21" s="166"/>
    </row>
    <row r="22" spans="1:12">
      <c r="A22" s="162" t="str">
        <f t="array" ref="A22">IFERROR(_xlfn.LET(_xlpm.x,INDEX('Decision Queue_Bak'!$A$5:$A$108,_xlfn.AGGREGATE(15,6,(ROW('Decision Queue_Bak'!$B$5:$B$108)-ROW('Decision Queue_Bak'!$B$5)+1)/(('Decision Queue_Bak'!$B$5:$B$108&lt;&gt;"")*('Decision Queue_Bak'!$W$5:$W$108="ACTIVE")),9)),IF(OR(_xlpm.x=0,_xlpm.x="0",_xlpm.x="N/A"),"",_xlpm.x)),"")</f>
        <v/>
      </c>
      <c r="B22" s="168" t="str">
        <f t="array" ref="B22">IFERROR(_xlfn.LET(_xlpm.x,INDEX('Decision Queue_Bak'!$B$5:$B$108,_xlfn.AGGREGATE(15,6,(ROW('Decision Queue_Bak'!$B$5:$B$108)-ROW('Decision Queue_Bak'!$B$5)+1)/(('Decision Queue_Bak'!$B$5:$B$108&lt;&gt;"")*('Decision Queue_Bak'!$W$5:$W$108="ACTIVE")),9)),IF(OR(_xlpm.x=0,_xlpm.x="0",_xlpm.x="N/A"),"",_xlpm.x)),"")</f>
        <v/>
      </c>
      <c r="C22" s="168" t="str">
        <f t="array" ref="C22">IFERROR(_xlfn.LET(_xlpm.x,INDEX('Decision Queue_Bak'!$D$5:$D$108,_xlfn.AGGREGATE(15,6,(ROW('Decision Queue_Bak'!$B$5:$B$108)-ROW('Decision Queue_Bak'!$B$5)+1)/(('Decision Queue_Bak'!$B$5:$B$108&lt;&gt;"")*('Decision Queue_Bak'!$W$5:$W$108="ACTIVE")),9)),IF(OR(_xlpm.x=0,_xlpm.x="0",_xlpm.x="N/A"),"",_xlpm.x)),"")</f>
        <v/>
      </c>
      <c r="D22" s="169" t="str">
        <f t="array" ref="D22">IFERROR(_xlfn.LET(_xlpm.x,INDEX('Decision Queue_Bak'!$E$5:$E$108,_xlfn.AGGREGATE(15,6,(ROW('Decision Queue_Bak'!$B$5:$B$108)-ROW('Decision Queue_Bak'!$B$5)+1)/(('Decision Queue_Bak'!$B$5:$B$108&lt;&gt;"")*('Decision Queue_Bak'!$W$5:$W$108="ACTIVE")),9)),IF(OR(_xlpm.x=0,_xlpm.x="0",_xlpm.x="N/A"),"",_xlpm.x)),"")</f>
        <v/>
      </c>
      <c r="E22" s="168" t="str">
        <f t="array" ref="E22">IFERROR(_xlfn.LET(_xlpm.x,INDEX('Decision Queue_Bak'!$G$5:$G$108,_xlfn.AGGREGATE(15,6,(ROW('Decision Queue_Bak'!$B$5:$B$108)-ROW('Decision Queue_Bak'!$B$5)+1)/(('Decision Queue_Bak'!$B$5:$B$108&lt;&gt;"")*('Decision Queue_Bak'!$W$5:$W$108="ACTIVE")),9)),IF(OR(_xlpm.x=0,_xlpm.x="0",_xlpm.x="N/A"),"",_xlpm.x)),"")</f>
        <v/>
      </c>
      <c r="F22" s="170" t="str">
        <f t="array" ref="F22">IFERROR(_xlfn.LET(_xlpm.x,INDEX('Decision Queue_Bak'!$H$5:$H$108,_xlfn.AGGREGATE(15,6,(ROW('Decision Queue_Bak'!$B$5:$B$108)-ROW('Decision Queue_Bak'!$B$5)+1)/(('Decision Queue_Bak'!$B$5:$B$108&lt;&gt;"")*('Decision Queue_Bak'!$W$5:$W$108="ACTIVE")),9)),IF(OR(_xlpm.x=0,_xlpm.x="0",_xlpm.x="N/A"),"",_xlpm.x)),"")</f>
        <v/>
      </c>
      <c r="G22" s="170" t="str">
        <f t="array" ref="G22">IFERROR(_xlfn.LET(_xlpm.x,INDEX('Decision Queue_Bak'!$K$5:$K$108,_xlfn.AGGREGATE(15,6,(ROW('Decision Queue_Bak'!$B$5:$B$108)-ROW('Decision Queue_Bak'!$B$5)+1)/(('Decision Queue_Bak'!$B$5:$B$108&lt;&gt;"")*('Decision Queue_Bak'!$W$5:$W$108="ACTIVE")),9)),IF(OR(_xlpm.x=0,_xlpm.x="0",_xlpm.x="N/A"),"",_xlpm.x)),"")</f>
        <v/>
      </c>
      <c r="H22" s="170" t="str">
        <f t="array" ref="H22">IFERROR(_xlfn.LET(_xlpm.x,INDEX('Decision Queue_Bak'!$J$5:$J$108,_xlfn.AGGREGATE(15,6,(ROW('Decision Queue_Bak'!$B$5:$B$108)-ROW('Decision Queue_Bak'!$B$5)+1)/(('Decision Queue_Bak'!$B$5:$B$108&lt;&gt;"")*('Decision Queue_Bak'!$W$5:$W$108="ACTIVE")),9)),IF(OR(_xlpm.x=0,_xlpm.x="0",_xlpm.x="N/A"),"",_xlpm.x)),"")</f>
        <v/>
      </c>
      <c r="I22" s="170" t="str">
        <f t="array" ref="I22">IFERROR(_xlfn.LET(_xlpm.x,INDEX('Decision Queue_Bak'!$I$5:$I$108,_xlfn.AGGREGATE(15,6,(ROW('Decision Queue_Bak'!$B$5:$B$108)-ROW('Decision Queue_Bak'!$B$5)+1)/(('Decision Queue_Bak'!$B$5:$B$108&lt;&gt;"")*('Decision Queue_Bak'!$W$5:$W$108="ACTIVE")),9)),IF(OR(_xlpm.x=0,_xlpm.x="0",_xlpm.x="N/A"),"",_xlpm.x)),"")</f>
        <v/>
      </c>
      <c r="J22" s="170" t="str">
        <f t="array" ref="J22">IFERROR(_xlfn.LET(_xlpm.x,INDEX('Decision Queue_Bak'!$C$5:$C$108,_xlfn.AGGREGATE(15,6,(ROW('Decision Queue_Bak'!$B$5:$B$108)-ROW('Decision Queue_Bak'!$B$5)+1)/(('Decision Queue_Bak'!$B$5:$B$108&lt;&gt;"")*('Decision Queue_Bak'!$W$5:$W$108="ACTIVE")),9)),IF(OR(_xlpm.x=0,_xlpm.x="0",_xlpm.x="N/A"),"",_xlpm.x)),"")</f>
        <v/>
      </c>
      <c r="K22" s="169" t="str">
        <f t="array" ref="K22">IFERROR(_xlfn.LET(_xlpm.x,INDEX('Decision Queue_Bak'!$R$5:$R$108,_xlfn.AGGREGATE(15,6,(ROW('Decision Queue_Bak'!$B$5:$B$108)-ROW('Decision Queue_Bak'!$B$5)+1)/(('Decision Queue_Bak'!$B$5:$B$108&lt;&gt;"")*('Decision Queue_Bak'!$W$5:$W$108="ACTIVE")),9)),IF(OR(_xlpm.x=0,_xlpm.x="0",_xlpm.x="N/A"),"",_xlpm.x)),"")</f>
        <v/>
      </c>
      <c r="L22" s="170" t="str">
        <f t="array" ref="L22">IFERROR(_xlfn.LET(_xlpm.x,INDEX('Decision Queue_Bak'!$P$5:$P$108,_xlfn.AGGREGATE(15,6,(ROW('Decision Queue_Bak'!$B$5:$B$108)-ROW('Decision Queue_Bak'!$B$5)+1)/(('Decision Queue_Bak'!$B$5:$B$108&lt;&gt;"")*('Decision Queue_Bak'!$W$5:$W$108="ACTIVE")),9)),IF(OR(_xlpm.x=0,_xlpm.x="0",_xlpm.x="N/A"),"",_xlpm.x)),"")</f>
        <v/>
      </c>
    </row>
    <row r="23" spans="1:12">
      <c r="A23" s="97" t="str">
        <f>IF(A22="","",A22&amp;" cont.")</f>
        <v/>
      </c>
      <c r="B23" s="160" t="str">
        <f t="array" ref="B23">IFERROR(_xlfn.LET(_xlpm.x,INDEX('Decision Queue_Bak'!$F$5:$F$108,_xlfn.AGGREGATE(15,6,(ROW('Decision Queue_Bak'!$B$5:$B$108)-ROW('Decision Queue_Bak'!$B$5)+1)/(('Decision Queue_Bak'!$B$5:$B$108&lt;&gt;"")*('Decision Queue_Bak'!$W$5:$W$108="ACTIVE")),9)),IF(OR(_xlpm.x=0,_xlpm.x="0",_xlpm.x="N/A"),"",_xlpm.x)),"")</f>
        <v/>
      </c>
      <c r="C23" s="160" t="str">
        <f t="array" ref="C23">IFERROR(_xlfn.LET(_xlpm.x,INDEX('Decision Queue_Bak'!$Q$5:$Q$108,_xlfn.AGGREGATE(15,6,(ROW('Decision Queue_Bak'!$B$5:$B$108)-ROW('Decision Queue_Bak'!$B$5)+1)/(('Decision Queue_Bak'!$B$5:$B$108&lt;&gt;"")*('Decision Queue_Bak'!$W$5:$W$108="ACTIVE")),9)),IF(OR(_xlpm.x=0,_xlpm.x="0",_xlpm.x="N/A"),"",_xlpm.x)),"")</f>
        <v/>
      </c>
      <c r="D23" s="161" t="str">
        <f t="array" ref="D23">IFERROR(_xlfn.LET(_xlpm.x,INDEX('Decision Queue_Bak'!$M$5:$M$108,_xlfn.AGGREGATE(15,6,(ROW('Decision Queue_Bak'!$B$5:$B$108)-ROW('Decision Queue_Bak'!$B$5)+1)/(('Decision Queue_Bak'!$B$5:$B$108&lt;&gt;"")*('Decision Queue_Bak'!$W$5:$W$108="ACTIVE")),9)),IF(OR(_xlpm.x=0,_xlpm.x="0",_xlpm.x="N/A"),"",_xlpm.x)),"")</f>
        <v/>
      </c>
      <c r="E23" s="160" t="str">
        <f t="array" ref="E23">IFERROR(_xlfn.LET(_xlpm.x,INDEX('Decision Queue_Bak'!$N$5:$N$108,_xlfn.AGGREGATE(15,6,(ROW('Decision Queue_Bak'!$B$5:$B$108)-ROW('Decision Queue_Bak'!$B$5)+1)/(('Decision Queue_Bak'!$B$5:$B$108&lt;&gt;"")*('Decision Queue_Bak'!$W$5:$W$108="ACTIVE")),9)),IF(OR(_xlpm.x=0,_xlpm.x="0",_xlpm.x="N/A"),"",_xlpm.x)),"")</f>
        <v/>
      </c>
      <c r="F23" s="160" t="str">
        <f t="array" ref="F23">IFERROR(_xlfn.LET(_xlpm.x,INDEX('Decision Queue_Bak'!$L$5:$L$108,_xlfn.AGGREGATE(15,6,(ROW('Decision Queue_Bak'!$B$5:$B$108)-ROW('Decision Queue_Bak'!$B$5)+1)/(('Decision Queue_Bak'!$B$5:$B$108&lt;&gt;"")*('Decision Queue_Bak'!$W$5:$W$108="ACTIVE")),9)),IF(OR(_xlpm.x=0,_xlpm.x="0",_xlpm.x="N/A"),"",_xlpm.x)),"")</f>
        <v/>
      </c>
      <c r="G23" s="160" t="str">
        <f t="array" ref="G23">IFERROR(_xlfn.LET(_xlpm.x,INDEX('Decision Queue_Bak'!$S$5:$S$108,_xlfn.AGGREGATE(15,6,(ROW('Decision Queue_Bak'!$B$5:$B$108)-ROW('Decision Queue_Bak'!$B$5)+1)/(('Decision Queue_Bak'!$B$5:$B$108&lt;&gt;"")*('Decision Queue_Bak'!$W$5:$W$108="ACTIVE")),9)),IF(OR(_xlpm.x=0,_xlpm.x="0",_xlpm.x="N/A"),"",_xlpm.x)),"")</f>
        <v/>
      </c>
      <c r="H23" s="160" t="str">
        <f t="array" ref="H23">IFERROR(_xlfn.LET(_xlpm.x,INDEX('Decision Queue_Bak'!$O$5:$O$108,_xlfn.AGGREGATE(15,6,(ROW('Decision Queue_Bak'!$B$5:$B$108)-ROW('Decision Queue_Bak'!$B$5)+1)/(('Decision Queue_Bak'!$B$5:$B$108&lt;&gt;"")*('Decision Queue_Bak'!$W$5:$W$108="ACTIVE")),9)),IF(OR(_xlpm.x=0,_xlpm.x="0",_xlpm.x="N/A"),"",_xlpm.x)),"")</f>
        <v/>
      </c>
      <c r="I23" s="160" t="str">
        <f t="array" ref="I23">IFERROR(_xlfn.LET(_xlpm.x,INDEX('Decision Queue_Bak'!$T$5:$T$108,_xlfn.AGGREGATE(15,6,(ROW('Decision Queue_Bak'!$B$5:$B$108)-ROW('Decision Queue_Bak'!$B$5)+1)/(('Decision Queue_Bak'!$B$5:$B$108&lt;&gt;"")*('Decision Queue_Bak'!$W$5:$W$108="ACTIVE")),9)),IF(OR(_xlpm.x=0,_xlpm.x="0",_xlpm.x="N/A"),"",_xlpm.x)),"")</f>
        <v/>
      </c>
      <c r="J23" s="160" t="str">
        <f t="array" ref="J23">IFERROR(_xlfn.LET(_xlpm.x,INDEX('Decision Queue_Bak'!$U$5:$U$108,_xlfn.AGGREGATE(15,6,(ROW('Decision Queue_Bak'!$B$5:$B$108)-ROW('Decision Queue_Bak'!$B$5)+1)/(('Decision Queue_Bak'!$B$5:$B$108&lt;&gt;"")*('Decision Queue_Bak'!$W$5:$W$108="ACTIVE")),9)),IF(OR(_xlpm.x=0,_xlpm.x="0",_xlpm.x="N/A"),"",_xlpm.x)),"")</f>
        <v/>
      </c>
      <c r="K23" s="161"/>
      <c r="L23" s="160"/>
    </row>
    <row r="24" spans="1:12">
      <c r="A24" s="162" t="str">
        <f t="array" ref="A24">IFERROR(_xlfn.LET(_xlpm.x,INDEX('Decision Queue_Bak'!$A$5:$A$108,_xlfn.AGGREGATE(15,6,(ROW('Decision Queue_Bak'!$B$5:$B$108)-ROW('Decision Queue_Bak'!$B$5)+1)/(('Decision Queue_Bak'!$B$5:$B$108&lt;&gt;"")*('Decision Queue_Bak'!$W$5:$W$108="ACTIVE")),10)),IF(OR(_xlpm.x=0,_xlpm.x="0",_xlpm.x="N/A"),"",_xlpm.x)),"")</f>
        <v/>
      </c>
      <c r="B24" s="163" t="str">
        <f t="array" ref="B24">IFERROR(_xlfn.LET(_xlpm.x,INDEX('Decision Queue_Bak'!$B$5:$B$108,_xlfn.AGGREGATE(15,6,(ROW('Decision Queue_Bak'!$B$5:$B$108)-ROW('Decision Queue_Bak'!$B$5)+1)/(('Decision Queue_Bak'!$B$5:$B$108&lt;&gt;"")*('Decision Queue_Bak'!$W$5:$W$108="ACTIVE")),10)),IF(OR(_xlpm.x=0,_xlpm.x="0",_xlpm.x="N/A"),"",_xlpm.x)),"")</f>
        <v/>
      </c>
      <c r="C24" s="163" t="str">
        <f t="array" ref="C24">IFERROR(_xlfn.LET(_xlpm.x,INDEX('Decision Queue_Bak'!$D$5:$D$108,_xlfn.AGGREGATE(15,6,(ROW('Decision Queue_Bak'!$B$5:$B$108)-ROW('Decision Queue_Bak'!$B$5)+1)/(('Decision Queue_Bak'!$B$5:$B$108&lt;&gt;"")*('Decision Queue_Bak'!$W$5:$W$108="ACTIVE")),10)),IF(OR(_xlpm.x=0,_xlpm.x="0",_xlpm.x="N/A"),"",_xlpm.x)),"")</f>
        <v/>
      </c>
      <c r="D24" s="164" t="str">
        <f t="array" ref="D24">IFERROR(_xlfn.LET(_xlpm.x,INDEX('Decision Queue_Bak'!$E$5:$E$108,_xlfn.AGGREGATE(15,6,(ROW('Decision Queue_Bak'!$B$5:$B$108)-ROW('Decision Queue_Bak'!$B$5)+1)/(('Decision Queue_Bak'!$B$5:$B$108&lt;&gt;"")*('Decision Queue_Bak'!$W$5:$W$108="ACTIVE")),10)),IF(OR(_xlpm.x=0,_xlpm.x="0",_xlpm.x="N/A"),"",_xlpm.x)),"")</f>
        <v/>
      </c>
      <c r="E24" s="163" t="str">
        <f t="array" ref="E24">IFERROR(_xlfn.LET(_xlpm.x,INDEX('Decision Queue_Bak'!$G$5:$G$108,_xlfn.AGGREGATE(15,6,(ROW('Decision Queue_Bak'!$B$5:$B$108)-ROW('Decision Queue_Bak'!$B$5)+1)/(('Decision Queue_Bak'!$B$5:$B$108&lt;&gt;"")*('Decision Queue_Bak'!$W$5:$W$108="ACTIVE")),10)),IF(OR(_xlpm.x=0,_xlpm.x="0",_xlpm.x="N/A"),"",_xlpm.x)),"")</f>
        <v/>
      </c>
      <c r="F24" s="165" t="str">
        <f t="array" ref="F24">IFERROR(_xlfn.LET(_xlpm.x,INDEX('Decision Queue_Bak'!$H$5:$H$108,_xlfn.AGGREGATE(15,6,(ROW('Decision Queue_Bak'!$B$5:$B$108)-ROW('Decision Queue_Bak'!$B$5)+1)/(('Decision Queue_Bak'!$B$5:$B$108&lt;&gt;"")*('Decision Queue_Bak'!$W$5:$W$108="ACTIVE")),10)),IF(OR(_xlpm.x=0,_xlpm.x="0",_xlpm.x="N/A"),"",_xlpm.x)),"")</f>
        <v/>
      </c>
      <c r="G24" s="165" t="str">
        <f t="array" ref="G24">IFERROR(_xlfn.LET(_xlpm.x,INDEX('Decision Queue_Bak'!$K$5:$K$108,_xlfn.AGGREGATE(15,6,(ROW('Decision Queue_Bak'!$B$5:$B$108)-ROW('Decision Queue_Bak'!$B$5)+1)/(('Decision Queue_Bak'!$B$5:$B$108&lt;&gt;"")*('Decision Queue_Bak'!$W$5:$W$108="ACTIVE")),10)),IF(OR(_xlpm.x=0,_xlpm.x="0",_xlpm.x="N/A"),"",_xlpm.x)),"")</f>
        <v/>
      </c>
      <c r="H24" s="165" t="str">
        <f t="array" ref="H24">IFERROR(_xlfn.LET(_xlpm.x,INDEX('Decision Queue_Bak'!$J$5:$J$108,_xlfn.AGGREGATE(15,6,(ROW('Decision Queue_Bak'!$B$5:$B$108)-ROW('Decision Queue_Bak'!$B$5)+1)/(('Decision Queue_Bak'!$B$5:$B$108&lt;&gt;"")*('Decision Queue_Bak'!$W$5:$W$108="ACTIVE")),10)),IF(OR(_xlpm.x=0,_xlpm.x="0",_xlpm.x="N/A"),"",_xlpm.x)),"")</f>
        <v/>
      </c>
      <c r="I24" s="165" t="str">
        <f t="array" ref="I24">IFERROR(_xlfn.LET(_xlpm.x,INDEX('Decision Queue_Bak'!$I$5:$I$108,_xlfn.AGGREGATE(15,6,(ROW('Decision Queue_Bak'!$B$5:$B$108)-ROW('Decision Queue_Bak'!$B$5)+1)/(('Decision Queue_Bak'!$B$5:$B$108&lt;&gt;"")*('Decision Queue_Bak'!$W$5:$W$108="ACTIVE")),10)),IF(OR(_xlpm.x=0,_xlpm.x="0",_xlpm.x="N/A"),"",_xlpm.x)),"")</f>
        <v/>
      </c>
      <c r="J24" s="165" t="str">
        <f t="array" ref="J24">IFERROR(_xlfn.LET(_xlpm.x,INDEX('Decision Queue_Bak'!$C$5:$C$108,_xlfn.AGGREGATE(15,6,(ROW('Decision Queue_Bak'!$B$5:$B$108)-ROW('Decision Queue_Bak'!$B$5)+1)/(('Decision Queue_Bak'!$B$5:$B$108&lt;&gt;"")*('Decision Queue_Bak'!$W$5:$W$108="ACTIVE")),10)),IF(OR(_xlpm.x=0,_xlpm.x="0",_xlpm.x="N/A"),"",_xlpm.x)),"")</f>
        <v/>
      </c>
      <c r="K24" s="164" t="str">
        <f t="array" ref="K24">IFERROR(_xlfn.LET(_xlpm.x,INDEX('Decision Queue_Bak'!$R$5:$R$108,_xlfn.AGGREGATE(15,6,(ROW('Decision Queue_Bak'!$B$5:$B$108)-ROW('Decision Queue_Bak'!$B$5)+1)/(('Decision Queue_Bak'!$B$5:$B$108&lt;&gt;"")*('Decision Queue_Bak'!$W$5:$W$108="ACTIVE")),10)),IF(OR(_xlpm.x=0,_xlpm.x="0",_xlpm.x="N/A"),"",_xlpm.x)),"")</f>
        <v/>
      </c>
      <c r="L24" s="165" t="str">
        <f t="array" ref="L24">IFERROR(_xlfn.LET(_xlpm.x,INDEX('Decision Queue_Bak'!$P$5:$P$108,_xlfn.AGGREGATE(15,6,(ROW('Decision Queue_Bak'!$B$5:$B$108)-ROW('Decision Queue_Bak'!$B$5)+1)/(('Decision Queue_Bak'!$B$5:$B$108&lt;&gt;"")*('Decision Queue_Bak'!$W$5:$W$108="ACTIVE")),10)),IF(OR(_xlpm.x=0,_xlpm.x="0",_xlpm.x="N/A"),"",_xlpm.x)),"")</f>
        <v/>
      </c>
    </row>
    <row r="25" spans="1:12">
      <c r="A25" s="98" t="str">
        <f>IF(A24="","",A24&amp;" cont.")</f>
        <v/>
      </c>
      <c r="B25" s="166" t="str">
        <f t="array" ref="B25">IFERROR(_xlfn.LET(_xlpm.x,INDEX('Decision Queue_Bak'!$F$5:$F$108,_xlfn.AGGREGATE(15,6,(ROW('Decision Queue_Bak'!$B$5:$B$108)-ROW('Decision Queue_Bak'!$B$5)+1)/(('Decision Queue_Bak'!$B$5:$B$108&lt;&gt;"")*('Decision Queue_Bak'!$W$5:$W$108="ACTIVE")),10)),IF(OR(_xlpm.x=0,_xlpm.x="0",_xlpm.x="N/A"),"",_xlpm.x)),"")</f>
        <v/>
      </c>
      <c r="C25" s="166" t="str">
        <f t="array" ref="C25">IFERROR(_xlfn.LET(_xlpm.x,INDEX('Decision Queue_Bak'!$Q$5:$Q$108,_xlfn.AGGREGATE(15,6,(ROW('Decision Queue_Bak'!$B$5:$B$108)-ROW('Decision Queue_Bak'!$B$5)+1)/(('Decision Queue_Bak'!$B$5:$B$108&lt;&gt;"")*('Decision Queue_Bak'!$W$5:$W$108="ACTIVE")),10)),IF(OR(_xlpm.x=0,_xlpm.x="0",_xlpm.x="N/A"),"",_xlpm.x)),"")</f>
        <v/>
      </c>
      <c r="D25" s="167" t="str">
        <f t="array" ref="D25">IFERROR(_xlfn.LET(_xlpm.x,INDEX('Decision Queue_Bak'!$M$5:$M$108,_xlfn.AGGREGATE(15,6,(ROW('Decision Queue_Bak'!$B$5:$B$108)-ROW('Decision Queue_Bak'!$B$5)+1)/(('Decision Queue_Bak'!$B$5:$B$108&lt;&gt;"")*('Decision Queue_Bak'!$W$5:$W$108="ACTIVE")),10)),IF(OR(_xlpm.x=0,_xlpm.x="0",_xlpm.x="N/A"),"",_xlpm.x)),"")</f>
        <v/>
      </c>
      <c r="E25" s="166" t="str">
        <f t="array" ref="E25">IFERROR(_xlfn.LET(_xlpm.x,INDEX('Decision Queue_Bak'!$N$5:$N$108,_xlfn.AGGREGATE(15,6,(ROW('Decision Queue_Bak'!$B$5:$B$108)-ROW('Decision Queue_Bak'!$B$5)+1)/(('Decision Queue_Bak'!$B$5:$B$108&lt;&gt;"")*('Decision Queue_Bak'!$W$5:$W$108="ACTIVE")),10)),IF(OR(_xlpm.x=0,_xlpm.x="0",_xlpm.x="N/A"),"",_xlpm.x)),"")</f>
        <v/>
      </c>
      <c r="F25" s="166" t="str">
        <f t="array" ref="F25">IFERROR(_xlfn.LET(_xlpm.x,INDEX('Decision Queue_Bak'!$L$5:$L$108,_xlfn.AGGREGATE(15,6,(ROW('Decision Queue_Bak'!$B$5:$B$108)-ROW('Decision Queue_Bak'!$B$5)+1)/(('Decision Queue_Bak'!$B$5:$B$108&lt;&gt;"")*('Decision Queue_Bak'!$W$5:$W$108="ACTIVE")),10)),IF(OR(_xlpm.x=0,_xlpm.x="0",_xlpm.x="N/A"),"",_xlpm.x)),"")</f>
        <v/>
      </c>
      <c r="G25" s="166" t="str">
        <f t="array" ref="G25">IFERROR(_xlfn.LET(_xlpm.x,INDEX('Decision Queue_Bak'!$S$5:$S$108,_xlfn.AGGREGATE(15,6,(ROW('Decision Queue_Bak'!$B$5:$B$108)-ROW('Decision Queue_Bak'!$B$5)+1)/(('Decision Queue_Bak'!$B$5:$B$108&lt;&gt;"")*('Decision Queue_Bak'!$W$5:$W$108="ACTIVE")),10)),IF(OR(_xlpm.x=0,_xlpm.x="0",_xlpm.x="N/A"),"",_xlpm.x)),"")</f>
        <v/>
      </c>
      <c r="H25" s="166" t="str">
        <f t="array" ref="H25">IFERROR(_xlfn.LET(_xlpm.x,INDEX('Decision Queue_Bak'!$O$5:$O$108,_xlfn.AGGREGATE(15,6,(ROW('Decision Queue_Bak'!$B$5:$B$108)-ROW('Decision Queue_Bak'!$B$5)+1)/(('Decision Queue_Bak'!$B$5:$B$108&lt;&gt;"")*('Decision Queue_Bak'!$W$5:$W$108="ACTIVE")),10)),IF(OR(_xlpm.x=0,_xlpm.x="0",_xlpm.x="N/A"),"",_xlpm.x)),"")</f>
        <v/>
      </c>
      <c r="I25" s="166" t="str">
        <f t="array" ref="I25">IFERROR(_xlfn.LET(_xlpm.x,INDEX('Decision Queue_Bak'!$T$5:$T$108,_xlfn.AGGREGATE(15,6,(ROW('Decision Queue_Bak'!$B$5:$B$108)-ROW('Decision Queue_Bak'!$B$5)+1)/(('Decision Queue_Bak'!$B$5:$B$108&lt;&gt;"")*('Decision Queue_Bak'!$W$5:$W$108="ACTIVE")),10)),IF(OR(_xlpm.x=0,_xlpm.x="0",_xlpm.x="N/A"),"",_xlpm.x)),"")</f>
        <v/>
      </c>
      <c r="J25" s="166" t="str">
        <f t="array" ref="J25">IFERROR(_xlfn.LET(_xlpm.x,INDEX('Decision Queue_Bak'!$U$5:$U$108,_xlfn.AGGREGATE(15,6,(ROW('Decision Queue_Bak'!$B$5:$B$108)-ROW('Decision Queue_Bak'!$B$5)+1)/(('Decision Queue_Bak'!$B$5:$B$108&lt;&gt;"")*('Decision Queue_Bak'!$W$5:$W$108="ACTIVE")),10)),IF(OR(_xlpm.x=0,_xlpm.x="0",_xlpm.x="N/A"),"",_xlpm.x)),"")</f>
        <v/>
      </c>
      <c r="K25" s="167"/>
      <c r="L25" s="166"/>
    </row>
    <row r="26" spans="1:12">
      <c r="A26" s="162" t="str">
        <f t="array" ref="A26">IFERROR(_xlfn.LET(_xlpm.x,INDEX('Decision Queue_Bak'!$A$5:$A$108,_xlfn.AGGREGATE(15,6,(ROW('Decision Queue_Bak'!$B$5:$B$108)-ROW('Decision Queue_Bak'!$B$5)+1)/(('Decision Queue_Bak'!$B$5:$B$108&lt;&gt;"")*('Decision Queue_Bak'!$W$5:$W$108="ACTIVE")),11)),IF(OR(_xlpm.x=0,_xlpm.x="0",_xlpm.x="N/A"),"",_xlpm.x)),"")</f>
        <v/>
      </c>
      <c r="B26" s="168" t="str">
        <f t="array" ref="B26">IFERROR(_xlfn.LET(_xlpm.x,INDEX('Decision Queue_Bak'!$B$5:$B$108,_xlfn.AGGREGATE(15,6,(ROW('Decision Queue_Bak'!$B$5:$B$108)-ROW('Decision Queue_Bak'!$B$5)+1)/(('Decision Queue_Bak'!$B$5:$B$108&lt;&gt;"")*('Decision Queue_Bak'!$W$5:$W$108="ACTIVE")),11)),IF(OR(_xlpm.x=0,_xlpm.x="0",_xlpm.x="N/A"),"",_xlpm.x)),"")</f>
        <v/>
      </c>
      <c r="C26" s="168" t="str">
        <f t="array" ref="C26">IFERROR(_xlfn.LET(_xlpm.x,INDEX('Decision Queue_Bak'!$D$5:$D$108,_xlfn.AGGREGATE(15,6,(ROW('Decision Queue_Bak'!$B$5:$B$108)-ROW('Decision Queue_Bak'!$B$5)+1)/(('Decision Queue_Bak'!$B$5:$B$108&lt;&gt;"")*('Decision Queue_Bak'!$W$5:$W$108="ACTIVE")),11)),IF(OR(_xlpm.x=0,_xlpm.x="0",_xlpm.x="N/A"),"",_xlpm.x)),"")</f>
        <v/>
      </c>
      <c r="D26" s="169" t="str">
        <f t="array" ref="D26">IFERROR(_xlfn.LET(_xlpm.x,INDEX('Decision Queue_Bak'!$E$5:$E$108,_xlfn.AGGREGATE(15,6,(ROW('Decision Queue_Bak'!$B$5:$B$108)-ROW('Decision Queue_Bak'!$B$5)+1)/(('Decision Queue_Bak'!$B$5:$B$108&lt;&gt;"")*('Decision Queue_Bak'!$W$5:$W$108="ACTIVE")),11)),IF(OR(_xlpm.x=0,_xlpm.x="0",_xlpm.x="N/A"),"",_xlpm.x)),"")</f>
        <v/>
      </c>
      <c r="E26" s="168" t="str">
        <f t="array" ref="E26">IFERROR(_xlfn.LET(_xlpm.x,INDEX('Decision Queue_Bak'!$G$5:$G$108,_xlfn.AGGREGATE(15,6,(ROW('Decision Queue_Bak'!$B$5:$B$108)-ROW('Decision Queue_Bak'!$B$5)+1)/(('Decision Queue_Bak'!$B$5:$B$108&lt;&gt;"")*('Decision Queue_Bak'!$W$5:$W$108="ACTIVE")),11)),IF(OR(_xlpm.x=0,_xlpm.x="0",_xlpm.x="N/A"),"",_xlpm.x)),"")</f>
        <v/>
      </c>
      <c r="F26" s="170" t="str">
        <f t="array" ref="F26">IFERROR(_xlfn.LET(_xlpm.x,INDEX('Decision Queue_Bak'!$H$5:$H$108,_xlfn.AGGREGATE(15,6,(ROW('Decision Queue_Bak'!$B$5:$B$108)-ROW('Decision Queue_Bak'!$B$5)+1)/(('Decision Queue_Bak'!$B$5:$B$108&lt;&gt;"")*('Decision Queue_Bak'!$W$5:$W$108="ACTIVE")),11)),IF(OR(_xlpm.x=0,_xlpm.x="0",_xlpm.x="N/A"),"",_xlpm.x)),"")</f>
        <v/>
      </c>
      <c r="G26" s="170" t="str">
        <f t="array" ref="G26">IFERROR(_xlfn.LET(_xlpm.x,INDEX('Decision Queue_Bak'!$K$5:$K$108,_xlfn.AGGREGATE(15,6,(ROW('Decision Queue_Bak'!$B$5:$B$108)-ROW('Decision Queue_Bak'!$B$5)+1)/(('Decision Queue_Bak'!$B$5:$B$108&lt;&gt;"")*('Decision Queue_Bak'!$W$5:$W$108="ACTIVE")),11)),IF(OR(_xlpm.x=0,_xlpm.x="0",_xlpm.x="N/A"),"",_xlpm.x)),"")</f>
        <v/>
      </c>
      <c r="H26" s="170" t="str">
        <f t="array" ref="H26">IFERROR(_xlfn.LET(_xlpm.x,INDEX('Decision Queue_Bak'!$J$5:$J$108,_xlfn.AGGREGATE(15,6,(ROW('Decision Queue_Bak'!$B$5:$B$108)-ROW('Decision Queue_Bak'!$B$5)+1)/(('Decision Queue_Bak'!$B$5:$B$108&lt;&gt;"")*('Decision Queue_Bak'!$W$5:$W$108="ACTIVE")),11)),IF(OR(_xlpm.x=0,_xlpm.x="0",_xlpm.x="N/A"),"",_xlpm.x)),"")</f>
        <v/>
      </c>
      <c r="I26" s="170" t="str">
        <f t="array" ref="I26">IFERROR(_xlfn.LET(_xlpm.x,INDEX('Decision Queue_Bak'!$I$5:$I$108,_xlfn.AGGREGATE(15,6,(ROW('Decision Queue_Bak'!$B$5:$B$108)-ROW('Decision Queue_Bak'!$B$5)+1)/(('Decision Queue_Bak'!$B$5:$B$108&lt;&gt;"")*('Decision Queue_Bak'!$W$5:$W$108="ACTIVE")),11)),IF(OR(_xlpm.x=0,_xlpm.x="0",_xlpm.x="N/A"),"",_xlpm.x)),"")</f>
        <v/>
      </c>
      <c r="J26" s="170" t="str">
        <f t="array" ref="J26">IFERROR(_xlfn.LET(_xlpm.x,INDEX('Decision Queue_Bak'!$C$5:$C$108,_xlfn.AGGREGATE(15,6,(ROW('Decision Queue_Bak'!$B$5:$B$108)-ROW('Decision Queue_Bak'!$B$5)+1)/(('Decision Queue_Bak'!$B$5:$B$108&lt;&gt;"")*('Decision Queue_Bak'!$W$5:$W$108="ACTIVE")),11)),IF(OR(_xlpm.x=0,_xlpm.x="0",_xlpm.x="N/A"),"",_xlpm.x)),"")</f>
        <v/>
      </c>
      <c r="K26" s="169" t="str">
        <f t="array" ref="K26">IFERROR(_xlfn.LET(_xlpm.x,INDEX('Decision Queue_Bak'!$R$5:$R$108,_xlfn.AGGREGATE(15,6,(ROW('Decision Queue_Bak'!$B$5:$B$108)-ROW('Decision Queue_Bak'!$B$5)+1)/(('Decision Queue_Bak'!$B$5:$B$108&lt;&gt;"")*('Decision Queue_Bak'!$W$5:$W$108="ACTIVE")),11)),IF(OR(_xlpm.x=0,_xlpm.x="0",_xlpm.x="N/A"),"",_xlpm.x)),"")</f>
        <v/>
      </c>
      <c r="L26" s="170" t="str">
        <f t="array" ref="L26">IFERROR(_xlfn.LET(_xlpm.x,INDEX('Decision Queue_Bak'!$P$5:$P$108,_xlfn.AGGREGATE(15,6,(ROW('Decision Queue_Bak'!$B$5:$B$108)-ROW('Decision Queue_Bak'!$B$5)+1)/(('Decision Queue_Bak'!$B$5:$B$108&lt;&gt;"")*('Decision Queue_Bak'!$W$5:$W$108="ACTIVE")),11)),IF(OR(_xlpm.x=0,_xlpm.x="0",_xlpm.x="N/A"),"",_xlpm.x)),"")</f>
        <v/>
      </c>
    </row>
    <row r="27" spans="1:12">
      <c r="A27" s="97" t="str">
        <f>IF(A26="","",A26&amp;" cont.")</f>
        <v/>
      </c>
      <c r="B27" s="160" t="str">
        <f t="array" ref="B27">IFERROR(_xlfn.LET(_xlpm.x,INDEX('Decision Queue_Bak'!$F$5:$F$108,_xlfn.AGGREGATE(15,6,(ROW('Decision Queue_Bak'!$B$5:$B$108)-ROW('Decision Queue_Bak'!$B$5)+1)/(('Decision Queue_Bak'!$B$5:$B$108&lt;&gt;"")*('Decision Queue_Bak'!$W$5:$W$108="ACTIVE")),11)),IF(OR(_xlpm.x=0,_xlpm.x="0",_xlpm.x="N/A"),"",_xlpm.x)),"")</f>
        <v/>
      </c>
      <c r="C27" s="160" t="str">
        <f t="array" ref="C27">IFERROR(_xlfn.LET(_xlpm.x,INDEX('Decision Queue_Bak'!$Q$5:$Q$108,_xlfn.AGGREGATE(15,6,(ROW('Decision Queue_Bak'!$B$5:$B$108)-ROW('Decision Queue_Bak'!$B$5)+1)/(('Decision Queue_Bak'!$B$5:$B$108&lt;&gt;"")*('Decision Queue_Bak'!$W$5:$W$108="ACTIVE")),11)),IF(OR(_xlpm.x=0,_xlpm.x="0",_xlpm.x="N/A"),"",_xlpm.x)),"")</f>
        <v/>
      </c>
      <c r="D27" s="161" t="str">
        <f t="array" ref="D27">IFERROR(_xlfn.LET(_xlpm.x,INDEX('Decision Queue_Bak'!$M$5:$M$108,_xlfn.AGGREGATE(15,6,(ROW('Decision Queue_Bak'!$B$5:$B$108)-ROW('Decision Queue_Bak'!$B$5)+1)/(('Decision Queue_Bak'!$B$5:$B$108&lt;&gt;"")*('Decision Queue_Bak'!$W$5:$W$108="ACTIVE")),11)),IF(OR(_xlpm.x=0,_xlpm.x="0",_xlpm.x="N/A"),"",_xlpm.x)),"")</f>
        <v/>
      </c>
      <c r="E27" s="160" t="str">
        <f t="array" ref="E27">IFERROR(_xlfn.LET(_xlpm.x,INDEX('Decision Queue_Bak'!$N$5:$N$108,_xlfn.AGGREGATE(15,6,(ROW('Decision Queue_Bak'!$B$5:$B$108)-ROW('Decision Queue_Bak'!$B$5)+1)/(('Decision Queue_Bak'!$B$5:$B$108&lt;&gt;"")*('Decision Queue_Bak'!$W$5:$W$108="ACTIVE")),11)),IF(OR(_xlpm.x=0,_xlpm.x="0",_xlpm.x="N/A"),"",_xlpm.x)),"")</f>
        <v/>
      </c>
      <c r="F27" s="160" t="str">
        <f t="array" ref="F27">IFERROR(_xlfn.LET(_xlpm.x,INDEX('Decision Queue_Bak'!$L$5:$L$108,_xlfn.AGGREGATE(15,6,(ROW('Decision Queue_Bak'!$B$5:$B$108)-ROW('Decision Queue_Bak'!$B$5)+1)/(('Decision Queue_Bak'!$B$5:$B$108&lt;&gt;"")*('Decision Queue_Bak'!$W$5:$W$108="ACTIVE")),11)),IF(OR(_xlpm.x=0,_xlpm.x="0",_xlpm.x="N/A"),"",_xlpm.x)),"")</f>
        <v/>
      </c>
      <c r="G27" s="160" t="str">
        <f t="array" ref="G27">IFERROR(_xlfn.LET(_xlpm.x,INDEX('Decision Queue_Bak'!$S$5:$S$108,_xlfn.AGGREGATE(15,6,(ROW('Decision Queue_Bak'!$B$5:$B$108)-ROW('Decision Queue_Bak'!$B$5)+1)/(('Decision Queue_Bak'!$B$5:$B$108&lt;&gt;"")*('Decision Queue_Bak'!$W$5:$W$108="ACTIVE")),11)),IF(OR(_xlpm.x=0,_xlpm.x="0",_xlpm.x="N/A"),"",_xlpm.x)),"")</f>
        <v/>
      </c>
      <c r="H27" s="160" t="str">
        <f t="array" ref="H27">IFERROR(_xlfn.LET(_xlpm.x,INDEX('Decision Queue_Bak'!$O$5:$O$108,_xlfn.AGGREGATE(15,6,(ROW('Decision Queue_Bak'!$B$5:$B$108)-ROW('Decision Queue_Bak'!$B$5)+1)/(('Decision Queue_Bak'!$B$5:$B$108&lt;&gt;"")*('Decision Queue_Bak'!$W$5:$W$108="ACTIVE")),11)),IF(OR(_xlpm.x=0,_xlpm.x="0",_xlpm.x="N/A"),"",_xlpm.x)),"")</f>
        <v/>
      </c>
      <c r="I27" s="160" t="str">
        <f t="array" ref="I27">IFERROR(_xlfn.LET(_xlpm.x,INDEX('Decision Queue_Bak'!$T$5:$T$108,_xlfn.AGGREGATE(15,6,(ROW('Decision Queue_Bak'!$B$5:$B$108)-ROW('Decision Queue_Bak'!$B$5)+1)/(('Decision Queue_Bak'!$B$5:$B$108&lt;&gt;"")*('Decision Queue_Bak'!$W$5:$W$108="ACTIVE")),11)),IF(OR(_xlpm.x=0,_xlpm.x="0",_xlpm.x="N/A"),"",_xlpm.x)),"")</f>
        <v/>
      </c>
      <c r="J27" s="160" t="str">
        <f t="array" ref="J27">IFERROR(_xlfn.LET(_xlpm.x,INDEX('Decision Queue_Bak'!$U$5:$U$108,_xlfn.AGGREGATE(15,6,(ROW('Decision Queue_Bak'!$B$5:$B$108)-ROW('Decision Queue_Bak'!$B$5)+1)/(('Decision Queue_Bak'!$B$5:$B$108&lt;&gt;"")*('Decision Queue_Bak'!$W$5:$W$108="ACTIVE")),11)),IF(OR(_xlpm.x=0,_xlpm.x="0",_xlpm.x="N/A"),"",_xlpm.x)),"")</f>
        <v/>
      </c>
      <c r="K27" s="161"/>
      <c r="L27" s="160"/>
    </row>
    <row r="28" spans="1:12">
      <c r="A28" s="162" t="str">
        <f t="array" ref="A28">IFERROR(_xlfn.LET(_xlpm.x,INDEX('Decision Queue_Bak'!$A$5:$A$108,_xlfn.AGGREGATE(15,6,(ROW('Decision Queue_Bak'!$B$5:$B$108)-ROW('Decision Queue_Bak'!$B$5)+1)/(('Decision Queue_Bak'!$B$5:$B$108&lt;&gt;"")*('Decision Queue_Bak'!$W$5:$W$108="ACTIVE")),12)),IF(OR(_xlpm.x=0,_xlpm.x="0",_xlpm.x="N/A"),"",_xlpm.x)),"")</f>
        <v/>
      </c>
      <c r="B28" s="163" t="str">
        <f t="array" ref="B28">IFERROR(_xlfn.LET(_xlpm.x,INDEX('Decision Queue_Bak'!$B$5:$B$108,_xlfn.AGGREGATE(15,6,(ROW('Decision Queue_Bak'!$B$5:$B$108)-ROW('Decision Queue_Bak'!$B$5)+1)/(('Decision Queue_Bak'!$B$5:$B$108&lt;&gt;"")*('Decision Queue_Bak'!$W$5:$W$108="ACTIVE")),12)),IF(OR(_xlpm.x=0,_xlpm.x="0",_xlpm.x="N/A"),"",_xlpm.x)),"")</f>
        <v/>
      </c>
      <c r="C28" s="163" t="str">
        <f t="array" ref="C28">IFERROR(_xlfn.LET(_xlpm.x,INDEX('Decision Queue_Bak'!$D$5:$D$108,_xlfn.AGGREGATE(15,6,(ROW('Decision Queue_Bak'!$B$5:$B$108)-ROW('Decision Queue_Bak'!$B$5)+1)/(('Decision Queue_Bak'!$B$5:$B$108&lt;&gt;"")*('Decision Queue_Bak'!$W$5:$W$108="ACTIVE")),12)),IF(OR(_xlpm.x=0,_xlpm.x="0",_xlpm.x="N/A"),"",_xlpm.x)),"")</f>
        <v/>
      </c>
      <c r="D28" s="164" t="str">
        <f t="array" ref="D28">IFERROR(_xlfn.LET(_xlpm.x,INDEX('Decision Queue_Bak'!$E$5:$E$108,_xlfn.AGGREGATE(15,6,(ROW('Decision Queue_Bak'!$B$5:$B$108)-ROW('Decision Queue_Bak'!$B$5)+1)/(('Decision Queue_Bak'!$B$5:$B$108&lt;&gt;"")*('Decision Queue_Bak'!$W$5:$W$108="ACTIVE")),12)),IF(OR(_xlpm.x=0,_xlpm.x="0",_xlpm.x="N/A"),"",_xlpm.x)),"")</f>
        <v/>
      </c>
      <c r="E28" s="163" t="str">
        <f t="array" ref="E28">IFERROR(_xlfn.LET(_xlpm.x,INDEX('Decision Queue_Bak'!$G$5:$G$108,_xlfn.AGGREGATE(15,6,(ROW('Decision Queue_Bak'!$B$5:$B$108)-ROW('Decision Queue_Bak'!$B$5)+1)/(('Decision Queue_Bak'!$B$5:$B$108&lt;&gt;"")*('Decision Queue_Bak'!$W$5:$W$108="ACTIVE")),12)),IF(OR(_xlpm.x=0,_xlpm.x="0",_xlpm.x="N/A"),"",_xlpm.x)),"")</f>
        <v/>
      </c>
      <c r="F28" s="165" t="str">
        <f t="array" ref="F28">IFERROR(_xlfn.LET(_xlpm.x,INDEX('Decision Queue_Bak'!$H$5:$H$108,_xlfn.AGGREGATE(15,6,(ROW('Decision Queue_Bak'!$B$5:$B$108)-ROW('Decision Queue_Bak'!$B$5)+1)/(('Decision Queue_Bak'!$B$5:$B$108&lt;&gt;"")*('Decision Queue_Bak'!$W$5:$W$108="ACTIVE")),12)),IF(OR(_xlpm.x=0,_xlpm.x="0",_xlpm.x="N/A"),"",_xlpm.x)),"")</f>
        <v/>
      </c>
      <c r="G28" s="165" t="str">
        <f t="array" ref="G28">IFERROR(_xlfn.LET(_xlpm.x,INDEX('Decision Queue_Bak'!$K$5:$K$108,_xlfn.AGGREGATE(15,6,(ROW('Decision Queue_Bak'!$B$5:$B$108)-ROW('Decision Queue_Bak'!$B$5)+1)/(('Decision Queue_Bak'!$B$5:$B$108&lt;&gt;"")*('Decision Queue_Bak'!$W$5:$W$108="ACTIVE")),12)),IF(OR(_xlpm.x=0,_xlpm.x="0",_xlpm.x="N/A"),"",_xlpm.x)),"")</f>
        <v/>
      </c>
      <c r="H28" s="165" t="str">
        <f t="array" ref="H28">IFERROR(_xlfn.LET(_xlpm.x,INDEX('Decision Queue_Bak'!$J$5:$J$108,_xlfn.AGGREGATE(15,6,(ROW('Decision Queue_Bak'!$B$5:$B$108)-ROW('Decision Queue_Bak'!$B$5)+1)/(('Decision Queue_Bak'!$B$5:$B$108&lt;&gt;"")*('Decision Queue_Bak'!$W$5:$W$108="ACTIVE")),12)),IF(OR(_xlpm.x=0,_xlpm.x="0",_xlpm.x="N/A"),"",_xlpm.x)),"")</f>
        <v/>
      </c>
      <c r="I28" s="165" t="str">
        <f t="array" ref="I28">IFERROR(_xlfn.LET(_xlpm.x,INDEX('Decision Queue_Bak'!$I$5:$I$108,_xlfn.AGGREGATE(15,6,(ROW('Decision Queue_Bak'!$B$5:$B$108)-ROW('Decision Queue_Bak'!$B$5)+1)/(('Decision Queue_Bak'!$B$5:$B$108&lt;&gt;"")*('Decision Queue_Bak'!$W$5:$W$108="ACTIVE")),12)),IF(OR(_xlpm.x=0,_xlpm.x="0",_xlpm.x="N/A"),"",_xlpm.x)),"")</f>
        <v/>
      </c>
      <c r="J28" s="165" t="str">
        <f t="array" ref="J28">IFERROR(_xlfn.LET(_xlpm.x,INDEX('Decision Queue_Bak'!$C$5:$C$108,_xlfn.AGGREGATE(15,6,(ROW('Decision Queue_Bak'!$B$5:$B$108)-ROW('Decision Queue_Bak'!$B$5)+1)/(('Decision Queue_Bak'!$B$5:$B$108&lt;&gt;"")*('Decision Queue_Bak'!$W$5:$W$108="ACTIVE")),12)),IF(OR(_xlpm.x=0,_xlpm.x="0",_xlpm.x="N/A"),"",_xlpm.x)),"")</f>
        <v/>
      </c>
      <c r="K28" s="164" t="str">
        <f t="array" ref="K28">IFERROR(_xlfn.LET(_xlpm.x,INDEX('Decision Queue_Bak'!$R$5:$R$108,_xlfn.AGGREGATE(15,6,(ROW('Decision Queue_Bak'!$B$5:$B$108)-ROW('Decision Queue_Bak'!$B$5)+1)/(('Decision Queue_Bak'!$B$5:$B$108&lt;&gt;"")*('Decision Queue_Bak'!$W$5:$W$108="ACTIVE")),12)),IF(OR(_xlpm.x=0,_xlpm.x="0",_xlpm.x="N/A"),"",_xlpm.x)),"")</f>
        <v/>
      </c>
      <c r="L28" s="165" t="str">
        <f t="array" ref="L28">IFERROR(_xlfn.LET(_xlpm.x,INDEX('Decision Queue_Bak'!$P$5:$P$108,_xlfn.AGGREGATE(15,6,(ROW('Decision Queue_Bak'!$B$5:$B$108)-ROW('Decision Queue_Bak'!$B$5)+1)/(('Decision Queue_Bak'!$B$5:$B$108&lt;&gt;"")*('Decision Queue_Bak'!$W$5:$W$108="ACTIVE")),12)),IF(OR(_xlpm.x=0,_xlpm.x="0",_xlpm.x="N/A"),"",_xlpm.x)),"")</f>
        <v/>
      </c>
    </row>
    <row r="29" spans="1:12">
      <c r="A29" s="98" t="str">
        <f>IF(A28="","",A28&amp;" cont.")</f>
        <v/>
      </c>
      <c r="B29" s="166" t="str">
        <f t="array" ref="B29">IFERROR(_xlfn.LET(_xlpm.x,INDEX('Decision Queue_Bak'!$F$5:$F$108,_xlfn.AGGREGATE(15,6,(ROW('Decision Queue_Bak'!$B$5:$B$108)-ROW('Decision Queue_Bak'!$B$5)+1)/(('Decision Queue_Bak'!$B$5:$B$108&lt;&gt;"")*('Decision Queue_Bak'!$W$5:$W$108="ACTIVE")),12)),IF(OR(_xlpm.x=0,_xlpm.x="0",_xlpm.x="N/A"),"",_xlpm.x)),"")</f>
        <v/>
      </c>
      <c r="C29" s="166" t="str">
        <f t="array" ref="C29">IFERROR(_xlfn.LET(_xlpm.x,INDEX('Decision Queue_Bak'!$Q$5:$Q$108,_xlfn.AGGREGATE(15,6,(ROW('Decision Queue_Bak'!$B$5:$B$108)-ROW('Decision Queue_Bak'!$B$5)+1)/(('Decision Queue_Bak'!$B$5:$B$108&lt;&gt;"")*('Decision Queue_Bak'!$W$5:$W$108="ACTIVE")),12)),IF(OR(_xlpm.x=0,_xlpm.x="0",_xlpm.x="N/A"),"",_xlpm.x)),"")</f>
        <v/>
      </c>
      <c r="D29" s="167" t="str">
        <f t="array" ref="D29">IFERROR(_xlfn.LET(_xlpm.x,INDEX('Decision Queue_Bak'!$M$5:$M$108,_xlfn.AGGREGATE(15,6,(ROW('Decision Queue_Bak'!$B$5:$B$108)-ROW('Decision Queue_Bak'!$B$5)+1)/(('Decision Queue_Bak'!$B$5:$B$108&lt;&gt;"")*('Decision Queue_Bak'!$W$5:$W$108="ACTIVE")),12)),IF(OR(_xlpm.x=0,_xlpm.x="0",_xlpm.x="N/A"),"",_xlpm.x)),"")</f>
        <v/>
      </c>
      <c r="E29" s="166" t="str">
        <f t="array" ref="E29">IFERROR(_xlfn.LET(_xlpm.x,INDEX('Decision Queue_Bak'!$N$5:$N$108,_xlfn.AGGREGATE(15,6,(ROW('Decision Queue_Bak'!$B$5:$B$108)-ROW('Decision Queue_Bak'!$B$5)+1)/(('Decision Queue_Bak'!$B$5:$B$108&lt;&gt;"")*('Decision Queue_Bak'!$W$5:$W$108="ACTIVE")),12)),IF(OR(_xlpm.x=0,_xlpm.x="0",_xlpm.x="N/A"),"",_xlpm.x)),"")</f>
        <v/>
      </c>
      <c r="F29" s="166" t="str">
        <f t="array" ref="F29">IFERROR(_xlfn.LET(_xlpm.x,INDEX('Decision Queue_Bak'!$L$5:$L$108,_xlfn.AGGREGATE(15,6,(ROW('Decision Queue_Bak'!$B$5:$B$108)-ROW('Decision Queue_Bak'!$B$5)+1)/(('Decision Queue_Bak'!$B$5:$B$108&lt;&gt;"")*('Decision Queue_Bak'!$W$5:$W$108="ACTIVE")),12)),IF(OR(_xlpm.x=0,_xlpm.x="0",_xlpm.x="N/A"),"",_xlpm.x)),"")</f>
        <v/>
      </c>
      <c r="G29" s="166" t="str">
        <f t="array" ref="G29">IFERROR(_xlfn.LET(_xlpm.x,INDEX('Decision Queue_Bak'!$S$5:$S$108,_xlfn.AGGREGATE(15,6,(ROW('Decision Queue_Bak'!$B$5:$B$108)-ROW('Decision Queue_Bak'!$B$5)+1)/(('Decision Queue_Bak'!$B$5:$B$108&lt;&gt;"")*('Decision Queue_Bak'!$W$5:$W$108="ACTIVE")),12)),IF(OR(_xlpm.x=0,_xlpm.x="0",_xlpm.x="N/A"),"",_xlpm.x)),"")</f>
        <v/>
      </c>
      <c r="H29" s="166" t="str">
        <f t="array" ref="H29">IFERROR(_xlfn.LET(_xlpm.x,INDEX('Decision Queue_Bak'!$O$5:$O$108,_xlfn.AGGREGATE(15,6,(ROW('Decision Queue_Bak'!$B$5:$B$108)-ROW('Decision Queue_Bak'!$B$5)+1)/(('Decision Queue_Bak'!$B$5:$B$108&lt;&gt;"")*('Decision Queue_Bak'!$W$5:$W$108="ACTIVE")),12)),IF(OR(_xlpm.x=0,_xlpm.x="0",_xlpm.x="N/A"),"",_xlpm.x)),"")</f>
        <v/>
      </c>
      <c r="I29" s="166" t="str">
        <f t="array" ref="I29">IFERROR(_xlfn.LET(_xlpm.x,INDEX('Decision Queue_Bak'!$T$5:$T$108,_xlfn.AGGREGATE(15,6,(ROW('Decision Queue_Bak'!$B$5:$B$108)-ROW('Decision Queue_Bak'!$B$5)+1)/(('Decision Queue_Bak'!$B$5:$B$108&lt;&gt;"")*('Decision Queue_Bak'!$W$5:$W$108="ACTIVE")),12)),IF(OR(_xlpm.x=0,_xlpm.x="0",_xlpm.x="N/A"),"",_xlpm.x)),"")</f>
        <v/>
      </c>
      <c r="J29" s="166" t="str">
        <f t="array" ref="J29">IFERROR(_xlfn.LET(_xlpm.x,INDEX('Decision Queue_Bak'!$U$5:$U$108,_xlfn.AGGREGATE(15,6,(ROW('Decision Queue_Bak'!$B$5:$B$108)-ROW('Decision Queue_Bak'!$B$5)+1)/(('Decision Queue_Bak'!$B$5:$B$108&lt;&gt;"")*('Decision Queue_Bak'!$W$5:$W$108="ACTIVE")),12)),IF(OR(_xlpm.x=0,_xlpm.x="0",_xlpm.x="N/A"),"",_xlpm.x)),"")</f>
        <v/>
      </c>
      <c r="K29" s="167"/>
      <c r="L29" s="166"/>
    </row>
    <row r="30" spans="1:12">
      <c r="A30" s="171" t="str">
        <f t="array" ref="A30">IFERROR(_xlfn.LET(_xlpm.x,INDEX('Decision Queue_Bak'!$A$5:$A$108,_xlfn.AGGREGATE(15,6,(ROW('Decision Queue_Bak'!$B$5:$B$108)-ROW('Decision Queue_Bak'!$B$5)+1)/(('Decision Queue_Bak'!$B$5:$B$108&lt;&gt;"")*('Decision Queue_Bak'!$W$5:$W$108="ACTIVE")),13)),IF(OR(_xlpm.x=0,_xlpm.x="0",_xlpm.x="N/A"),"",_xlpm.x)),"")</f>
        <v/>
      </c>
      <c r="B30" s="172" t="str">
        <f t="array" ref="B30">IFERROR(_xlfn.LET(_xlpm.x,INDEX('Decision Queue_Bak'!$B$5:$B$108,_xlfn.AGGREGATE(15,6,(ROW('Decision Queue_Bak'!$B$5:$B$108)-ROW('Decision Queue_Bak'!$B$5)+1)/(('Decision Queue_Bak'!$B$5:$B$108&lt;&gt;"")*('Decision Queue_Bak'!$W$5:$W$108="ACTIVE")),13)),IF(OR(_xlpm.x=0,_xlpm.x="0",_xlpm.x="N/A"),"",_xlpm.x)),"")</f>
        <v/>
      </c>
      <c r="C30" s="172" t="str">
        <f t="array" ref="C30">IFERROR(_xlfn.LET(_xlpm.x,INDEX('Decision Queue_Bak'!$D$5:$D$108,_xlfn.AGGREGATE(15,6,(ROW('Decision Queue_Bak'!$B$5:$B$108)-ROW('Decision Queue_Bak'!$B$5)+1)/(('Decision Queue_Bak'!$B$5:$B$108&lt;&gt;"")*('Decision Queue_Bak'!$W$5:$W$108="ACTIVE")),13)),IF(OR(_xlpm.x=0,_xlpm.x="0",_xlpm.x="N/A"),"",_xlpm.x)),"")</f>
        <v/>
      </c>
      <c r="D30" s="173" t="str">
        <f t="array" ref="D30">IFERROR(_xlfn.LET(_xlpm.x,INDEX('Decision Queue_Bak'!$E$5:$E$108,_xlfn.AGGREGATE(15,6,(ROW('Decision Queue_Bak'!$B$5:$B$108)-ROW('Decision Queue_Bak'!$B$5)+1)/(('Decision Queue_Bak'!$B$5:$B$108&lt;&gt;"")*('Decision Queue_Bak'!$W$5:$W$108="ACTIVE")),13)),IF(OR(_xlpm.x=0,_xlpm.x="0",_xlpm.x="N/A"),"",_xlpm.x)),"")</f>
        <v/>
      </c>
      <c r="E30" s="172" t="str">
        <f t="array" ref="E30">IFERROR(_xlfn.LET(_xlpm.x,INDEX('Decision Queue_Bak'!$G$5:$G$108,_xlfn.AGGREGATE(15,6,(ROW('Decision Queue_Bak'!$B$5:$B$108)-ROW('Decision Queue_Bak'!$B$5)+1)/(('Decision Queue_Bak'!$B$5:$B$108&lt;&gt;"")*('Decision Queue_Bak'!$W$5:$W$108="ACTIVE")),13)),IF(OR(_xlpm.x=0,_xlpm.x="0",_xlpm.x="N/A"),"",_xlpm.x)),"")</f>
        <v/>
      </c>
      <c r="F30" s="174" t="str">
        <f t="array" ref="F30">IFERROR(_xlfn.LET(_xlpm.x,INDEX('Decision Queue_Bak'!$H$5:$H$108,_xlfn.AGGREGATE(15,6,(ROW('Decision Queue_Bak'!$B$5:$B$108)-ROW('Decision Queue_Bak'!$B$5)+1)/(('Decision Queue_Bak'!$B$5:$B$108&lt;&gt;"")*('Decision Queue_Bak'!$W$5:$W$108="ACTIVE")),13)),IF(OR(_xlpm.x=0,_xlpm.x="0",_xlpm.x="N/A"),"",_xlpm.x)),"")</f>
        <v/>
      </c>
      <c r="G30" s="174" t="str">
        <f t="array" ref="G30">IFERROR(_xlfn.LET(_xlpm.x,INDEX('Decision Queue_Bak'!$K$5:$K$108,_xlfn.AGGREGATE(15,6,(ROW('Decision Queue_Bak'!$B$5:$B$108)-ROW('Decision Queue_Bak'!$B$5)+1)/(('Decision Queue_Bak'!$B$5:$B$108&lt;&gt;"")*('Decision Queue_Bak'!$W$5:$W$108="ACTIVE")),13)),IF(OR(_xlpm.x=0,_xlpm.x="0",_xlpm.x="N/A"),"",_xlpm.x)),"")</f>
        <v/>
      </c>
      <c r="H30" s="174" t="str">
        <f t="array" ref="H30">IFERROR(_xlfn.LET(_xlpm.x,INDEX('Decision Queue_Bak'!$J$5:$J$108,_xlfn.AGGREGATE(15,6,(ROW('Decision Queue_Bak'!$B$5:$B$108)-ROW('Decision Queue_Bak'!$B$5)+1)/(('Decision Queue_Bak'!$B$5:$B$108&lt;&gt;"")*('Decision Queue_Bak'!$W$5:$W$108="ACTIVE")),13)),IF(OR(_xlpm.x=0,_xlpm.x="0",_xlpm.x="N/A"),"",_xlpm.x)),"")</f>
        <v/>
      </c>
      <c r="I30" s="174" t="str">
        <f t="array" ref="I30">IFERROR(_xlfn.LET(_xlpm.x,INDEX('Decision Queue_Bak'!$I$5:$I$108,_xlfn.AGGREGATE(15,6,(ROW('Decision Queue_Bak'!$B$5:$B$108)-ROW('Decision Queue_Bak'!$B$5)+1)/(('Decision Queue_Bak'!$B$5:$B$108&lt;&gt;"")*('Decision Queue_Bak'!$W$5:$W$108="ACTIVE")),13)),IF(OR(_xlpm.x=0,_xlpm.x="0",_xlpm.x="N/A"),"",_xlpm.x)),"")</f>
        <v/>
      </c>
      <c r="J30" s="174" t="str">
        <f t="array" ref="J30">IFERROR(_xlfn.LET(_xlpm.x,INDEX('Decision Queue_Bak'!$C$5:$C$108,_xlfn.AGGREGATE(15,6,(ROW('Decision Queue_Bak'!$B$5:$B$108)-ROW('Decision Queue_Bak'!$B$5)+1)/(('Decision Queue_Bak'!$B$5:$B$108&lt;&gt;"")*('Decision Queue_Bak'!$W$5:$W$108="ACTIVE")),13)),IF(OR(_xlpm.x=0,_xlpm.x="0",_xlpm.x="N/A"),"",_xlpm.x)),"")</f>
        <v/>
      </c>
      <c r="K30" s="173" t="str">
        <f t="array" ref="K30">IFERROR(_xlfn.LET(_xlpm.x,INDEX('Decision Queue_Bak'!$R$5:$R$108,_xlfn.AGGREGATE(15,6,(ROW('Decision Queue_Bak'!$B$5:$B$108)-ROW('Decision Queue_Bak'!$B$5)+1)/(('Decision Queue_Bak'!$B$5:$B$108&lt;&gt;"")*('Decision Queue_Bak'!$W$5:$W$108="ACTIVE")),13)),IF(OR(_xlpm.x=0,_xlpm.x="0",_xlpm.x="N/A"),"",_xlpm.x)),"")</f>
        <v/>
      </c>
      <c r="L30" s="174" t="str">
        <f t="array" ref="L30">IFERROR(_xlfn.LET(_xlpm.x,INDEX('Decision Queue_Bak'!$P$5:$P$108,_xlfn.AGGREGATE(15,6,(ROW('Decision Queue_Bak'!$B$5:$B$108)-ROW('Decision Queue_Bak'!$B$5)+1)/(('Decision Queue_Bak'!$B$5:$B$108&lt;&gt;"")*('Decision Queue_Bak'!$W$5:$W$108="ACTIVE")),13)),IF(OR(_xlpm.x=0,_xlpm.x="0",_xlpm.x="N/A"),"",_xlpm.x)),"")</f>
        <v/>
      </c>
    </row>
    <row r="31" spans="1:12">
      <c r="A31" s="99" t="str">
        <f>IF(A30="","",A30&amp;" cont.")</f>
        <v/>
      </c>
      <c r="B31" s="175" t="str">
        <f t="array" ref="B31">IFERROR(_xlfn.LET(_xlpm.x,INDEX('Decision Queue_Bak'!$F$5:$F$108,_xlfn.AGGREGATE(15,6,(ROW('Decision Queue_Bak'!$B$5:$B$108)-ROW('Decision Queue_Bak'!$B$5)+1)/(('Decision Queue_Bak'!$B$5:$B$108&lt;&gt;"")*('Decision Queue_Bak'!$W$5:$W$108="ACTIVE")),13)),IF(OR(_xlpm.x=0,_xlpm.x="0",_xlpm.x="N/A"),"",_xlpm.x)),"")</f>
        <v/>
      </c>
      <c r="C31" s="175" t="str">
        <f t="array" ref="C31">IFERROR(_xlfn.LET(_xlpm.x,INDEX('Decision Queue_Bak'!$Q$5:$Q$108,_xlfn.AGGREGATE(15,6,(ROW('Decision Queue_Bak'!$B$5:$B$108)-ROW('Decision Queue_Bak'!$B$5)+1)/(('Decision Queue_Bak'!$B$5:$B$108&lt;&gt;"")*('Decision Queue_Bak'!$W$5:$W$108="ACTIVE")),13)),IF(OR(_xlpm.x=0,_xlpm.x="0",_xlpm.x="N/A"),"",_xlpm.x)),"")</f>
        <v/>
      </c>
      <c r="D31" s="176" t="str">
        <f t="array" ref="D31">IFERROR(_xlfn.LET(_xlpm.x,INDEX('Decision Queue_Bak'!$M$5:$M$108,_xlfn.AGGREGATE(15,6,(ROW('Decision Queue_Bak'!$B$5:$B$108)-ROW('Decision Queue_Bak'!$B$5)+1)/(('Decision Queue_Bak'!$B$5:$B$108&lt;&gt;"")*('Decision Queue_Bak'!$W$5:$W$108="ACTIVE")),13)),IF(OR(_xlpm.x=0,_xlpm.x="0",_xlpm.x="N/A"),"",_xlpm.x)),"")</f>
        <v/>
      </c>
      <c r="E31" s="175" t="str">
        <f t="array" ref="E31">IFERROR(_xlfn.LET(_xlpm.x,INDEX('Decision Queue_Bak'!$N$5:$N$108,_xlfn.AGGREGATE(15,6,(ROW('Decision Queue_Bak'!$B$5:$B$108)-ROW('Decision Queue_Bak'!$B$5)+1)/(('Decision Queue_Bak'!$B$5:$B$108&lt;&gt;"")*('Decision Queue_Bak'!$W$5:$W$108="ACTIVE")),13)),IF(OR(_xlpm.x=0,_xlpm.x="0",_xlpm.x="N/A"),"",_xlpm.x)),"")</f>
        <v/>
      </c>
      <c r="F31" s="175" t="str">
        <f t="array" ref="F31">IFERROR(_xlfn.LET(_xlpm.x,INDEX('Decision Queue_Bak'!$L$5:$L$108,_xlfn.AGGREGATE(15,6,(ROW('Decision Queue_Bak'!$B$5:$B$108)-ROW('Decision Queue_Bak'!$B$5)+1)/(('Decision Queue_Bak'!$B$5:$B$108&lt;&gt;"")*('Decision Queue_Bak'!$W$5:$W$108="ACTIVE")),13)),IF(OR(_xlpm.x=0,_xlpm.x="0",_xlpm.x="N/A"),"",_xlpm.x)),"")</f>
        <v/>
      </c>
      <c r="G31" s="175" t="str">
        <f t="array" ref="G31">IFERROR(_xlfn.LET(_xlpm.x,INDEX('Decision Queue_Bak'!$S$5:$S$108,_xlfn.AGGREGATE(15,6,(ROW('Decision Queue_Bak'!$B$5:$B$108)-ROW('Decision Queue_Bak'!$B$5)+1)/(('Decision Queue_Bak'!$B$5:$B$108&lt;&gt;"")*('Decision Queue_Bak'!$W$5:$W$108="ACTIVE")),13)),IF(OR(_xlpm.x=0,_xlpm.x="0",_xlpm.x="N/A"),"",_xlpm.x)),"")</f>
        <v/>
      </c>
      <c r="H31" s="175" t="str">
        <f t="array" ref="H31">IFERROR(_xlfn.LET(_xlpm.x,INDEX('Decision Queue_Bak'!$O$5:$O$108,_xlfn.AGGREGATE(15,6,(ROW('Decision Queue_Bak'!$B$5:$B$108)-ROW('Decision Queue_Bak'!$B$5)+1)/(('Decision Queue_Bak'!$B$5:$B$108&lt;&gt;"")*('Decision Queue_Bak'!$W$5:$W$108="ACTIVE")),13)),IF(OR(_xlpm.x=0,_xlpm.x="0",_xlpm.x="N/A"),"",_xlpm.x)),"")</f>
        <v/>
      </c>
      <c r="I31" s="175" t="str">
        <f t="array" ref="I31">IFERROR(_xlfn.LET(_xlpm.x,INDEX('Decision Queue_Bak'!$T$5:$T$108,_xlfn.AGGREGATE(15,6,(ROW('Decision Queue_Bak'!$B$5:$B$108)-ROW('Decision Queue_Bak'!$B$5)+1)/(('Decision Queue_Bak'!$B$5:$B$108&lt;&gt;"")*('Decision Queue_Bak'!$W$5:$W$108="ACTIVE")),13)),IF(OR(_xlpm.x=0,_xlpm.x="0",_xlpm.x="N/A"),"",_xlpm.x)),"")</f>
        <v/>
      </c>
      <c r="J31" s="175" t="str">
        <f t="array" ref="J31">IFERROR(_xlfn.LET(_xlpm.x,INDEX('Decision Queue_Bak'!$U$5:$U$108,_xlfn.AGGREGATE(15,6,(ROW('Decision Queue_Bak'!$B$5:$B$108)-ROW('Decision Queue_Bak'!$B$5)+1)/(('Decision Queue_Bak'!$B$5:$B$108&lt;&gt;"")*('Decision Queue_Bak'!$W$5:$W$108="ACTIVE")),13)),IF(OR(_xlpm.x=0,_xlpm.x="0",_xlpm.x="N/A"),"",_xlpm.x)),"")</f>
        <v/>
      </c>
      <c r="K31" s="176"/>
      <c r="L31" s="175"/>
    </row>
    <row r="32" spans="1:12">
      <c r="A32" s="177" t="str">
        <f t="array" ref="A32">IFERROR(_xlfn.LET(_xlpm.x,INDEX('Decision Queue_Bak'!$A$5:$A$108,_xlfn.AGGREGATE(15,6,(ROW('Decision Queue_Bak'!$B$5:$B$108)-ROW('Decision Queue_Bak'!$B$5)+1)/(('Decision Queue_Bak'!$B$5:$B$108&lt;&gt;"")*('Decision Queue_Bak'!$W$5:$W$108="ACTIVE")),14)),IF(OR(_xlpm.x=0,_xlpm.x="0",_xlpm.x="N/A"),"",_xlpm.x)),"")</f>
        <v/>
      </c>
      <c r="B32" s="178" t="str">
        <f t="array" ref="B32">IFERROR(_xlfn.LET(_xlpm.x,INDEX('Decision Queue_Bak'!$B$5:$B$108,_xlfn.AGGREGATE(15,6,(ROW('Decision Queue_Bak'!$B$5:$B$108)-ROW('Decision Queue_Bak'!$B$5)+1)/(('Decision Queue_Bak'!$B$5:$B$108&lt;&gt;"")*('Decision Queue_Bak'!$W$5:$W$108="ACTIVE")),14)),IF(OR(_xlpm.x=0,_xlpm.x="0",_xlpm.x="N/A"),"",_xlpm.x)),"")</f>
        <v/>
      </c>
      <c r="C32" s="178" t="str">
        <f t="array" ref="C32">IFERROR(_xlfn.LET(_xlpm.x,INDEX('Decision Queue_Bak'!$D$5:$D$108,_xlfn.AGGREGATE(15,6,(ROW('Decision Queue_Bak'!$B$5:$B$108)-ROW('Decision Queue_Bak'!$B$5)+1)/(('Decision Queue_Bak'!$B$5:$B$108&lt;&gt;"")*('Decision Queue_Bak'!$W$5:$W$108="ACTIVE")),14)),IF(OR(_xlpm.x=0,_xlpm.x="0",_xlpm.x="N/A"),"",_xlpm.x)),"")</f>
        <v/>
      </c>
      <c r="D32" s="179" t="str">
        <f t="array" ref="D32">IFERROR(_xlfn.LET(_xlpm.x,INDEX('Decision Queue_Bak'!$E$5:$E$108,_xlfn.AGGREGATE(15,6,(ROW('Decision Queue_Bak'!$B$5:$B$108)-ROW('Decision Queue_Bak'!$B$5)+1)/(('Decision Queue_Bak'!$B$5:$B$108&lt;&gt;"")*('Decision Queue_Bak'!$W$5:$W$108="ACTIVE")),14)),IF(OR(_xlpm.x=0,_xlpm.x="0",_xlpm.x="N/A"),"",_xlpm.x)),"")</f>
        <v/>
      </c>
      <c r="E32" s="178" t="str">
        <f t="array" ref="E32">IFERROR(_xlfn.LET(_xlpm.x,INDEX('Decision Queue_Bak'!$G$5:$G$108,_xlfn.AGGREGATE(15,6,(ROW('Decision Queue_Bak'!$B$5:$B$108)-ROW('Decision Queue_Bak'!$B$5)+1)/(('Decision Queue_Bak'!$B$5:$B$108&lt;&gt;"")*('Decision Queue_Bak'!$W$5:$W$108="ACTIVE")),14)),IF(OR(_xlpm.x=0,_xlpm.x="0",_xlpm.x="N/A"),"",_xlpm.x)),"")</f>
        <v/>
      </c>
      <c r="F32" s="180" t="str">
        <f t="array" ref="F32">IFERROR(_xlfn.LET(_xlpm.x,INDEX('Decision Queue_Bak'!$H$5:$H$108,_xlfn.AGGREGATE(15,6,(ROW('Decision Queue_Bak'!$B$5:$B$108)-ROW('Decision Queue_Bak'!$B$5)+1)/(('Decision Queue_Bak'!$B$5:$B$108&lt;&gt;"")*('Decision Queue_Bak'!$W$5:$W$108="ACTIVE")),14)),IF(OR(_xlpm.x=0,_xlpm.x="0",_xlpm.x="N/A"),"",_xlpm.x)),"")</f>
        <v/>
      </c>
      <c r="G32" s="180" t="str">
        <f t="array" ref="G32">IFERROR(_xlfn.LET(_xlpm.x,INDEX('Decision Queue_Bak'!$K$5:$K$108,_xlfn.AGGREGATE(15,6,(ROW('Decision Queue_Bak'!$B$5:$B$108)-ROW('Decision Queue_Bak'!$B$5)+1)/(('Decision Queue_Bak'!$B$5:$B$108&lt;&gt;"")*('Decision Queue_Bak'!$W$5:$W$108="ACTIVE")),14)),IF(OR(_xlpm.x=0,_xlpm.x="0",_xlpm.x="N/A"),"",_xlpm.x)),"")</f>
        <v/>
      </c>
      <c r="H32" s="180" t="str">
        <f t="array" ref="H32">IFERROR(_xlfn.LET(_xlpm.x,INDEX('Decision Queue_Bak'!$J$5:$J$108,_xlfn.AGGREGATE(15,6,(ROW('Decision Queue_Bak'!$B$5:$B$108)-ROW('Decision Queue_Bak'!$B$5)+1)/(('Decision Queue_Bak'!$B$5:$B$108&lt;&gt;"")*('Decision Queue_Bak'!$W$5:$W$108="ACTIVE")),14)),IF(OR(_xlpm.x=0,_xlpm.x="0",_xlpm.x="N/A"),"",_xlpm.x)),"")</f>
        <v/>
      </c>
      <c r="I32" s="180" t="str">
        <f t="array" ref="I32">IFERROR(_xlfn.LET(_xlpm.x,INDEX('Decision Queue_Bak'!$I$5:$I$108,_xlfn.AGGREGATE(15,6,(ROW('Decision Queue_Bak'!$B$5:$B$108)-ROW('Decision Queue_Bak'!$B$5)+1)/(('Decision Queue_Bak'!$B$5:$B$108&lt;&gt;"")*('Decision Queue_Bak'!$W$5:$W$108="ACTIVE")),14)),IF(OR(_xlpm.x=0,_xlpm.x="0",_xlpm.x="N/A"),"",_xlpm.x)),"")</f>
        <v/>
      </c>
      <c r="J32" s="180" t="str">
        <f t="array" ref="J32">IFERROR(_xlfn.LET(_xlpm.x,INDEX('Decision Queue_Bak'!$C$5:$C$108,_xlfn.AGGREGATE(15,6,(ROW('Decision Queue_Bak'!$B$5:$B$108)-ROW('Decision Queue_Bak'!$B$5)+1)/(('Decision Queue_Bak'!$B$5:$B$108&lt;&gt;"")*('Decision Queue_Bak'!$W$5:$W$108="ACTIVE")),14)),IF(OR(_xlpm.x=0,_xlpm.x="0",_xlpm.x="N/A"),"",_xlpm.x)),"")</f>
        <v/>
      </c>
      <c r="K32" s="179" t="str">
        <f t="array" ref="K32">IFERROR(_xlfn.LET(_xlpm.x,INDEX('Decision Queue_Bak'!$R$5:$R$108,_xlfn.AGGREGATE(15,6,(ROW('Decision Queue_Bak'!$B$5:$B$108)-ROW('Decision Queue_Bak'!$B$5)+1)/(('Decision Queue_Bak'!$B$5:$B$108&lt;&gt;"")*('Decision Queue_Bak'!$W$5:$W$108="ACTIVE")),14)),IF(OR(_xlpm.x=0,_xlpm.x="0",_xlpm.x="N/A"),"",_xlpm.x)),"")</f>
        <v/>
      </c>
      <c r="L32" s="180" t="str">
        <f t="array" ref="L32">IFERROR(_xlfn.LET(_xlpm.x,INDEX('Decision Queue_Bak'!$P$5:$P$108,_xlfn.AGGREGATE(15,6,(ROW('Decision Queue_Bak'!$B$5:$B$108)-ROW('Decision Queue_Bak'!$B$5)+1)/(('Decision Queue_Bak'!$B$5:$B$108&lt;&gt;"")*('Decision Queue_Bak'!$W$5:$W$108="ACTIVE")),14)),IF(OR(_xlpm.x=0,_xlpm.x="0",_xlpm.x="N/A"),"",_xlpm.x)),"")</f>
        <v/>
      </c>
    </row>
    <row r="33" spans="1:12">
      <c r="A33" s="100" t="str">
        <f>IF(A32="","",A32&amp;" cont.")</f>
        <v/>
      </c>
      <c r="B33" s="181" t="str">
        <f t="array" ref="B33">IFERROR(_xlfn.LET(_xlpm.x,INDEX('Decision Queue_Bak'!$F$5:$F$108,_xlfn.AGGREGATE(15,6,(ROW('Decision Queue_Bak'!$B$5:$B$108)-ROW('Decision Queue_Bak'!$B$5)+1)/(('Decision Queue_Bak'!$B$5:$B$108&lt;&gt;"")*('Decision Queue_Bak'!$W$5:$W$108="ACTIVE")),14)),IF(OR(_xlpm.x=0,_xlpm.x="0",_xlpm.x="N/A"),"",_xlpm.x)),"")</f>
        <v/>
      </c>
      <c r="C33" s="181" t="str">
        <f t="array" ref="C33">IFERROR(_xlfn.LET(_xlpm.x,INDEX('Decision Queue_Bak'!$Q$5:$Q$108,_xlfn.AGGREGATE(15,6,(ROW('Decision Queue_Bak'!$B$5:$B$108)-ROW('Decision Queue_Bak'!$B$5)+1)/(('Decision Queue_Bak'!$B$5:$B$108&lt;&gt;"")*('Decision Queue_Bak'!$W$5:$W$108="ACTIVE")),14)),IF(OR(_xlpm.x=0,_xlpm.x="0",_xlpm.x="N/A"),"",_xlpm.x)),"")</f>
        <v/>
      </c>
      <c r="D33" s="182" t="str">
        <f t="array" ref="D33">IFERROR(_xlfn.LET(_xlpm.x,INDEX('Decision Queue_Bak'!$M$5:$M$108,_xlfn.AGGREGATE(15,6,(ROW('Decision Queue_Bak'!$B$5:$B$108)-ROW('Decision Queue_Bak'!$B$5)+1)/(('Decision Queue_Bak'!$B$5:$B$108&lt;&gt;"")*('Decision Queue_Bak'!$W$5:$W$108="ACTIVE")),14)),IF(OR(_xlpm.x=0,_xlpm.x="0",_xlpm.x="N/A"),"",_xlpm.x)),"")</f>
        <v/>
      </c>
      <c r="E33" s="181" t="str">
        <f t="array" ref="E33">IFERROR(_xlfn.LET(_xlpm.x,INDEX('Decision Queue_Bak'!$N$5:$N$108,_xlfn.AGGREGATE(15,6,(ROW('Decision Queue_Bak'!$B$5:$B$108)-ROW('Decision Queue_Bak'!$B$5)+1)/(('Decision Queue_Bak'!$B$5:$B$108&lt;&gt;"")*('Decision Queue_Bak'!$W$5:$W$108="ACTIVE")),14)),IF(OR(_xlpm.x=0,_xlpm.x="0",_xlpm.x="N/A"),"",_xlpm.x)),"")</f>
        <v/>
      </c>
      <c r="F33" s="181" t="str">
        <f t="array" ref="F33">IFERROR(_xlfn.LET(_xlpm.x,INDEX('Decision Queue_Bak'!$L$5:$L$108,_xlfn.AGGREGATE(15,6,(ROW('Decision Queue_Bak'!$B$5:$B$108)-ROW('Decision Queue_Bak'!$B$5)+1)/(('Decision Queue_Bak'!$B$5:$B$108&lt;&gt;"")*('Decision Queue_Bak'!$W$5:$W$108="ACTIVE")),14)),IF(OR(_xlpm.x=0,_xlpm.x="0",_xlpm.x="N/A"),"",_xlpm.x)),"")</f>
        <v/>
      </c>
      <c r="G33" s="181" t="str">
        <f t="array" ref="G33">IFERROR(_xlfn.LET(_xlpm.x,INDEX('Decision Queue_Bak'!$S$5:$S$108,_xlfn.AGGREGATE(15,6,(ROW('Decision Queue_Bak'!$B$5:$B$108)-ROW('Decision Queue_Bak'!$B$5)+1)/(('Decision Queue_Bak'!$B$5:$B$108&lt;&gt;"")*('Decision Queue_Bak'!$W$5:$W$108="ACTIVE")),14)),IF(OR(_xlpm.x=0,_xlpm.x="0",_xlpm.x="N/A"),"",_xlpm.x)),"")</f>
        <v/>
      </c>
      <c r="H33" s="181" t="str">
        <f t="array" ref="H33">IFERROR(_xlfn.LET(_xlpm.x,INDEX('Decision Queue_Bak'!$O$5:$O$108,_xlfn.AGGREGATE(15,6,(ROW('Decision Queue_Bak'!$B$5:$B$108)-ROW('Decision Queue_Bak'!$B$5)+1)/(('Decision Queue_Bak'!$B$5:$B$108&lt;&gt;"")*('Decision Queue_Bak'!$W$5:$W$108="ACTIVE")),14)),IF(OR(_xlpm.x=0,_xlpm.x="0",_xlpm.x="N/A"),"",_xlpm.x)),"")</f>
        <v/>
      </c>
      <c r="I33" s="181" t="str">
        <f t="array" ref="I33">IFERROR(_xlfn.LET(_xlpm.x,INDEX('Decision Queue_Bak'!$T$5:$T$108,_xlfn.AGGREGATE(15,6,(ROW('Decision Queue_Bak'!$B$5:$B$108)-ROW('Decision Queue_Bak'!$B$5)+1)/(('Decision Queue_Bak'!$B$5:$B$108&lt;&gt;"")*('Decision Queue_Bak'!$W$5:$W$108="ACTIVE")),14)),IF(OR(_xlpm.x=0,_xlpm.x="0",_xlpm.x="N/A"),"",_xlpm.x)),"")</f>
        <v/>
      </c>
      <c r="J33" s="181" t="str">
        <f t="array" ref="J33">IFERROR(_xlfn.LET(_xlpm.x,INDEX('Decision Queue_Bak'!$U$5:$U$108,_xlfn.AGGREGATE(15,6,(ROW('Decision Queue_Bak'!$B$5:$B$108)-ROW('Decision Queue_Bak'!$B$5)+1)/(('Decision Queue_Bak'!$B$5:$B$108&lt;&gt;"")*('Decision Queue_Bak'!$W$5:$W$108="ACTIVE")),14)),IF(OR(_xlpm.x=0,_xlpm.x="0",_xlpm.x="N/A"),"",_xlpm.x)),"")</f>
        <v/>
      </c>
      <c r="K33" s="182"/>
      <c r="L33" s="181"/>
    </row>
    <row r="34" spans="1:12">
      <c r="A34" s="177" t="str">
        <f t="array" ref="A34">IFERROR(_xlfn.LET(_xlpm.x,INDEX('Decision Queue_Bak'!$A$5:$A$108,_xlfn.AGGREGATE(15,6,(ROW('Decision Queue_Bak'!$B$5:$B$108)-ROW('Decision Queue_Bak'!$B$5)+1)/(('Decision Queue_Bak'!$B$5:$B$108&lt;&gt;"")*('Decision Queue_Bak'!$W$5:$W$108="ACTIVE")),15)),IF(OR(_xlpm.x=0,_xlpm.x="0",_xlpm.x="N/A"),"",_xlpm.x)),"")</f>
        <v/>
      </c>
      <c r="B34" s="172" t="str">
        <f t="array" ref="B34">IFERROR(_xlfn.LET(_xlpm.x,INDEX('Decision Queue_Bak'!$B$5:$B$108,_xlfn.AGGREGATE(15,6,(ROW('Decision Queue_Bak'!$B$5:$B$108)-ROW('Decision Queue_Bak'!$B$5)+1)/(('Decision Queue_Bak'!$B$5:$B$108&lt;&gt;"")*('Decision Queue_Bak'!$W$5:$W$108="ACTIVE")),15)),IF(OR(_xlpm.x=0,_xlpm.x="0",_xlpm.x="N/A"),"",_xlpm.x)),"")</f>
        <v/>
      </c>
      <c r="C34" s="172" t="str">
        <f t="array" ref="C34">IFERROR(_xlfn.LET(_xlpm.x,INDEX('Decision Queue_Bak'!$D$5:$D$108,_xlfn.AGGREGATE(15,6,(ROW('Decision Queue_Bak'!$B$5:$B$108)-ROW('Decision Queue_Bak'!$B$5)+1)/(('Decision Queue_Bak'!$B$5:$B$108&lt;&gt;"")*('Decision Queue_Bak'!$W$5:$W$108="ACTIVE")),15)),IF(OR(_xlpm.x=0,_xlpm.x="0",_xlpm.x="N/A"),"",_xlpm.x)),"")</f>
        <v/>
      </c>
      <c r="D34" s="173" t="str">
        <f t="array" ref="D34">IFERROR(_xlfn.LET(_xlpm.x,INDEX('Decision Queue_Bak'!$E$5:$E$108,_xlfn.AGGREGATE(15,6,(ROW('Decision Queue_Bak'!$B$5:$B$108)-ROW('Decision Queue_Bak'!$B$5)+1)/(('Decision Queue_Bak'!$B$5:$B$108&lt;&gt;"")*('Decision Queue_Bak'!$W$5:$W$108="ACTIVE")),15)),IF(OR(_xlpm.x=0,_xlpm.x="0",_xlpm.x="N/A"),"",_xlpm.x)),"")</f>
        <v/>
      </c>
      <c r="E34" s="172" t="str">
        <f t="array" ref="E34">IFERROR(_xlfn.LET(_xlpm.x,INDEX('Decision Queue_Bak'!$G$5:$G$108,_xlfn.AGGREGATE(15,6,(ROW('Decision Queue_Bak'!$B$5:$B$108)-ROW('Decision Queue_Bak'!$B$5)+1)/(('Decision Queue_Bak'!$B$5:$B$108&lt;&gt;"")*('Decision Queue_Bak'!$W$5:$W$108="ACTIVE")),15)),IF(OR(_xlpm.x=0,_xlpm.x="0",_xlpm.x="N/A"),"",_xlpm.x)),"")</f>
        <v/>
      </c>
      <c r="F34" s="174" t="str">
        <f t="array" ref="F34">IFERROR(_xlfn.LET(_xlpm.x,INDEX('Decision Queue_Bak'!$H$5:$H$108,_xlfn.AGGREGATE(15,6,(ROW('Decision Queue_Bak'!$B$5:$B$108)-ROW('Decision Queue_Bak'!$B$5)+1)/(('Decision Queue_Bak'!$B$5:$B$108&lt;&gt;"")*('Decision Queue_Bak'!$W$5:$W$108="ACTIVE")),15)),IF(OR(_xlpm.x=0,_xlpm.x="0",_xlpm.x="N/A"),"",_xlpm.x)),"")</f>
        <v/>
      </c>
      <c r="G34" s="174" t="str">
        <f t="array" ref="G34">IFERROR(_xlfn.LET(_xlpm.x,INDEX('Decision Queue_Bak'!$K$5:$K$108,_xlfn.AGGREGATE(15,6,(ROW('Decision Queue_Bak'!$B$5:$B$108)-ROW('Decision Queue_Bak'!$B$5)+1)/(('Decision Queue_Bak'!$B$5:$B$108&lt;&gt;"")*('Decision Queue_Bak'!$W$5:$W$108="ACTIVE")),15)),IF(OR(_xlpm.x=0,_xlpm.x="0",_xlpm.x="N/A"),"",_xlpm.x)),"")</f>
        <v/>
      </c>
      <c r="H34" s="174" t="str">
        <f t="array" ref="H34">IFERROR(_xlfn.LET(_xlpm.x,INDEX('Decision Queue_Bak'!$J$5:$J$108,_xlfn.AGGREGATE(15,6,(ROW('Decision Queue_Bak'!$B$5:$B$108)-ROW('Decision Queue_Bak'!$B$5)+1)/(('Decision Queue_Bak'!$B$5:$B$108&lt;&gt;"")*('Decision Queue_Bak'!$W$5:$W$108="ACTIVE")),15)),IF(OR(_xlpm.x=0,_xlpm.x="0",_xlpm.x="N/A"),"",_xlpm.x)),"")</f>
        <v/>
      </c>
      <c r="I34" s="174" t="str">
        <f t="array" ref="I34">IFERROR(_xlfn.LET(_xlpm.x,INDEX('Decision Queue_Bak'!$I$5:$I$108,_xlfn.AGGREGATE(15,6,(ROW('Decision Queue_Bak'!$B$5:$B$108)-ROW('Decision Queue_Bak'!$B$5)+1)/(('Decision Queue_Bak'!$B$5:$B$108&lt;&gt;"")*('Decision Queue_Bak'!$W$5:$W$108="ACTIVE")),15)),IF(OR(_xlpm.x=0,_xlpm.x="0",_xlpm.x="N/A"),"",_xlpm.x)),"")</f>
        <v/>
      </c>
      <c r="J34" s="174" t="str">
        <f t="array" ref="J34">IFERROR(_xlfn.LET(_xlpm.x,INDEX('Decision Queue_Bak'!$C$5:$C$108,_xlfn.AGGREGATE(15,6,(ROW('Decision Queue_Bak'!$B$5:$B$108)-ROW('Decision Queue_Bak'!$B$5)+1)/(('Decision Queue_Bak'!$B$5:$B$108&lt;&gt;"")*('Decision Queue_Bak'!$W$5:$W$108="ACTIVE")),15)),IF(OR(_xlpm.x=0,_xlpm.x="0",_xlpm.x="N/A"),"",_xlpm.x)),"")</f>
        <v/>
      </c>
      <c r="K34" s="173" t="str">
        <f t="array" ref="K34">IFERROR(_xlfn.LET(_xlpm.x,INDEX('Decision Queue_Bak'!$R$5:$R$108,_xlfn.AGGREGATE(15,6,(ROW('Decision Queue_Bak'!$B$5:$B$108)-ROW('Decision Queue_Bak'!$B$5)+1)/(('Decision Queue_Bak'!$B$5:$B$108&lt;&gt;"")*('Decision Queue_Bak'!$W$5:$W$108="ACTIVE")),15)),IF(OR(_xlpm.x=0,_xlpm.x="0",_xlpm.x="N/A"),"",_xlpm.x)),"")</f>
        <v/>
      </c>
      <c r="L34" s="174" t="str">
        <f t="array" ref="L34">IFERROR(_xlfn.LET(_xlpm.x,INDEX('Decision Queue_Bak'!$P$5:$P$108,_xlfn.AGGREGATE(15,6,(ROW('Decision Queue_Bak'!$B$5:$B$108)-ROW('Decision Queue_Bak'!$B$5)+1)/(('Decision Queue_Bak'!$B$5:$B$108&lt;&gt;"")*('Decision Queue_Bak'!$W$5:$W$108="ACTIVE")),15)),IF(OR(_xlpm.x=0,_xlpm.x="0",_xlpm.x="N/A"),"",_xlpm.x)),"")</f>
        <v/>
      </c>
    </row>
    <row r="35" spans="1:12">
      <c r="A35" s="99" t="str">
        <f>IF(A34="","",A34&amp;" cont.")</f>
        <v/>
      </c>
      <c r="B35" s="175" t="str">
        <f t="array" ref="B35">IFERROR(_xlfn.LET(_xlpm.x,INDEX('Decision Queue_Bak'!$F$5:$F$108,_xlfn.AGGREGATE(15,6,(ROW('Decision Queue_Bak'!$B$5:$B$108)-ROW('Decision Queue_Bak'!$B$5)+1)/(('Decision Queue_Bak'!$B$5:$B$108&lt;&gt;"")*('Decision Queue_Bak'!$W$5:$W$108="ACTIVE")),15)),IF(OR(_xlpm.x=0,_xlpm.x="0",_xlpm.x="N/A"),"",_xlpm.x)),"")</f>
        <v/>
      </c>
      <c r="C35" s="175" t="str">
        <f t="array" ref="C35">IFERROR(_xlfn.LET(_xlpm.x,INDEX('Decision Queue_Bak'!$Q$5:$Q$108,_xlfn.AGGREGATE(15,6,(ROW('Decision Queue_Bak'!$B$5:$B$108)-ROW('Decision Queue_Bak'!$B$5)+1)/(('Decision Queue_Bak'!$B$5:$B$108&lt;&gt;"")*('Decision Queue_Bak'!$W$5:$W$108="ACTIVE")),15)),IF(OR(_xlpm.x=0,_xlpm.x="0",_xlpm.x="N/A"),"",_xlpm.x)),"")</f>
        <v/>
      </c>
      <c r="D35" s="176" t="str">
        <f t="array" ref="D35">IFERROR(_xlfn.LET(_xlpm.x,INDEX('Decision Queue_Bak'!$M$5:$M$108,_xlfn.AGGREGATE(15,6,(ROW('Decision Queue_Bak'!$B$5:$B$108)-ROW('Decision Queue_Bak'!$B$5)+1)/(('Decision Queue_Bak'!$B$5:$B$108&lt;&gt;"")*('Decision Queue_Bak'!$W$5:$W$108="ACTIVE")),15)),IF(OR(_xlpm.x=0,_xlpm.x="0",_xlpm.x="N/A"),"",_xlpm.x)),"")</f>
        <v/>
      </c>
      <c r="E35" s="175" t="str">
        <f t="array" ref="E35">IFERROR(_xlfn.LET(_xlpm.x,INDEX('Decision Queue_Bak'!$N$5:$N$108,_xlfn.AGGREGATE(15,6,(ROW('Decision Queue_Bak'!$B$5:$B$108)-ROW('Decision Queue_Bak'!$B$5)+1)/(('Decision Queue_Bak'!$B$5:$B$108&lt;&gt;"")*('Decision Queue_Bak'!$W$5:$W$108="ACTIVE")),15)),IF(OR(_xlpm.x=0,_xlpm.x="0",_xlpm.x="N/A"),"",_xlpm.x)),"")</f>
        <v/>
      </c>
      <c r="F35" s="175" t="str">
        <f t="array" ref="F35">IFERROR(_xlfn.LET(_xlpm.x,INDEX('Decision Queue_Bak'!$L$5:$L$108,_xlfn.AGGREGATE(15,6,(ROW('Decision Queue_Bak'!$B$5:$B$108)-ROW('Decision Queue_Bak'!$B$5)+1)/(('Decision Queue_Bak'!$B$5:$B$108&lt;&gt;"")*('Decision Queue_Bak'!$W$5:$W$108="ACTIVE")),15)),IF(OR(_xlpm.x=0,_xlpm.x="0",_xlpm.x="N/A"),"",_xlpm.x)),"")</f>
        <v/>
      </c>
      <c r="G35" s="175" t="str">
        <f t="array" ref="G35">IFERROR(_xlfn.LET(_xlpm.x,INDEX('Decision Queue_Bak'!$S$5:$S$108,_xlfn.AGGREGATE(15,6,(ROW('Decision Queue_Bak'!$B$5:$B$108)-ROW('Decision Queue_Bak'!$B$5)+1)/(('Decision Queue_Bak'!$B$5:$B$108&lt;&gt;"")*('Decision Queue_Bak'!$W$5:$W$108="ACTIVE")),15)),IF(OR(_xlpm.x=0,_xlpm.x="0",_xlpm.x="N/A"),"",_xlpm.x)),"")</f>
        <v/>
      </c>
      <c r="H35" s="175" t="str">
        <f t="array" ref="H35">IFERROR(_xlfn.LET(_xlpm.x,INDEX('Decision Queue_Bak'!$O$5:$O$108,_xlfn.AGGREGATE(15,6,(ROW('Decision Queue_Bak'!$B$5:$B$108)-ROW('Decision Queue_Bak'!$B$5)+1)/(('Decision Queue_Bak'!$B$5:$B$108&lt;&gt;"")*('Decision Queue_Bak'!$W$5:$W$108="ACTIVE")),15)),IF(OR(_xlpm.x=0,_xlpm.x="0",_xlpm.x="N/A"),"",_xlpm.x)),"")</f>
        <v/>
      </c>
      <c r="I35" s="175" t="str">
        <f t="array" ref="I35">IFERROR(_xlfn.LET(_xlpm.x,INDEX('Decision Queue_Bak'!$T$5:$T$108,_xlfn.AGGREGATE(15,6,(ROW('Decision Queue_Bak'!$B$5:$B$108)-ROW('Decision Queue_Bak'!$B$5)+1)/(('Decision Queue_Bak'!$B$5:$B$108&lt;&gt;"")*('Decision Queue_Bak'!$W$5:$W$108="ACTIVE")),15)),IF(OR(_xlpm.x=0,_xlpm.x="0",_xlpm.x="N/A"),"",_xlpm.x)),"")</f>
        <v/>
      </c>
      <c r="J35" s="175" t="str">
        <f t="array" ref="J35">IFERROR(_xlfn.LET(_xlpm.x,INDEX('Decision Queue_Bak'!$U$5:$U$108,_xlfn.AGGREGATE(15,6,(ROW('Decision Queue_Bak'!$B$5:$B$108)-ROW('Decision Queue_Bak'!$B$5)+1)/(('Decision Queue_Bak'!$B$5:$B$108&lt;&gt;"")*('Decision Queue_Bak'!$W$5:$W$108="ACTIVE")),15)),IF(OR(_xlpm.x=0,_xlpm.x="0",_xlpm.x="N/A"),"",_xlpm.x)),"")</f>
        <v/>
      </c>
      <c r="K35" s="176"/>
      <c r="L35" s="175"/>
    </row>
    <row r="36" spans="1:12">
      <c r="A36" s="177" t="str">
        <f t="array" ref="A36">IFERROR(_xlfn.LET(_xlpm.x,INDEX('Decision Queue_Bak'!$A$5:$A$108,_xlfn.AGGREGATE(15,6,(ROW('Decision Queue_Bak'!$B$5:$B$108)-ROW('Decision Queue_Bak'!$B$5)+1)/(('Decision Queue_Bak'!$B$5:$B$108&lt;&gt;"")*('Decision Queue_Bak'!$W$5:$W$108="ACTIVE")),16)),IF(OR(_xlpm.x=0,_xlpm.x="0",_xlpm.x="N/A"),"",_xlpm.x)),"")</f>
        <v/>
      </c>
      <c r="B36" s="178" t="str">
        <f t="array" ref="B36">IFERROR(_xlfn.LET(_xlpm.x,INDEX('Decision Queue_Bak'!$B$5:$B$108,_xlfn.AGGREGATE(15,6,(ROW('Decision Queue_Bak'!$B$5:$B$108)-ROW('Decision Queue_Bak'!$B$5)+1)/(('Decision Queue_Bak'!$B$5:$B$108&lt;&gt;"")*('Decision Queue_Bak'!$W$5:$W$108="ACTIVE")),16)),IF(OR(_xlpm.x=0,_xlpm.x="0",_xlpm.x="N/A"),"",_xlpm.x)),"")</f>
        <v/>
      </c>
      <c r="C36" s="178" t="str">
        <f t="array" ref="C36">IFERROR(_xlfn.LET(_xlpm.x,INDEX('Decision Queue_Bak'!$D$5:$D$108,_xlfn.AGGREGATE(15,6,(ROW('Decision Queue_Bak'!$B$5:$B$108)-ROW('Decision Queue_Bak'!$B$5)+1)/(('Decision Queue_Bak'!$B$5:$B$108&lt;&gt;"")*('Decision Queue_Bak'!$W$5:$W$108="ACTIVE")),16)),IF(OR(_xlpm.x=0,_xlpm.x="0",_xlpm.x="N/A"),"",_xlpm.x)),"")</f>
        <v/>
      </c>
      <c r="D36" s="179" t="str">
        <f t="array" ref="D36">IFERROR(_xlfn.LET(_xlpm.x,INDEX('Decision Queue_Bak'!$E$5:$E$108,_xlfn.AGGREGATE(15,6,(ROW('Decision Queue_Bak'!$B$5:$B$108)-ROW('Decision Queue_Bak'!$B$5)+1)/(('Decision Queue_Bak'!$B$5:$B$108&lt;&gt;"")*('Decision Queue_Bak'!$W$5:$W$108="ACTIVE")),16)),IF(OR(_xlpm.x=0,_xlpm.x="0",_xlpm.x="N/A"),"",_xlpm.x)),"")</f>
        <v/>
      </c>
      <c r="E36" s="178" t="str">
        <f t="array" ref="E36">IFERROR(_xlfn.LET(_xlpm.x,INDEX('Decision Queue_Bak'!$G$5:$G$108,_xlfn.AGGREGATE(15,6,(ROW('Decision Queue_Bak'!$B$5:$B$108)-ROW('Decision Queue_Bak'!$B$5)+1)/(('Decision Queue_Bak'!$B$5:$B$108&lt;&gt;"")*('Decision Queue_Bak'!$W$5:$W$108="ACTIVE")),16)),IF(OR(_xlpm.x=0,_xlpm.x="0",_xlpm.x="N/A"),"",_xlpm.x)),"")</f>
        <v/>
      </c>
      <c r="F36" s="180" t="str">
        <f t="array" ref="F36">IFERROR(_xlfn.LET(_xlpm.x,INDEX('Decision Queue_Bak'!$H$5:$H$108,_xlfn.AGGREGATE(15,6,(ROW('Decision Queue_Bak'!$B$5:$B$108)-ROW('Decision Queue_Bak'!$B$5)+1)/(('Decision Queue_Bak'!$B$5:$B$108&lt;&gt;"")*('Decision Queue_Bak'!$W$5:$W$108="ACTIVE")),16)),IF(OR(_xlpm.x=0,_xlpm.x="0",_xlpm.x="N/A"),"",_xlpm.x)),"")</f>
        <v/>
      </c>
      <c r="G36" s="180" t="str">
        <f t="array" ref="G36">IFERROR(_xlfn.LET(_xlpm.x,INDEX('Decision Queue_Bak'!$K$5:$K$108,_xlfn.AGGREGATE(15,6,(ROW('Decision Queue_Bak'!$B$5:$B$108)-ROW('Decision Queue_Bak'!$B$5)+1)/(('Decision Queue_Bak'!$B$5:$B$108&lt;&gt;"")*('Decision Queue_Bak'!$W$5:$W$108="ACTIVE")),16)),IF(OR(_xlpm.x=0,_xlpm.x="0",_xlpm.x="N/A"),"",_xlpm.x)),"")</f>
        <v/>
      </c>
      <c r="H36" s="180" t="str">
        <f t="array" ref="H36">IFERROR(_xlfn.LET(_xlpm.x,INDEX('Decision Queue_Bak'!$J$5:$J$108,_xlfn.AGGREGATE(15,6,(ROW('Decision Queue_Bak'!$B$5:$B$108)-ROW('Decision Queue_Bak'!$B$5)+1)/(('Decision Queue_Bak'!$B$5:$B$108&lt;&gt;"")*('Decision Queue_Bak'!$W$5:$W$108="ACTIVE")),16)),IF(OR(_xlpm.x=0,_xlpm.x="0",_xlpm.x="N/A"),"",_xlpm.x)),"")</f>
        <v/>
      </c>
      <c r="I36" s="180" t="str">
        <f t="array" ref="I36">IFERROR(_xlfn.LET(_xlpm.x,INDEX('Decision Queue_Bak'!$I$5:$I$108,_xlfn.AGGREGATE(15,6,(ROW('Decision Queue_Bak'!$B$5:$B$108)-ROW('Decision Queue_Bak'!$B$5)+1)/(('Decision Queue_Bak'!$B$5:$B$108&lt;&gt;"")*('Decision Queue_Bak'!$W$5:$W$108="ACTIVE")),16)),IF(OR(_xlpm.x=0,_xlpm.x="0",_xlpm.x="N/A"),"",_xlpm.x)),"")</f>
        <v/>
      </c>
      <c r="J36" s="180" t="str">
        <f t="array" ref="J36">IFERROR(_xlfn.LET(_xlpm.x,INDEX('Decision Queue_Bak'!$C$5:$C$108,_xlfn.AGGREGATE(15,6,(ROW('Decision Queue_Bak'!$B$5:$B$108)-ROW('Decision Queue_Bak'!$B$5)+1)/(('Decision Queue_Bak'!$B$5:$B$108&lt;&gt;"")*('Decision Queue_Bak'!$W$5:$W$108="ACTIVE")),16)),IF(OR(_xlpm.x=0,_xlpm.x="0",_xlpm.x="N/A"),"",_xlpm.x)),"")</f>
        <v/>
      </c>
      <c r="K36" s="179" t="str">
        <f t="array" ref="K36">IFERROR(_xlfn.LET(_xlpm.x,INDEX('Decision Queue_Bak'!$R$5:$R$108,_xlfn.AGGREGATE(15,6,(ROW('Decision Queue_Bak'!$B$5:$B$108)-ROW('Decision Queue_Bak'!$B$5)+1)/(('Decision Queue_Bak'!$B$5:$B$108&lt;&gt;"")*('Decision Queue_Bak'!$W$5:$W$108="ACTIVE")),16)),IF(OR(_xlpm.x=0,_xlpm.x="0",_xlpm.x="N/A"),"",_xlpm.x)),"")</f>
        <v/>
      </c>
      <c r="L36" s="180" t="str">
        <f t="array" ref="L36">IFERROR(_xlfn.LET(_xlpm.x,INDEX('Decision Queue_Bak'!$P$5:$P$108,_xlfn.AGGREGATE(15,6,(ROW('Decision Queue_Bak'!$B$5:$B$108)-ROW('Decision Queue_Bak'!$B$5)+1)/(('Decision Queue_Bak'!$B$5:$B$108&lt;&gt;"")*('Decision Queue_Bak'!$W$5:$W$108="ACTIVE")),16)),IF(OR(_xlpm.x=0,_xlpm.x="0",_xlpm.x="N/A"),"",_xlpm.x)),"")</f>
        <v/>
      </c>
    </row>
    <row r="37" spans="1:12">
      <c r="A37" s="100" t="str">
        <f>IF(A36="","",A36&amp;" cont.")</f>
        <v/>
      </c>
      <c r="B37" s="181" t="str">
        <f t="array" ref="B37">IFERROR(_xlfn.LET(_xlpm.x,INDEX('Decision Queue_Bak'!$F$5:$F$108,_xlfn.AGGREGATE(15,6,(ROW('Decision Queue_Bak'!$B$5:$B$108)-ROW('Decision Queue_Bak'!$B$5)+1)/(('Decision Queue_Bak'!$B$5:$B$108&lt;&gt;"")*('Decision Queue_Bak'!$W$5:$W$108="ACTIVE")),16)),IF(OR(_xlpm.x=0,_xlpm.x="0",_xlpm.x="N/A"),"",_xlpm.x)),"")</f>
        <v/>
      </c>
      <c r="C37" s="181" t="str">
        <f t="array" ref="C37">IFERROR(_xlfn.LET(_xlpm.x,INDEX('Decision Queue_Bak'!$Q$5:$Q$108,_xlfn.AGGREGATE(15,6,(ROW('Decision Queue_Bak'!$B$5:$B$108)-ROW('Decision Queue_Bak'!$B$5)+1)/(('Decision Queue_Bak'!$B$5:$B$108&lt;&gt;"")*('Decision Queue_Bak'!$W$5:$W$108="ACTIVE")),16)),IF(OR(_xlpm.x=0,_xlpm.x="0",_xlpm.x="N/A"),"",_xlpm.x)),"")</f>
        <v/>
      </c>
      <c r="D37" s="182" t="str">
        <f t="array" ref="D37">IFERROR(_xlfn.LET(_xlpm.x,INDEX('Decision Queue_Bak'!$M$5:$M$108,_xlfn.AGGREGATE(15,6,(ROW('Decision Queue_Bak'!$B$5:$B$108)-ROW('Decision Queue_Bak'!$B$5)+1)/(('Decision Queue_Bak'!$B$5:$B$108&lt;&gt;"")*('Decision Queue_Bak'!$W$5:$W$108="ACTIVE")),16)),IF(OR(_xlpm.x=0,_xlpm.x="0",_xlpm.x="N/A"),"",_xlpm.x)),"")</f>
        <v/>
      </c>
      <c r="E37" s="181" t="str">
        <f t="array" ref="E37">IFERROR(_xlfn.LET(_xlpm.x,INDEX('Decision Queue_Bak'!$N$5:$N$108,_xlfn.AGGREGATE(15,6,(ROW('Decision Queue_Bak'!$B$5:$B$108)-ROW('Decision Queue_Bak'!$B$5)+1)/(('Decision Queue_Bak'!$B$5:$B$108&lt;&gt;"")*('Decision Queue_Bak'!$W$5:$W$108="ACTIVE")),16)),IF(OR(_xlpm.x=0,_xlpm.x="0",_xlpm.x="N/A"),"",_xlpm.x)),"")</f>
        <v/>
      </c>
      <c r="F37" s="181" t="str">
        <f t="array" ref="F37">IFERROR(_xlfn.LET(_xlpm.x,INDEX('Decision Queue_Bak'!$L$5:$L$108,_xlfn.AGGREGATE(15,6,(ROW('Decision Queue_Bak'!$B$5:$B$108)-ROW('Decision Queue_Bak'!$B$5)+1)/(('Decision Queue_Bak'!$B$5:$B$108&lt;&gt;"")*('Decision Queue_Bak'!$W$5:$W$108="ACTIVE")),16)),IF(OR(_xlpm.x=0,_xlpm.x="0",_xlpm.x="N/A"),"",_xlpm.x)),"")</f>
        <v/>
      </c>
      <c r="G37" s="181" t="str">
        <f t="array" ref="G37">IFERROR(_xlfn.LET(_xlpm.x,INDEX('Decision Queue_Bak'!$S$5:$S$108,_xlfn.AGGREGATE(15,6,(ROW('Decision Queue_Bak'!$B$5:$B$108)-ROW('Decision Queue_Bak'!$B$5)+1)/(('Decision Queue_Bak'!$B$5:$B$108&lt;&gt;"")*('Decision Queue_Bak'!$W$5:$W$108="ACTIVE")),16)),IF(OR(_xlpm.x=0,_xlpm.x="0",_xlpm.x="N/A"),"",_xlpm.x)),"")</f>
        <v/>
      </c>
      <c r="H37" s="181" t="str">
        <f t="array" ref="H37">IFERROR(_xlfn.LET(_xlpm.x,INDEX('Decision Queue_Bak'!$O$5:$O$108,_xlfn.AGGREGATE(15,6,(ROW('Decision Queue_Bak'!$B$5:$B$108)-ROW('Decision Queue_Bak'!$B$5)+1)/(('Decision Queue_Bak'!$B$5:$B$108&lt;&gt;"")*('Decision Queue_Bak'!$W$5:$W$108="ACTIVE")),16)),IF(OR(_xlpm.x=0,_xlpm.x="0",_xlpm.x="N/A"),"",_xlpm.x)),"")</f>
        <v/>
      </c>
      <c r="I37" s="181" t="str">
        <f t="array" ref="I37">IFERROR(_xlfn.LET(_xlpm.x,INDEX('Decision Queue_Bak'!$T$5:$T$108,_xlfn.AGGREGATE(15,6,(ROW('Decision Queue_Bak'!$B$5:$B$108)-ROW('Decision Queue_Bak'!$B$5)+1)/(('Decision Queue_Bak'!$B$5:$B$108&lt;&gt;"")*('Decision Queue_Bak'!$W$5:$W$108="ACTIVE")),16)),IF(OR(_xlpm.x=0,_xlpm.x="0",_xlpm.x="N/A"),"",_xlpm.x)),"")</f>
        <v/>
      </c>
      <c r="J37" s="181" t="str">
        <f t="array" ref="J37">IFERROR(_xlfn.LET(_xlpm.x,INDEX('Decision Queue_Bak'!$U$5:$U$108,_xlfn.AGGREGATE(15,6,(ROW('Decision Queue_Bak'!$B$5:$B$108)-ROW('Decision Queue_Bak'!$B$5)+1)/(('Decision Queue_Bak'!$B$5:$B$108&lt;&gt;"")*('Decision Queue_Bak'!$W$5:$W$108="ACTIVE")),16)),IF(OR(_xlpm.x=0,_xlpm.x="0",_xlpm.x="N/A"),"",_xlpm.x)),"")</f>
        <v/>
      </c>
      <c r="K37" s="182"/>
      <c r="L37" s="181"/>
    </row>
    <row r="38" spans="1:12">
      <c r="A38" s="177" t="str">
        <f t="array" ref="A38">IFERROR(_xlfn.LET(_xlpm.x,INDEX('Decision Queue_Bak'!$A$5:$A$108,_xlfn.AGGREGATE(15,6,(ROW('Decision Queue_Bak'!$B$5:$B$108)-ROW('Decision Queue_Bak'!$B$5)+1)/(('Decision Queue_Bak'!$B$5:$B$108&lt;&gt;"")*('Decision Queue_Bak'!$W$5:$W$108="ACTIVE")),17)),IF(OR(_xlpm.x=0,_xlpm.x="0",_xlpm.x="N/A"),"",_xlpm.x)),"")</f>
        <v/>
      </c>
      <c r="B38" s="172" t="str">
        <f t="array" ref="B38">IFERROR(_xlfn.LET(_xlpm.x,INDEX('Decision Queue_Bak'!$B$5:$B$108,_xlfn.AGGREGATE(15,6,(ROW('Decision Queue_Bak'!$B$5:$B$108)-ROW('Decision Queue_Bak'!$B$5)+1)/(('Decision Queue_Bak'!$B$5:$B$108&lt;&gt;"")*('Decision Queue_Bak'!$W$5:$W$108="ACTIVE")),17)),IF(OR(_xlpm.x=0,_xlpm.x="0",_xlpm.x="N/A"),"",_xlpm.x)),"")</f>
        <v/>
      </c>
      <c r="C38" s="172" t="str">
        <f t="array" ref="C38">IFERROR(_xlfn.LET(_xlpm.x,INDEX('Decision Queue_Bak'!$D$5:$D$108,_xlfn.AGGREGATE(15,6,(ROW('Decision Queue_Bak'!$B$5:$B$108)-ROW('Decision Queue_Bak'!$B$5)+1)/(('Decision Queue_Bak'!$B$5:$B$108&lt;&gt;"")*('Decision Queue_Bak'!$W$5:$W$108="ACTIVE")),17)),IF(OR(_xlpm.x=0,_xlpm.x="0",_xlpm.x="N/A"),"",_xlpm.x)),"")</f>
        <v/>
      </c>
      <c r="D38" s="173" t="str">
        <f t="array" ref="D38">IFERROR(_xlfn.LET(_xlpm.x,INDEX('Decision Queue_Bak'!$E$5:$E$108,_xlfn.AGGREGATE(15,6,(ROW('Decision Queue_Bak'!$B$5:$B$108)-ROW('Decision Queue_Bak'!$B$5)+1)/(('Decision Queue_Bak'!$B$5:$B$108&lt;&gt;"")*('Decision Queue_Bak'!$W$5:$W$108="ACTIVE")),17)),IF(OR(_xlpm.x=0,_xlpm.x="0",_xlpm.x="N/A"),"",_xlpm.x)),"")</f>
        <v/>
      </c>
      <c r="E38" s="172" t="str">
        <f t="array" ref="E38">IFERROR(_xlfn.LET(_xlpm.x,INDEX('Decision Queue_Bak'!$G$5:$G$108,_xlfn.AGGREGATE(15,6,(ROW('Decision Queue_Bak'!$B$5:$B$108)-ROW('Decision Queue_Bak'!$B$5)+1)/(('Decision Queue_Bak'!$B$5:$B$108&lt;&gt;"")*('Decision Queue_Bak'!$W$5:$W$108="ACTIVE")),17)),IF(OR(_xlpm.x=0,_xlpm.x="0",_xlpm.x="N/A"),"",_xlpm.x)),"")</f>
        <v/>
      </c>
      <c r="F38" s="174" t="str">
        <f t="array" ref="F38">IFERROR(_xlfn.LET(_xlpm.x,INDEX('Decision Queue_Bak'!$H$5:$H$108,_xlfn.AGGREGATE(15,6,(ROW('Decision Queue_Bak'!$B$5:$B$108)-ROW('Decision Queue_Bak'!$B$5)+1)/(('Decision Queue_Bak'!$B$5:$B$108&lt;&gt;"")*('Decision Queue_Bak'!$W$5:$W$108="ACTIVE")),17)),IF(OR(_xlpm.x=0,_xlpm.x="0",_xlpm.x="N/A"),"",_xlpm.x)),"")</f>
        <v/>
      </c>
      <c r="G38" s="174" t="str">
        <f t="array" ref="G38">IFERROR(_xlfn.LET(_xlpm.x,INDEX('Decision Queue_Bak'!$K$5:$K$108,_xlfn.AGGREGATE(15,6,(ROW('Decision Queue_Bak'!$B$5:$B$108)-ROW('Decision Queue_Bak'!$B$5)+1)/(('Decision Queue_Bak'!$B$5:$B$108&lt;&gt;"")*('Decision Queue_Bak'!$W$5:$W$108="ACTIVE")),17)),IF(OR(_xlpm.x=0,_xlpm.x="0",_xlpm.x="N/A"),"",_xlpm.x)),"")</f>
        <v/>
      </c>
      <c r="H38" s="174" t="str">
        <f t="array" ref="H38">IFERROR(_xlfn.LET(_xlpm.x,INDEX('Decision Queue_Bak'!$J$5:$J$108,_xlfn.AGGREGATE(15,6,(ROW('Decision Queue_Bak'!$B$5:$B$108)-ROW('Decision Queue_Bak'!$B$5)+1)/(('Decision Queue_Bak'!$B$5:$B$108&lt;&gt;"")*('Decision Queue_Bak'!$W$5:$W$108="ACTIVE")),17)),IF(OR(_xlpm.x=0,_xlpm.x="0",_xlpm.x="N/A"),"",_xlpm.x)),"")</f>
        <v/>
      </c>
      <c r="I38" s="174" t="str">
        <f t="array" ref="I38">IFERROR(_xlfn.LET(_xlpm.x,INDEX('Decision Queue_Bak'!$I$5:$I$108,_xlfn.AGGREGATE(15,6,(ROW('Decision Queue_Bak'!$B$5:$B$108)-ROW('Decision Queue_Bak'!$B$5)+1)/(('Decision Queue_Bak'!$B$5:$B$108&lt;&gt;"")*('Decision Queue_Bak'!$W$5:$W$108="ACTIVE")),17)),IF(OR(_xlpm.x=0,_xlpm.x="0",_xlpm.x="N/A"),"",_xlpm.x)),"")</f>
        <v/>
      </c>
      <c r="J38" s="174" t="str">
        <f t="array" ref="J38">IFERROR(_xlfn.LET(_xlpm.x,INDEX('Decision Queue_Bak'!$C$5:$C$108,_xlfn.AGGREGATE(15,6,(ROW('Decision Queue_Bak'!$B$5:$B$108)-ROW('Decision Queue_Bak'!$B$5)+1)/(('Decision Queue_Bak'!$B$5:$B$108&lt;&gt;"")*('Decision Queue_Bak'!$W$5:$W$108="ACTIVE")),17)),IF(OR(_xlpm.x=0,_xlpm.x="0",_xlpm.x="N/A"),"",_xlpm.x)),"")</f>
        <v/>
      </c>
      <c r="K38" s="173" t="str">
        <f t="array" ref="K38">IFERROR(_xlfn.LET(_xlpm.x,INDEX('Decision Queue_Bak'!$R$5:$R$108,_xlfn.AGGREGATE(15,6,(ROW('Decision Queue_Bak'!$B$5:$B$108)-ROW('Decision Queue_Bak'!$B$5)+1)/(('Decision Queue_Bak'!$B$5:$B$108&lt;&gt;"")*('Decision Queue_Bak'!$W$5:$W$108="ACTIVE")),17)),IF(OR(_xlpm.x=0,_xlpm.x="0",_xlpm.x="N/A"),"",_xlpm.x)),"")</f>
        <v/>
      </c>
      <c r="L38" s="174" t="str">
        <f t="array" ref="L38">IFERROR(_xlfn.LET(_xlpm.x,INDEX('Decision Queue_Bak'!$P$5:$P$108,_xlfn.AGGREGATE(15,6,(ROW('Decision Queue_Bak'!$B$5:$B$108)-ROW('Decision Queue_Bak'!$B$5)+1)/(('Decision Queue_Bak'!$B$5:$B$108&lt;&gt;"")*('Decision Queue_Bak'!$W$5:$W$108="ACTIVE")),17)),IF(OR(_xlpm.x=0,_xlpm.x="0",_xlpm.x="N/A"),"",_xlpm.x)),"")</f>
        <v/>
      </c>
    </row>
    <row r="39" spans="1:12">
      <c r="A39" s="99" t="str">
        <f>IF(A38="","",A38&amp;" cont.")</f>
        <v/>
      </c>
      <c r="B39" s="175" t="str">
        <f t="array" ref="B39">IFERROR(_xlfn.LET(_xlpm.x,INDEX('Decision Queue_Bak'!$F$5:$F$108,_xlfn.AGGREGATE(15,6,(ROW('Decision Queue_Bak'!$B$5:$B$108)-ROW('Decision Queue_Bak'!$B$5)+1)/(('Decision Queue_Bak'!$B$5:$B$108&lt;&gt;"")*('Decision Queue_Bak'!$W$5:$W$108="ACTIVE")),17)),IF(OR(_xlpm.x=0,_xlpm.x="0",_xlpm.x="N/A"),"",_xlpm.x)),"")</f>
        <v/>
      </c>
      <c r="C39" s="175" t="str">
        <f t="array" ref="C39">IFERROR(_xlfn.LET(_xlpm.x,INDEX('Decision Queue_Bak'!$Q$5:$Q$108,_xlfn.AGGREGATE(15,6,(ROW('Decision Queue_Bak'!$B$5:$B$108)-ROW('Decision Queue_Bak'!$B$5)+1)/(('Decision Queue_Bak'!$B$5:$B$108&lt;&gt;"")*('Decision Queue_Bak'!$W$5:$W$108="ACTIVE")),17)),IF(OR(_xlpm.x=0,_xlpm.x="0",_xlpm.x="N/A"),"",_xlpm.x)),"")</f>
        <v/>
      </c>
      <c r="D39" s="176" t="str">
        <f t="array" ref="D39">IFERROR(_xlfn.LET(_xlpm.x,INDEX('Decision Queue_Bak'!$M$5:$M$108,_xlfn.AGGREGATE(15,6,(ROW('Decision Queue_Bak'!$B$5:$B$108)-ROW('Decision Queue_Bak'!$B$5)+1)/(('Decision Queue_Bak'!$B$5:$B$108&lt;&gt;"")*('Decision Queue_Bak'!$W$5:$W$108="ACTIVE")),17)),IF(OR(_xlpm.x=0,_xlpm.x="0",_xlpm.x="N/A"),"",_xlpm.x)),"")</f>
        <v/>
      </c>
      <c r="E39" s="175" t="str">
        <f t="array" ref="E39">IFERROR(_xlfn.LET(_xlpm.x,INDEX('Decision Queue_Bak'!$N$5:$N$108,_xlfn.AGGREGATE(15,6,(ROW('Decision Queue_Bak'!$B$5:$B$108)-ROW('Decision Queue_Bak'!$B$5)+1)/(('Decision Queue_Bak'!$B$5:$B$108&lt;&gt;"")*('Decision Queue_Bak'!$W$5:$W$108="ACTIVE")),17)),IF(OR(_xlpm.x=0,_xlpm.x="0",_xlpm.x="N/A"),"",_xlpm.x)),"")</f>
        <v/>
      </c>
      <c r="F39" s="175" t="str">
        <f t="array" ref="F39">IFERROR(_xlfn.LET(_xlpm.x,INDEX('Decision Queue_Bak'!$L$5:$L$108,_xlfn.AGGREGATE(15,6,(ROW('Decision Queue_Bak'!$B$5:$B$108)-ROW('Decision Queue_Bak'!$B$5)+1)/(('Decision Queue_Bak'!$B$5:$B$108&lt;&gt;"")*('Decision Queue_Bak'!$W$5:$W$108="ACTIVE")),17)),IF(OR(_xlpm.x=0,_xlpm.x="0",_xlpm.x="N/A"),"",_xlpm.x)),"")</f>
        <v/>
      </c>
      <c r="G39" s="175" t="str">
        <f t="array" ref="G39">IFERROR(_xlfn.LET(_xlpm.x,INDEX('Decision Queue_Bak'!$S$5:$S$108,_xlfn.AGGREGATE(15,6,(ROW('Decision Queue_Bak'!$B$5:$B$108)-ROW('Decision Queue_Bak'!$B$5)+1)/(('Decision Queue_Bak'!$B$5:$B$108&lt;&gt;"")*('Decision Queue_Bak'!$W$5:$W$108="ACTIVE")),17)),IF(OR(_xlpm.x=0,_xlpm.x="0",_xlpm.x="N/A"),"",_xlpm.x)),"")</f>
        <v/>
      </c>
      <c r="H39" s="175" t="str">
        <f t="array" ref="H39">IFERROR(_xlfn.LET(_xlpm.x,INDEX('Decision Queue_Bak'!$O$5:$O$108,_xlfn.AGGREGATE(15,6,(ROW('Decision Queue_Bak'!$B$5:$B$108)-ROW('Decision Queue_Bak'!$B$5)+1)/(('Decision Queue_Bak'!$B$5:$B$108&lt;&gt;"")*('Decision Queue_Bak'!$W$5:$W$108="ACTIVE")),17)),IF(OR(_xlpm.x=0,_xlpm.x="0",_xlpm.x="N/A"),"",_xlpm.x)),"")</f>
        <v/>
      </c>
      <c r="I39" s="175" t="str">
        <f t="array" ref="I39">IFERROR(_xlfn.LET(_xlpm.x,INDEX('Decision Queue_Bak'!$T$5:$T$108,_xlfn.AGGREGATE(15,6,(ROW('Decision Queue_Bak'!$B$5:$B$108)-ROW('Decision Queue_Bak'!$B$5)+1)/(('Decision Queue_Bak'!$B$5:$B$108&lt;&gt;"")*('Decision Queue_Bak'!$W$5:$W$108="ACTIVE")),17)),IF(OR(_xlpm.x=0,_xlpm.x="0",_xlpm.x="N/A"),"",_xlpm.x)),"")</f>
        <v/>
      </c>
      <c r="J39" s="175" t="str">
        <f t="array" ref="J39">IFERROR(_xlfn.LET(_xlpm.x,INDEX('Decision Queue_Bak'!$U$5:$U$108,_xlfn.AGGREGATE(15,6,(ROW('Decision Queue_Bak'!$B$5:$B$108)-ROW('Decision Queue_Bak'!$B$5)+1)/(('Decision Queue_Bak'!$B$5:$B$108&lt;&gt;"")*('Decision Queue_Bak'!$W$5:$W$108="ACTIVE")),17)),IF(OR(_xlpm.x=0,_xlpm.x="0",_xlpm.x="N/A"),"",_xlpm.x)),"")</f>
        <v/>
      </c>
      <c r="K39" s="176"/>
      <c r="L39" s="175"/>
    </row>
    <row r="40" spans="1:12">
      <c r="A40" s="177" t="str">
        <f t="array" ref="A40">IFERROR(_xlfn.LET(_xlpm.x,INDEX('Decision Queue_Bak'!$A$5:$A$108,_xlfn.AGGREGATE(15,6,(ROW('Decision Queue_Bak'!$B$5:$B$108)-ROW('Decision Queue_Bak'!$B$5)+1)/(('Decision Queue_Bak'!$B$5:$B$108&lt;&gt;"")*('Decision Queue_Bak'!$W$5:$W$108="ACTIVE")),18)),IF(OR(_xlpm.x=0,_xlpm.x="0",_xlpm.x="N/A"),"",_xlpm.x)),"")</f>
        <v/>
      </c>
      <c r="B40" s="178" t="str">
        <f t="array" ref="B40">IFERROR(_xlfn.LET(_xlpm.x,INDEX('Decision Queue_Bak'!$B$5:$B$108,_xlfn.AGGREGATE(15,6,(ROW('Decision Queue_Bak'!$B$5:$B$108)-ROW('Decision Queue_Bak'!$B$5)+1)/(('Decision Queue_Bak'!$B$5:$B$108&lt;&gt;"")*('Decision Queue_Bak'!$W$5:$W$108="ACTIVE")),18)),IF(OR(_xlpm.x=0,_xlpm.x="0",_xlpm.x="N/A"),"",_xlpm.x)),"")</f>
        <v/>
      </c>
      <c r="C40" s="178" t="str">
        <f t="array" ref="C40">IFERROR(_xlfn.LET(_xlpm.x,INDEX('Decision Queue_Bak'!$D$5:$D$108,_xlfn.AGGREGATE(15,6,(ROW('Decision Queue_Bak'!$B$5:$B$108)-ROW('Decision Queue_Bak'!$B$5)+1)/(('Decision Queue_Bak'!$B$5:$B$108&lt;&gt;"")*('Decision Queue_Bak'!$W$5:$W$108="ACTIVE")),18)),IF(OR(_xlpm.x=0,_xlpm.x="0",_xlpm.x="N/A"),"",_xlpm.x)),"")</f>
        <v/>
      </c>
      <c r="D40" s="179" t="str">
        <f t="array" ref="D40">IFERROR(_xlfn.LET(_xlpm.x,INDEX('Decision Queue_Bak'!$E$5:$E$108,_xlfn.AGGREGATE(15,6,(ROW('Decision Queue_Bak'!$B$5:$B$108)-ROW('Decision Queue_Bak'!$B$5)+1)/(('Decision Queue_Bak'!$B$5:$B$108&lt;&gt;"")*('Decision Queue_Bak'!$W$5:$W$108="ACTIVE")),18)),IF(OR(_xlpm.x=0,_xlpm.x="0",_xlpm.x="N/A"),"",_xlpm.x)),"")</f>
        <v/>
      </c>
      <c r="E40" s="178" t="str">
        <f t="array" ref="E40">IFERROR(_xlfn.LET(_xlpm.x,INDEX('Decision Queue_Bak'!$G$5:$G$108,_xlfn.AGGREGATE(15,6,(ROW('Decision Queue_Bak'!$B$5:$B$108)-ROW('Decision Queue_Bak'!$B$5)+1)/(('Decision Queue_Bak'!$B$5:$B$108&lt;&gt;"")*('Decision Queue_Bak'!$W$5:$W$108="ACTIVE")),18)),IF(OR(_xlpm.x=0,_xlpm.x="0",_xlpm.x="N/A"),"",_xlpm.x)),"")</f>
        <v/>
      </c>
      <c r="F40" s="180" t="str">
        <f t="array" ref="F40">IFERROR(_xlfn.LET(_xlpm.x,INDEX('Decision Queue_Bak'!$H$5:$H$108,_xlfn.AGGREGATE(15,6,(ROW('Decision Queue_Bak'!$B$5:$B$108)-ROW('Decision Queue_Bak'!$B$5)+1)/(('Decision Queue_Bak'!$B$5:$B$108&lt;&gt;"")*('Decision Queue_Bak'!$W$5:$W$108="ACTIVE")),18)),IF(OR(_xlpm.x=0,_xlpm.x="0",_xlpm.x="N/A"),"",_xlpm.x)),"")</f>
        <v/>
      </c>
      <c r="G40" s="180" t="str">
        <f t="array" ref="G40">IFERROR(_xlfn.LET(_xlpm.x,INDEX('Decision Queue_Bak'!$K$5:$K$108,_xlfn.AGGREGATE(15,6,(ROW('Decision Queue_Bak'!$B$5:$B$108)-ROW('Decision Queue_Bak'!$B$5)+1)/(('Decision Queue_Bak'!$B$5:$B$108&lt;&gt;"")*('Decision Queue_Bak'!$W$5:$W$108="ACTIVE")),18)),IF(OR(_xlpm.x=0,_xlpm.x="0",_xlpm.x="N/A"),"",_xlpm.x)),"")</f>
        <v/>
      </c>
      <c r="H40" s="180" t="str">
        <f t="array" ref="H40">IFERROR(_xlfn.LET(_xlpm.x,INDEX('Decision Queue_Bak'!$J$5:$J$108,_xlfn.AGGREGATE(15,6,(ROW('Decision Queue_Bak'!$B$5:$B$108)-ROW('Decision Queue_Bak'!$B$5)+1)/(('Decision Queue_Bak'!$B$5:$B$108&lt;&gt;"")*('Decision Queue_Bak'!$W$5:$W$108="ACTIVE")),18)),IF(OR(_xlpm.x=0,_xlpm.x="0",_xlpm.x="N/A"),"",_xlpm.x)),"")</f>
        <v/>
      </c>
      <c r="I40" s="180" t="str">
        <f t="array" ref="I40">IFERROR(_xlfn.LET(_xlpm.x,INDEX('Decision Queue_Bak'!$I$5:$I$108,_xlfn.AGGREGATE(15,6,(ROW('Decision Queue_Bak'!$B$5:$B$108)-ROW('Decision Queue_Bak'!$B$5)+1)/(('Decision Queue_Bak'!$B$5:$B$108&lt;&gt;"")*('Decision Queue_Bak'!$W$5:$W$108="ACTIVE")),18)),IF(OR(_xlpm.x=0,_xlpm.x="0",_xlpm.x="N/A"),"",_xlpm.x)),"")</f>
        <v/>
      </c>
      <c r="J40" s="180" t="str">
        <f t="array" ref="J40">IFERROR(_xlfn.LET(_xlpm.x,INDEX('Decision Queue_Bak'!$C$5:$C$108,_xlfn.AGGREGATE(15,6,(ROW('Decision Queue_Bak'!$B$5:$B$108)-ROW('Decision Queue_Bak'!$B$5)+1)/(('Decision Queue_Bak'!$B$5:$B$108&lt;&gt;"")*('Decision Queue_Bak'!$W$5:$W$108="ACTIVE")),18)),IF(OR(_xlpm.x=0,_xlpm.x="0",_xlpm.x="N/A"),"",_xlpm.x)),"")</f>
        <v/>
      </c>
      <c r="K40" s="179" t="str">
        <f t="array" ref="K40">IFERROR(_xlfn.LET(_xlpm.x,INDEX('Decision Queue_Bak'!$R$5:$R$108,_xlfn.AGGREGATE(15,6,(ROW('Decision Queue_Bak'!$B$5:$B$108)-ROW('Decision Queue_Bak'!$B$5)+1)/(('Decision Queue_Bak'!$B$5:$B$108&lt;&gt;"")*('Decision Queue_Bak'!$W$5:$W$108="ACTIVE")),18)),IF(OR(_xlpm.x=0,_xlpm.x="0",_xlpm.x="N/A"),"",_xlpm.x)),"")</f>
        <v/>
      </c>
      <c r="L40" s="180" t="str">
        <f t="array" ref="L40">IFERROR(_xlfn.LET(_xlpm.x,INDEX('Decision Queue_Bak'!$P$5:$P$108,_xlfn.AGGREGATE(15,6,(ROW('Decision Queue_Bak'!$B$5:$B$108)-ROW('Decision Queue_Bak'!$B$5)+1)/(('Decision Queue_Bak'!$B$5:$B$108&lt;&gt;"")*('Decision Queue_Bak'!$W$5:$W$108="ACTIVE")),18)),IF(OR(_xlpm.x=0,_xlpm.x="0",_xlpm.x="N/A"),"",_xlpm.x)),"")</f>
        <v/>
      </c>
    </row>
    <row r="41" spans="1:12">
      <c r="A41" s="100" t="str">
        <f>IF(A40="","",A40&amp;" cont.")</f>
        <v/>
      </c>
      <c r="B41" s="181" t="str">
        <f t="array" ref="B41">IFERROR(_xlfn.LET(_xlpm.x,INDEX('Decision Queue_Bak'!$F$5:$F$108,_xlfn.AGGREGATE(15,6,(ROW('Decision Queue_Bak'!$B$5:$B$108)-ROW('Decision Queue_Bak'!$B$5)+1)/(('Decision Queue_Bak'!$B$5:$B$108&lt;&gt;"")*('Decision Queue_Bak'!$W$5:$W$108="ACTIVE")),18)),IF(OR(_xlpm.x=0,_xlpm.x="0",_xlpm.x="N/A"),"",_xlpm.x)),"")</f>
        <v/>
      </c>
      <c r="C41" s="181" t="str">
        <f t="array" ref="C41">IFERROR(_xlfn.LET(_xlpm.x,INDEX('Decision Queue_Bak'!$Q$5:$Q$108,_xlfn.AGGREGATE(15,6,(ROW('Decision Queue_Bak'!$B$5:$B$108)-ROW('Decision Queue_Bak'!$B$5)+1)/(('Decision Queue_Bak'!$B$5:$B$108&lt;&gt;"")*('Decision Queue_Bak'!$W$5:$W$108="ACTIVE")),18)),IF(OR(_xlpm.x=0,_xlpm.x="0",_xlpm.x="N/A"),"",_xlpm.x)),"")</f>
        <v/>
      </c>
      <c r="D41" s="182" t="str">
        <f t="array" ref="D41">IFERROR(_xlfn.LET(_xlpm.x,INDEX('Decision Queue_Bak'!$M$5:$M$108,_xlfn.AGGREGATE(15,6,(ROW('Decision Queue_Bak'!$B$5:$B$108)-ROW('Decision Queue_Bak'!$B$5)+1)/(('Decision Queue_Bak'!$B$5:$B$108&lt;&gt;"")*('Decision Queue_Bak'!$W$5:$W$108="ACTIVE")),18)),IF(OR(_xlpm.x=0,_xlpm.x="0",_xlpm.x="N/A"),"",_xlpm.x)),"")</f>
        <v/>
      </c>
      <c r="E41" s="181" t="str">
        <f t="array" ref="E41">IFERROR(_xlfn.LET(_xlpm.x,INDEX('Decision Queue_Bak'!$N$5:$N$108,_xlfn.AGGREGATE(15,6,(ROW('Decision Queue_Bak'!$B$5:$B$108)-ROW('Decision Queue_Bak'!$B$5)+1)/(('Decision Queue_Bak'!$B$5:$B$108&lt;&gt;"")*('Decision Queue_Bak'!$W$5:$W$108="ACTIVE")),18)),IF(OR(_xlpm.x=0,_xlpm.x="0",_xlpm.x="N/A"),"",_xlpm.x)),"")</f>
        <v/>
      </c>
      <c r="F41" s="181" t="str">
        <f t="array" ref="F41">IFERROR(_xlfn.LET(_xlpm.x,INDEX('Decision Queue_Bak'!$L$5:$L$108,_xlfn.AGGREGATE(15,6,(ROW('Decision Queue_Bak'!$B$5:$B$108)-ROW('Decision Queue_Bak'!$B$5)+1)/(('Decision Queue_Bak'!$B$5:$B$108&lt;&gt;"")*('Decision Queue_Bak'!$W$5:$W$108="ACTIVE")),18)),IF(OR(_xlpm.x=0,_xlpm.x="0",_xlpm.x="N/A"),"",_xlpm.x)),"")</f>
        <v/>
      </c>
      <c r="G41" s="181" t="str">
        <f t="array" ref="G41">IFERROR(_xlfn.LET(_xlpm.x,INDEX('Decision Queue_Bak'!$S$5:$S$108,_xlfn.AGGREGATE(15,6,(ROW('Decision Queue_Bak'!$B$5:$B$108)-ROW('Decision Queue_Bak'!$B$5)+1)/(('Decision Queue_Bak'!$B$5:$B$108&lt;&gt;"")*('Decision Queue_Bak'!$W$5:$W$108="ACTIVE")),18)),IF(OR(_xlpm.x=0,_xlpm.x="0",_xlpm.x="N/A"),"",_xlpm.x)),"")</f>
        <v/>
      </c>
      <c r="H41" s="181" t="str">
        <f t="array" ref="H41">IFERROR(_xlfn.LET(_xlpm.x,INDEX('Decision Queue_Bak'!$O$5:$O$108,_xlfn.AGGREGATE(15,6,(ROW('Decision Queue_Bak'!$B$5:$B$108)-ROW('Decision Queue_Bak'!$B$5)+1)/(('Decision Queue_Bak'!$B$5:$B$108&lt;&gt;"")*('Decision Queue_Bak'!$W$5:$W$108="ACTIVE")),18)),IF(OR(_xlpm.x=0,_xlpm.x="0",_xlpm.x="N/A"),"",_xlpm.x)),"")</f>
        <v/>
      </c>
      <c r="I41" s="181" t="str">
        <f t="array" ref="I41">IFERROR(_xlfn.LET(_xlpm.x,INDEX('Decision Queue_Bak'!$T$5:$T$108,_xlfn.AGGREGATE(15,6,(ROW('Decision Queue_Bak'!$B$5:$B$108)-ROW('Decision Queue_Bak'!$B$5)+1)/(('Decision Queue_Bak'!$B$5:$B$108&lt;&gt;"")*('Decision Queue_Bak'!$W$5:$W$108="ACTIVE")),18)),IF(OR(_xlpm.x=0,_xlpm.x="0",_xlpm.x="N/A"),"",_xlpm.x)),"")</f>
        <v/>
      </c>
      <c r="J41" s="181" t="str">
        <f t="array" ref="J41">IFERROR(_xlfn.LET(_xlpm.x,INDEX('Decision Queue_Bak'!$U$5:$U$108,_xlfn.AGGREGATE(15,6,(ROW('Decision Queue_Bak'!$B$5:$B$108)-ROW('Decision Queue_Bak'!$B$5)+1)/(('Decision Queue_Bak'!$B$5:$B$108&lt;&gt;"")*('Decision Queue_Bak'!$W$5:$W$108="ACTIVE")),18)),IF(OR(_xlpm.x=0,_xlpm.x="0",_xlpm.x="N/A"),"",_xlpm.x)),"")</f>
        <v/>
      </c>
      <c r="K41" s="182"/>
      <c r="L41" s="181"/>
    </row>
    <row r="42" spans="1:12">
      <c r="A42" s="177" t="str">
        <f t="array" ref="A42">IFERROR(_xlfn.LET(_xlpm.x,INDEX('Decision Queue_Bak'!$A$5:$A$108,_xlfn.AGGREGATE(15,6,(ROW('Decision Queue_Bak'!$B$5:$B$108)-ROW('Decision Queue_Bak'!$B$5)+1)/(('Decision Queue_Bak'!$B$5:$B$108&lt;&gt;"")*('Decision Queue_Bak'!$W$5:$W$108="ACTIVE")),19)),IF(OR(_xlpm.x=0,_xlpm.x="0",_xlpm.x="N/A"),"",_xlpm.x)),"")</f>
        <v/>
      </c>
      <c r="B42" s="172" t="str">
        <f t="array" ref="B42">IFERROR(_xlfn.LET(_xlpm.x,INDEX('Decision Queue_Bak'!$B$5:$B$108,_xlfn.AGGREGATE(15,6,(ROW('Decision Queue_Bak'!$B$5:$B$108)-ROW('Decision Queue_Bak'!$B$5)+1)/(('Decision Queue_Bak'!$B$5:$B$108&lt;&gt;"")*('Decision Queue_Bak'!$W$5:$W$108="ACTIVE")),19)),IF(OR(_xlpm.x=0,_xlpm.x="0",_xlpm.x="N/A"),"",_xlpm.x)),"")</f>
        <v/>
      </c>
      <c r="C42" s="172" t="str">
        <f t="array" ref="C42">IFERROR(_xlfn.LET(_xlpm.x,INDEX('Decision Queue_Bak'!$D$5:$D$108,_xlfn.AGGREGATE(15,6,(ROW('Decision Queue_Bak'!$B$5:$B$108)-ROW('Decision Queue_Bak'!$B$5)+1)/(('Decision Queue_Bak'!$B$5:$B$108&lt;&gt;"")*('Decision Queue_Bak'!$W$5:$W$108="ACTIVE")),19)),IF(OR(_xlpm.x=0,_xlpm.x="0",_xlpm.x="N/A"),"",_xlpm.x)),"")</f>
        <v/>
      </c>
      <c r="D42" s="173" t="str">
        <f t="array" ref="D42">IFERROR(_xlfn.LET(_xlpm.x,INDEX('Decision Queue_Bak'!$E$5:$E$108,_xlfn.AGGREGATE(15,6,(ROW('Decision Queue_Bak'!$B$5:$B$108)-ROW('Decision Queue_Bak'!$B$5)+1)/(('Decision Queue_Bak'!$B$5:$B$108&lt;&gt;"")*('Decision Queue_Bak'!$W$5:$W$108="ACTIVE")),19)),IF(OR(_xlpm.x=0,_xlpm.x="0",_xlpm.x="N/A"),"",_xlpm.x)),"")</f>
        <v/>
      </c>
      <c r="E42" s="172" t="str">
        <f t="array" ref="E42">IFERROR(_xlfn.LET(_xlpm.x,INDEX('Decision Queue_Bak'!$G$5:$G$108,_xlfn.AGGREGATE(15,6,(ROW('Decision Queue_Bak'!$B$5:$B$108)-ROW('Decision Queue_Bak'!$B$5)+1)/(('Decision Queue_Bak'!$B$5:$B$108&lt;&gt;"")*('Decision Queue_Bak'!$W$5:$W$108="ACTIVE")),19)),IF(OR(_xlpm.x=0,_xlpm.x="0",_xlpm.x="N/A"),"",_xlpm.x)),"")</f>
        <v/>
      </c>
      <c r="F42" s="174" t="str">
        <f t="array" ref="F42">IFERROR(_xlfn.LET(_xlpm.x,INDEX('Decision Queue_Bak'!$H$5:$H$108,_xlfn.AGGREGATE(15,6,(ROW('Decision Queue_Bak'!$B$5:$B$108)-ROW('Decision Queue_Bak'!$B$5)+1)/(('Decision Queue_Bak'!$B$5:$B$108&lt;&gt;"")*('Decision Queue_Bak'!$W$5:$W$108="ACTIVE")),19)),IF(OR(_xlpm.x=0,_xlpm.x="0",_xlpm.x="N/A"),"",_xlpm.x)),"")</f>
        <v/>
      </c>
      <c r="G42" s="174" t="str">
        <f t="array" ref="G42">IFERROR(_xlfn.LET(_xlpm.x,INDEX('Decision Queue_Bak'!$K$5:$K$108,_xlfn.AGGREGATE(15,6,(ROW('Decision Queue_Bak'!$B$5:$B$108)-ROW('Decision Queue_Bak'!$B$5)+1)/(('Decision Queue_Bak'!$B$5:$B$108&lt;&gt;"")*('Decision Queue_Bak'!$W$5:$W$108="ACTIVE")),19)),IF(OR(_xlpm.x=0,_xlpm.x="0",_xlpm.x="N/A"),"",_xlpm.x)),"")</f>
        <v/>
      </c>
      <c r="H42" s="174" t="str">
        <f t="array" ref="H42">IFERROR(_xlfn.LET(_xlpm.x,INDEX('Decision Queue_Bak'!$J$5:$J$108,_xlfn.AGGREGATE(15,6,(ROW('Decision Queue_Bak'!$B$5:$B$108)-ROW('Decision Queue_Bak'!$B$5)+1)/(('Decision Queue_Bak'!$B$5:$B$108&lt;&gt;"")*('Decision Queue_Bak'!$W$5:$W$108="ACTIVE")),19)),IF(OR(_xlpm.x=0,_xlpm.x="0",_xlpm.x="N/A"),"",_xlpm.x)),"")</f>
        <v/>
      </c>
      <c r="I42" s="174" t="str">
        <f t="array" ref="I42">IFERROR(_xlfn.LET(_xlpm.x,INDEX('Decision Queue_Bak'!$I$5:$I$108,_xlfn.AGGREGATE(15,6,(ROW('Decision Queue_Bak'!$B$5:$B$108)-ROW('Decision Queue_Bak'!$B$5)+1)/(('Decision Queue_Bak'!$B$5:$B$108&lt;&gt;"")*('Decision Queue_Bak'!$W$5:$W$108="ACTIVE")),19)),IF(OR(_xlpm.x=0,_xlpm.x="0",_xlpm.x="N/A"),"",_xlpm.x)),"")</f>
        <v/>
      </c>
      <c r="J42" s="174" t="str">
        <f t="array" ref="J42">IFERROR(_xlfn.LET(_xlpm.x,INDEX('Decision Queue_Bak'!$C$5:$C$108,_xlfn.AGGREGATE(15,6,(ROW('Decision Queue_Bak'!$B$5:$B$108)-ROW('Decision Queue_Bak'!$B$5)+1)/(('Decision Queue_Bak'!$B$5:$B$108&lt;&gt;"")*('Decision Queue_Bak'!$W$5:$W$108="ACTIVE")),19)),IF(OR(_xlpm.x=0,_xlpm.x="0",_xlpm.x="N/A"),"",_xlpm.x)),"")</f>
        <v/>
      </c>
      <c r="K42" s="173" t="str">
        <f t="array" ref="K42">IFERROR(_xlfn.LET(_xlpm.x,INDEX('Decision Queue_Bak'!$R$5:$R$108,_xlfn.AGGREGATE(15,6,(ROW('Decision Queue_Bak'!$B$5:$B$108)-ROW('Decision Queue_Bak'!$B$5)+1)/(('Decision Queue_Bak'!$B$5:$B$108&lt;&gt;"")*('Decision Queue_Bak'!$W$5:$W$108="ACTIVE")),19)),IF(OR(_xlpm.x=0,_xlpm.x="0",_xlpm.x="N/A"),"",_xlpm.x)),"")</f>
        <v/>
      </c>
      <c r="L42" s="174" t="str">
        <f t="array" ref="L42">IFERROR(_xlfn.LET(_xlpm.x,INDEX('Decision Queue_Bak'!$P$5:$P$108,_xlfn.AGGREGATE(15,6,(ROW('Decision Queue_Bak'!$B$5:$B$108)-ROW('Decision Queue_Bak'!$B$5)+1)/(('Decision Queue_Bak'!$B$5:$B$108&lt;&gt;"")*('Decision Queue_Bak'!$W$5:$W$108="ACTIVE")),19)),IF(OR(_xlpm.x=0,_xlpm.x="0",_xlpm.x="N/A"),"",_xlpm.x)),"")</f>
        <v/>
      </c>
    </row>
    <row r="43" spans="1:12">
      <c r="A43" s="99" t="str">
        <f>IF(A42="","",A42&amp;" cont.")</f>
        <v/>
      </c>
      <c r="B43" s="175" t="str">
        <f t="array" ref="B43">IFERROR(_xlfn.LET(_xlpm.x,INDEX('Decision Queue_Bak'!$F$5:$F$108,_xlfn.AGGREGATE(15,6,(ROW('Decision Queue_Bak'!$B$5:$B$108)-ROW('Decision Queue_Bak'!$B$5)+1)/(('Decision Queue_Bak'!$B$5:$B$108&lt;&gt;"")*('Decision Queue_Bak'!$W$5:$W$108="ACTIVE")),19)),IF(OR(_xlpm.x=0,_xlpm.x="0",_xlpm.x="N/A"),"",_xlpm.x)),"")</f>
        <v/>
      </c>
      <c r="C43" s="175" t="str">
        <f t="array" ref="C43">IFERROR(_xlfn.LET(_xlpm.x,INDEX('Decision Queue_Bak'!$Q$5:$Q$108,_xlfn.AGGREGATE(15,6,(ROW('Decision Queue_Bak'!$B$5:$B$108)-ROW('Decision Queue_Bak'!$B$5)+1)/(('Decision Queue_Bak'!$B$5:$B$108&lt;&gt;"")*('Decision Queue_Bak'!$W$5:$W$108="ACTIVE")),19)),IF(OR(_xlpm.x=0,_xlpm.x="0",_xlpm.x="N/A"),"",_xlpm.x)),"")</f>
        <v/>
      </c>
      <c r="D43" s="176" t="str">
        <f t="array" ref="D43">IFERROR(_xlfn.LET(_xlpm.x,INDEX('Decision Queue_Bak'!$M$5:$M$108,_xlfn.AGGREGATE(15,6,(ROW('Decision Queue_Bak'!$B$5:$B$108)-ROW('Decision Queue_Bak'!$B$5)+1)/(('Decision Queue_Bak'!$B$5:$B$108&lt;&gt;"")*('Decision Queue_Bak'!$W$5:$W$108="ACTIVE")),19)),IF(OR(_xlpm.x=0,_xlpm.x="0",_xlpm.x="N/A"),"",_xlpm.x)),"")</f>
        <v/>
      </c>
      <c r="E43" s="175" t="str">
        <f t="array" ref="E43">IFERROR(_xlfn.LET(_xlpm.x,INDEX('Decision Queue_Bak'!$N$5:$N$108,_xlfn.AGGREGATE(15,6,(ROW('Decision Queue_Bak'!$B$5:$B$108)-ROW('Decision Queue_Bak'!$B$5)+1)/(('Decision Queue_Bak'!$B$5:$B$108&lt;&gt;"")*('Decision Queue_Bak'!$W$5:$W$108="ACTIVE")),19)),IF(OR(_xlpm.x=0,_xlpm.x="0",_xlpm.x="N/A"),"",_xlpm.x)),"")</f>
        <v/>
      </c>
      <c r="F43" s="175" t="str">
        <f t="array" ref="F43">IFERROR(_xlfn.LET(_xlpm.x,INDEX('Decision Queue_Bak'!$L$5:$L$108,_xlfn.AGGREGATE(15,6,(ROW('Decision Queue_Bak'!$B$5:$B$108)-ROW('Decision Queue_Bak'!$B$5)+1)/(('Decision Queue_Bak'!$B$5:$B$108&lt;&gt;"")*('Decision Queue_Bak'!$W$5:$W$108="ACTIVE")),19)),IF(OR(_xlpm.x=0,_xlpm.x="0",_xlpm.x="N/A"),"",_xlpm.x)),"")</f>
        <v/>
      </c>
      <c r="G43" s="175" t="str">
        <f t="array" ref="G43">IFERROR(_xlfn.LET(_xlpm.x,INDEX('Decision Queue_Bak'!$S$5:$S$108,_xlfn.AGGREGATE(15,6,(ROW('Decision Queue_Bak'!$B$5:$B$108)-ROW('Decision Queue_Bak'!$B$5)+1)/(('Decision Queue_Bak'!$B$5:$B$108&lt;&gt;"")*('Decision Queue_Bak'!$W$5:$W$108="ACTIVE")),19)),IF(OR(_xlpm.x=0,_xlpm.x="0",_xlpm.x="N/A"),"",_xlpm.x)),"")</f>
        <v/>
      </c>
      <c r="H43" s="175" t="str">
        <f t="array" ref="H43">IFERROR(_xlfn.LET(_xlpm.x,INDEX('Decision Queue_Bak'!$O$5:$O$108,_xlfn.AGGREGATE(15,6,(ROW('Decision Queue_Bak'!$B$5:$B$108)-ROW('Decision Queue_Bak'!$B$5)+1)/(('Decision Queue_Bak'!$B$5:$B$108&lt;&gt;"")*('Decision Queue_Bak'!$W$5:$W$108="ACTIVE")),19)),IF(OR(_xlpm.x=0,_xlpm.x="0",_xlpm.x="N/A"),"",_xlpm.x)),"")</f>
        <v/>
      </c>
      <c r="I43" s="175" t="str">
        <f t="array" ref="I43">IFERROR(_xlfn.LET(_xlpm.x,INDEX('Decision Queue_Bak'!$T$5:$T$108,_xlfn.AGGREGATE(15,6,(ROW('Decision Queue_Bak'!$B$5:$B$108)-ROW('Decision Queue_Bak'!$B$5)+1)/(('Decision Queue_Bak'!$B$5:$B$108&lt;&gt;"")*('Decision Queue_Bak'!$W$5:$W$108="ACTIVE")),19)),IF(OR(_xlpm.x=0,_xlpm.x="0",_xlpm.x="N/A"),"",_xlpm.x)),"")</f>
        <v/>
      </c>
      <c r="J43" s="175" t="str">
        <f t="array" ref="J43">IFERROR(_xlfn.LET(_xlpm.x,INDEX('Decision Queue_Bak'!$U$5:$U$108,_xlfn.AGGREGATE(15,6,(ROW('Decision Queue_Bak'!$B$5:$B$108)-ROW('Decision Queue_Bak'!$B$5)+1)/(('Decision Queue_Bak'!$B$5:$B$108&lt;&gt;"")*('Decision Queue_Bak'!$W$5:$W$108="ACTIVE")),19)),IF(OR(_xlpm.x=0,_xlpm.x="0",_xlpm.x="N/A"),"",_xlpm.x)),"")</f>
        <v/>
      </c>
      <c r="K43" s="176"/>
      <c r="L43" s="175"/>
    </row>
    <row r="44" spans="1:12">
      <c r="A44" s="177" t="str">
        <f t="array" ref="A44">IFERROR(_xlfn.LET(_xlpm.x,INDEX('Decision Queue_Bak'!$A$5:$A$108,_xlfn.AGGREGATE(15,6,(ROW('Decision Queue_Bak'!$B$5:$B$108)-ROW('Decision Queue_Bak'!$B$5)+1)/(('Decision Queue_Bak'!$B$5:$B$108&lt;&gt;"")*('Decision Queue_Bak'!$W$5:$W$108="ACTIVE")),20)),IF(OR(_xlpm.x=0,_xlpm.x="0",_xlpm.x="N/A"),"",_xlpm.x)),"")</f>
        <v/>
      </c>
      <c r="B44" s="178" t="str">
        <f t="array" ref="B44">IFERROR(_xlfn.LET(_xlpm.x,INDEX('Decision Queue_Bak'!$B$5:$B$108,_xlfn.AGGREGATE(15,6,(ROW('Decision Queue_Bak'!$B$5:$B$108)-ROW('Decision Queue_Bak'!$B$5)+1)/(('Decision Queue_Bak'!$B$5:$B$108&lt;&gt;"")*('Decision Queue_Bak'!$W$5:$W$108="ACTIVE")),20)),IF(OR(_xlpm.x=0,_xlpm.x="0",_xlpm.x="N/A"),"",_xlpm.x)),"")</f>
        <v/>
      </c>
      <c r="C44" s="178" t="str">
        <f t="array" ref="C44">IFERROR(_xlfn.LET(_xlpm.x,INDEX('Decision Queue_Bak'!$D$5:$D$108,_xlfn.AGGREGATE(15,6,(ROW('Decision Queue_Bak'!$B$5:$B$108)-ROW('Decision Queue_Bak'!$B$5)+1)/(('Decision Queue_Bak'!$B$5:$B$108&lt;&gt;"")*('Decision Queue_Bak'!$W$5:$W$108="ACTIVE")),20)),IF(OR(_xlpm.x=0,_xlpm.x="0",_xlpm.x="N/A"),"",_xlpm.x)),"")</f>
        <v/>
      </c>
      <c r="D44" s="179" t="str">
        <f t="array" ref="D44">IFERROR(_xlfn.LET(_xlpm.x,INDEX('Decision Queue_Bak'!$E$5:$E$108,_xlfn.AGGREGATE(15,6,(ROW('Decision Queue_Bak'!$B$5:$B$108)-ROW('Decision Queue_Bak'!$B$5)+1)/(('Decision Queue_Bak'!$B$5:$B$108&lt;&gt;"")*('Decision Queue_Bak'!$W$5:$W$108="ACTIVE")),20)),IF(OR(_xlpm.x=0,_xlpm.x="0",_xlpm.x="N/A"),"",_xlpm.x)),"")</f>
        <v/>
      </c>
      <c r="E44" s="178" t="str">
        <f t="array" ref="E44">IFERROR(_xlfn.LET(_xlpm.x,INDEX('Decision Queue_Bak'!$G$5:$G$108,_xlfn.AGGREGATE(15,6,(ROW('Decision Queue_Bak'!$B$5:$B$108)-ROW('Decision Queue_Bak'!$B$5)+1)/(('Decision Queue_Bak'!$B$5:$B$108&lt;&gt;"")*('Decision Queue_Bak'!$W$5:$W$108="ACTIVE")),20)),IF(OR(_xlpm.x=0,_xlpm.x="0",_xlpm.x="N/A"),"",_xlpm.x)),"")</f>
        <v/>
      </c>
      <c r="F44" s="180" t="str">
        <f t="array" ref="F44">IFERROR(_xlfn.LET(_xlpm.x,INDEX('Decision Queue_Bak'!$H$5:$H$108,_xlfn.AGGREGATE(15,6,(ROW('Decision Queue_Bak'!$B$5:$B$108)-ROW('Decision Queue_Bak'!$B$5)+1)/(('Decision Queue_Bak'!$B$5:$B$108&lt;&gt;"")*('Decision Queue_Bak'!$W$5:$W$108="ACTIVE")),20)),IF(OR(_xlpm.x=0,_xlpm.x="0",_xlpm.x="N/A"),"",_xlpm.x)),"")</f>
        <v/>
      </c>
      <c r="G44" s="180" t="str">
        <f t="array" ref="G44">IFERROR(_xlfn.LET(_xlpm.x,INDEX('Decision Queue_Bak'!$K$5:$K$108,_xlfn.AGGREGATE(15,6,(ROW('Decision Queue_Bak'!$B$5:$B$108)-ROW('Decision Queue_Bak'!$B$5)+1)/(('Decision Queue_Bak'!$B$5:$B$108&lt;&gt;"")*('Decision Queue_Bak'!$W$5:$W$108="ACTIVE")),20)),IF(OR(_xlpm.x=0,_xlpm.x="0",_xlpm.x="N/A"),"",_xlpm.x)),"")</f>
        <v/>
      </c>
      <c r="H44" s="180" t="str">
        <f t="array" ref="H44">IFERROR(_xlfn.LET(_xlpm.x,INDEX('Decision Queue_Bak'!$J$5:$J$108,_xlfn.AGGREGATE(15,6,(ROW('Decision Queue_Bak'!$B$5:$B$108)-ROW('Decision Queue_Bak'!$B$5)+1)/(('Decision Queue_Bak'!$B$5:$B$108&lt;&gt;"")*('Decision Queue_Bak'!$W$5:$W$108="ACTIVE")),20)),IF(OR(_xlpm.x=0,_xlpm.x="0",_xlpm.x="N/A"),"",_xlpm.x)),"")</f>
        <v/>
      </c>
      <c r="I44" s="180" t="str">
        <f t="array" ref="I44">IFERROR(_xlfn.LET(_xlpm.x,INDEX('Decision Queue_Bak'!$I$5:$I$108,_xlfn.AGGREGATE(15,6,(ROW('Decision Queue_Bak'!$B$5:$B$108)-ROW('Decision Queue_Bak'!$B$5)+1)/(('Decision Queue_Bak'!$B$5:$B$108&lt;&gt;"")*('Decision Queue_Bak'!$W$5:$W$108="ACTIVE")),20)),IF(OR(_xlpm.x=0,_xlpm.x="0",_xlpm.x="N/A"),"",_xlpm.x)),"")</f>
        <v/>
      </c>
      <c r="J44" s="180" t="str">
        <f t="array" ref="J44">IFERROR(_xlfn.LET(_xlpm.x,INDEX('Decision Queue_Bak'!$C$5:$C$108,_xlfn.AGGREGATE(15,6,(ROW('Decision Queue_Bak'!$B$5:$B$108)-ROW('Decision Queue_Bak'!$B$5)+1)/(('Decision Queue_Bak'!$B$5:$B$108&lt;&gt;"")*('Decision Queue_Bak'!$W$5:$W$108="ACTIVE")),20)),IF(OR(_xlpm.x=0,_xlpm.x="0",_xlpm.x="N/A"),"",_xlpm.x)),"")</f>
        <v/>
      </c>
      <c r="K44" s="179" t="str">
        <f t="array" ref="K44">IFERROR(_xlfn.LET(_xlpm.x,INDEX('Decision Queue_Bak'!$R$5:$R$108,_xlfn.AGGREGATE(15,6,(ROW('Decision Queue_Bak'!$B$5:$B$108)-ROW('Decision Queue_Bak'!$B$5)+1)/(('Decision Queue_Bak'!$B$5:$B$108&lt;&gt;"")*('Decision Queue_Bak'!$W$5:$W$108="ACTIVE")),20)),IF(OR(_xlpm.x=0,_xlpm.x="0",_xlpm.x="N/A"),"",_xlpm.x)),"")</f>
        <v/>
      </c>
      <c r="L44" s="180" t="str">
        <f t="array" ref="L44">IFERROR(_xlfn.LET(_xlpm.x,INDEX('Decision Queue_Bak'!$P$5:$P$108,_xlfn.AGGREGATE(15,6,(ROW('Decision Queue_Bak'!$B$5:$B$108)-ROW('Decision Queue_Bak'!$B$5)+1)/(('Decision Queue_Bak'!$B$5:$B$108&lt;&gt;"")*('Decision Queue_Bak'!$W$5:$W$108="ACTIVE")),20)),IF(OR(_xlpm.x=0,_xlpm.x="0",_xlpm.x="N/A"),"",_xlpm.x)),"")</f>
        <v/>
      </c>
    </row>
    <row r="45" spans="1:12">
      <c r="A45" s="100" t="str">
        <f>IF(A44="","",A44&amp;" cont.")</f>
        <v/>
      </c>
      <c r="B45" s="181" t="str">
        <f t="array" ref="B45">IFERROR(_xlfn.LET(_xlpm.x,INDEX('Decision Queue_Bak'!$F$5:$F$108,_xlfn.AGGREGATE(15,6,(ROW('Decision Queue_Bak'!$B$5:$B$108)-ROW('Decision Queue_Bak'!$B$5)+1)/(('Decision Queue_Bak'!$B$5:$B$108&lt;&gt;"")*('Decision Queue_Bak'!$W$5:$W$108="ACTIVE")),20)),IF(OR(_xlpm.x=0,_xlpm.x="0",_xlpm.x="N/A"),"",_xlpm.x)),"")</f>
        <v/>
      </c>
      <c r="C45" s="181" t="str">
        <f t="array" ref="C45">IFERROR(_xlfn.LET(_xlpm.x,INDEX('Decision Queue_Bak'!$Q$5:$Q$108,_xlfn.AGGREGATE(15,6,(ROW('Decision Queue_Bak'!$B$5:$B$108)-ROW('Decision Queue_Bak'!$B$5)+1)/(('Decision Queue_Bak'!$B$5:$B$108&lt;&gt;"")*('Decision Queue_Bak'!$W$5:$W$108="ACTIVE")),20)),IF(OR(_xlpm.x=0,_xlpm.x="0",_xlpm.x="N/A"),"",_xlpm.x)),"")</f>
        <v/>
      </c>
      <c r="D45" s="182" t="str">
        <f t="array" ref="D45">IFERROR(_xlfn.LET(_xlpm.x,INDEX('Decision Queue_Bak'!$M$5:$M$108,_xlfn.AGGREGATE(15,6,(ROW('Decision Queue_Bak'!$B$5:$B$108)-ROW('Decision Queue_Bak'!$B$5)+1)/(('Decision Queue_Bak'!$B$5:$B$108&lt;&gt;"")*('Decision Queue_Bak'!$W$5:$W$108="ACTIVE")),20)),IF(OR(_xlpm.x=0,_xlpm.x="0",_xlpm.x="N/A"),"",_xlpm.x)),"")</f>
        <v/>
      </c>
      <c r="E45" s="181" t="str">
        <f t="array" ref="E45">IFERROR(_xlfn.LET(_xlpm.x,INDEX('Decision Queue_Bak'!$N$5:$N$108,_xlfn.AGGREGATE(15,6,(ROW('Decision Queue_Bak'!$B$5:$B$108)-ROW('Decision Queue_Bak'!$B$5)+1)/(('Decision Queue_Bak'!$B$5:$B$108&lt;&gt;"")*('Decision Queue_Bak'!$W$5:$W$108="ACTIVE")),20)),IF(OR(_xlpm.x=0,_xlpm.x="0",_xlpm.x="N/A"),"",_xlpm.x)),"")</f>
        <v/>
      </c>
      <c r="F45" s="181" t="str">
        <f t="array" ref="F45">IFERROR(_xlfn.LET(_xlpm.x,INDEX('Decision Queue_Bak'!$L$5:$L$108,_xlfn.AGGREGATE(15,6,(ROW('Decision Queue_Bak'!$B$5:$B$108)-ROW('Decision Queue_Bak'!$B$5)+1)/(('Decision Queue_Bak'!$B$5:$B$108&lt;&gt;"")*('Decision Queue_Bak'!$W$5:$W$108="ACTIVE")),20)),IF(OR(_xlpm.x=0,_xlpm.x="0",_xlpm.x="N/A"),"",_xlpm.x)),"")</f>
        <v/>
      </c>
      <c r="G45" s="181" t="str">
        <f t="array" ref="G45">IFERROR(_xlfn.LET(_xlpm.x,INDEX('Decision Queue_Bak'!$S$5:$S$108,_xlfn.AGGREGATE(15,6,(ROW('Decision Queue_Bak'!$B$5:$B$108)-ROW('Decision Queue_Bak'!$B$5)+1)/(('Decision Queue_Bak'!$B$5:$B$108&lt;&gt;"")*('Decision Queue_Bak'!$W$5:$W$108="ACTIVE")),20)),IF(OR(_xlpm.x=0,_xlpm.x="0",_xlpm.x="N/A"),"",_xlpm.x)),"")</f>
        <v/>
      </c>
      <c r="H45" s="181" t="str">
        <f t="array" ref="H45">IFERROR(_xlfn.LET(_xlpm.x,INDEX('Decision Queue_Bak'!$O$5:$O$108,_xlfn.AGGREGATE(15,6,(ROW('Decision Queue_Bak'!$B$5:$B$108)-ROW('Decision Queue_Bak'!$B$5)+1)/(('Decision Queue_Bak'!$B$5:$B$108&lt;&gt;"")*('Decision Queue_Bak'!$W$5:$W$108="ACTIVE")),20)),IF(OR(_xlpm.x=0,_xlpm.x="0",_xlpm.x="N/A"),"",_xlpm.x)),"")</f>
        <v/>
      </c>
      <c r="I45" s="181" t="str">
        <f t="array" ref="I45">IFERROR(_xlfn.LET(_xlpm.x,INDEX('Decision Queue_Bak'!$T$5:$T$108,_xlfn.AGGREGATE(15,6,(ROW('Decision Queue_Bak'!$B$5:$B$108)-ROW('Decision Queue_Bak'!$B$5)+1)/(('Decision Queue_Bak'!$B$5:$B$108&lt;&gt;"")*('Decision Queue_Bak'!$W$5:$W$108="ACTIVE")),20)),IF(OR(_xlpm.x=0,_xlpm.x="0",_xlpm.x="N/A"),"",_xlpm.x)),"")</f>
        <v/>
      </c>
      <c r="J45" s="181" t="str">
        <f t="array" ref="J45">IFERROR(_xlfn.LET(_xlpm.x,INDEX('Decision Queue_Bak'!$U$5:$U$108,_xlfn.AGGREGATE(15,6,(ROW('Decision Queue_Bak'!$B$5:$B$108)-ROW('Decision Queue_Bak'!$B$5)+1)/(('Decision Queue_Bak'!$B$5:$B$108&lt;&gt;"")*('Decision Queue_Bak'!$W$5:$W$108="ACTIVE")),20)),IF(OR(_xlpm.x=0,_xlpm.x="0",_xlpm.x="N/A"),"",_xlpm.x)),"")</f>
        <v/>
      </c>
      <c r="K45" s="182"/>
      <c r="L45" s="181"/>
    </row>
    <row r="46" spans="1:12">
      <c r="A46" s="177" t="str">
        <f t="array" ref="A46">IFERROR(_xlfn.LET(_xlpm.x,INDEX('Decision Queue_Bak'!$A$5:$A$108,_xlfn.AGGREGATE(15,6,(ROW('Decision Queue_Bak'!$B$5:$B$108)-ROW('Decision Queue_Bak'!$B$5)+1)/(('Decision Queue_Bak'!$B$5:$B$108&lt;&gt;"")*('Decision Queue_Bak'!$W$5:$W$108="ACTIVE")),21)),IF(OR(_xlpm.x=0,_xlpm.x="0",_xlpm.x="N/A"),"",_xlpm.x)),"")</f>
        <v/>
      </c>
      <c r="B46" s="172" t="str">
        <f t="array" ref="B46">IFERROR(_xlfn.LET(_xlpm.x,INDEX('Decision Queue_Bak'!$B$5:$B$108,_xlfn.AGGREGATE(15,6,(ROW('Decision Queue_Bak'!$B$5:$B$108)-ROW('Decision Queue_Bak'!$B$5)+1)/(('Decision Queue_Bak'!$B$5:$B$108&lt;&gt;"")*('Decision Queue_Bak'!$W$5:$W$108="ACTIVE")),21)),IF(OR(_xlpm.x=0,_xlpm.x="0",_xlpm.x="N/A"),"",_xlpm.x)),"")</f>
        <v/>
      </c>
      <c r="C46" s="172" t="str">
        <f t="array" ref="C46">IFERROR(_xlfn.LET(_xlpm.x,INDEX('Decision Queue_Bak'!$D$5:$D$108,_xlfn.AGGREGATE(15,6,(ROW('Decision Queue_Bak'!$B$5:$B$108)-ROW('Decision Queue_Bak'!$B$5)+1)/(('Decision Queue_Bak'!$B$5:$B$108&lt;&gt;"")*('Decision Queue_Bak'!$W$5:$W$108="ACTIVE")),21)),IF(OR(_xlpm.x=0,_xlpm.x="0",_xlpm.x="N/A"),"",_xlpm.x)),"")</f>
        <v/>
      </c>
      <c r="D46" s="173" t="str">
        <f t="array" ref="D46">IFERROR(_xlfn.LET(_xlpm.x,INDEX('Decision Queue_Bak'!$E$5:$E$108,_xlfn.AGGREGATE(15,6,(ROW('Decision Queue_Bak'!$B$5:$B$108)-ROW('Decision Queue_Bak'!$B$5)+1)/(('Decision Queue_Bak'!$B$5:$B$108&lt;&gt;"")*('Decision Queue_Bak'!$W$5:$W$108="ACTIVE")),21)),IF(OR(_xlpm.x=0,_xlpm.x="0",_xlpm.x="N/A"),"",_xlpm.x)),"")</f>
        <v/>
      </c>
      <c r="E46" s="172" t="str">
        <f t="array" ref="E46">IFERROR(_xlfn.LET(_xlpm.x,INDEX('Decision Queue_Bak'!$G$5:$G$108,_xlfn.AGGREGATE(15,6,(ROW('Decision Queue_Bak'!$B$5:$B$108)-ROW('Decision Queue_Bak'!$B$5)+1)/(('Decision Queue_Bak'!$B$5:$B$108&lt;&gt;"")*('Decision Queue_Bak'!$W$5:$W$108="ACTIVE")),21)),IF(OR(_xlpm.x=0,_xlpm.x="0",_xlpm.x="N/A"),"",_xlpm.x)),"")</f>
        <v/>
      </c>
      <c r="F46" s="174" t="str">
        <f t="array" ref="F46">IFERROR(_xlfn.LET(_xlpm.x,INDEX('Decision Queue_Bak'!$H$5:$H$108,_xlfn.AGGREGATE(15,6,(ROW('Decision Queue_Bak'!$B$5:$B$108)-ROW('Decision Queue_Bak'!$B$5)+1)/(('Decision Queue_Bak'!$B$5:$B$108&lt;&gt;"")*('Decision Queue_Bak'!$W$5:$W$108="ACTIVE")),21)),IF(OR(_xlpm.x=0,_xlpm.x="0",_xlpm.x="N/A"),"",_xlpm.x)),"")</f>
        <v/>
      </c>
      <c r="G46" s="174" t="str">
        <f t="array" ref="G46">IFERROR(_xlfn.LET(_xlpm.x,INDEX('Decision Queue_Bak'!$K$5:$K$108,_xlfn.AGGREGATE(15,6,(ROW('Decision Queue_Bak'!$B$5:$B$108)-ROW('Decision Queue_Bak'!$B$5)+1)/(('Decision Queue_Bak'!$B$5:$B$108&lt;&gt;"")*('Decision Queue_Bak'!$W$5:$W$108="ACTIVE")),21)),IF(OR(_xlpm.x=0,_xlpm.x="0",_xlpm.x="N/A"),"",_xlpm.x)),"")</f>
        <v/>
      </c>
      <c r="H46" s="174" t="str">
        <f t="array" ref="H46">IFERROR(_xlfn.LET(_xlpm.x,INDEX('Decision Queue_Bak'!$J$5:$J$108,_xlfn.AGGREGATE(15,6,(ROW('Decision Queue_Bak'!$B$5:$B$108)-ROW('Decision Queue_Bak'!$B$5)+1)/(('Decision Queue_Bak'!$B$5:$B$108&lt;&gt;"")*('Decision Queue_Bak'!$W$5:$W$108="ACTIVE")),21)),IF(OR(_xlpm.x=0,_xlpm.x="0",_xlpm.x="N/A"),"",_xlpm.x)),"")</f>
        <v/>
      </c>
      <c r="I46" s="174" t="str">
        <f t="array" ref="I46">IFERROR(_xlfn.LET(_xlpm.x,INDEX('Decision Queue_Bak'!$I$5:$I$108,_xlfn.AGGREGATE(15,6,(ROW('Decision Queue_Bak'!$B$5:$B$108)-ROW('Decision Queue_Bak'!$B$5)+1)/(('Decision Queue_Bak'!$B$5:$B$108&lt;&gt;"")*('Decision Queue_Bak'!$W$5:$W$108="ACTIVE")),21)),IF(OR(_xlpm.x=0,_xlpm.x="0",_xlpm.x="N/A"),"",_xlpm.x)),"")</f>
        <v/>
      </c>
      <c r="J46" s="174" t="str">
        <f t="array" ref="J46">IFERROR(_xlfn.LET(_xlpm.x,INDEX('Decision Queue_Bak'!$C$5:$C$108,_xlfn.AGGREGATE(15,6,(ROW('Decision Queue_Bak'!$B$5:$B$108)-ROW('Decision Queue_Bak'!$B$5)+1)/(('Decision Queue_Bak'!$B$5:$B$108&lt;&gt;"")*('Decision Queue_Bak'!$W$5:$W$108="ACTIVE")),21)),IF(OR(_xlpm.x=0,_xlpm.x="0",_xlpm.x="N/A"),"",_xlpm.x)),"")</f>
        <v/>
      </c>
      <c r="K46" s="173" t="str">
        <f t="array" ref="K46">IFERROR(_xlfn.LET(_xlpm.x,INDEX('Decision Queue_Bak'!$R$5:$R$108,_xlfn.AGGREGATE(15,6,(ROW('Decision Queue_Bak'!$B$5:$B$108)-ROW('Decision Queue_Bak'!$B$5)+1)/(('Decision Queue_Bak'!$B$5:$B$108&lt;&gt;"")*('Decision Queue_Bak'!$W$5:$W$108="ACTIVE")),21)),IF(OR(_xlpm.x=0,_xlpm.x="0",_xlpm.x="N/A"),"",_xlpm.x)),"")</f>
        <v/>
      </c>
      <c r="L46" s="174" t="str">
        <f t="array" ref="L46">IFERROR(_xlfn.LET(_xlpm.x,INDEX('Decision Queue_Bak'!$P$5:$P$108,_xlfn.AGGREGATE(15,6,(ROW('Decision Queue_Bak'!$B$5:$B$108)-ROW('Decision Queue_Bak'!$B$5)+1)/(('Decision Queue_Bak'!$B$5:$B$108&lt;&gt;"")*('Decision Queue_Bak'!$W$5:$W$108="ACTIVE")),21)),IF(OR(_xlpm.x=0,_xlpm.x="0",_xlpm.x="N/A"),"",_xlpm.x)),"")</f>
        <v/>
      </c>
    </row>
    <row r="47" spans="1:12">
      <c r="A47" s="99" t="str">
        <f>IF(A46="","",A46&amp;" cont.")</f>
        <v/>
      </c>
      <c r="B47" s="175" t="str">
        <f t="array" ref="B47">IFERROR(_xlfn.LET(_xlpm.x,INDEX('Decision Queue_Bak'!$F$5:$F$108,_xlfn.AGGREGATE(15,6,(ROW('Decision Queue_Bak'!$B$5:$B$108)-ROW('Decision Queue_Bak'!$B$5)+1)/(('Decision Queue_Bak'!$B$5:$B$108&lt;&gt;"")*('Decision Queue_Bak'!$W$5:$W$108="ACTIVE")),21)),IF(OR(_xlpm.x=0,_xlpm.x="0",_xlpm.x="N/A"),"",_xlpm.x)),"")</f>
        <v/>
      </c>
      <c r="C47" s="175" t="str">
        <f t="array" ref="C47">IFERROR(_xlfn.LET(_xlpm.x,INDEX('Decision Queue_Bak'!$Q$5:$Q$108,_xlfn.AGGREGATE(15,6,(ROW('Decision Queue_Bak'!$B$5:$B$108)-ROW('Decision Queue_Bak'!$B$5)+1)/(('Decision Queue_Bak'!$B$5:$B$108&lt;&gt;"")*('Decision Queue_Bak'!$W$5:$W$108="ACTIVE")),21)),IF(OR(_xlpm.x=0,_xlpm.x="0",_xlpm.x="N/A"),"",_xlpm.x)),"")</f>
        <v/>
      </c>
      <c r="D47" s="176" t="str">
        <f t="array" ref="D47">IFERROR(_xlfn.LET(_xlpm.x,INDEX('Decision Queue_Bak'!$M$5:$M$108,_xlfn.AGGREGATE(15,6,(ROW('Decision Queue_Bak'!$B$5:$B$108)-ROW('Decision Queue_Bak'!$B$5)+1)/(('Decision Queue_Bak'!$B$5:$B$108&lt;&gt;"")*('Decision Queue_Bak'!$W$5:$W$108="ACTIVE")),21)),IF(OR(_xlpm.x=0,_xlpm.x="0",_xlpm.x="N/A"),"",_xlpm.x)),"")</f>
        <v/>
      </c>
      <c r="E47" s="175" t="str">
        <f t="array" ref="E47">IFERROR(_xlfn.LET(_xlpm.x,INDEX('Decision Queue_Bak'!$N$5:$N$108,_xlfn.AGGREGATE(15,6,(ROW('Decision Queue_Bak'!$B$5:$B$108)-ROW('Decision Queue_Bak'!$B$5)+1)/(('Decision Queue_Bak'!$B$5:$B$108&lt;&gt;"")*('Decision Queue_Bak'!$W$5:$W$108="ACTIVE")),21)),IF(OR(_xlpm.x=0,_xlpm.x="0",_xlpm.x="N/A"),"",_xlpm.x)),"")</f>
        <v/>
      </c>
      <c r="F47" s="175" t="str">
        <f t="array" ref="F47">IFERROR(_xlfn.LET(_xlpm.x,INDEX('Decision Queue_Bak'!$L$5:$L$108,_xlfn.AGGREGATE(15,6,(ROW('Decision Queue_Bak'!$B$5:$B$108)-ROW('Decision Queue_Bak'!$B$5)+1)/(('Decision Queue_Bak'!$B$5:$B$108&lt;&gt;"")*('Decision Queue_Bak'!$W$5:$W$108="ACTIVE")),21)),IF(OR(_xlpm.x=0,_xlpm.x="0",_xlpm.x="N/A"),"",_xlpm.x)),"")</f>
        <v/>
      </c>
      <c r="G47" s="175" t="str">
        <f t="array" ref="G47">IFERROR(_xlfn.LET(_xlpm.x,INDEX('Decision Queue_Bak'!$S$5:$S$108,_xlfn.AGGREGATE(15,6,(ROW('Decision Queue_Bak'!$B$5:$B$108)-ROW('Decision Queue_Bak'!$B$5)+1)/(('Decision Queue_Bak'!$B$5:$B$108&lt;&gt;"")*('Decision Queue_Bak'!$W$5:$W$108="ACTIVE")),21)),IF(OR(_xlpm.x=0,_xlpm.x="0",_xlpm.x="N/A"),"",_xlpm.x)),"")</f>
        <v/>
      </c>
      <c r="H47" s="175" t="str">
        <f t="array" ref="H47">IFERROR(_xlfn.LET(_xlpm.x,INDEX('Decision Queue_Bak'!$O$5:$O$108,_xlfn.AGGREGATE(15,6,(ROW('Decision Queue_Bak'!$B$5:$B$108)-ROW('Decision Queue_Bak'!$B$5)+1)/(('Decision Queue_Bak'!$B$5:$B$108&lt;&gt;"")*('Decision Queue_Bak'!$W$5:$W$108="ACTIVE")),21)),IF(OR(_xlpm.x=0,_xlpm.x="0",_xlpm.x="N/A"),"",_xlpm.x)),"")</f>
        <v/>
      </c>
      <c r="I47" s="175" t="str">
        <f t="array" ref="I47">IFERROR(_xlfn.LET(_xlpm.x,INDEX('Decision Queue_Bak'!$T$5:$T$108,_xlfn.AGGREGATE(15,6,(ROW('Decision Queue_Bak'!$B$5:$B$108)-ROW('Decision Queue_Bak'!$B$5)+1)/(('Decision Queue_Bak'!$B$5:$B$108&lt;&gt;"")*('Decision Queue_Bak'!$W$5:$W$108="ACTIVE")),21)),IF(OR(_xlpm.x=0,_xlpm.x="0",_xlpm.x="N/A"),"",_xlpm.x)),"")</f>
        <v/>
      </c>
      <c r="J47" s="175" t="str">
        <f t="array" ref="J47">IFERROR(_xlfn.LET(_xlpm.x,INDEX('Decision Queue_Bak'!$U$5:$U$108,_xlfn.AGGREGATE(15,6,(ROW('Decision Queue_Bak'!$B$5:$B$108)-ROW('Decision Queue_Bak'!$B$5)+1)/(('Decision Queue_Bak'!$B$5:$B$108&lt;&gt;"")*('Decision Queue_Bak'!$W$5:$W$108="ACTIVE")),21)),IF(OR(_xlpm.x=0,_xlpm.x="0",_xlpm.x="N/A"),"",_xlpm.x)),"")</f>
        <v/>
      </c>
      <c r="K47" s="176"/>
      <c r="L47" s="175"/>
    </row>
    <row r="48" spans="1:12">
      <c r="A48" s="177" t="str">
        <f t="array" ref="A48">IFERROR(_xlfn.LET(_xlpm.x,INDEX('Decision Queue_Bak'!$A$5:$A$108,_xlfn.AGGREGATE(15,6,(ROW('Decision Queue_Bak'!$B$5:$B$108)-ROW('Decision Queue_Bak'!$B$5)+1)/(('Decision Queue_Bak'!$B$5:$B$108&lt;&gt;"")*('Decision Queue_Bak'!$W$5:$W$108="ACTIVE")),22)),IF(OR(_xlpm.x=0,_xlpm.x="0",_xlpm.x="N/A"),"",_xlpm.x)),"")</f>
        <v/>
      </c>
      <c r="B48" s="178" t="str">
        <f t="array" ref="B48">IFERROR(_xlfn.LET(_xlpm.x,INDEX('Decision Queue_Bak'!$B$5:$B$108,_xlfn.AGGREGATE(15,6,(ROW('Decision Queue_Bak'!$B$5:$B$108)-ROW('Decision Queue_Bak'!$B$5)+1)/(('Decision Queue_Bak'!$B$5:$B$108&lt;&gt;"")*('Decision Queue_Bak'!$W$5:$W$108="ACTIVE")),22)),IF(OR(_xlpm.x=0,_xlpm.x="0",_xlpm.x="N/A"),"",_xlpm.x)),"")</f>
        <v/>
      </c>
      <c r="C48" s="178" t="str">
        <f t="array" ref="C48">IFERROR(_xlfn.LET(_xlpm.x,INDEX('Decision Queue_Bak'!$D$5:$D$108,_xlfn.AGGREGATE(15,6,(ROW('Decision Queue_Bak'!$B$5:$B$108)-ROW('Decision Queue_Bak'!$B$5)+1)/(('Decision Queue_Bak'!$B$5:$B$108&lt;&gt;"")*('Decision Queue_Bak'!$W$5:$W$108="ACTIVE")),22)),IF(OR(_xlpm.x=0,_xlpm.x="0",_xlpm.x="N/A"),"",_xlpm.x)),"")</f>
        <v/>
      </c>
      <c r="D48" s="179" t="str">
        <f t="array" ref="D48">IFERROR(_xlfn.LET(_xlpm.x,INDEX('Decision Queue_Bak'!$E$5:$E$108,_xlfn.AGGREGATE(15,6,(ROW('Decision Queue_Bak'!$B$5:$B$108)-ROW('Decision Queue_Bak'!$B$5)+1)/(('Decision Queue_Bak'!$B$5:$B$108&lt;&gt;"")*('Decision Queue_Bak'!$W$5:$W$108="ACTIVE")),22)),IF(OR(_xlpm.x=0,_xlpm.x="0",_xlpm.x="N/A"),"",_xlpm.x)),"")</f>
        <v/>
      </c>
      <c r="E48" s="178" t="str">
        <f t="array" ref="E48">IFERROR(_xlfn.LET(_xlpm.x,INDEX('Decision Queue_Bak'!$G$5:$G$108,_xlfn.AGGREGATE(15,6,(ROW('Decision Queue_Bak'!$B$5:$B$108)-ROW('Decision Queue_Bak'!$B$5)+1)/(('Decision Queue_Bak'!$B$5:$B$108&lt;&gt;"")*('Decision Queue_Bak'!$W$5:$W$108="ACTIVE")),22)),IF(OR(_xlpm.x=0,_xlpm.x="0",_xlpm.x="N/A"),"",_xlpm.x)),"")</f>
        <v/>
      </c>
      <c r="F48" s="180" t="str">
        <f t="array" ref="F48">IFERROR(_xlfn.LET(_xlpm.x,INDEX('Decision Queue_Bak'!$H$5:$H$108,_xlfn.AGGREGATE(15,6,(ROW('Decision Queue_Bak'!$B$5:$B$108)-ROW('Decision Queue_Bak'!$B$5)+1)/(('Decision Queue_Bak'!$B$5:$B$108&lt;&gt;"")*('Decision Queue_Bak'!$W$5:$W$108="ACTIVE")),22)),IF(OR(_xlpm.x=0,_xlpm.x="0",_xlpm.x="N/A"),"",_xlpm.x)),"")</f>
        <v/>
      </c>
      <c r="G48" s="180" t="str">
        <f t="array" ref="G48">IFERROR(_xlfn.LET(_xlpm.x,INDEX('Decision Queue_Bak'!$K$5:$K$108,_xlfn.AGGREGATE(15,6,(ROW('Decision Queue_Bak'!$B$5:$B$108)-ROW('Decision Queue_Bak'!$B$5)+1)/(('Decision Queue_Bak'!$B$5:$B$108&lt;&gt;"")*('Decision Queue_Bak'!$W$5:$W$108="ACTIVE")),22)),IF(OR(_xlpm.x=0,_xlpm.x="0",_xlpm.x="N/A"),"",_xlpm.x)),"")</f>
        <v/>
      </c>
      <c r="H48" s="180" t="str">
        <f t="array" ref="H48">IFERROR(_xlfn.LET(_xlpm.x,INDEX('Decision Queue_Bak'!$J$5:$J$108,_xlfn.AGGREGATE(15,6,(ROW('Decision Queue_Bak'!$B$5:$B$108)-ROW('Decision Queue_Bak'!$B$5)+1)/(('Decision Queue_Bak'!$B$5:$B$108&lt;&gt;"")*('Decision Queue_Bak'!$W$5:$W$108="ACTIVE")),22)),IF(OR(_xlpm.x=0,_xlpm.x="0",_xlpm.x="N/A"),"",_xlpm.x)),"")</f>
        <v/>
      </c>
      <c r="I48" s="180" t="str">
        <f t="array" ref="I48">IFERROR(_xlfn.LET(_xlpm.x,INDEX('Decision Queue_Bak'!$I$5:$I$108,_xlfn.AGGREGATE(15,6,(ROW('Decision Queue_Bak'!$B$5:$B$108)-ROW('Decision Queue_Bak'!$B$5)+1)/(('Decision Queue_Bak'!$B$5:$B$108&lt;&gt;"")*('Decision Queue_Bak'!$W$5:$W$108="ACTIVE")),22)),IF(OR(_xlpm.x=0,_xlpm.x="0",_xlpm.x="N/A"),"",_xlpm.x)),"")</f>
        <v/>
      </c>
      <c r="J48" s="180" t="str">
        <f t="array" ref="J48">IFERROR(_xlfn.LET(_xlpm.x,INDEX('Decision Queue_Bak'!$C$5:$C$108,_xlfn.AGGREGATE(15,6,(ROW('Decision Queue_Bak'!$B$5:$B$108)-ROW('Decision Queue_Bak'!$B$5)+1)/(('Decision Queue_Bak'!$B$5:$B$108&lt;&gt;"")*('Decision Queue_Bak'!$W$5:$W$108="ACTIVE")),22)),IF(OR(_xlpm.x=0,_xlpm.x="0",_xlpm.x="N/A"),"",_xlpm.x)),"")</f>
        <v/>
      </c>
      <c r="K48" s="179" t="str">
        <f t="array" ref="K48">IFERROR(_xlfn.LET(_xlpm.x,INDEX('Decision Queue_Bak'!$R$5:$R$108,_xlfn.AGGREGATE(15,6,(ROW('Decision Queue_Bak'!$B$5:$B$108)-ROW('Decision Queue_Bak'!$B$5)+1)/(('Decision Queue_Bak'!$B$5:$B$108&lt;&gt;"")*('Decision Queue_Bak'!$W$5:$W$108="ACTIVE")),22)),IF(OR(_xlpm.x=0,_xlpm.x="0",_xlpm.x="N/A"),"",_xlpm.x)),"")</f>
        <v/>
      </c>
      <c r="L48" s="180" t="str">
        <f t="array" ref="L48">IFERROR(_xlfn.LET(_xlpm.x,INDEX('Decision Queue_Bak'!$P$5:$P$108,_xlfn.AGGREGATE(15,6,(ROW('Decision Queue_Bak'!$B$5:$B$108)-ROW('Decision Queue_Bak'!$B$5)+1)/(('Decision Queue_Bak'!$B$5:$B$108&lt;&gt;"")*('Decision Queue_Bak'!$W$5:$W$108="ACTIVE")),22)),IF(OR(_xlpm.x=0,_xlpm.x="0",_xlpm.x="N/A"),"",_xlpm.x)),"")</f>
        <v/>
      </c>
    </row>
    <row r="49" spans="1:12">
      <c r="A49" s="100" t="str">
        <f>IF(A48="","",A48&amp;" cont.")</f>
        <v/>
      </c>
      <c r="B49" s="181" t="str">
        <f t="array" ref="B49">IFERROR(_xlfn.LET(_xlpm.x,INDEX('Decision Queue_Bak'!$F$5:$F$108,_xlfn.AGGREGATE(15,6,(ROW('Decision Queue_Bak'!$B$5:$B$108)-ROW('Decision Queue_Bak'!$B$5)+1)/(('Decision Queue_Bak'!$B$5:$B$108&lt;&gt;"")*('Decision Queue_Bak'!$W$5:$W$108="ACTIVE")),22)),IF(OR(_xlpm.x=0,_xlpm.x="0",_xlpm.x="N/A"),"",_xlpm.x)),"")</f>
        <v/>
      </c>
      <c r="C49" s="181" t="str">
        <f t="array" ref="C49">IFERROR(_xlfn.LET(_xlpm.x,INDEX('Decision Queue_Bak'!$Q$5:$Q$108,_xlfn.AGGREGATE(15,6,(ROW('Decision Queue_Bak'!$B$5:$B$108)-ROW('Decision Queue_Bak'!$B$5)+1)/(('Decision Queue_Bak'!$B$5:$B$108&lt;&gt;"")*('Decision Queue_Bak'!$W$5:$W$108="ACTIVE")),22)),IF(OR(_xlpm.x=0,_xlpm.x="0",_xlpm.x="N/A"),"",_xlpm.x)),"")</f>
        <v/>
      </c>
      <c r="D49" s="182" t="str">
        <f t="array" ref="D49">IFERROR(_xlfn.LET(_xlpm.x,INDEX('Decision Queue_Bak'!$M$5:$M$108,_xlfn.AGGREGATE(15,6,(ROW('Decision Queue_Bak'!$B$5:$B$108)-ROW('Decision Queue_Bak'!$B$5)+1)/(('Decision Queue_Bak'!$B$5:$B$108&lt;&gt;"")*('Decision Queue_Bak'!$W$5:$W$108="ACTIVE")),22)),IF(OR(_xlpm.x=0,_xlpm.x="0",_xlpm.x="N/A"),"",_xlpm.x)),"")</f>
        <v/>
      </c>
      <c r="E49" s="181" t="str">
        <f t="array" ref="E49">IFERROR(_xlfn.LET(_xlpm.x,INDEX('Decision Queue_Bak'!$N$5:$N$108,_xlfn.AGGREGATE(15,6,(ROW('Decision Queue_Bak'!$B$5:$B$108)-ROW('Decision Queue_Bak'!$B$5)+1)/(('Decision Queue_Bak'!$B$5:$B$108&lt;&gt;"")*('Decision Queue_Bak'!$W$5:$W$108="ACTIVE")),22)),IF(OR(_xlpm.x=0,_xlpm.x="0",_xlpm.x="N/A"),"",_xlpm.x)),"")</f>
        <v/>
      </c>
      <c r="F49" s="181" t="str">
        <f t="array" ref="F49">IFERROR(_xlfn.LET(_xlpm.x,INDEX('Decision Queue_Bak'!$L$5:$L$108,_xlfn.AGGREGATE(15,6,(ROW('Decision Queue_Bak'!$B$5:$B$108)-ROW('Decision Queue_Bak'!$B$5)+1)/(('Decision Queue_Bak'!$B$5:$B$108&lt;&gt;"")*('Decision Queue_Bak'!$W$5:$W$108="ACTIVE")),22)),IF(OR(_xlpm.x=0,_xlpm.x="0",_xlpm.x="N/A"),"",_xlpm.x)),"")</f>
        <v/>
      </c>
      <c r="G49" s="181" t="str">
        <f t="array" ref="G49">IFERROR(_xlfn.LET(_xlpm.x,INDEX('Decision Queue_Bak'!$S$5:$S$108,_xlfn.AGGREGATE(15,6,(ROW('Decision Queue_Bak'!$B$5:$B$108)-ROW('Decision Queue_Bak'!$B$5)+1)/(('Decision Queue_Bak'!$B$5:$B$108&lt;&gt;"")*('Decision Queue_Bak'!$W$5:$W$108="ACTIVE")),22)),IF(OR(_xlpm.x=0,_xlpm.x="0",_xlpm.x="N/A"),"",_xlpm.x)),"")</f>
        <v/>
      </c>
      <c r="H49" s="181" t="str">
        <f t="array" ref="H49">IFERROR(_xlfn.LET(_xlpm.x,INDEX('Decision Queue_Bak'!$O$5:$O$108,_xlfn.AGGREGATE(15,6,(ROW('Decision Queue_Bak'!$B$5:$B$108)-ROW('Decision Queue_Bak'!$B$5)+1)/(('Decision Queue_Bak'!$B$5:$B$108&lt;&gt;"")*('Decision Queue_Bak'!$W$5:$W$108="ACTIVE")),22)),IF(OR(_xlpm.x=0,_xlpm.x="0",_xlpm.x="N/A"),"",_xlpm.x)),"")</f>
        <v/>
      </c>
      <c r="I49" s="181" t="str">
        <f t="array" ref="I49">IFERROR(_xlfn.LET(_xlpm.x,INDEX('Decision Queue_Bak'!$T$5:$T$108,_xlfn.AGGREGATE(15,6,(ROW('Decision Queue_Bak'!$B$5:$B$108)-ROW('Decision Queue_Bak'!$B$5)+1)/(('Decision Queue_Bak'!$B$5:$B$108&lt;&gt;"")*('Decision Queue_Bak'!$W$5:$W$108="ACTIVE")),22)),IF(OR(_xlpm.x=0,_xlpm.x="0",_xlpm.x="N/A"),"",_xlpm.x)),"")</f>
        <v/>
      </c>
      <c r="J49" s="181" t="str">
        <f t="array" ref="J49">IFERROR(_xlfn.LET(_xlpm.x,INDEX('Decision Queue_Bak'!$U$5:$U$108,_xlfn.AGGREGATE(15,6,(ROW('Decision Queue_Bak'!$B$5:$B$108)-ROW('Decision Queue_Bak'!$B$5)+1)/(('Decision Queue_Bak'!$B$5:$B$108&lt;&gt;"")*('Decision Queue_Bak'!$W$5:$W$108="ACTIVE")),22)),IF(OR(_xlpm.x=0,_xlpm.x="0",_xlpm.x="N/A"),"",_xlpm.x)),"")</f>
        <v/>
      </c>
      <c r="K49" s="182"/>
      <c r="L49" s="181"/>
    </row>
    <row r="50" spans="1:12">
      <c r="A50" s="177" t="str">
        <f t="array" ref="A50">IFERROR(_xlfn.LET(_xlpm.x,INDEX('Decision Queue_Bak'!$A$5:$A$108,_xlfn.AGGREGATE(15,6,(ROW('Decision Queue_Bak'!$B$5:$B$108)-ROW('Decision Queue_Bak'!$B$5)+1)/(('Decision Queue_Bak'!$B$5:$B$108&lt;&gt;"")*('Decision Queue_Bak'!$W$5:$W$108="ACTIVE")),23)),IF(OR(_xlpm.x=0,_xlpm.x="0",_xlpm.x="N/A"),"",_xlpm.x)),"")</f>
        <v/>
      </c>
      <c r="B50" s="172" t="str">
        <f t="array" ref="B50">IFERROR(_xlfn.LET(_xlpm.x,INDEX('Decision Queue_Bak'!$B$5:$B$108,_xlfn.AGGREGATE(15,6,(ROW('Decision Queue_Bak'!$B$5:$B$108)-ROW('Decision Queue_Bak'!$B$5)+1)/(('Decision Queue_Bak'!$B$5:$B$108&lt;&gt;"")*('Decision Queue_Bak'!$W$5:$W$108="ACTIVE")),23)),IF(OR(_xlpm.x=0,_xlpm.x="0",_xlpm.x="N/A"),"",_xlpm.x)),"")</f>
        <v/>
      </c>
      <c r="C50" s="172" t="str">
        <f t="array" ref="C50">IFERROR(_xlfn.LET(_xlpm.x,INDEX('Decision Queue_Bak'!$D$5:$D$108,_xlfn.AGGREGATE(15,6,(ROW('Decision Queue_Bak'!$B$5:$B$108)-ROW('Decision Queue_Bak'!$B$5)+1)/(('Decision Queue_Bak'!$B$5:$B$108&lt;&gt;"")*('Decision Queue_Bak'!$W$5:$W$108="ACTIVE")),23)),IF(OR(_xlpm.x=0,_xlpm.x="0",_xlpm.x="N/A"),"",_xlpm.x)),"")</f>
        <v/>
      </c>
      <c r="D50" s="173" t="str">
        <f t="array" ref="D50">IFERROR(_xlfn.LET(_xlpm.x,INDEX('Decision Queue_Bak'!$E$5:$E$108,_xlfn.AGGREGATE(15,6,(ROW('Decision Queue_Bak'!$B$5:$B$108)-ROW('Decision Queue_Bak'!$B$5)+1)/(('Decision Queue_Bak'!$B$5:$B$108&lt;&gt;"")*('Decision Queue_Bak'!$W$5:$W$108="ACTIVE")),23)),IF(OR(_xlpm.x=0,_xlpm.x="0",_xlpm.x="N/A"),"",_xlpm.x)),"")</f>
        <v/>
      </c>
      <c r="E50" s="172" t="str">
        <f t="array" ref="E50">IFERROR(_xlfn.LET(_xlpm.x,INDEX('Decision Queue_Bak'!$G$5:$G$108,_xlfn.AGGREGATE(15,6,(ROW('Decision Queue_Bak'!$B$5:$B$108)-ROW('Decision Queue_Bak'!$B$5)+1)/(('Decision Queue_Bak'!$B$5:$B$108&lt;&gt;"")*('Decision Queue_Bak'!$W$5:$W$108="ACTIVE")),23)),IF(OR(_xlpm.x=0,_xlpm.x="0",_xlpm.x="N/A"),"",_xlpm.x)),"")</f>
        <v/>
      </c>
      <c r="F50" s="174" t="str">
        <f t="array" ref="F50">IFERROR(_xlfn.LET(_xlpm.x,INDEX('Decision Queue_Bak'!$H$5:$H$108,_xlfn.AGGREGATE(15,6,(ROW('Decision Queue_Bak'!$B$5:$B$108)-ROW('Decision Queue_Bak'!$B$5)+1)/(('Decision Queue_Bak'!$B$5:$B$108&lt;&gt;"")*('Decision Queue_Bak'!$W$5:$W$108="ACTIVE")),23)),IF(OR(_xlpm.x=0,_xlpm.x="0",_xlpm.x="N/A"),"",_xlpm.x)),"")</f>
        <v/>
      </c>
      <c r="G50" s="174" t="str">
        <f t="array" ref="G50">IFERROR(_xlfn.LET(_xlpm.x,INDEX('Decision Queue_Bak'!$K$5:$K$108,_xlfn.AGGREGATE(15,6,(ROW('Decision Queue_Bak'!$B$5:$B$108)-ROW('Decision Queue_Bak'!$B$5)+1)/(('Decision Queue_Bak'!$B$5:$B$108&lt;&gt;"")*('Decision Queue_Bak'!$W$5:$W$108="ACTIVE")),23)),IF(OR(_xlpm.x=0,_xlpm.x="0",_xlpm.x="N/A"),"",_xlpm.x)),"")</f>
        <v/>
      </c>
      <c r="H50" s="174" t="str">
        <f t="array" ref="H50">IFERROR(_xlfn.LET(_xlpm.x,INDEX('Decision Queue_Bak'!$J$5:$J$108,_xlfn.AGGREGATE(15,6,(ROW('Decision Queue_Bak'!$B$5:$B$108)-ROW('Decision Queue_Bak'!$B$5)+1)/(('Decision Queue_Bak'!$B$5:$B$108&lt;&gt;"")*('Decision Queue_Bak'!$W$5:$W$108="ACTIVE")),23)),IF(OR(_xlpm.x=0,_xlpm.x="0",_xlpm.x="N/A"),"",_xlpm.x)),"")</f>
        <v/>
      </c>
      <c r="I50" s="174" t="str">
        <f t="array" ref="I50">IFERROR(_xlfn.LET(_xlpm.x,INDEX('Decision Queue_Bak'!$I$5:$I$108,_xlfn.AGGREGATE(15,6,(ROW('Decision Queue_Bak'!$B$5:$B$108)-ROW('Decision Queue_Bak'!$B$5)+1)/(('Decision Queue_Bak'!$B$5:$B$108&lt;&gt;"")*('Decision Queue_Bak'!$W$5:$W$108="ACTIVE")),23)),IF(OR(_xlpm.x=0,_xlpm.x="0",_xlpm.x="N/A"),"",_xlpm.x)),"")</f>
        <v/>
      </c>
      <c r="J50" s="174" t="str">
        <f t="array" ref="J50">IFERROR(_xlfn.LET(_xlpm.x,INDEX('Decision Queue_Bak'!$C$5:$C$108,_xlfn.AGGREGATE(15,6,(ROW('Decision Queue_Bak'!$B$5:$B$108)-ROW('Decision Queue_Bak'!$B$5)+1)/(('Decision Queue_Bak'!$B$5:$B$108&lt;&gt;"")*('Decision Queue_Bak'!$W$5:$W$108="ACTIVE")),23)),IF(OR(_xlpm.x=0,_xlpm.x="0",_xlpm.x="N/A"),"",_xlpm.x)),"")</f>
        <v/>
      </c>
      <c r="K50" s="173" t="str">
        <f t="array" ref="K50">IFERROR(_xlfn.LET(_xlpm.x,INDEX('Decision Queue_Bak'!$R$5:$R$108,_xlfn.AGGREGATE(15,6,(ROW('Decision Queue_Bak'!$B$5:$B$108)-ROW('Decision Queue_Bak'!$B$5)+1)/(('Decision Queue_Bak'!$B$5:$B$108&lt;&gt;"")*('Decision Queue_Bak'!$W$5:$W$108="ACTIVE")),23)),IF(OR(_xlpm.x=0,_xlpm.x="0",_xlpm.x="N/A"),"",_xlpm.x)),"")</f>
        <v/>
      </c>
      <c r="L50" s="174" t="str">
        <f t="array" ref="L50">IFERROR(_xlfn.LET(_xlpm.x,INDEX('Decision Queue_Bak'!$P$5:$P$108,_xlfn.AGGREGATE(15,6,(ROW('Decision Queue_Bak'!$B$5:$B$108)-ROW('Decision Queue_Bak'!$B$5)+1)/(('Decision Queue_Bak'!$B$5:$B$108&lt;&gt;"")*('Decision Queue_Bak'!$W$5:$W$108="ACTIVE")),23)),IF(OR(_xlpm.x=0,_xlpm.x="0",_xlpm.x="N/A"),"",_xlpm.x)),"")</f>
        <v/>
      </c>
    </row>
    <row r="51" spans="1:12">
      <c r="A51" s="99" t="str">
        <f>IF(A50="","",A50&amp;" cont.")</f>
        <v/>
      </c>
      <c r="B51" s="175" t="str">
        <f t="array" ref="B51">IFERROR(_xlfn.LET(_xlpm.x,INDEX('Decision Queue_Bak'!$F$5:$F$108,_xlfn.AGGREGATE(15,6,(ROW('Decision Queue_Bak'!$B$5:$B$108)-ROW('Decision Queue_Bak'!$B$5)+1)/(('Decision Queue_Bak'!$B$5:$B$108&lt;&gt;"")*('Decision Queue_Bak'!$W$5:$W$108="ACTIVE")),23)),IF(OR(_xlpm.x=0,_xlpm.x="0",_xlpm.x="N/A"),"",_xlpm.x)),"")</f>
        <v/>
      </c>
      <c r="C51" s="175" t="str">
        <f t="array" ref="C51">IFERROR(_xlfn.LET(_xlpm.x,INDEX('Decision Queue_Bak'!$Q$5:$Q$108,_xlfn.AGGREGATE(15,6,(ROW('Decision Queue_Bak'!$B$5:$B$108)-ROW('Decision Queue_Bak'!$B$5)+1)/(('Decision Queue_Bak'!$B$5:$B$108&lt;&gt;"")*('Decision Queue_Bak'!$W$5:$W$108="ACTIVE")),23)),IF(OR(_xlpm.x=0,_xlpm.x="0",_xlpm.x="N/A"),"",_xlpm.x)),"")</f>
        <v/>
      </c>
      <c r="D51" s="176" t="str">
        <f t="array" ref="D51">IFERROR(_xlfn.LET(_xlpm.x,INDEX('Decision Queue_Bak'!$M$5:$M$108,_xlfn.AGGREGATE(15,6,(ROW('Decision Queue_Bak'!$B$5:$B$108)-ROW('Decision Queue_Bak'!$B$5)+1)/(('Decision Queue_Bak'!$B$5:$B$108&lt;&gt;"")*('Decision Queue_Bak'!$W$5:$W$108="ACTIVE")),23)),IF(OR(_xlpm.x=0,_xlpm.x="0",_xlpm.x="N/A"),"",_xlpm.x)),"")</f>
        <v/>
      </c>
      <c r="E51" s="175" t="str">
        <f t="array" ref="E51">IFERROR(_xlfn.LET(_xlpm.x,INDEX('Decision Queue_Bak'!$N$5:$N$108,_xlfn.AGGREGATE(15,6,(ROW('Decision Queue_Bak'!$B$5:$B$108)-ROW('Decision Queue_Bak'!$B$5)+1)/(('Decision Queue_Bak'!$B$5:$B$108&lt;&gt;"")*('Decision Queue_Bak'!$W$5:$W$108="ACTIVE")),23)),IF(OR(_xlpm.x=0,_xlpm.x="0",_xlpm.x="N/A"),"",_xlpm.x)),"")</f>
        <v/>
      </c>
      <c r="F51" s="175" t="str">
        <f t="array" ref="F51">IFERROR(_xlfn.LET(_xlpm.x,INDEX('Decision Queue_Bak'!$L$5:$L$108,_xlfn.AGGREGATE(15,6,(ROW('Decision Queue_Bak'!$B$5:$B$108)-ROW('Decision Queue_Bak'!$B$5)+1)/(('Decision Queue_Bak'!$B$5:$B$108&lt;&gt;"")*('Decision Queue_Bak'!$W$5:$W$108="ACTIVE")),23)),IF(OR(_xlpm.x=0,_xlpm.x="0",_xlpm.x="N/A"),"",_xlpm.x)),"")</f>
        <v/>
      </c>
      <c r="G51" s="175" t="str">
        <f t="array" ref="G51">IFERROR(_xlfn.LET(_xlpm.x,INDEX('Decision Queue_Bak'!$S$5:$S$108,_xlfn.AGGREGATE(15,6,(ROW('Decision Queue_Bak'!$B$5:$B$108)-ROW('Decision Queue_Bak'!$B$5)+1)/(('Decision Queue_Bak'!$B$5:$B$108&lt;&gt;"")*('Decision Queue_Bak'!$W$5:$W$108="ACTIVE")),23)),IF(OR(_xlpm.x=0,_xlpm.x="0",_xlpm.x="N/A"),"",_xlpm.x)),"")</f>
        <v/>
      </c>
      <c r="H51" s="175" t="str">
        <f t="array" ref="H51">IFERROR(_xlfn.LET(_xlpm.x,INDEX('Decision Queue_Bak'!$O$5:$O$108,_xlfn.AGGREGATE(15,6,(ROW('Decision Queue_Bak'!$B$5:$B$108)-ROW('Decision Queue_Bak'!$B$5)+1)/(('Decision Queue_Bak'!$B$5:$B$108&lt;&gt;"")*('Decision Queue_Bak'!$W$5:$W$108="ACTIVE")),23)),IF(OR(_xlpm.x=0,_xlpm.x="0",_xlpm.x="N/A"),"",_xlpm.x)),"")</f>
        <v/>
      </c>
      <c r="I51" s="175" t="str">
        <f t="array" ref="I51">IFERROR(_xlfn.LET(_xlpm.x,INDEX('Decision Queue_Bak'!$T$5:$T$108,_xlfn.AGGREGATE(15,6,(ROW('Decision Queue_Bak'!$B$5:$B$108)-ROW('Decision Queue_Bak'!$B$5)+1)/(('Decision Queue_Bak'!$B$5:$B$108&lt;&gt;"")*('Decision Queue_Bak'!$W$5:$W$108="ACTIVE")),23)),IF(OR(_xlpm.x=0,_xlpm.x="0",_xlpm.x="N/A"),"",_xlpm.x)),"")</f>
        <v/>
      </c>
      <c r="J51" s="175" t="str">
        <f t="array" ref="J51">IFERROR(_xlfn.LET(_xlpm.x,INDEX('Decision Queue_Bak'!$U$5:$U$108,_xlfn.AGGREGATE(15,6,(ROW('Decision Queue_Bak'!$B$5:$B$108)-ROW('Decision Queue_Bak'!$B$5)+1)/(('Decision Queue_Bak'!$B$5:$B$108&lt;&gt;"")*('Decision Queue_Bak'!$W$5:$W$108="ACTIVE")),23)),IF(OR(_xlpm.x=0,_xlpm.x="0",_xlpm.x="N/A"),"",_xlpm.x)),"")</f>
        <v/>
      </c>
      <c r="K51" s="176"/>
      <c r="L51" s="175"/>
    </row>
    <row r="52" spans="1:12">
      <c r="A52" s="177" t="str">
        <f t="array" ref="A52">IFERROR(_xlfn.LET(_xlpm.x,INDEX('Decision Queue_Bak'!$A$5:$A$108,_xlfn.AGGREGATE(15,6,(ROW('Decision Queue_Bak'!$B$5:$B$108)-ROW('Decision Queue_Bak'!$B$5)+1)/(('Decision Queue_Bak'!$B$5:$B$108&lt;&gt;"")*('Decision Queue_Bak'!$W$5:$W$108="ACTIVE")),24)),IF(OR(_xlpm.x=0,_xlpm.x="0",_xlpm.x="N/A"),"",_xlpm.x)),"")</f>
        <v/>
      </c>
      <c r="B52" s="178" t="str">
        <f t="array" ref="B52">IFERROR(_xlfn.LET(_xlpm.x,INDEX('Decision Queue_Bak'!$B$5:$B$108,_xlfn.AGGREGATE(15,6,(ROW('Decision Queue_Bak'!$B$5:$B$108)-ROW('Decision Queue_Bak'!$B$5)+1)/(('Decision Queue_Bak'!$B$5:$B$108&lt;&gt;"")*('Decision Queue_Bak'!$W$5:$W$108="ACTIVE")),24)),IF(OR(_xlpm.x=0,_xlpm.x="0",_xlpm.x="N/A"),"",_xlpm.x)),"")</f>
        <v/>
      </c>
      <c r="C52" s="178" t="str">
        <f t="array" ref="C52">IFERROR(_xlfn.LET(_xlpm.x,INDEX('Decision Queue_Bak'!$D$5:$D$108,_xlfn.AGGREGATE(15,6,(ROW('Decision Queue_Bak'!$B$5:$B$108)-ROW('Decision Queue_Bak'!$B$5)+1)/(('Decision Queue_Bak'!$B$5:$B$108&lt;&gt;"")*('Decision Queue_Bak'!$W$5:$W$108="ACTIVE")),24)),IF(OR(_xlpm.x=0,_xlpm.x="0",_xlpm.x="N/A"),"",_xlpm.x)),"")</f>
        <v/>
      </c>
      <c r="D52" s="179" t="str">
        <f t="array" ref="D52">IFERROR(_xlfn.LET(_xlpm.x,INDEX('Decision Queue_Bak'!$E$5:$E$108,_xlfn.AGGREGATE(15,6,(ROW('Decision Queue_Bak'!$B$5:$B$108)-ROW('Decision Queue_Bak'!$B$5)+1)/(('Decision Queue_Bak'!$B$5:$B$108&lt;&gt;"")*('Decision Queue_Bak'!$W$5:$W$108="ACTIVE")),24)),IF(OR(_xlpm.x=0,_xlpm.x="0",_xlpm.x="N/A"),"",_xlpm.x)),"")</f>
        <v/>
      </c>
      <c r="E52" s="178" t="str">
        <f t="array" ref="E52">IFERROR(_xlfn.LET(_xlpm.x,INDEX('Decision Queue_Bak'!$G$5:$G$108,_xlfn.AGGREGATE(15,6,(ROW('Decision Queue_Bak'!$B$5:$B$108)-ROW('Decision Queue_Bak'!$B$5)+1)/(('Decision Queue_Bak'!$B$5:$B$108&lt;&gt;"")*('Decision Queue_Bak'!$W$5:$W$108="ACTIVE")),24)),IF(OR(_xlpm.x=0,_xlpm.x="0",_xlpm.x="N/A"),"",_xlpm.x)),"")</f>
        <v/>
      </c>
      <c r="F52" s="180" t="str">
        <f t="array" ref="F52">IFERROR(_xlfn.LET(_xlpm.x,INDEX('Decision Queue_Bak'!$H$5:$H$108,_xlfn.AGGREGATE(15,6,(ROW('Decision Queue_Bak'!$B$5:$B$108)-ROW('Decision Queue_Bak'!$B$5)+1)/(('Decision Queue_Bak'!$B$5:$B$108&lt;&gt;"")*('Decision Queue_Bak'!$W$5:$W$108="ACTIVE")),24)),IF(OR(_xlpm.x=0,_xlpm.x="0",_xlpm.x="N/A"),"",_xlpm.x)),"")</f>
        <v/>
      </c>
      <c r="G52" s="180" t="str">
        <f t="array" ref="G52">IFERROR(_xlfn.LET(_xlpm.x,INDEX('Decision Queue_Bak'!$K$5:$K$108,_xlfn.AGGREGATE(15,6,(ROW('Decision Queue_Bak'!$B$5:$B$108)-ROW('Decision Queue_Bak'!$B$5)+1)/(('Decision Queue_Bak'!$B$5:$B$108&lt;&gt;"")*('Decision Queue_Bak'!$W$5:$W$108="ACTIVE")),24)),IF(OR(_xlpm.x=0,_xlpm.x="0",_xlpm.x="N/A"),"",_xlpm.x)),"")</f>
        <v/>
      </c>
      <c r="H52" s="180" t="str">
        <f t="array" ref="H52">IFERROR(_xlfn.LET(_xlpm.x,INDEX('Decision Queue_Bak'!$J$5:$J$108,_xlfn.AGGREGATE(15,6,(ROW('Decision Queue_Bak'!$B$5:$B$108)-ROW('Decision Queue_Bak'!$B$5)+1)/(('Decision Queue_Bak'!$B$5:$B$108&lt;&gt;"")*('Decision Queue_Bak'!$W$5:$W$108="ACTIVE")),24)),IF(OR(_xlpm.x=0,_xlpm.x="0",_xlpm.x="N/A"),"",_xlpm.x)),"")</f>
        <v/>
      </c>
      <c r="I52" s="180" t="str">
        <f t="array" ref="I52">IFERROR(_xlfn.LET(_xlpm.x,INDEX('Decision Queue_Bak'!$I$5:$I$108,_xlfn.AGGREGATE(15,6,(ROW('Decision Queue_Bak'!$B$5:$B$108)-ROW('Decision Queue_Bak'!$B$5)+1)/(('Decision Queue_Bak'!$B$5:$B$108&lt;&gt;"")*('Decision Queue_Bak'!$W$5:$W$108="ACTIVE")),24)),IF(OR(_xlpm.x=0,_xlpm.x="0",_xlpm.x="N/A"),"",_xlpm.x)),"")</f>
        <v/>
      </c>
      <c r="J52" s="180" t="str">
        <f t="array" ref="J52">IFERROR(_xlfn.LET(_xlpm.x,INDEX('Decision Queue_Bak'!$C$5:$C$108,_xlfn.AGGREGATE(15,6,(ROW('Decision Queue_Bak'!$B$5:$B$108)-ROW('Decision Queue_Bak'!$B$5)+1)/(('Decision Queue_Bak'!$B$5:$B$108&lt;&gt;"")*('Decision Queue_Bak'!$W$5:$W$108="ACTIVE")),24)),IF(OR(_xlpm.x=0,_xlpm.x="0",_xlpm.x="N/A"),"",_xlpm.x)),"")</f>
        <v/>
      </c>
      <c r="K52" s="179" t="str">
        <f t="array" ref="K52">IFERROR(_xlfn.LET(_xlpm.x,INDEX('Decision Queue_Bak'!$R$5:$R$108,_xlfn.AGGREGATE(15,6,(ROW('Decision Queue_Bak'!$B$5:$B$108)-ROW('Decision Queue_Bak'!$B$5)+1)/(('Decision Queue_Bak'!$B$5:$B$108&lt;&gt;"")*('Decision Queue_Bak'!$W$5:$W$108="ACTIVE")),24)),IF(OR(_xlpm.x=0,_xlpm.x="0",_xlpm.x="N/A"),"",_xlpm.x)),"")</f>
        <v/>
      </c>
      <c r="L52" s="180" t="str">
        <f t="array" ref="L52">IFERROR(_xlfn.LET(_xlpm.x,INDEX('Decision Queue_Bak'!$P$5:$P$108,_xlfn.AGGREGATE(15,6,(ROW('Decision Queue_Bak'!$B$5:$B$108)-ROW('Decision Queue_Bak'!$B$5)+1)/(('Decision Queue_Bak'!$B$5:$B$108&lt;&gt;"")*('Decision Queue_Bak'!$W$5:$W$108="ACTIVE")),24)),IF(OR(_xlpm.x=0,_xlpm.x="0",_xlpm.x="N/A"),"",_xlpm.x)),"")</f>
        <v/>
      </c>
    </row>
    <row r="53" spans="1:12">
      <c r="A53" s="100" t="str">
        <f>IF(A52="","",A52&amp;" cont.")</f>
        <v/>
      </c>
      <c r="B53" s="181" t="str">
        <f t="array" ref="B53">IFERROR(_xlfn.LET(_xlpm.x,INDEX('Decision Queue_Bak'!$F$5:$F$108,_xlfn.AGGREGATE(15,6,(ROW('Decision Queue_Bak'!$B$5:$B$108)-ROW('Decision Queue_Bak'!$B$5)+1)/(('Decision Queue_Bak'!$B$5:$B$108&lt;&gt;"")*('Decision Queue_Bak'!$W$5:$W$108="ACTIVE")),24)),IF(OR(_xlpm.x=0,_xlpm.x="0",_xlpm.x="N/A"),"",_xlpm.x)),"")</f>
        <v/>
      </c>
      <c r="C53" s="181" t="str">
        <f t="array" ref="C53">IFERROR(_xlfn.LET(_xlpm.x,INDEX('Decision Queue_Bak'!$Q$5:$Q$108,_xlfn.AGGREGATE(15,6,(ROW('Decision Queue_Bak'!$B$5:$B$108)-ROW('Decision Queue_Bak'!$B$5)+1)/(('Decision Queue_Bak'!$B$5:$B$108&lt;&gt;"")*('Decision Queue_Bak'!$W$5:$W$108="ACTIVE")),24)),IF(OR(_xlpm.x=0,_xlpm.x="0",_xlpm.x="N/A"),"",_xlpm.x)),"")</f>
        <v/>
      </c>
      <c r="D53" s="182" t="str">
        <f t="array" ref="D53">IFERROR(_xlfn.LET(_xlpm.x,INDEX('Decision Queue_Bak'!$M$5:$M$108,_xlfn.AGGREGATE(15,6,(ROW('Decision Queue_Bak'!$B$5:$B$108)-ROW('Decision Queue_Bak'!$B$5)+1)/(('Decision Queue_Bak'!$B$5:$B$108&lt;&gt;"")*('Decision Queue_Bak'!$W$5:$W$108="ACTIVE")),24)),IF(OR(_xlpm.x=0,_xlpm.x="0",_xlpm.x="N/A"),"",_xlpm.x)),"")</f>
        <v/>
      </c>
      <c r="E53" s="181" t="str">
        <f t="array" ref="E53">IFERROR(_xlfn.LET(_xlpm.x,INDEX('Decision Queue_Bak'!$N$5:$N$108,_xlfn.AGGREGATE(15,6,(ROW('Decision Queue_Bak'!$B$5:$B$108)-ROW('Decision Queue_Bak'!$B$5)+1)/(('Decision Queue_Bak'!$B$5:$B$108&lt;&gt;"")*('Decision Queue_Bak'!$W$5:$W$108="ACTIVE")),24)),IF(OR(_xlpm.x=0,_xlpm.x="0",_xlpm.x="N/A"),"",_xlpm.x)),"")</f>
        <v/>
      </c>
      <c r="F53" s="181" t="str">
        <f t="array" ref="F53">IFERROR(_xlfn.LET(_xlpm.x,INDEX('Decision Queue_Bak'!$L$5:$L$108,_xlfn.AGGREGATE(15,6,(ROW('Decision Queue_Bak'!$B$5:$B$108)-ROW('Decision Queue_Bak'!$B$5)+1)/(('Decision Queue_Bak'!$B$5:$B$108&lt;&gt;"")*('Decision Queue_Bak'!$W$5:$W$108="ACTIVE")),24)),IF(OR(_xlpm.x=0,_xlpm.x="0",_xlpm.x="N/A"),"",_xlpm.x)),"")</f>
        <v/>
      </c>
      <c r="G53" s="181" t="str">
        <f t="array" ref="G53">IFERROR(_xlfn.LET(_xlpm.x,INDEX('Decision Queue_Bak'!$S$5:$S$108,_xlfn.AGGREGATE(15,6,(ROW('Decision Queue_Bak'!$B$5:$B$108)-ROW('Decision Queue_Bak'!$B$5)+1)/(('Decision Queue_Bak'!$B$5:$B$108&lt;&gt;"")*('Decision Queue_Bak'!$W$5:$W$108="ACTIVE")),24)),IF(OR(_xlpm.x=0,_xlpm.x="0",_xlpm.x="N/A"),"",_xlpm.x)),"")</f>
        <v/>
      </c>
      <c r="H53" s="181" t="str">
        <f t="array" ref="H53">IFERROR(_xlfn.LET(_xlpm.x,INDEX('Decision Queue_Bak'!$O$5:$O$108,_xlfn.AGGREGATE(15,6,(ROW('Decision Queue_Bak'!$B$5:$B$108)-ROW('Decision Queue_Bak'!$B$5)+1)/(('Decision Queue_Bak'!$B$5:$B$108&lt;&gt;"")*('Decision Queue_Bak'!$W$5:$W$108="ACTIVE")),24)),IF(OR(_xlpm.x=0,_xlpm.x="0",_xlpm.x="N/A"),"",_xlpm.x)),"")</f>
        <v/>
      </c>
      <c r="I53" s="181" t="str">
        <f t="array" ref="I53">IFERROR(_xlfn.LET(_xlpm.x,INDEX('Decision Queue_Bak'!$T$5:$T$108,_xlfn.AGGREGATE(15,6,(ROW('Decision Queue_Bak'!$B$5:$B$108)-ROW('Decision Queue_Bak'!$B$5)+1)/(('Decision Queue_Bak'!$B$5:$B$108&lt;&gt;"")*('Decision Queue_Bak'!$W$5:$W$108="ACTIVE")),24)),IF(OR(_xlpm.x=0,_xlpm.x="0",_xlpm.x="N/A"),"",_xlpm.x)),"")</f>
        <v/>
      </c>
      <c r="J53" s="181" t="str">
        <f t="array" ref="J53">IFERROR(_xlfn.LET(_xlpm.x,INDEX('Decision Queue_Bak'!$U$5:$U$108,_xlfn.AGGREGATE(15,6,(ROW('Decision Queue_Bak'!$B$5:$B$108)-ROW('Decision Queue_Bak'!$B$5)+1)/(('Decision Queue_Bak'!$B$5:$B$108&lt;&gt;"")*('Decision Queue_Bak'!$W$5:$W$108="ACTIVE")),24)),IF(OR(_xlpm.x=0,_xlpm.x="0",_xlpm.x="N/A"),"",_xlpm.x)),"")</f>
        <v/>
      </c>
      <c r="K53" s="182"/>
      <c r="L53" s="181"/>
    </row>
    <row r="54" spans="1:12">
      <c r="A54" s="177" t="str">
        <f t="array" ref="A54">IFERROR(_xlfn.LET(_xlpm.x,INDEX('Decision Queue_Bak'!$A$5:$A$108,_xlfn.AGGREGATE(15,6,(ROW('Decision Queue_Bak'!$B$5:$B$108)-ROW('Decision Queue_Bak'!$B$5)+1)/(('Decision Queue_Bak'!$B$5:$B$108&lt;&gt;"")*('Decision Queue_Bak'!$W$5:$W$108="ACTIVE")),25)),IF(OR(_xlpm.x=0,_xlpm.x="0",_xlpm.x="N/A"),"",_xlpm.x)),"")</f>
        <v/>
      </c>
      <c r="B54" s="172" t="str">
        <f t="array" ref="B54">IFERROR(_xlfn.LET(_xlpm.x,INDEX('Decision Queue_Bak'!$B$5:$B$108,_xlfn.AGGREGATE(15,6,(ROW('Decision Queue_Bak'!$B$5:$B$108)-ROW('Decision Queue_Bak'!$B$5)+1)/(('Decision Queue_Bak'!$B$5:$B$108&lt;&gt;"")*('Decision Queue_Bak'!$W$5:$W$108="ACTIVE")),25)),IF(OR(_xlpm.x=0,_xlpm.x="0",_xlpm.x="N/A"),"",_xlpm.x)),"")</f>
        <v/>
      </c>
      <c r="C54" s="172" t="str">
        <f t="array" ref="C54">IFERROR(_xlfn.LET(_xlpm.x,INDEX('Decision Queue_Bak'!$D$5:$D$108,_xlfn.AGGREGATE(15,6,(ROW('Decision Queue_Bak'!$B$5:$B$108)-ROW('Decision Queue_Bak'!$B$5)+1)/(('Decision Queue_Bak'!$B$5:$B$108&lt;&gt;"")*('Decision Queue_Bak'!$W$5:$W$108="ACTIVE")),25)),IF(OR(_xlpm.x=0,_xlpm.x="0",_xlpm.x="N/A"),"",_xlpm.x)),"")</f>
        <v/>
      </c>
      <c r="D54" s="173" t="str">
        <f t="array" ref="D54">IFERROR(_xlfn.LET(_xlpm.x,INDEX('Decision Queue_Bak'!$E$5:$E$108,_xlfn.AGGREGATE(15,6,(ROW('Decision Queue_Bak'!$B$5:$B$108)-ROW('Decision Queue_Bak'!$B$5)+1)/(('Decision Queue_Bak'!$B$5:$B$108&lt;&gt;"")*('Decision Queue_Bak'!$W$5:$W$108="ACTIVE")),25)),IF(OR(_xlpm.x=0,_xlpm.x="0",_xlpm.x="N/A"),"",_xlpm.x)),"")</f>
        <v/>
      </c>
      <c r="E54" s="172" t="str">
        <f t="array" ref="E54">IFERROR(_xlfn.LET(_xlpm.x,INDEX('Decision Queue_Bak'!$G$5:$G$108,_xlfn.AGGREGATE(15,6,(ROW('Decision Queue_Bak'!$B$5:$B$108)-ROW('Decision Queue_Bak'!$B$5)+1)/(('Decision Queue_Bak'!$B$5:$B$108&lt;&gt;"")*('Decision Queue_Bak'!$W$5:$W$108="ACTIVE")),25)),IF(OR(_xlpm.x=0,_xlpm.x="0",_xlpm.x="N/A"),"",_xlpm.x)),"")</f>
        <v/>
      </c>
      <c r="F54" s="174" t="str">
        <f t="array" ref="F54">IFERROR(_xlfn.LET(_xlpm.x,INDEX('Decision Queue_Bak'!$H$5:$H$108,_xlfn.AGGREGATE(15,6,(ROW('Decision Queue_Bak'!$B$5:$B$108)-ROW('Decision Queue_Bak'!$B$5)+1)/(('Decision Queue_Bak'!$B$5:$B$108&lt;&gt;"")*('Decision Queue_Bak'!$W$5:$W$108="ACTIVE")),25)),IF(OR(_xlpm.x=0,_xlpm.x="0",_xlpm.x="N/A"),"",_xlpm.x)),"")</f>
        <v/>
      </c>
      <c r="G54" s="174" t="str">
        <f t="array" ref="G54">IFERROR(_xlfn.LET(_xlpm.x,INDEX('Decision Queue_Bak'!$K$5:$K$108,_xlfn.AGGREGATE(15,6,(ROW('Decision Queue_Bak'!$B$5:$B$108)-ROW('Decision Queue_Bak'!$B$5)+1)/(('Decision Queue_Bak'!$B$5:$B$108&lt;&gt;"")*('Decision Queue_Bak'!$W$5:$W$108="ACTIVE")),25)),IF(OR(_xlpm.x=0,_xlpm.x="0",_xlpm.x="N/A"),"",_xlpm.x)),"")</f>
        <v/>
      </c>
      <c r="H54" s="174" t="str">
        <f t="array" ref="H54">IFERROR(_xlfn.LET(_xlpm.x,INDEX('Decision Queue_Bak'!$J$5:$J$108,_xlfn.AGGREGATE(15,6,(ROW('Decision Queue_Bak'!$B$5:$B$108)-ROW('Decision Queue_Bak'!$B$5)+1)/(('Decision Queue_Bak'!$B$5:$B$108&lt;&gt;"")*('Decision Queue_Bak'!$W$5:$W$108="ACTIVE")),25)),IF(OR(_xlpm.x=0,_xlpm.x="0",_xlpm.x="N/A"),"",_xlpm.x)),"")</f>
        <v/>
      </c>
      <c r="I54" s="174" t="str">
        <f t="array" ref="I54">IFERROR(_xlfn.LET(_xlpm.x,INDEX('Decision Queue_Bak'!$I$5:$I$108,_xlfn.AGGREGATE(15,6,(ROW('Decision Queue_Bak'!$B$5:$B$108)-ROW('Decision Queue_Bak'!$B$5)+1)/(('Decision Queue_Bak'!$B$5:$B$108&lt;&gt;"")*('Decision Queue_Bak'!$W$5:$W$108="ACTIVE")),25)),IF(OR(_xlpm.x=0,_xlpm.x="0",_xlpm.x="N/A"),"",_xlpm.x)),"")</f>
        <v/>
      </c>
      <c r="J54" s="174" t="str">
        <f t="array" ref="J54">IFERROR(_xlfn.LET(_xlpm.x,INDEX('Decision Queue_Bak'!$C$5:$C$108,_xlfn.AGGREGATE(15,6,(ROW('Decision Queue_Bak'!$B$5:$B$108)-ROW('Decision Queue_Bak'!$B$5)+1)/(('Decision Queue_Bak'!$B$5:$B$108&lt;&gt;"")*('Decision Queue_Bak'!$W$5:$W$108="ACTIVE")),25)),IF(OR(_xlpm.x=0,_xlpm.x="0",_xlpm.x="N/A"),"",_xlpm.x)),"")</f>
        <v/>
      </c>
      <c r="K54" s="173" t="str">
        <f t="array" ref="K54">IFERROR(_xlfn.LET(_xlpm.x,INDEX('Decision Queue_Bak'!$R$5:$R$108,_xlfn.AGGREGATE(15,6,(ROW('Decision Queue_Bak'!$B$5:$B$108)-ROW('Decision Queue_Bak'!$B$5)+1)/(('Decision Queue_Bak'!$B$5:$B$108&lt;&gt;"")*('Decision Queue_Bak'!$W$5:$W$108="ACTIVE")),25)),IF(OR(_xlpm.x=0,_xlpm.x="0",_xlpm.x="N/A"),"",_xlpm.x)),"")</f>
        <v/>
      </c>
      <c r="L54" s="174" t="str">
        <f t="array" ref="L54">IFERROR(_xlfn.LET(_xlpm.x,INDEX('Decision Queue_Bak'!$P$5:$P$108,_xlfn.AGGREGATE(15,6,(ROW('Decision Queue_Bak'!$B$5:$B$108)-ROW('Decision Queue_Bak'!$B$5)+1)/(('Decision Queue_Bak'!$B$5:$B$108&lt;&gt;"")*('Decision Queue_Bak'!$W$5:$W$108="ACTIVE")),25)),IF(OR(_xlpm.x=0,_xlpm.x="0",_xlpm.x="N/A"),"",_xlpm.x)),"")</f>
        <v/>
      </c>
    </row>
    <row r="55" spans="1:12">
      <c r="A55" s="99" t="str">
        <f>IF(A54="","",A54&amp;" cont.")</f>
        <v/>
      </c>
      <c r="B55" s="175" t="str">
        <f t="array" ref="B55">IFERROR(_xlfn.LET(_xlpm.x,INDEX('Decision Queue_Bak'!$F$5:$F$108,_xlfn.AGGREGATE(15,6,(ROW('Decision Queue_Bak'!$B$5:$B$108)-ROW('Decision Queue_Bak'!$B$5)+1)/(('Decision Queue_Bak'!$B$5:$B$108&lt;&gt;"")*('Decision Queue_Bak'!$W$5:$W$108="ACTIVE")),25)),IF(OR(_xlpm.x=0,_xlpm.x="0",_xlpm.x="N/A"),"",_xlpm.x)),"")</f>
        <v/>
      </c>
      <c r="C55" s="175" t="str">
        <f t="array" ref="C55">IFERROR(_xlfn.LET(_xlpm.x,INDEX('Decision Queue_Bak'!$Q$5:$Q$108,_xlfn.AGGREGATE(15,6,(ROW('Decision Queue_Bak'!$B$5:$B$108)-ROW('Decision Queue_Bak'!$B$5)+1)/(('Decision Queue_Bak'!$B$5:$B$108&lt;&gt;"")*('Decision Queue_Bak'!$W$5:$W$108="ACTIVE")),25)),IF(OR(_xlpm.x=0,_xlpm.x="0",_xlpm.x="N/A"),"",_xlpm.x)),"")</f>
        <v/>
      </c>
      <c r="D55" s="176" t="str">
        <f t="array" ref="D55">IFERROR(_xlfn.LET(_xlpm.x,INDEX('Decision Queue_Bak'!$M$5:$M$108,_xlfn.AGGREGATE(15,6,(ROW('Decision Queue_Bak'!$B$5:$B$108)-ROW('Decision Queue_Bak'!$B$5)+1)/(('Decision Queue_Bak'!$B$5:$B$108&lt;&gt;"")*('Decision Queue_Bak'!$W$5:$W$108="ACTIVE")),25)),IF(OR(_xlpm.x=0,_xlpm.x="0",_xlpm.x="N/A"),"",_xlpm.x)),"")</f>
        <v/>
      </c>
      <c r="E55" s="175" t="str">
        <f t="array" ref="E55">IFERROR(_xlfn.LET(_xlpm.x,INDEX('Decision Queue_Bak'!$N$5:$N$108,_xlfn.AGGREGATE(15,6,(ROW('Decision Queue_Bak'!$B$5:$B$108)-ROW('Decision Queue_Bak'!$B$5)+1)/(('Decision Queue_Bak'!$B$5:$B$108&lt;&gt;"")*('Decision Queue_Bak'!$W$5:$W$108="ACTIVE")),25)),IF(OR(_xlpm.x=0,_xlpm.x="0",_xlpm.x="N/A"),"",_xlpm.x)),"")</f>
        <v/>
      </c>
      <c r="F55" s="175" t="str">
        <f t="array" ref="F55">IFERROR(_xlfn.LET(_xlpm.x,INDEX('Decision Queue_Bak'!$L$5:$L$108,_xlfn.AGGREGATE(15,6,(ROW('Decision Queue_Bak'!$B$5:$B$108)-ROW('Decision Queue_Bak'!$B$5)+1)/(('Decision Queue_Bak'!$B$5:$B$108&lt;&gt;"")*('Decision Queue_Bak'!$W$5:$W$108="ACTIVE")),25)),IF(OR(_xlpm.x=0,_xlpm.x="0",_xlpm.x="N/A"),"",_xlpm.x)),"")</f>
        <v/>
      </c>
      <c r="G55" s="175" t="str">
        <f t="array" ref="G55">IFERROR(_xlfn.LET(_xlpm.x,INDEX('Decision Queue_Bak'!$S$5:$S$108,_xlfn.AGGREGATE(15,6,(ROW('Decision Queue_Bak'!$B$5:$B$108)-ROW('Decision Queue_Bak'!$B$5)+1)/(('Decision Queue_Bak'!$B$5:$B$108&lt;&gt;"")*('Decision Queue_Bak'!$W$5:$W$108="ACTIVE")),25)),IF(OR(_xlpm.x=0,_xlpm.x="0",_xlpm.x="N/A"),"",_xlpm.x)),"")</f>
        <v/>
      </c>
      <c r="H55" s="175" t="str">
        <f t="array" ref="H55">IFERROR(_xlfn.LET(_xlpm.x,INDEX('Decision Queue_Bak'!$O$5:$O$108,_xlfn.AGGREGATE(15,6,(ROW('Decision Queue_Bak'!$B$5:$B$108)-ROW('Decision Queue_Bak'!$B$5)+1)/(('Decision Queue_Bak'!$B$5:$B$108&lt;&gt;"")*('Decision Queue_Bak'!$W$5:$W$108="ACTIVE")),25)),IF(OR(_xlpm.x=0,_xlpm.x="0",_xlpm.x="N/A"),"",_xlpm.x)),"")</f>
        <v/>
      </c>
      <c r="I55" s="175" t="str">
        <f t="array" ref="I55">IFERROR(_xlfn.LET(_xlpm.x,INDEX('Decision Queue_Bak'!$T$5:$T$108,_xlfn.AGGREGATE(15,6,(ROW('Decision Queue_Bak'!$B$5:$B$108)-ROW('Decision Queue_Bak'!$B$5)+1)/(('Decision Queue_Bak'!$B$5:$B$108&lt;&gt;"")*('Decision Queue_Bak'!$W$5:$W$108="ACTIVE")),25)),IF(OR(_xlpm.x=0,_xlpm.x="0",_xlpm.x="N/A"),"",_xlpm.x)),"")</f>
        <v/>
      </c>
      <c r="J55" s="175" t="str">
        <f t="array" ref="J55">IFERROR(_xlfn.LET(_xlpm.x,INDEX('Decision Queue_Bak'!$U$5:$U$108,_xlfn.AGGREGATE(15,6,(ROW('Decision Queue_Bak'!$B$5:$B$108)-ROW('Decision Queue_Bak'!$B$5)+1)/(('Decision Queue_Bak'!$B$5:$B$108&lt;&gt;"")*('Decision Queue_Bak'!$W$5:$W$108="ACTIVE")),25)),IF(OR(_xlpm.x=0,_xlpm.x="0",_xlpm.x="N/A"),"",_xlpm.x)),"")</f>
        <v/>
      </c>
      <c r="K55" s="176"/>
      <c r="L55" s="175"/>
    </row>
    <row r="56" spans="1:12">
      <c r="A56" s="177" t="str">
        <f t="array" ref="A56">IFERROR(_xlfn.LET(_xlpm.x,INDEX('Decision Queue_Bak'!$A$5:$A$108,_xlfn.AGGREGATE(15,6,(ROW('Decision Queue_Bak'!$B$5:$B$108)-ROW('Decision Queue_Bak'!$B$5)+1)/(('Decision Queue_Bak'!$B$5:$B$108&lt;&gt;"")*('Decision Queue_Bak'!$W$5:$W$108="ACTIVE")),26)),IF(OR(_xlpm.x=0,_xlpm.x="0",_xlpm.x="N/A"),"",_xlpm.x)),"")</f>
        <v/>
      </c>
      <c r="B56" s="178" t="str">
        <f t="array" ref="B56">IFERROR(_xlfn.LET(_xlpm.x,INDEX('Decision Queue_Bak'!$B$5:$B$108,_xlfn.AGGREGATE(15,6,(ROW('Decision Queue_Bak'!$B$5:$B$108)-ROW('Decision Queue_Bak'!$B$5)+1)/(('Decision Queue_Bak'!$B$5:$B$108&lt;&gt;"")*('Decision Queue_Bak'!$W$5:$W$108="ACTIVE")),26)),IF(OR(_xlpm.x=0,_xlpm.x="0",_xlpm.x="N/A"),"",_xlpm.x)),"")</f>
        <v/>
      </c>
      <c r="C56" s="178" t="str">
        <f t="array" ref="C56">IFERROR(_xlfn.LET(_xlpm.x,INDEX('Decision Queue_Bak'!$D$5:$D$108,_xlfn.AGGREGATE(15,6,(ROW('Decision Queue_Bak'!$B$5:$B$108)-ROW('Decision Queue_Bak'!$B$5)+1)/(('Decision Queue_Bak'!$B$5:$B$108&lt;&gt;"")*('Decision Queue_Bak'!$W$5:$W$108="ACTIVE")),26)),IF(OR(_xlpm.x=0,_xlpm.x="0",_xlpm.x="N/A"),"",_xlpm.x)),"")</f>
        <v/>
      </c>
      <c r="D56" s="179" t="str">
        <f t="array" ref="D56">IFERROR(_xlfn.LET(_xlpm.x,INDEX('Decision Queue_Bak'!$E$5:$E$108,_xlfn.AGGREGATE(15,6,(ROW('Decision Queue_Bak'!$B$5:$B$108)-ROW('Decision Queue_Bak'!$B$5)+1)/(('Decision Queue_Bak'!$B$5:$B$108&lt;&gt;"")*('Decision Queue_Bak'!$W$5:$W$108="ACTIVE")),26)),IF(OR(_xlpm.x=0,_xlpm.x="0",_xlpm.x="N/A"),"",_xlpm.x)),"")</f>
        <v/>
      </c>
      <c r="E56" s="178" t="str">
        <f t="array" ref="E56">IFERROR(_xlfn.LET(_xlpm.x,INDEX('Decision Queue_Bak'!$G$5:$G$108,_xlfn.AGGREGATE(15,6,(ROW('Decision Queue_Bak'!$B$5:$B$108)-ROW('Decision Queue_Bak'!$B$5)+1)/(('Decision Queue_Bak'!$B$5:$B$108&lt;&gt;"")*('Decision Queue_Bak'!$W$5:$W$108="ACTIVE")),26)),IF(OR(_xlpm.x=0,_xlpm.x="0",_xlpm.x="N/A"),"",_xlpm.x)),"")</f>
        <v/>
      </c>
      <c r="F56" s="180" t="str">
        <f t="array" ref="F56">IFERROR(_xlfn.LET(_xlpm.x,INDEX('Decision Queue_Bak'!$H$5:$H$108,_xlfn.AGGREGATE(15,6,(ROW('Decision Queue_Bak'!$B$5:$B$108)-ROW('Decision Queue_Bak'!$B$5)+1)/(('Decision Queue_Bak'!$B$5:$B$108&lt;&gt;"")*('Decision Queue_Bak'!$W$5:$W$108="ACTIVE")),26)),IF(OR(_xlpm.x=0,_xlpm.x="0",_xlpm.x="N/A"),"",_xlpm.x)),"")</f>
        <v/>
      </c>
      <c r="G56" s="180" t="str">
        <f t="array" ref="G56">IFERROR(_xlfn.LET(_xlpm.x,INDEX('Decision Queue_Bak'!$K$5:$K$108,_xlfn.AGGREGATE(15,6,(ROW('Decision Queue_Bak'!$B$5:$B$108)-ROW('Decision Queue_Bak'!$B$5)+1)/(('Decision Queue_Bak'!$B$5:$B$108&lt;&gt;"")*('Decision Queue_Bak'!$W$5:$W$108="ACTIVE")),26)),IF(OR(_xlpm.x=0,_xlpm.x="0",_xlpm.x="N/A"),"",_xlpm.x)),"")</f>
        <v/>
      </c>
      <c r="H56" s="180" t="str">
        <f t="array" ref="H56">IFERROR(_xlfn.LET(_xlpm.x,INDEX('Decision Queue_Bak'!$J$5:$J$108,_xlfn.AGGREGATE(15,6,(ROW('Decision Queue_Bak'!$B$5:$B$108)-ROW('Decision Queue_Bak'!$B$5)+1)/(('Decision Queue_Bak'!$B$5:$B$108&lt;&gt;"")*('Decision Queue_Bak'!$W$5:$W$108="ACTIVE")),26)),IF(OR(_xlpm.x=0,_xlpm.x="0",_xlpm.x="N/A"),"",_xlpm.x)),"")</f>
        <v/>
      </c>
      <c r="I56" s="180" t="str">
        <f t="array" ref="I56">IFERROR(_xlfn.LET(_xlpm.x,INDEX('Decision Queue_Bak'!$I$5:$I$108,_xlfn.AGGREGATE(15,6,(ROW('Decision Queue_Bak'!$B$5:$B$108)-ROW('Decision Queue_Bak'!$B$5)+1)/(('Decision Queue_Bak'!$B$5:$B$108&lt;&gt;"")*('Decision Queue_Bak'!$W$5:$W$108="ACTIVE")),26)),IF(OR(_xlpm.x=0,_xlpm.x="0",_xlpm.x="N/A"),"",_xlpm.x)),"")</f>
        <v/>
      </c>
      <c r="J56" s="180" t="str">
        <f t="array" ref="J56">IFERROR(_xlfn.LET(_xlpm.x,INDEX('Decision Queue_Bak'!$C$5:$C$108,_xlfn.AGGREGATE(15,6,(ROW('Decision Queue_Bak'!$B$5:$B$108)-ROW('Decision Queue_Bak'!$B$5)+1)/(('Decision Queue_Bak'!$B$5:$B$108&lt;&gt;"")*('Decision Queue_Bak'!$W$5:$W$108="ACTIVE")),26)),IF(OR(_xlpm.x=0,_xlpm.x="0",_xlpm.x="N/A"),"",_xlpm.x)),"")</f>
        <v/>
      </c>
      <c r="K56" s="179" t="str">
        <f t="array" ref="K56">IFERROR(_xlfn.LET(_xlpm.x,INDEX('Decision Queue_Bak'!$R$5:$R$108,_xlfn.AGGREGATE(15,6,(ROW('Decision Queue_Bak'!$B$5:$B$108)-ROW('Decision Queue_Bak'!$B$5)+1)/(('Decision Queue_Bak'!$B$5:$B$108&lt;&gt;"")*('Decision Queue_Bak'!$W$5:$W$108="ACTIVE")),26)),IF(OR(_xlpm.x=0,_xlpm.x="0",_xlpm.x="N/A"),"",_xlpm.x)),"")</f>
        <v/>
      </c>
      <c r="L56" s="180" t="str">
        <f t="array" ref="L56">IFERROR(_xlfn.LET(_xlpm.x,INDEX('Decision Queue_Bak'!$P$5:$P$108,_xlfn.AGGREGATE(15,6,(ROW('Decision Queue_Bak'!$B$5:$B$108)-ROW('Decision Queue_Bak'!$B$5)+1)/(('Decision Queue_Bak'!$B$5:$B$108&lt;&gt;"")*('Decision Queue_Bak'!$W$5:$W$108="ACTIVE")),26)),IF(OR(_xlpm.x=0,_xlpm.x="0",_xlpm.x="N/A"),"",_xlpm.x)),"")</f>
        <v/>
      </c>
    </row>
    <row r="57" spans="1:12">
      <c r="A57" s="100" t="str">
        <f>IF(A56="","",A56&amp;" cont.")</f>
        <v/>
      </c>
      <c r="B57" s="181" t="str">
        <f t="array" ref="B57">IFERROR(_xlfn.LET(_xlpm.x,INDEX('Decision Queue_Bak'!$F$5:$F$108,_xlfn.AGGREGATE(15,6,(ROW('Decision Queue_Bak'!$B$5:$B$108)-ROW('Decision Queue_Bak'!$B$5)+1)/(('Decision Queue_Bak'!$B$5:$B$108&lt;&gt;"")*('Decision Queue_Bak'!$W$5:$W$108="ACTIVE")),26)),IF(OR(_xlpm.x=0,_xlpm.x="0",_xlpm.x="N/A"),"",_xlpm.x)),"")</f>
        <v/>
      </c>
      <c r="C57" s="181" t="str">
        <f t="array" ref="C57">IFERROR(_xlfn.LET(_xlpm.x,INDEX('Decision Queue_Bak'!$Q$5:$Q$108,_xlfn.AGGREGATE(15,6,(ROW('Decision Queue_Bak'!$B$5:$B$108)-ROW('Decision Queue_Bak'!$B$5)+1)/(('Decision Queue_Bak'!$B$5:$B$108&lt;&gt;"")*('Decision Queue_Bak'!$W$5:$W$108="ACTIVE")),26)),IF(OR(_xlpm.x=0,_xlpm.x="0",_xlpm.x="N/A"),"",_xlpm.x)),"")</f>
        <v/>
      </c>
      <c r="D57" s="182" t="str">
        <f t="array" ref="D57">IFERROR(_xlfn.LET(_xlpm.x,INDEX('Decision Queue_Bak'!$M$5:$M$108,_xlfn.AGGREGATE(15,6,(ROW('Decision Queue_Bak'!$B$5:$B$108)-ROW('Decision Queue_Bak'!$B$5)+1)/(('Decision Queue_Bak'!$B$5:$B$108&lt;&gt;"")*('Decision Queue_Bak'!$W$5:$W$108="ACTIVE")),26)),IF(OR(_xlpm.x=0,_xlpm.x="0",_xlpm.x="N/A"),"",_xlpm.x)),"")</f>
        <v/>
      </c>
      <c r="E57" s="181" t="str">
        <f t="array" ref="E57">IFERROR(_xlfn.LET(_xlpm.x,INDEX('Decision Queue_Bak'!$N$5:$N$108,_xlfn.AGGREGATE(15,6,(ROW('Decision Queue_Bak'!$B$5:$B$108)-ROW('Decision Queue_Bak'!$B$5)+1)/(('Decision Queue_Bak'!$B$5:$B$108&lt;&gt;"")*('Decision Queue_Bak'!$W$5:$W$108="ACTIVE")),26)),IF(OR(_xlpm.x=0,_xlpm.x="0",_xlpm.x="N/A"),"",_xlpm.x)),"")</f>
        <v/>
      </c>
      <c r="F57" s="181" t="str">
        <f t="array" ref="F57">IFERROR(_xlfn.LET(_xlpm.x,INDEX('Decision Queue_Bak'!$L$5:$L$108,_xlfn.AGGREGATE(15,6,(ROW('Decision Queue_Bak'!$B$5:$B$108)-ROW('Decision Queue_Bak'!$B$5)+1)/(('Decision Queue_Bak'!$B$5:$B$108&lt;&gt;"")*('Decision Queue_Bak'!$W$5:$W$108="ACTIVE")),26)),IF(OR(_xlpm.x=0,_xlpm.x="0",_xlpm.x="N/A"),"",_xlpm.x)),"")</f>
        <v/>
      </c>
      <c r="G57" s="181" t="str">
        <f t="array" ref="G57">IFERROR(_xlfn.LET(_xlpm.x,INDEX('Decision Queue_Bak'!$S$5:$S$108,_xlfn.AGGREGATE(15,6,(ROW('Decision Queue_Bak'!$B$5:$B$108)-ROW('Decision Queue_Bak'!$B$5)+1)/(('Decision Queue_Bak'!$B$5:$B$108&lt;&gt;"")*('Decision Queue_Bak'!$W$5:$W$108="ACTIVE")),26)),IF(OR(_xlpm.x=0,_xlpm.x="0",_xlpm.x="N/A"),"",_xlpm.x)),"")</f>
        <v/>
      </c>
      <c r="H57" s="181" t="str">
        <f t="array" ref="H57">IFERROR(_xlfn.LET(_xlpm.x,INDEX('Decision Queue_Bak'!$O$5:$O$108,_xlfn.AGGREGATE(15,6,(ROW('Decision Queue_Bak'!$B$5:$B$108)-ROW('Decision Queue_Bak'!$B$5)+1)/(('Decision Queue_Bak'!$B$5:$B$108&lt;&gt;"")*('Decision Queue_Bak'!$W$5:$W$108="ACTIVE")),26)),IF(OR(_xlpm.x=0,_xlpm.x="0",_xlpm.x="N/A"),"",_xlpm.x)),"")</f>
        <v/>
      </c>
      <c r="I57" s="181" t="str">
        <f t="array" ref="I57">IFERROR(_xlfn.LET(_xlpm.x,INDEX('Decision Queue_Bak'!$T$5:$T$108,_xlfn.AGGREGATE(15,6,(ROW('Decision Queue_Bak'!$B$5:$B$108)-ROW('Decision Queue_Bak'!$B$5)+1)/(('Decision Queue_Bak'!$B$5:$B$108&lt;&gt;"")*('Decision Queue_Bak'!$W$5:$W$108="ACTIVE")),26)),IF(OR(_xlpm.x=0,_xlpm.x="0",_xlpm.x="N/A"),"",_xlpm.x)),"")</f>
        <v/>
      </c>
      <c r="J57" s="181" t="str">
        <f t="array" ref="J57">IFERROR(_xlfn.LET(_xlpm.x,INDEX('Decision Queue_Bak'!$U$5:$U$108,_xlfn.AGGREGATE(15,6,(ROW('Decision Queue_Bak'!$B$5:$B$108)-ROW('Decision Queue_Bak'!$B$5)+1)/(('Decision Queue_Bak'!$B$5:$B$108&lt;&gt;"")*('Decision Queue_Bak'!$W$5:$W$108="ACTIVE")),26)),IF(OR(_xlpm.x=0,_xlpm.x="0",_xlpm.x="N/A"),"",_xlpm.x)),"")</f>
        <v/>
      </c>
      <c r="K57" s="182"/>
      <c r="L57" s="181"/>
    </row>
    <row r="58" spans="1:12">
      <c r="A58" s="177" t="str">
        <f t="array" ref="A58">IFERROR(_xlfn.LET(_xlpm.x,INDEX('Decision Queue_Bak'!$A$5:$A$108,_xlfn.AGGREGATE(15,6,(ROW('Decision Queue_Bak'!$B$5:$B$108)-ROW('Decision Queue_Bak'!$B$5)+1)/(('Decision Queue_Bak'!$B$5:$B$108&lt;&gt;"")*('Decision Queue_Bak'!$W$5:$W$108="ACTIVE")),27)),IF(OR(_xlpm.x=0,_xlpm.x="0",_xlpm.x="N/A"),"",_xlpm.x)),"")</f>
        <v/>
      </c>
      <c r="B58" s="172" t="str">
        <f t="array" ref="B58">IFERROR(_xlfn.LET(_xlpm.x,INDEX('Decision Queue_Bak'!$B$5:$B$108,_xlfn.AGGREGATE(15,6,(ROW('Decision Queue_Bak'!$B$5:$B$108)-ROW('Decision Queue_Bak'!$B$5)+1)/(('Decision Queue_Bak'!$B$5:$B$108&lt;&gt;"")*('Decision Queue_Bak'!$W$5:$W$108="ACTIVE")),27)),IF(OR(_xlpm.x=0,_xlpm.x="0",_xlpm.x="N/A"),"",_xlpm.x)),"")</f>
        <v/>
      </c>
      <c r="C58" s="172" t="str">
        <f t="array" ref="C58">IFERROR(_xlfn.LET(_xlpm.x,INDEX('Decision Queue_Bak'!$D$5:$D$108,_xlfn.AGGREGATE(15,6,(ROW('Decision Queue_Bak'!$B$5:$B$108)-ROW('Decision Queue_Bak'!$B$5)+1)/(('Decision Queue_Bak'!$B$5:$B$108&lt;&gt;"")*('Decision Queue_Bak'!$W$5:$W$108="ACTIVE")),27)),IF(OR(_xlpm.x=0,_xlpm.x="0",_xlpm.x="N/A"),"",_xlpm.x)),"")</f>
        <v/>
      </c>
      <c r="D58" s="173" t="str">
        <f t="array" ref="D58">IFERROR(_xlfn.LET(_xlpm.x,INDEX('Decision Queue_Bak'!$E$5:$E$108,_xlfn.AGGREGATE(15,6,(ROW('Decision Queue_Bak'!$B$5:$B$108)-ROW('Decision Queue_Bak'!$B$5)+1)/(('Decision Queue_Bak'!$B$5:$B$108&lt;&gt;"")*('Decision Queue_Bak'!$W$5:$W$108="ACTIVE")),27)),IF(OR(_xlpm.x=0,_xlpm.x="0",_xlpm.x="N/A"),"",_xlpm.x)),"")</f>
        <v/>
      </c>
      <c r="E58" s="172" t="str">
        <f t="array" ref="E58">IFERROR(_xlfn.LET(_xlpm.x,INDEX('Decision Queue_Bak'!$G$5:$G$108,_xlfn.AGGREGATE(15,6,(ROW('Decision Queue_Bak'!$B$5:$B$108)-ROW('Decision Queue_Bak'!$B$5)+1)/(('Decision Queue_Bak'!$B$5:$B$108&lt;&gt;"")*('Decision Queue_Bak'!$W$5:$W$108="ACTIVE")),27)),IF(OR(_xlpm.x=0,_xlpm.x="0",_xlpm.x="N/A"),"",_xlpm.x)),"")</f>
        <v/>
      </c>
      <c r="F58" s="174" t="str">
        <f t="array" ref="F58">IFERROR(_xlfn.LET(_xlpm.x,INDEX('Decision Queue_Bak'!$H$5:$H$108,_xlfn.AGGREGATE(15,6,(ROW('Decision Queue_Bak'!$B$5:$B$108)-ROW('Decision Queue_Bak'!$B$5)+1)/(('Decision Queue_Bak'!$B$5:$B$108&lt;&gt;"")*('Decision Queue_Bak'!$W$5:$W$108="ACTIVE")),27)),IF(OR(_xlpm.x=0,_xlpm.x="0",_xlpm.x="N/A"),"",_xlpm.x)),"")</f>
        <v/>
      </c>
      <c r="G58" s="174" t="str">
        <f t="array" ref="G58">IFERROR(_xlfn.LET(_xlpm.x,INDEX('Decision Queue_Bak'!$K$5:$K$108,_xlfn.AGGREGATE(15,6,(ROW('Decision Queue_Bak'!$B$5:$B$108)-ROW('Decision Queue_Bak'!$B$5)+1)/(('Decision Queue_Bak'!$B$5:$B$108&lt;&gt;"")*('Decision Queue_Bak'!$W$5:$W$108="ACTIVE")),27)),IF(OR(_xlpm.x=0,_xlpm.x="0",_xlpm.x="N/A"),"",_xlpm.x)),"")</f>
        <v/>
      </c>
      <c r="H58" s="174" t="str">
        <f t="array" ref="H58">IFERROR(_xlfn.LET(_xlpm.x,INDEX('Decision Queue_Bak'!$J$5:$J$108,_xlfn.AGGREGATE(15,6,(ROW('Decision Queue_Bak'!$B$5:$B$108)-ROW('Decision Queue_Bak'!$B$5)+1)/(('Decision Queue_Bak'!$B$5:$B$108&lt;&gt;"")*('Decision Queue_Bak'!$W$5:$W$108="ACTIVE")),27)),IF(OR(_xlpm.x=0,_xlpm.x="0",_xlpm.x="N/A"),"",_xlpm.x)),"")</f>
        <v/>
      </c>
      <c r="I58" s="174" t="str">
        <f t="array" ref="I58">IFERROR(_xlfn.LET(_xlpm.x,INDEX('Decision Queue_Bak'!$I$5:$I$108,_xlfn.AGGREGATE(15,6,(ROW('Decision Queue_Bak'!$B$5:$B$108)-ROW('Decision Queue_Bak'!$B$5)+1)/(('Decision Queue_Bak'!$B$5:$B$108&lt;&gt;"")*('Decision Queue_Bak'!$W$5:$W$108="ACTIVE")),27)),IF(OR(_xlpm.x=0,_xlpm.x="0",_xlpm.x="N/A"),"",_xlpm.x)),"")</f>
        <v/>
      </c>
      <c r="J58" s="174" t="str">
        <f t="array" ref="J58">IFERROR(_xlfn.LET(_xlpm.x,INDEX('Decision Queue_Bak'!$C$5:$C$108,_xlfn.AGGREGATE(15,6,(ROW('Decision Queue_Bak'!$B$5:$B$108)-ROW('Decision Queue_Bak'!$B$5)+1)/(('Decision Queue_Bak'!$B$5:$B$108&lt;&gt;"")*('Decision Queue_Bak'!$W$5:$W$108="ACTIVE")),27)),IF(OR(_xlpm.x=0,_xlpm.x="0",_xlpm.x="N/A"),"",_xlpm.x)),"")</f>
        <v/>
      </c>
      <c r="K58" s="173" t="str">
        <f t="array" ref="K58">IFERROR(_xlfn.LET(_xlpm.x,INDEX('Decision Queue_Bak'!$R$5:$R$108,_xlfn.AGGREGATE(15,6,(ROW('Decision Queue_Bak'!$B$5:$B$108)-ROW('Decision Queue_Bak'!$B$5)+1)/(('Decision Queue_Bak'!$B$5:$B$108&lt;&gt;"")*('Decision Queue_Bak'!$W$5:$W$108="ACTIVE")),27)),IF(OR(_xlpm.x=0,_xlpm.x="0",_xlpm.x="N/A"),"",_xlpm.x)),"")</f>
        <v/>
      </c>
      <c r="L58" s="174" t="str">
        <f t="array" ref="L58">IFERROR(_xlfn.LET(_xlpm.x,INDEX('Decision Queue_Bak'!$P$5:$P$108,_xlfn.AGGREGATE(15,6,(ROW('Decision Queue_Bak'!$B$5:$B$108)-ROW('Decision Queue_Bak'!$B$5)+1)/(('Decision Queue_Bak'!$B$5:$B$108&lt;&gt;"")*('Decision Queue_Bak'!$W$5:$W$108="ACTIVE")),27)),IF(OR(_xlpm.x=0,_xlpm.x="0",_xlpm.x="N/A"),"",_xlpm.x)),"")</f>
        <v/>
      </c>
    </row>
    <row r="59" spans="1:12">
      <c r="A59" s="99" t="str">
        <f>IF(A58="","",A58&amp;" cont.")</f>
        <v/>
      </c>
      <c r="B59" s="175" t="str">
        <f t="array" ref="B59">IFERROR(_xlfn.LET(_xlpm.x,INDEX('Decision Queue_Bak'!$F$5:$F$108,_xlfn.AGGREGATE(15,6,(ROW('Decision Queue_Bak'!$B$5:$B$108)-ROW('Decision Queue_Bak'!$B$5)+1)/(('Decision Queue_Bak'!$B$5:$B$108&lt;&gt;"")*('Decision Queue_Bak'!$W$5:$W$108="ACTIVE")),27)),IF(OR(_xlpm.x=0,_xlpm.x="0",_xlpm.x="N/A"),"",_xlpm.x)),"")</f>
        <v/>
      </c>
      <c r="C59" s="175" t="str">
        <f t="array" ref="C59">IFERROR(_xlfn.LET(_xlpm.x,INDEX('Decision Queue_Bak'!$Q$5:$Q$108,_xlfn.AGGREGATE(15,6,(ROW('Decision Queue_Bak'!$B$5:$B$108)-ROW('Decision Queue_Bak'!$B$5)+1)/(('Decision Queue_Bak'!$B$5:$B$108&lt;&gt;"")*('Decision Queue_Bak'!$W$5:$W$108="ACTIVE")),27)),IF(OR(_xlpm.x=0,_xlpm.x="0",_xlpm.x="N/A"),"",_xlpm.x)),"")</f>
        <v/>
      </c>
      <c r="D59" s="176" t="str">
        <f t="array" ref="D59">IFERROR(_xlfn.LET(_xlpm.x,INDEX('Decision Queue_Bak'!$M$5:$M$108,_xlfn.AGGREGATE(15,6,(ROW('Decision Queue_Bak'!$B$5:$B$108)-ROW('Decision Queue_Bak'!$B$5)+1)/(('Decision Queue_Bak'!$B$5:$B$108&lt;&gt;"")*('Decision Queue_Bak'!$W$5:$W$108="ACTIVE")),27)),IF(OR(_xlpm.x=0,_xlpm.x="0",_xlpm.x="N/A"),"",_xlpm.x)),"")</f>
        <v/>
      </c>
      <c r="E59" s="175" t="str">
        <f t="array" ref="E59">IFERROR(_xlfn.LET(_xlpm.x,INDEX('Decision Queue_Bak'!$N$5:$N$108,_xlfn.AGGREGATE(15,6,(ROW('Decision Queue_Bak'!$B$5:$B$108)-ROW('Decision Queue_Bak'!$B$5)+1)/(('Decision Queue_Bak'!$B$5:$B$108&lt;&gt;"")*('Decision Queue_Bak'!$W$5:$W$108="ACTIVE")),27)),IF(OR(_xlpm.x=0,_xlpm.x="0",_xlpm.x="N/A"),"",_xlpm.x)),"")</f>
        <v/>
      </c>
      <c r="F59" s="175" t="str">
        <f t="array" ref="F59">IFERROR(_xlfn.LET(_xlpm.x,INDEX('Decision Queue_Bak'!$L$5:$L$108,_xlfn.AGGREGATE(15,6,(ROW('Decision Queue_Bak'!$B$5:$B$108)-ROW('Decision Queue_Bak'!$B$5)+1)/(('Decision Queue_Bak'!$B$5:$B$108&lt;&gt;"")*('Decision Queue_Bak'!$W$5:$W$108="ACTIVE")),27)),IF(OR(_xlpm.x=0,_xlpm.x="0",_xlpm.x="N/A"),"",_xlpm.x)),"")</f>
        <v/>
      </c>
      <c r="G59" s="175" t="str">
        <f t="array" ref="G59">IFERROR(_xlfn.LET(_xlpm.x,INDEX('Decision Queue_Bak'!$S$5:$S$108,_xlfn.AGGREGATE(15,6,(ROW('Decision Queue_Bak'!$B$5:$B$108)-ROW('Decision Queue_Bak'!$B$5)+1)/(('Decision Queue_Bak'!$B$5:$B$108&lt;&gt;"")*('Decision Queue_Bak'!$W$5:$W$108="ACTIVE")),27)),IF(OR(_xlpm.x=0,_xlpm.x="0",_xlpm.x="N/A"),"",_xlpm.x)),"")</f>
        <v/>
      </c>
      <c r="H59" s="175" t="str">
        <f t="array" ref="H59">IFERROR(_xlfn.LET(_xlpm.x,INDEX('Decision Queue_Bak'!$O$5:$O$108,_xlfn.AGGREGATE(15,6,(ROW('Decision Queue_Bak'!$B$5:$B$108)-ROW('Decision Queue_Bak'!$B$5)+1)/(('Decision Queue_Bak'!$B$5:$B$108&lt;&gt;"")*('Decision Queue_Bak'!$W$5:$W$108="ACTIVE")),27)),IF(OR(_xlpm.x=0,_xlpm.x="0",_xlpm.x="N/A"),"",_xlpm.x)),"")</f>
        <v/>
      </c>
      <c r="I59" s="175" t="str">
        <f t="array" ref="I59">IFERROR(_xlfn.LET(_xlpm.x,INDEX('Decision Queue_Bak'!$T$5:$T$108,_xlfn.AGGREGATE(15,6,(ROW('Decision Queue_Bak'!$B$5:$B$108)-ROW('Decision Queue_Bak'!$B$5)+1)/(('Decision Queue_Bak'!$B$5:$B$108&lt;&gt;"")*('Decision Queue_Bak'!$W$5:$W$108="ACTIVE")),27)),IF(OR(_xlpm.x=0,_xlpm.x="0",_xlpm.x="N/A"),"",_xlpm.x)),"")</f>
        <v/>
      </c>
      <c r="J59" s="175" t="str">
        <f t="array" ref="J59">IFERROR(_xlfn.LET(_xlpm.x,INDEX('Decision Queue_Bak'!$U$5:$U$108,_xlfn.AGGREGATE(15,6,(ROW('Decision Queue_Bak'!$B$5:$B$108)-ROW('Decision Queue_Bak'!$B$5)+1)/(('Decision Queue_Bak'!$B$5:$B$108&lt;&gt;"")*('Decision Queue_Bak'!$W$5:$W$108="ACTIVE")),27)),IF(OR(_xlpm.x=0,_xlpm.x="0",_xlpm.x="N/A"),"",_xlpm.x)),"")</f>
        <v/>
      </c>
      <c r="K59" s="176"/>
      <c r="L59" s="175"/>
    </row>
    <row r="60" spans="1:12">
      <c r="A60" s="177" t="str">
        <f t="array" ref="A60">IFERROR(_xlfn.LET(_xlpm.x,INDEX('Decision Queue_Bak'!$A$5:$A$108,_xlfn.AGGREGATE(15,6,(ROW('Decision Queue_Bak'!$B$5:$B$108)-ROW('Decision Queue_Bak'!$B$5)+1)/(('Decision Queue_Bak'!$B$5:$B$108&lt;&gt;"")*('Decision Queue_Bak'!$W$5:$W$108="ACTIVE")),28)),IF(OR(_xlpm.x=0,_xlpm.x="0",_xlpm.x="N/A"),"",_xlpm.x)),"")</f>
        <v/>
      </c>
      <c r="B60" s="178" t="str">
        <f t="array" ref="B60">IFERROR(_xlfn.LET(_xlpm.x,INDEX('Decision Queue_Bak'!$B$5:$B$108,_xlfn.AGGREGATE(15,6,(ROW('Decision Queue_Bak'!$B$5:$B$108)-ROW('Decision Queue_Bak'!$B$5)+1)/(('Decision Queue_Bak'!$B$5:$B$108&lt;&gt;"")*('Decision Queue_Bak'!$W$5:$W$108="ACTIVE")),28)),IF(OR(_xlpm.x=0,_xlpm.x="0",_xlpm.x="N/A"),"",_xlpm.x)),"")</f>
        <v/>
      </c>
      <c r="C60" s="178" t="str">
        <f t="array" ref="C60">IFERROR(_xlfn.LET(_xlpm.x,INDEX('Decision Queue_Bak'!$D$5:$D$108,_xlfn.AGGREGATE(15,6,(ROW('Decision Queue_Bak'!$B$5:$B$108)-ROW('Decision Queue_Bak'!$B$5)+1)/(('Decision Queue_Bak'!$B$5:$B$108&lt;&gt;"")*('Decision Queue_Bak'!$W$5:$W$108="ACTIVE")),28)),IF(OR(_xlpm.x=0,_xlpm.x="0",_xlpm.x="N/A"),"",_xlpm.x)),"")</f>
        <v/>
      </c>
      <c r="D60" s="179" t="str">
        <f t="array" ref="D60">IFERROR(_xlfn.LET(_xlpm.x,INDEX('Decision Queue_Bak'!$E$5:$E$108,_xlfn.AGGREGATE(15,6,(ROW('Decision Queue_Bak'!$B$5:$B$108)-ROW('Decision Queue_Bak'!$B$5)+1)/(('Decision Queue_Bak'!$B$5:$B$108&lt;&gt;"")*('Decision Queue_Bak'!$W$5:$W$108="ACTIVE")),28)),IF(OR(_xlpm.x=0,_xlpm.x="0",_xlpm.x="N/A"),"",_xlpm.x)),"")</f>
        <v/>
      </c>
      <c r="E60" s="178" t="str">
        <f t="array" ref="E60">IFERROR(_xlfn.LET(_xlpm.x,INDEX('Decision Queue_Bak'!$G$5:$G$108,_xlfn.AGGREGATE(15,6,(ROW('Decision Queue_Bak'!$B$5:$B$108)-ROW('Decision Queue_Bak'!$B$5)+1)/(('Decision Queue_Bak'!$B$5:$B$108&lt;&gt;"")*('Decision Queue_Bak'!$W$5:$W$108="ACTIVE")),28)),IF(OR(_xlpm.x=0,_xlpm.x="0",_xlpm.x="N/A"),"",_xlpm.x)),"")</f>
        <v/>
      </c>
      <c r="F60" s="180" t="str">
        <f t="array" ref="F60">IFERROR(_xlfn.LET(_xlpm.x,INDEX('Decision Queue_Bak'!$H$5:$H$108,_xlfn.AGGREGATE(15,6,(ROW('Decision Queue_Bak'!$B$5:$B$108)-ROW('Decision Queue_Bak'!$B$5)+1)/(('Decision Queue_Bak'!$B$5:$B$108&lt;&gt;"")*('Decision Queue_Bak'!$W$5:$W$108="ACTIVE")),28)),IF(OR(_xlpm.x=0,_xlpm.x="0",_xlpm.x="N/A"),"",_xlpm.x)),"")</f>
        <v/>
      </c>
      <c r="G60" s="180" t="str">
        <f t="array" ref="G60">IFERROR(_xlfn.LET(_xlpm.x,INDEX('Decision Queue_Bak'!$K$5:$K$108,_xlfn.AGGREGATE(15,6,(ROW('Decision Queue_Bak'!$B$5:$B$108)-ROW('Decision Queue_Bak'!$B$5)+1)/(('Decision Queue_Bak'!$B$5:$B$108&lt;&gt;"")*('Decision Queue_Bak'!$W$5:$W$108="ACTIVE")),28)),IF(OR(_xlpm.x=0,_xlpm.x="0",_xlpm.x="N/A"),"",_xlpm.x)),"")</f>
        <v/>
      </c>
      <c r="H60" s="180" t="str">
        <f t="array" ref="H60">IFERROR(_xlfn.LET(_xlpm.x,INDEX('Decision Queue_Bak'!$J$5:$J$108,_xlfn.AGGREGATE(15,6,(ROW('Decision Queue_Bak'!$B$5:$B$108)-ROW('Decision Queue_Bak'!$B$5)+1)/(('Decision Queue_Bak'!$B$5:$B$108&lt;&gt;"")*('Decision Queue_Bak'!$W$5:$W$108="ACTIVE")),28)),IF(OR(_xlpm.x=0,_xlpm.x="0",_xlpm.x="N/A"),"",_xlpm.x)),"")</f>
        <v/>
      </c>
      <c r="I60" s="180" t="str">
        <f t="array" ref="I60">IFERROR(_xlfn.LET(_xlpm.x,INDEX('Decision Queue_Bak'!$I$5:$I$108,_xlfn.AGGREGATE(15,6,(ROW('Decision Queue_Bak'!$B$5:$B$108)-ROW('Decision Queue_Bak'!$B$5)+1)/(('Decision Queue_Bak'!$B$5:$B$108&lt;&gt;"")*('Decision Queue_Bak'!$W$5:$W$108="ACTIVE")),28)),IF(OR(_xlpm.x=0,_xlpm.x="0",_xlpm.x="N/A"),"",_xlpm.x)),"")</f>
        <v/>
      </c>
      <c r="J60" s="180" t="str">
        <f t="array" ref="J60">IFERROR(_xlfn.LET(_xlpm.x,INDEX('Decision Queue_Bak'!$C$5:$C$108,_xlfn.AGGREGATE(15,6,(ROW('Decision Queue_Bak'!$B$5:$B$108)-ROW('Decision Queue_Bak'!$B$5)+1)/(('Decision Queue_Bak'!$B$5:$B$108&lt;&gt;"")*('Decision Queue_Bak'!$W$5:$W$108="ACTIVE")),28)),IF(OR(_xlpm.x=0,_xlpm.x="0",_xlpm.x="N/A"),"",_xlpm.x)),"")</f>
        <v/>
      </c>
      <c r="K60" s="179" t="str">
        <f t="array" ref="K60">IFERROR(_xlfn.LET(_xlpm.x,INDEX('Decision Queue_Bak'!$R$5:$R$108,_xlfn.AGGREGATE(15,6,(ROW('Decision Queue_Bak'!$B$5:$B$108)-ROW('Decision Queue_Bak'!$B$5)+1)/(('Decision Queue_Bak'!$B$5:$B$108&lt;&gt;"")*('Decision Queue_Bak'!$W$5:$W$108="ACTIVE")),28)),IF(OR(_xlpm.x=0,_xlpm.x="0",_xlpm.x="N/A"),"",_xlpm.x)),"")</f>
        <v/>
      </c>
      <c r="L60" s="180" t="str">
        <f t="array" ref="L60">IFERROR(_xlfn.LET(_xlpm.x,INDEX('Decision Queue_Bak'!$P$5:$P$108,_xlfn.AGGREGATE(15,6,(ROW('Decision Queue_Bak'!$B$5:$B$108)-ROW('Decision Queue_Bak'!$B$5)+1)/(('Decision Queue_Bak'!$B$5:$B$108&lt;&gt;"")*('Decision Queue_Bak'!$W$5:$W$108="ACTIVE")),28)),IF(OR(_xlpm.x=0,_xlpm.x="0",_xlpm.x="N/A"),"",_xlpm.x)),"")</f>
        <v/>
      </c>
    </row>
    <row r="61" spans="1:12">
      <c r="A61" s="100" t="str">
        <f>IF(A60="","",A60&amp;" cont.")</f>
        <v/>
      </c>
      <c r="B61" s="181" t="str">
        <f t="array" ref="B61">IFERROR(_xlfn.LET(_xlpm.x,INDEX('Decision Queue_Bak'!$F$5:$F$108,_xlfn.AGGREGATE(15,6,(ROW('Decision Queue_Bak'!$B$5:$B$108)-ROW('Decision Queue_Bak'!$B$5)+1)/(('Decision Queue_Bak'!$B$5:$B$108&lt;&gt;"")*('Decision Queue_Bak'!$W$5:$W$108="ACTIVE")),28)),IF(OR(_xlpm.x=0,_xlpm.x="0",_xlpm.x="N/A"),"",_xlpm.x)),"")</f>
        <v/>
      </c>
      <c r="C61" s="181" t="str">
        <f t="array" ref="C61">IFERROR(_xlfn.LET(_xlpm.x,INDEX('Decision Queue_Bak'!$Q$5:$Q$108,_xlfn.AGGREGATE(15,6,(ROW('Decision Queue_Bak'!$B$5:$B$108)-ROW('Decision Queue_Bak'!$B$5)+1)/(('Decision Queue_Bak'!$B$5:$B$108&lt;&gt;"")*('Decision Queue_Bak'!$W$5:$W$108="ACTIVE")),28)),IF(OR(_xlpm.x=0,_xlpm.x="0",_xlpm.x="N/A"),"",_xlpm.x)),"")</f>
        <v/>
      </c>
      <c r="D61" s="182" t="str">
        <f t="array" ref="D61">IFERROR(_xlfn.LET(_xlpm.x,INDEX('Decision Queue_Bak'!$M$5:$M$108,_xlfn.AGGREGATE(15,6,(ROW('Decision Queue_Bak'!$B$5:$B$108)-ROW('Decision Queue_Bak'!$B$5)+1)/(('Decision Queue_Bak'!$B$5:$B$108&lt;&gt;"")*('Decision Queue_Bak'!$W$5:$W$108="ACTIVE")),28)),IF(OR(_xlpm.x=0,_xlpm.x="0",_xlpm.x="N/A"),"",_xlpm.x)),"")</f>
        <v/>
      </c>
      <c r="E61" s="181" t="str">
        <f t="array" ref="E61">IFERROR(_xlfn.LET(_xlpm.x,INDEX('Decision Queue_Bak'!$N$5:$N$108,_xlfn.AGGREGATE(15,6,(ROW('Decision Queue_Bak'!$B$5:$B$108)-ROW('Decision Queue_Bak'!$B$5)+1)/(('Decision Queue_Bak'!$B$5:$B$108&lt;&gt;"")*('Decision Queue_Bak'!$W$5:$W$108="ACTIVE")),28)),IF(OR(_xlpm.x=0,_xlpm.x="0",_xlpm.x="N/A"),"",_xlpm.x)),"")</f>
        <v/>
      </c>
      <c r="F61" s="181" t="str">
        <f t="array" ref="F61">IFERROR(_xlfn.LET(_xlpm.x,INDEX('Decision Queue_Bak'!$L$5:$L$108,_xlfn.AGGREGATE(15,6,(ROW('Decision Queue_Bak'!$B$5:$B$108)-ROW('Decision Queue_Bak'!$B$5)+1)/(('Decision Queue_Bak'!$B$5:$B$108&lt;&gt;"")*('Decision Queue_Bak'!$W$5:$W$108="ACTIVE")),28)),IF(OR(_xlpm.x=0,_xlpm.x="0",_xlpm.x="N/A"),"",_xlpm.x)),"")</f>
        <v/>
      </c>
      <c r="G61" s="181" t="str">
        <f t="array" ref="G61">IFERROR(_xlfn.LET(_xlpm.x,INDEX('Decision Queue_Bak'!$S$5:$S$108,_xlfn.AGGREGATE(15,6,(ROW('Decision Queue_Bak'!$B$5:$B$108)-ROW('Decision Queue_Bak'!$B$5)+1)/(('Decision Queue_Bak'!$B$5:$B$108&lt;&gt;"")*('Decision Queue_Bak'!$W$5:$W$108="ACTIVE")),28)),IF(OR(_xlpm.x=0,_xlpm.x="0",_xlpm.x="N/A"),"",_xlpm.x)),"")</f>
        <v/>
      </c>
      <c r="H61" s="181" t="str">
        <f t="array" ref="H61">IFERROR(_xlfn.LET(_xlpm.x,INDEX('Decision Queue_Bak'!$O$5:$O$108,_xlfn.AGGREGATE(15,6,(ROW('Decision Queue_Bak'!$B$5:$B$108)-ROW('Decision Queue_Bak'!$B$5)+1)/(('Decision Queue_Bak'!$B$5:$B$108&lt;&gt;"")*('Decision Queue_Bak'!$W$5:$W$108="ACTIVE")),28)),IF(OR(_xlpm.x=0,_xlpm.x="0",_xlpm.x="N/A"),"",_xlpm.x)),"")</f>
        <v/>
      </c>
      <c r="I61" s="181" t="str">
        <f t="array" ref="I61">IFERROR(_xlfn.LET(_xlpm.x,INDEX('Decision Queue_Bak'!$T$5:$T$108,_xlfn.AGGREGATE(15,6,(ROW('Decision Queue_Bak'!$B$5:$B$108)-ROW('Decision Queue_Bak'!$B$5)+1)/(('Decision Queue_Bak'!$B$5:$B$108&lt;&gt;"")*('Decision Queue_Bak'!$W$5:$W$108="ACTIVE")),28)),IF(OR(_xlpm.x=0,_xlpm.x="0",_xlpm.x="N/A"),"",_xlpm.x)),"")</f>
        <v/>
      </c>
      <c r="J61" s="181" t="str">
        <f t="array" ref="J61">IFERROR(_xlfn.LET(_xlpm.x,INDEX('Decision Queue_Bak'!$U$5:$U$108,_xlfn.AGGREGATE(15,6,(ROW('Decision Queue_Bak'!$B$5:$B$108)-ROW('Decision Queue_Bak'!$B$5)+1)/(('Decision Queue_Bak'!$B$5:$B$108&lt;&gt;"")*('Decision Queue_Bak'!$W$5:$W$108="ACTIVE")),28)),IF(OR(_xlpm.x=0,_xlpm.x="0",_xlpm.x="N/A"),"",_xlpm.x)),"")</f>
        <v/>
      </c>
      <c r="K61" s="182"/>
      <c r="L61" s="181"/>
    </row>
    <row r="62" spans="1:12">
      <c r="A62" s="177" t="str">
        <f t="array" ref="A62">IFERROR(_xlfn.LET(_xlpm.x,INDEX('Decision Queue_Bak'!$A$5:$A$108,_xlfn.AGGREGATE(15,6,(ROW('Decision Queue_Bak'!$B$5:$B$108)-ROW('Decision Queue_Bak'!$B$5)+1)/(('Decision Queue_Bak'!$B$5:$B$108&lt;&gt;"")*('Decision Queue_Bak'!$W$5:$W$108="ACTIVE")),29)),IF(OR(_xlpm.x=0,_xlpm.x="0",_xlpm.x="N/A"),"",_xlpm.x)),"")</f>
        <v/>
      </c>
      <c r="B62" s="172" t="str">
        <f t="array" ref="B62">IFERROR(_xlfn.LET(_xlpm.x,INDEX('Decision Queue_Bak'!$B$5:$B$108,_xlfn.AGGREGATE(15,6,(ROW('Decision Queue_Bak'!$B$5:$B$108)-ROW('Decision Queue_Bak'!$B$5)+1)/(('Decision Queue_Bak'!$B$5:$B$108&lt;&gt;"")*('Decision Queue_Bak'!$W$5:$W$108="ACTIVE")),29)),IF(OR(_xlpm.x=0,_xlpm.x="0",_xlpm.x="N/A"),"",_xlpm.x)),"")</f>
        <v/>
      </c>
      <c r="C62" s="172" t="str">
        <f t="array" ref="C62">IFERROR(_xlfn.LET(_xlpm.x,INDEX('Decision Queue_Bak'!$D$5:$D$108,_xlfn.AGGREGATE(15,6,(ROW('Decision Queue_Bak'!$B$5:$B$108)-ROW('Decision Queue_Bak'!$B$5)+1)/(('Decision Queue_Bak'!$B$5:$B$108&lt;&gt;"")*('Decision Queue_Bak'!$W$5:$W$108="ACTIVE")),29)),IF(OR(_xlpm.x=0,_xlpm.x="0",_xlpm.x="N/A"),"",_xlpm.x)),"")</f>
        <v/>
      </c>
      <c r="D62" s="173" t="str">
        <f t="array" ref="D62">IFERROR(_xlfn.LET(_xlpm.x,INDEX('Decision Queue_Bak'!$E$5:$E$108,_xlfn.AGGREGATE(15,6,(ROW('Decision Queue_Bak'!$B$5:$B$108)-ROW('Decision Queue_Bak'!$B$5)+1)/(('Decision Queue_Bak'!$B$5:$B$108&lt;&gt;"")*('Decision Queue_Bak'!$W$5:$W$108="ACTIVE")),29)),IF(OR(_xlpm.x=0,_xlpm.x="0",_xlpm.x="N/A"),"",_xlpm.x)),"")</f>
        <v/>
      </c>
      <c r="E62" s="172" t="str">
        <f t="array" ref="E62">IFERROR(_xlfn.LET(_xlpm.x,INDEX('Decision Queue_Bak'!$G$5:$G$108,_xlfn.AGGREGATE(15,6,(ROW('Decision Queue_Bak'!$B$5:$B$108)-ROW('Decision Queue_Bak'!$B$5)+1)/(('Decision Queue_Bak'!$B$5:$B$108&lt;&gt;"")*('Decision Queue_Bak'!$W$5:$W$108="ACTIVE")),29)),IF(OR(_xlpm.x=0,_xlpm.x="0",_xlpm.x="N/A"),"",_xlpm.x)),"")</f>
        <v/>
      </c>
      <c r="F62" s="174" t="str">
        <f t="array" ref="F62">IFERROR(_xlfn.LET(_xlpm.x,INDEX('Decision Queue_Bak'!$H$5:$H$108,_xlfn.AGGREGATE(15,6,(ROW('Decision Queue_Bak'!$B$5:$B$108)-ROW('Decision Queue_Bak'!$B$5)+1)/(('Decision Queue_Bak'!$B$5:$B$108&lt;&gt;"")*('Decision Queue_Bak'!$W$5:$W$108="ACTIVE")),29)),IF(OR(_xlpm.x=0,_xlpm.x="0",_xlpm.x="N/A"),"",_xlpm.x)),"")</f>
        <v/>
      </c>
      <c r="G62" s="174" t="str">
        <f t="array" ref="G62">IFERROR(_xlfn.LET(_xlpm.x,INDEX('Decision Queue_Bak'!$K$5:$K$108,_xlfn.AGGREGATE(15,6,(ROW('Decision Queue_Bak'!$B$5:$B$108)-ROW('Decision Queue_Bak'!$B$5)+1)/(('Decision Queue_Bak'!$B$5:$B$108&lt;&gt;"")*('Decision Queue_Bak'!$W$5:$W$108="ACTIVE")),29)),IF(OR(_xlpm.x=0,_xlpm.x="0",_xlpm.x="N/A"),"",_xlpm.x)),"")</f>
        <v/>
      </c>
      <c r="H62" s="174" t="str">
        <f t="array" ref="H62">IFERROR(_xlfn.LET(_xlpm.x,INDEX('Decision Queue_Bak'!$J$5:$J$108,_xlfn.AGGREGATE(15,6,(ROW('Decision Queue_Bak'!$B$5:$B$108)-ROW('Decision Queue_Bak'!$B$5)+1)/(('Decision Queue_Bak'!$B$5:$B$108&lt;&gt;"")*('Decision Queue_Bak'!$W$5:$W$108="ACTIVE")),29)),IF(OR(_xlpm.x=0,_xlpm.x="0",_xlpm.x="N/A"),"",_xlpm.x)),"")</f>
        <v/>
      </c>
      <c r="I62" s="174" t="str">
        <f t="array" ref="I62">IFERROR(_xlfn.LET(_xlpm.x,INDEX('Decision Queue_Bak'!$I$5:$I$108,_xlfn.AGGREGATE(15,6,(ROW('Decision Queue_Bak'!$B$5:$B$108)-ROW('Decision Queue_Bak'!$B$5)+1)/(('Decision Queue_Bak'!$B$5:$B$108&lt;&gt;"")*('Decision Queue_Bak'!$W$5:$W$108="ACTIVE")),29)),IF(OR(_xlpm.x=0,_xlpm.x="0",_xlpm.x="N/A"),"",_xlpm.x)),"")</f>
        <v/>
      </c>
      <c r="J62" s="174" t="str">
        <f t="array" ref="J62">IFERROR(_xlfn.LET(_xlpm.x,INDEX('Decision Queue_Bak'!$C$5:$C$108,_xlfn.AGGREGATE(15,6,(ROW('Decision Queue_Bak'!$B$5:$B$108)-ROW('Decision Queue_Bak'!$B$5)+1)/(('Decision Queue_Bak'!$B$5:$B$108&lt;&gt;"")*('Decision Queue_Bak'!$W$5:$W$108="ACTIVE")),29)),IF(OR(_xlpm.x=0,_xlpm.x="0",_xlpm.x="N/A"),"",_xlpm.x)),"")</f>
        <v/>
      </c>
      <c r="K62" s="173" t="str">
        <f t="array" ref="K62">IFERROR(_xlfn.LET(_xlpm.x,INDEX('Decision Queue_Bak'!$R$5:$R$108,_xlfn.AGGREGATE(15,6,(ROW('Decision Queue_Bak'!$B$5:$B$108)-ROW('Decision Queue_Bak'!$B$5)+1)/(('Decision Queue_Bak'!$B$5:$B$108&lt;&gt;"")*('Decision Queue_Bak'!$W$5:$W$108="ACTIVE")),29)),IF(OR(_xlpm.x=0,_xlpm.x="0",_xlpm.x="N/A"),"",_xlpm.x)),"")</f>
        <v/>
      </c>
      <c r="L62" s="174" t="str">
        <f t="array" ref="L62">IFERROR(_xlfn.LET(_xlpm.x,INDEX('Decision Queue_Bak'!$P$5:$P$108,_xlfn.AGGREGATE(15,6,(ROW('Decision Queue_Bak'!$B$5:$B$108)-ROW('Decision Queue_Bak'!$B$5)+1)/(('Decision Queue_Bak'!$B$5:$B$108&lt;&gt;"")*('Decision Queue_Bak'!$W$5:$W$108="ACTIVE")),29)),IF(OR(_xlpm.x=0,_xlpm.x="0",_xlpm.x="N/A"),"",_xlpm.x)),"")</f>
        <v/>
      </c>
    </row>
    <row r="63" spans="1:12">
      <c r="A63" s="99" t="str">
        <f>IF(A62="","",A62&amp;" cont.")</f>
        <v/>
      </c>
      <c r="B63" s="175" t="str">
        <f t="array" ref="B63">IFERROR(_xlfn.LET(_xlpm.x,INDEX('Decision Queue_Bak'!$F$5:$F$108,_xlfn.AGGREGATE(15,6,(ROW('Decision Queue_Bak'!$B$5:$B$108)-ROW('Decision Queue_Bak'!$B$5)+1)/(('Decision Queue_Bak'!$B$5:$B$108&lt;&gt;"")*('Decision Queue_Bak'!$W$5:$W$108="ACTIVE")),29)),IF(OR(_xlpm.x=0,_xlpm.x="0",_xlpm.x="N/A"),"",_xlpm.x)),"")</f>
        <v/>
      </c>
      <c r="C63" s="175" t="str">
        <f t="array" ref="C63">IFERROR(_xlfn.LET(_xlpm.x,INDEX('Decision Queue_Bak'!$Q$5:$Q$108,_xlfn.AGGREGATE(15,6,(ROW('Decision Queue_Bak'!$B$5:$B$108)-ROW('Decision Queue_Bak'!$B$5)+1)/(('Decision Queue_Bak'!$B$5:$B$108&lt;&gt;"")*('Decision Queue_Bak'!$W$5:$W$108="ACTIVE")),29)),IF(OR(_xlpm.x=0,_xlpm.x="0",_xlpm.x="N/A"),"",_xlpm.x)),"")</f>
        <v/>
      </c>
      <c r="D63" s="176" t="str">
        <f t="array" ref="D63">IFERROR(_xlfn.LET(_xlpm.x,INDEX('Decision Queue_Bak'!$M$5:$M$108,_xlfn.AGGREGATE(15,6,(ROW('Decision Queue_Bak'!$B$5:$B$108)-ROW('Decision Queue_Bak'!$B$5)+1)/(('Decision Queue_Bak'!$B$5:$B$108&lt;&gt;"")*('Decision Queue_Bak'!$W$5:$W$108="ACTIVE")),29)),IF(OR(_xlpm.x=0,_xlpm.x="0",_xlpm.x="N/A"),"",_xlpm.x)),"")</f>
        <v/>
      </c>
      <c r="E63" s="175" t="str">
        <f t="array" ref="E63">IFERROR(_xlfn.LET(_xlpm.x,INDEX('Decision Queue_Bak'!$N$5:$N$108,_xlfn.AGGREGATE(15,6,(ROW('Decision Queue_Bak'!$B$5:$B$108)-ROW('Decision Queue_Bak'!$B$5)+1)/(('Decision Queue_Bak'!$B$5:$B$108&lt;&gt;"")*('Decision Queue_Bak'!$W$5:$W$108="ACTIVE")),29)),IF(OR(_xlpm.x=0,_xlpm.x="0",_xlpm.x="N/A"),"",_xlpm.x)),"")</f>
        <v/>
      </c>
      <c r="F63" s="175" t="str">
        <f t="array" ref="F63">IFERROR(_xlfn.LET(_xlpm.x,INDEX('Decision Queue_Bak'!$L$5:$L$108,_xlfn.AGGREGATE(15,6,(ROW('Decision Queue_Bak'!$B$5:$B$108)-ROW('Decision Queue_Bak'!$B$5)+1)/(('Decision Queue_Bak'!$B$5:$B$108&lt;&gt;"")*('Decision Queue_Bak'!$W$5:$W$108="ACTIVE")),29)),IF(OR(_xlpm.x=0,_xlpm.x="0",_xlpm.x="N/A"),"",_xlpm.x)),"")</f>
        <v/>
      </c>
      <c r="G63" s="175" t="str">
        <f t="array" ref="G63">IFERROR(_xlfn.LET(_xlpm.x,INDEX('Decision Queue_Bak'!$S$5:$S$108,_xlfn.AGGREGATE(15,6,(ROW('Decision Queue_Bak'!$B$5:$B$108)-ROW('Decision Queue_Bak'!$B$5)+1)/(('Decision Queue_Bak'!$B$5:$B$108&lt;&gt;"")*('Decision Queue_Bak'!$W$5:$W$108="ACTIVE")),29)),IF(OR(_xlpm.x=0,_xlpm.x="0",_xlpm.x="N/A"),"",_xlpm.x)),"")</f>
        <v/>
      </c>
      <c r="H63" s="175" t="str">
        <f t="array" ref="H63">IFERROR(_xlfn.LET(_xlpm.x,INDEX('Decision Queue_Bak'!$O$5:$O$108,_xlfn.AGGREGATE(15,6,(ROW('Decision Queue_Bak'!$B$5:$B$108)-ROW('Decision Queue_Bak'!$B$5)+1)/(('Decision Queue_Bak'!$B$5:$B$108&lt;&gt;"")*('Decision Queue_Bak'!$W$5:$W$108="ACTIVE")),29)),IF(OR(_xlpm.x=0,_xlpm.x="0",_xlpm.x="N/A"),"",_xlpm.x)),"")</f>
        <v/>
      </c>
      <c r="I63" s="175" t="str">
        <f t="array" ref="I63">IFERROR(_xlfn.LET(_xlpm.x,INDEX('Decision Queue_Bak'!$T$5:$T$108,_xlfn.AGGREGATE(15,6,(ROW('Decision Queue_Bak'!$B$5:$B$108)-ROW('Decision Queue_Bak'!$B$5)+1)/(('Decision Queue_Bak'!$B$5:$B$108&lt;&gt;"")*('Decision Queue_Bak'!$W$5:$W$108="ACTIVE")),29)),IF(OR(_xlpm.x=0,_xlpm.x="0",_xlpm.x="N/A"),"",_xlpm.x)),"")</f>
        <v/>
      </c>
      <c r="J63" s="175" t="str">
        <f t="array" ref="J63">IFERROR(_xlfn.LET(_xlpm.x,INDEX('Decision Queue_Bak'!$U$5:$U$108,_xlfn.AGGREGATE(15,6,(ROW('Decision Queue_Bak'!$B$5:$B$108)-ROW('Decision Queue_Bak'!$B$5)+1)/(('Decision Queue_Bak'!$B$5:$B$108&lt;&gt;"")*('Decision Queue_Bak'!$W$5:$W$108="ACTIVE")),29)),IF(OR(_xlpm.x=0,_xlpm.x="0",_xlpm.x="N/A"),"",_xlpm.x)),"")</f>
        <v/>
      </c>
      <c r="K63" s="176"/>
      <c r="L63" s="175"/>
    </row>
    <row r="64" spans="1:12">
      <c r="A64" s="177" t="str">
        <f t="array" ref="A64">IFERROR(_xlfn.LET(_xlpm.x,INDEX('Decision Queue_Bak'!$A$5:$A$108,_xlfn.AGGREGATE(15,6,(ROW('Decision Queue_Bak'!$B$5:$B$108)-ROW('Decision Queue_Bak'!$B$5)+1)/(('Decision Queue_Bak'!$B$5:$B$108&lt;&gt;"")*('Decision Queue_Bak'!$W$5:$W$108="ACTIVE")),30)),IF(OR(_xlpm.x=0,_xlpm.x="0",_xlpm.x="N/A"),"",_xlpm.x)),"")</f>
        <v/>
      </c>
      <c r="B64" s="178" t="str">
        <f t="array" ref="B64">IFERROR(_xlfn.LET(_xlpm.x,INDEX('Decision Queue_Bak'!$B$5:$B$108,_xlfn.AGGREGATE(15,6,(ROW('Decision Queue_Bak'!$B$5:$B$108)-ROW('Decision Queue_Bak'!$B$5)+1)/(('Decision Queue_Bak'!$B$5:$B$108&lt;&gt;"")*('Decision Queue_Bak'!$W$5:$W$108="ACTIVE")),30)),IF(OR(_xlpm.x=0,_xlpm.x="0",_xlpm.x="N/A"),"",_xlpm.x)),"")</f>
        <v/>
      </c>
      <c r="C64" s="178" t="str">
        <f t="array" ref="C64">IFERROR(_xlfn.LET(_xlpm.x,INDEX('Decision Queue_Bak'!$D$5:$D$108,_xlfn.AGGREGATE(15,6,(ROW('Decision Queue_Bak'!$B$5:$B$108)-ROW('Decision Queue_Bak'!$B$5)+1)/(('Decision Queue_Bak'!$B$5:$B$108&lt;&gt;"")*('Decision Queue_Bak'!$W$5:$W$108="ACTIVE")),30)),IF(OR(_xlpm.x=0,_xlpm.x="0",_xlpm.x="N/A"),"",_xlpm.x)),"")</f>
        <v/>
      </c>
      <c r="D64" s="179" t="str">
        <f t="array" ref="D64">IFERROR(_xlfn.LET(_xlpm.x,INDEX('Decision Queue_Bak'!$E$5:$E$108,_xlfn.AGGREGATE(15,6,(ROW('Decision Queue_Bak'!$B$5:$B$108)-ROW('Decision Queue_Bak'!$B$5)+1)/(('Decision Queue_Bak'!$B$5:$B$108&lt;&gt;"")*('Decision Queue_Bak'!$W$5:$W$108="ACTIVE")),30)),IF(OR(_xlpm.x=0,_xlpm.x="0",_xlpm.x="N/A"),"",_xlpm.x)),"")</f>
        <v/>
      </c>
      <c r="E64" s="178" t="str">
        <f t="array" ref="E64">IFERROR(_xlfn.LET(_xlpm.x,INDEX('Decision Queue_Bak'!$G$5:$G$108,_xlfn.AGGREGATE(15,6,(ROW('Decision Queue_Bak'!$B$5:$B$108)-ROW('Decision Queue_Bak'!$B$5)+1)/(('Decision Queue_Bak'!$B$5:$B$108&lt;&gt;"")*('Decision Queue_Bak'!$W$5:$W$108="ACTIVE")),30)),IF(OR(_xlpm.x=0,_xlpm.x="0",_xlpm.x="N/A"),"",_xlpm.x)),"")</f>
        <v/>
      </c>
      <c r="F64" s="180" t="str">
        <f t="array" ref="F64">IFERROR(_xlfn.LET(_xlpm.x,INDEX('Decision Queue_Bak'!$H$5:$H$108,_xlfn.AGGREGATE(15,6,(ROW('Decision Queue_Bak'!$B$5:$B$108)-ROW('Decision Queue_Bak'!$B$5)+1)/(('Decision Queue_Bak'!$B$5:$B$108&lt;&gt;"")*('Decision Queue_Bak'!$W$5:$W$108="ACTIVE")),30)),IF(OR(_xlpm.x=0,_xlpm.x="0",_xlpm.x="N/A"),"",_xlpm.x)),"")</f>
        <v/>
      </c>
      <c r="G64" s="180" t="str">
        <f t="array" ref="G64">IFERROR(_xlfn.LET(_xlpm.x,INDEX('Decision Queue_Bak'!$K$5:$K$108,_xlfn.AGGREGATE(15,6,(ROW('Decision Queue_Bak'!$B$5:$B$108)-ROW('Decision Queue_Bak'!$B$5)+1)/(('Decision Queue_Bak'!$B$5:$B$108&lt;&gt;"")*('Decision Queue_Bak'!$W$5:$W$108="ACTIVE")),30)),IF(OR(_xlpm.x=0,_xlpm.x="0",_xlpm.x="N/A"),"",_xlpm.x)),"")</f>
        <v/>
      </c>
      <c r="H64" s="180" t="str">
        <f t="array" ref="H64">IFERROR(_xlfn.LET(_xlpm.x,INDEX('Decision Queue_Bak'!$J$5:$J$108,_xlfn.AGGREGATE(15,6,(ROW('Decision Queue_Bak'!$B$5:$B$108)-ROW('Decision Queue_Bak'!$B$5)+1)/(('Decision Queue_Bak'!$B$5:$B$108&lt;&gt;"")*('Decision Queue_Bak'!$W$5:$W$108="ACTIVE")),30)),IF(OR(_xlpm.x=0,_xlpm.x="0",_xlpm.x="N/A"),"",_xlpm.x)),"")</f>
        <v/>
      </c>
      <c r="I64" s="180" t="str">
        <f t="array" ref="I64">IFERROR(_xlfn.LET(_xlpm.x,INDEX('Decision Queue_Bak'!$I$5:$I$108,_xlfn.AGGREGATE(15,6,(ROW('Decision Queue_Bak'!$B$5:$B$108)-ROW('Decision Queue_Bak'!$B$5)+1)/(('Decision Queue_Bak'!$B$5:$B$108&lt;&gt;"")*('Decision Queue_Bak'!$W$5:$W$108="ACTIVE")),30)),IF(OR(_xlpm.x=0,_xlpm.x="0",_xlpm.x="N/A"),"",_xlpm.x)),"")</f>
        <v/>
      </c>
      <c r="J64" s="180" t="str">
        <f t="array" ref="J64">IFERROR(_xlfn.LET(_xlpm.x,INDEX('Decision Queue_Bak'!$C$5:$C$108,_xlfn.AGGREGATE(15,6,(ROW('Decision Queue_Bak'!$B$5:$B$108)-ROW('Decision Queue_Bak'!$B$5)+1)/(('Decision Queue_Bak'!$B$5:$B$108&lt;&gt;"")*('Decision Queue_Bak'!$W$5:$W$108="ACTIVE")),30)),IF(OR(_xlpm.x=0,_xlpm.x="0",_xlpm.x="N/A"),"",_xlpm.x)),"")</f>
        <v/>
      </c>
      <c r="K64" s="179" t="str">
        <f t="array" ref="K64">IFERROR(_xlfn.LET(_xlpm.x,INDEX('Decision Queue_Bak'!$R$5:$R$108,_xlfn.AGGREGATE(15,6,(ROW('Decision Queue_Bak'!$B$5:$B$108)-ROW('Decision Queue_Bak'!$B$5)+1)/(('Decision Queue_Bak'!$B$5:$B$108&lt;&gt;"")*('Decision Queue_Bak'!$W$5:$W$108="ACTIVE")),30)),IF(OR(_xlpm.x=0,_xlpm.x="0",_xlpm.x="N/A"),"",_xlpm.x)),"")</f>
        <v/>
      </c>
      <c r="L64" s="180" t="str">
        <f t="array" ref="L64">IFERROR(_xlfn.LET(_xlpm.x,INDEX('Decision Queue_Bak'!$P$5:$P$108,_xlfn.AGGREGATE(15,6,(ROW('Decision Queue_Bak'!$B$5:$B$108)-ROW('Decision Queue_Bak'!$B$5)+1)/(('Decision Queue_Bak'!$B$5:$B$108&lt;&gt;"")*('Decision Queue_Bak'!$W$5:$W$108="ACTIVE")),30)),IF(OR(_xlpm.x=0,_xlpm.x="0",_xlpm.x="N/A"),"",_xlpm.x)),"")</f>
        <v/>
      </c>
    </row>
    <row r="65" spans="1:12">
      <c r="A65" s="100" t="str">
        <f>IF(A64="","",A64&amp;" cont.")</f>
        <v/>
      </c>
      <c r="B65" s="181" t="str">
        <f t="array" ref="B65">IFERROR(_xlfn.LET(_xlpm.x,INDEX('Decision Queue_Bak'!$F$5:$F$108,_xlfn.AGGREGATE(15,6,(ROW('Decision Queue_Bak'!$B$5:$B$108)-ROW('Decision Queue_Bak'!$B$5)+1)/(('Decision Queue_Bak'!$B$5:$B$108&lt;&gt;"")*('Decision Queue_Bak'!$W$5:$W$108="ACTIVE")),30)),IF(OR(_xlpm.x=0,_xlpm.x="0",_xlpm.x="N/A"),"",_xlpm.x)),"")</f>
        <v/>
      </c>
      <c r="C65" s="181" t="str">
        <f t="array" ref="C65">IFERROR(_xlfn.LET(_xlpm.x,INDEX('Decision Queue_Bak'!$Q$5:$Q$108,_xlfn.AGGREGATE(15,6,(ROW('Decision Queue_Bak'!$B$5:$B$108)-ROW('Decision Queue_Bak'!$B$5)+1)/(('Decision Queue_Bak'!$B$5:$B$108&lt;&gt;"")*('Decision Queue_Bak'!$W$5:$W$108="ACTIVE")),30)),IF(OR(_xlpm.x=0,_xlpm.x="0",_xlpm.x="N/A"),"",_xlpm.x)),"")</f>
        <v/>
      </c>
      <c r="D65" s="182" t="str">
        <f t="array" ref="D65">IFERROR(_xlfn.LET(_xlpm.x,INDEX('Decision Queue_Bak'!$M$5:$M$108,_xlfn.AGGREGATE(15,6,(ROW('Decision Queue_Bak'!$B$5:$B$108)-ROW('Decision Queue_Bak'!$B$5)+1)/(('Decision Queue_Bak'!$B$5:$B$108&lt;&gt;"")*('Decision Queue_Bak'!$W$5:$W$108="ACTIVE")),30)),IF(OR(_xlpm.x=0,_xlpm.x="0",_xlpm.x="N/A"),"",_xlpm.x)),"")</f>
        <v/>
      </c>
      <c r="E65" s="181" t="str">
        <f t="array" ref="E65">IFERROR(_xlfn.LET(_xlpm.x,INDEX('Decision Queue_Bak'!$N$5:$N$108,_xlfn.AGGREGATE(15,6,(ROW('Decision Queue_Bak'!$B$5:$B$108)-ROW('Decision Queue_Bak'!$B$5)+1)/(('Decision Queue_Bak'!$B$5:$B$108&lt;&gt;"")*('Decision Queue_Bak'!$W$5:$W$108="ACTIVE")),30)),IF(OR(_xlpm.x=0,_xlpm.x="0",_xlpm.x="N/A"),"",_xlpm.x)),"")</f>
        <v/>
      </c>
      <c r="F65" s="181" t="str">
        <f t="array" ref="F65">IFERROR(_xlfn.LET(_xlpm.x,INDEX('Decision Queue_Bak'!$L$5:$L$108,_xlfn.AGGREGATE(15,6,(ROW('Decision Queue_Bak'!$B$5:$B$108)-ROW('Decision Queue_Bak'!$B$5)+1)/(('Decision Queue_Bak'!$B$5:$B$108&lt;&gt;"")*('Decision Queue_Bak'!$W$5:$W$108="ACTIVE")),30)),IF(OR(_xlpm.x=0,_xlpm.x="0",_xlpm.x="N/A"),"",_xlpm.x)),"")</f>
        <v/>
      </c>
      <c r="G65" s="181" t="str">
        <f t="array" ref="G65">IFERROR(_xlfn.LET(_xlpm.x,INDEX('Decision Queue_Bak'!$S$5:$S$108,_xlfn.AGGREGATE(15,6,(ROW('Decision Queue_Bak'!$B$5:$B$108)-ROW('Decision Queue_Bak'!$B$5)+1)/(('Decision Queue_Bak'!$B$5:$B$108&lt;&gt;"")*('Decision Queue_Bak'!$W$5:$W$108="ACTIVE")),30)),IF(OR(_xlpm.x=0,_xlpm.x="0",_xlpm.x="N/A"),"",_xlpm.x)),"")</f>
        <v/>
      </c>
      <c r="H65" s="181" t="str">
        <f t="array" ref="H65">IFERROR(_xlfn.LET(_xlpm.x,INDEX('Decision Queue_Bak'!$O$5:$O$108,_xlfn.AGGREGATE(15,6,(ROW('Decision Queue_Bak'!$B$5:$B$108)-ROW('Decision Queue_Bak'!$B$5)+1)/(('Decision Queue_Bak'!$B$5:$B$108&lt;&gt;"")*('Decision Queue_Bak'!$W$5:$W$108="ACTIVE")),30)),IF(OR(_xlpm.x=0,_xlpm.x="0",_xlpm.x="N/A"),"",_xlpm.x)),"")</f>
        <v/>
      </c>
      <c r="I65" s="181" t="str">
        <f t="array" ref="I65">IFERROR(_xlfn.LET(_xlpm.x,INDEX('Decision Queue_Bak'!$T$5:$T$108,_xlfn.AGGREGATE(15,6,(ROW('Decision Queue_Bak'!$B$5:$B$108)-ROW('Decision Queue_Bak'!$B$5)+1)/(('Decision Queue_Bak'!$B$5:$B$108&lt;&gt;"")*('Decision Queue_Bak'!$W$5:$W$108="ACTIVE")),30)),IF(OR(_xlpm.x=0,_xlpm.x="0",_xlpm.x="N/A"),"",_xlpm.x)),"")</f>
        <v/>
      </c>
      <c r="J65" s="181" t="str">
        <f t="array" ref="J65">IFERROR(_xlfn.LET(_xlpm.x,INDEX('Decision Queue_Bak'!$U$5:$U$108,_xlfn.AGGREGATE(15,6,(ROW('Decision Queue_Bak'!$B$5:$B$108)-ROW('Decision Queue_Bak'!$B$5)+1)/(('Decision Queue_Bak'!$B$5:$B$108&lt;&gt;"")*('Decision Queue_Bak'!$W$5:$W$108="ACTIVE")),30)),IF(OR(_xlpm.x=0,_xlpm.x="0",_xlpm.x="N/A"),"",_xlpm.x)),"")</f>
        <v/>
      </c>
      <c r="K65" s="182"/>
      <c r="L65" s="181"/>
    </row>
    <row r="69" spans="1:12" hidden="1">
      <c r="A69" s="87"/>
      <c r="B69" s="87"/>
      <c r="C69" s="87"/>
      <c r="D69" s="87"/>
      <c r="E69" s="87"/>
      <c r="F69" s="87"/>
      <c r="G69" s="87"/>
      <c r="H69" s="87"/>
      <c r="I69" s="87"/>
      <c r="J69" s="87"/>
      <c r="K69" s="87"/>
      <c r="L69" s="87"/>
    </row>
    <row r="70" spans="1:12" hidden="1">
      <c r="A70" s="87"/>
      <c r="B70" s="87"/>
      <c r="C70" s="87"/>
      <c r="D70" s="87"/>
      <c r="E70" s="87"/>
      <c r="F70" s="87"/>
      <c r="G70" s="87"/>
      <c r="H70" s="87"/>
      <c r="I70" s="87"/>
      <c r="J70" s="87"/>
      <c r="K70" s="87"/>
      <c r="L70" s="87"/>
    </row>
    <row r="71" spans="1:12" hidden="1">
      <c r="A71" s="87"/>
      <c r="B71" s="87"/>
      <c r="C71" s="87"/>
      <c r="D71" s="87"/>
      <c r="E71" s="87"/>
      <c r="F71" s="87"/>
      <c r="G71" s="87"/>
      <c r="H71" s="87"/>
      <c r="I71" s="87"/>
      <c r="J71" s="87"/>
      <c r="K71" s="87"/>
      <c r="L71" s="87"/>
    </row>
    <row r="72" spans="1:12" hidden="1">
      <c r="A72" s="87"/>
      <c r="B72" s="87"/>
      <c r="C72" s="87"/>
      <c r="D72" s="87"/>
      <c r="E72" s="87"/>
      <c r="F72" s="87"/>
      <c r="G72" s="87"/>
      <c r="H72" s="87"/>
      <c r="I72" s="87"/>
      <c r="J72" s="87"/>
      <c r="K72" s="87"/>
      <c r="L72" s="87"/>
    </row>
    <row r="73" spans="1:12" hidden="1">
      <c r="A73" s="87"/>
      <c r="B73" s="87"/>
      <c r="C73" s="87"/>
      <c r="D73" s="87"/>
      <c r="E73" s="87"/>
      <c r="F73" s="87"/>
      <c r="G73" s="87"/>
      <c r="H73" s="87"/>
      <c r="I73" s="87"/>
      <c r="J73" s="87"/>
      <c r="K73" s="87"/>
      <c r="L73" s="87"/>
    </row>
    <row r="74" spans="1:12" hidden="1">
      <c r="A74" s="87"/>
      <c r="B74" s="87"/>
      <c r="C74" s="87"/>
      <c r="D74" s="87"/>
      <c r="E74" s="87"/>
      <c r="F74" s="87"/>
      <c r="G74" s="87"/>
      <c r="H74" s="87"/>
      <c r="I74" s="87"/>
      <c r="J74" s="87"/>
      <c r="K74" s="87"/>
      <c r="L74" s="87"/>
    </row>
    <row r="75" spans="1:12" hidden="1">
      <c r="A75" s="87"/>
      <c r="B75" s="87"/>
      <c r="C75" s="87"/>
      <c r="D75" s="87"/>
      <c r="E75" s="87"/>
      <c r="F75" s="87"/>
      <c r="G75" s="87"/>
      <c r="H75" s="87"/>
      <c r="I75" s="87"/>
      <c r="J75" s="87"/>
      <c r="K75" s="87"/>
      <c r="L75" s="87"/>
    </row>
    <row r="76" spans="1:12" hidden="1">
      <c r="A76" s="87"/>
      <c r="B76" s="87"/>
      <c r="C76" s="87"/>
      <c r="D76" s="87"/>
      <c r="E76" s="87"/>
      <c r="F76" s="87"/>
      <c r="G76" s="87"/>
      <c r="H76" s="87"/>
      <c r="I76" s="87"/>
      <c r="J76" s="87"/>
      <c r="K76" s="87"/>
      <c r="L76" s="87"/>
    </row>
    <row r="77" spans="1:12" hidden="1">
      <c r="A77" s="87"/>
      <c r="B77" s="87"/>
      <c r="C77" s="87"/>
      <c r="D77" s="87"/>
      <c r="E77" s="87"/>
      <c r="F77" s="87"/>
      <c r="G77" s="87"/>
      <c r="H77" s="87"/>
      <c r="I77" s="87"/>
      <c r="J77" s="87"/>
      <c r="K77" s="87"/>
      <c r="L77" s="87"/>
    </row>
    <row r="78" spans="1:12" hidden="1">
      <c r="A78" s="87"/>
      <c r="B78" s="87"/>
      <c r="C78" s="87"/>
      <c r="D78" s="87"/>
      <c r="E78" s="87"/>
      <c r="F78" s="87"/>
      <c r="G78" s="87"/>
      <c r="H78" s="87"/>
      <c r="I78" s="87"/>
      <c r="J78" s="87"/>
      <c r="K78" s="87"/>
      <c r="L78" s="87"/>
    </row>
    <row r="79" spans="1:12" hidden="1">
      <c r="A79" s="87"/>
      <c r="B79" s="87"/>
      <c r="C79" s="87"/>
      <c r="D79" s="87"/>
      <c r="E79" s="87"/>
      <c r="F79" s="87"/>
      <c r="G79" s="87"/>
      <c r="H79" s="87"/>
      <c r="I79" s="87"/>
      <c r="J79" s="87"/>
      <c r="K79" s="87"/>
      <c r="L79" s="87"/>
    </row>
    <row r="80" spans="1:12" hidden="1">
      <c r="A80" s="87"/>
      <c r="B80" s="87"/>
      <c r="C80" s="87"/>
      <c r="D80" s="87"/>
      <c r="E80" s="87"/>
      <c r="F80" s="87"/>
      <c r="G80" s="87"/>
      <c r="H80" s="87"/>
      <c r="I80" s="87"/>
      <c r="J80" s="87"/>
      <c r="K80" s="87"/>
      <c r="L80" s="87"/>
    </row>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sheetProtection sheet="1" objects="1" scenarios="1"/>
  <mergeCells count="2">
    <mergeCell ref="A2:L2"/>
    <mergeCell ref="A1:L1"/>
  </mergeCells>
  <conditionalFormatting sqref="D6:D65">
    <cfRule type="expression" dxfId="7" priority="1">
      <formula>AND(MOD(ROW(),2)=0,ISNUMBER($D6),$D6&lt;TODAY())</formula>
    </cfRule>
    <cfRule type="expression" dxfId="6" priority="2">
      <formula>AND(MOD(ROW(),2)=0,ISNUMBER($D6),$D6&gt;=TODAY(),$D6&lt;=TODAY()+1)</formula>
    </cfRule>
  </conditionalFormatting>
  <conditionalFormatting sqref="G6:G65">
    <cfRule type="expression" dxfId="5" priority="3">
      <formula>AND(MOD(ROW(),2)=0,$G6="High")</formula>
    </cfRule>
    <cfRule type="expression" dxfId="4" priority="4">
      <formula>AND(MOD(ROW(),2)=0,$G6="Medium")</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00"/>
  <sheetViews>
    <sheetView workbookViewId="0">
      <selection activeCell="A6" sqref="A6"/>
    </sheetView>
  </sheetViews>
  <sheetFormatPr defaultRowHeight="14.5"/>
  <cols>
    <col min="1" max="1" width="18.1796875" style="96" customWidth="1"/>
    <col min="2" max="2" width="31.453125" style="96" customWidth="1"/>
    <col min="3" max="3" width="17.1796875" style="96" customWidth="1"/>
    <col min="4" max="4" width="20" style="96" customWidth="1"/>
    <col min="5" max="5" width="23.81640625" style="96" customWidth="1"/>
    <col min="6" max="6" width="21.81640625" style="96" customWidth="1"/>
    <col min="7" max="7" width="22.81640625" style="96" customWidth="1"/>
    <col min="8" max="8" width="20" style="96" customWidth="1"/>
    <col min="9" max="9" width="17.1796875" style="96" customWidth="1"/>
    <col min="10" max="10" width="18.1796875" style="96" customWidth="1"/>
    <col min="11" max="11" width="21.81640625" style="96" customWidth="1"/>
    <col min="12" max="12" width="17.1796875" style="96" customWidth="1"/>
    <col min="13" max="52" width="0" hidden="1"/>
  </cols>
  <sheetData>
    <row r="1" spans="1:12" ht="30" customHeight="1">
      <c r="A1" s="372" t="s">
        <v>2597</v>
      </c>
      <c r="B1" s="368"/>
      <c r="C1" s="368"/>
      <c r="D1" s="368"/>
      <c r="E1" s="368"/>
      <c r="F1" s="368"/>
      <c r="G1" s="368"/>
      <c r="H1" s="368"/>
      <c r="I1" s="368"/>
      <c r="J1" s="368"/>
      <c r="K1" s="368"/>
      <c r="L1" s="368"/>
    </row>
    <row r="2" spans="1:12">
      <c r="A2" s="367" t="s">
        <v>2598</v>
      </c>
      <c r="B2" s="368"/>
      <c r="C2" s="368"/>
      <c r="D2" s="368"/>
      <c r="E2" s="368"/>
      <c r="F2" s="368"/>
      <c r="G2" s="368"/>
      <c r="H2" s="368"/>
      <c r="I2" s="368"/>
      <c r="J2" s="368"/>
      <c r="K2" s="368"/>
      <c r="L2" s="368"/>
    </row>
    <row r="4" spans="1:12">
      <c r="A4" s="155" t="s">
        <v>2599</v>
      </c>
      <c r="B4" s="155" t="s">
        <v>2600</v>
      </c>
      <c r="C4" s="155" t="s">
        <v>447</v>
      </c>
      <c r="D4" s="155" t="s">
        <v>458</v>
      </c>
      <c r="E4" s="155" t="s">
        <v>445</v>
      </c>
      <c r="F4" s="155" t="s">
        <v>441</v>
      </c>
      <c r="G4" s="155" t="s">
        <v>461</v>
      </c>
      <c r="H4" s="155" t="s">
        <v>442</v>
      </c>
      <c r="I4" s="155" t="s">
        <v>101</v>
      </c>
      <c r="J4" s="155" t="s">
        <v>159</v>
      </c>
      <c r="K4" s="155" t="s">
        <v>161</v>
      </c>
      <c r="L4" s="155" t="s">
        <v>463</v>
      </c>
    </row>
    <row r="5" spans="1:12">
      <c r="A5" s="155" t="s">
        <v>2589</v>
      </c>
      <c r="B5" s="155" t="s">
        <v>457</v>
      </c>
      <c r="C5" s="155" t="s">
        <v>157</v>
      </c>
      <c r="D5" s="155" t="s">
        <v>459</v>
      </c>
      <c r="E5" s="155" t="s">
        <v>460</v>
      </c>
      <c r="F5" s="155" t="s">
        <v>2595</v>
      </c>
      <c r="G5" s="155" t="s">
        <v>462</v>
      </c>
      <c r="H5" s="155" t="s">
        <v>105</v>
      </c>
      <c r="I5" s="155" t="s">
        <v>164</v>
      </c>
      <c r="J5" s="155"/>
      <c r="K5" s="155"/>
      <c r="L5" s="155"/>
    </row>
    <row r="6" spans="1:12">
      <c r="A6" s="177" t="str">
        <f t="array" ref="A6">IFERROR(_xlfn.LET(_xlpm.x,INDEX(tblDecisionLog[Decision Log ID],_xlfn.AGGREGATE(15,6,(ROW(tblDecisionLog[Decision Log Immutable Key])-ROW(INDEX(tblDecisionLog[Decision Log Immutable Key],1,1))+1)/((tblDecisionLog[Source Decision ID]&lt;&gt;"")+(tblDecisionLog[Decision Summary]&lt;&gt;"")),1)),IF(OR(_xlpm.x=0,_xlpm.x="0",_xlpm.x="N/A"),"",_xlpm.x)),"")</f>
        <v>DEC-0001-L1</v>
      </c>
      <c r="B6" s="172" t="str">
        <f t="array" ref="B6">IFERROR(_xlfn.LET(_xlpm.x,INDEX(tblDecisionLog[Source Decision ID],_xlfn.AGGREGATE(15,6,(ROW(tblDecisionLog[Decision Log Immutable Key])-ROW(INDEX(tblDecisionLog[Decision Log Immutable Key],1,1))+1)/((tblDecisionLog[Source Decision ID]&lt;&gt;"")+(tblDecisionLog[Decision Summary]&lt;&gt;"")),1)),IF(OR(_xlpm.x=0,_xlpm.x="0",_xlpm.x="N/A"),"",_xlpm.x)),"")</f>
        <v/>
      </c>
      <c r="C6" s="173" t="str">
        <f t="array" ref="C6">IFERROR(_xlfn.LET(_xlpm.x,INDEX(tblDecisionLog[Decision Date],_xlfn.AGGREGATE(15,6,(ROW(tblDecisionLog[Decision Log Immutable Key])-ROW(INDEX(tblDecisionLog[Decision Log Immutable Key],1,1))+1)/((tblDecisionLog[Source Decision ID]&lt;&gt;"")+(tblDecisionLog[Decision Summary]&lt;&gt;"")),1)),IF(OR(_xlpm.x=0,_xlpm.x="0",_xlpm.x="N/A"),"",_xlpm.x)),"")</f>
        <v/>
      </c>
      <c r="D6" s="172" t="str">
        <f t="array" ref="D6">IFERROR(_xlfn.LET(_xlpm.x,INDEX(tblDecisionLog[Decision Maker],_xlfn.AGGREGATE(15,6,(ROW(tblDecisionLog[Decision Log Immutable Key])-ROW(INDEX(tblDecisionLog[Decision Log Immutable Key],1,1))+1)/((tblDecisionLog[Source Decision ID]&lt;&gt;"")+(tblDecisionLog[Decision Summary]&lt;&gt;"")),1)),IF(OR(_xlpm.x=0,_xlpm.x="0",_xlpm.x="N/A"),"",_xlpm.x)),"")</f>
        <v/>
      </c>
      <c r="E6" s="174" t="str">
        <f t="array" ref="E6">IFERROR(_xlfn.LET(_xlpm.x,INDEX(tblDecisionLog[Decision Type],_xlfn.AGGREGATE(15,6,(ROW(tblDecisionLog[Decision Log Immutable Key])-ROW(INDEX(tblDecisionLog[Decision Log Immutable Key],1,1))+1)/((tblDecisionLog[Source Decision ID]&lt;&gt;"")+(tblDecisionLog[Decision Summary]&lt;&gt;"")),1)),IF(OR(_xlpm.x=0,_xlpm.x="0",_xlpm.x="N/A"),"",_xlpm.x)),"")</f>
        <v/>
      </c>
      <c r="F6" s="174" t="str">
        <f t="array" ref="F6">IFERROR(_xlfn.LET(_xlpm.x,INDEX(tblDecisionLog[Workstream],_xlfn.AGGREGATE(15,6,(ROW(tblDecisionLog[Decision Log Immutable Key])-ROW(INDEX(tblDecisionLog[Decision Log Immutable Key],1,1))+1)/((tblDecisionLog[Source Decision ID]&lt;&gt;"")+(tblDecisionLog[Decision Summary]&lt;&gt;"")),1)),IF(OR(_xlpm.x=0,_xlpm.x="0",_xlpm.x="N/A"),"",_xlpm.x)),"")</f>
        <v/>
      </c>
      <c r="G6" s="172" t="str">
        <f t="array" ref="G6">IFERROR(_xlfn.LET(_xlpm.x,INDEX(tblDecisionLog[Follow-up Status],_xlfn.AGGREGATE(15,6,(ROW(tblDecisionLog[Decision Log Immutable Key])-ROW(INDEX(tblDecisionLog[Decision Log Immutable Key],1,1))+1)/((tblDecisionLog[Source Decision ID]&lt;&gt;"")+(tblDecisionLog[Decision Summary]&lt;&gt;"")),1)),IF(OR(_xlpm.x=0,_xlpm.x="0",_xlpm.x="N/A"),"",_xlpm.x)),"")</f>
        <v/>
      </c>
      <c r="H6" s="174" t="str">
        <f t="array" ref="H6">IFERROR(_xlfn.LET(_xlpm.x,INDEX(tblDecisionLog[Assigned To],_xlfn.AGGREGATE(15,6,(ROW(tblDecisionLog[Decision Log Immutable Key])-ROW(INDEX(tblDecisionLog[Decision Log Immutable Key],1,1))+1)/((tblDecisionLog[Source Decision ID]&lt;&gt;"")+(tblDecisionLog[Decision Summary]&lt;&gt;"")),1)),IF(OR(_xlpm.x=0,_xlpm.x="0",_xlpm.x="N/A"),"",_xlpm.x)),"")</f>
        <v/>
      </c>
      <c r="I6" s="173" t="str">
        <f t="array" ref="I6">IFERROR(_xlfn.LET(_xlpm.x,INDEX(tblDecisionLog[Due Date],_xlfn.AGGREGATE(15,6,(ROW(tblDecisionLog[Decision Log Immutable Key])-ROW(INDEX(tblDecisionLog[Decision Log Immutable Key],1,1))+1)/((tblDecisionLog[Source Decision ID]&lt;&gt;"")+(tblDecisionLog[Decision Summary]&lt;&gt;"")),1)),IF(OR(_xlpm.x=0,_xlpm.x="0",_xlpm.x="N/A"),"",_xlpm.x)),"")</f>
        <v/>
      </c>
      <c r="J6" s="174" t="str">
        <f t="array" ref="J6">IFERROR(_xlfn.LET(_xlpm.x,INDEX(tblDecisionLog[Risk Impact],_xlfn.AGGREGATE(15,6,(ROW(tblDecisionLog[Decision Log Immutable Key])-ROW(INDEX(tblDecisionLog[Decision Log Immutable Key],1,1))+1)/((tblDecisionLog[Source Decision ID]&lt;&gt;"")+(tblDecisionLog[Decision Summary]&lt;&gt;"")),1)),IF(OR(_xlpm.x=0,_xlpm.x="0",_xlpm.x="N/A"),"",_xlpm.x)),"")</f>
        <v/>
      </c>
      <c r="K6" s="174" t="str">
        <f t="array" ref="K6">IFERROR(_xlfn.LET(_xlpm.x,INDEX(tblDecisionLog[Financial Impact],_xlfn.AGGREGATE(15,6,(ROW(tblDecisionLog[Decision Log Immutable Key])-ROW(INDEX(tblDecisionLog[Decision Log Immutable Key],1,1))+1)/((tblDecisionLog[Source Decision ID]&lt;&gt;"")+(tblDecisionLog[Decision Summary]&lt;&gt;"")),1)),IF(OR(_xlpm.x=0,_xlpm.x="0",_xlpm.x="N/A"),"",_xlpm.x)),"")</f>
        <v/>
      </c>
      <c r="L6" s="173" t="str">
        <f t="array" ref="L6">IFERROR(_xlfn.LET(_xlpm.x,INDEX(tblDecisionLog[Logged Date],_xlfn.AGGREGATE(15,6,(ROW(tblDecisionLog[Decision Log Immutable Key])-ROW(INDEX(tblDecisionLog[Decision Log Immutable Key],1,1))+1)/((tblDecisionLog[Source Decision ID]&lt;&gt;"")+(tblDecisionLog[Decision Summary]&lt;&gt;"")),1)),IF(OR(_xlpm.x=0,_xlpm.x="0",_xlpm.x="N/A"),"",_xlpm.x)),"")</f>
        <v/>
      </c>
    </row>
    <row r="7" spans="1:12">
      <c r="A7" s="99" t="str">
        <f>IF(A6="","",A6&amp;" cont.")</f>
        <v>DEC-0001-L1 cont.</v>
      </c>
      <c r="B7" s="175" t="str">
        <f t="array" ref="B7">IFERROR(_xlfn.LET(_xlpm.x,INDEX(tblDecisionLog[Decision Summary],_xlfn.AGGREGATE(15,6,(ROW(tblDecisionLog[Decision Log Immutable Key])-ROW(INDEX(tblDecisionLog[Decision Log Immutable Key],1,1))+1)/((tblDecisionLog[Source Decision ID]&lt;&gt;"")+(tblDecisionLog[Decision Summary]&lt;&gt;"")),1)),IF(OR(_xlpm.x=0,_xlpm.x="0",_xlpm.x="N/A"),"",_xlpm.x)),"")</f>
        <v/>
      </c>
      <c r="C7" s="176" t="str">
        <f t="array" ref="C7">IFERROR(_xlfn.LET(_xlpm.x,INDEX(tblDecisionLog[Next Action],_xlfn.AGGREGATE(15,6,(ROW(tblDecisionLog[Decision Log Immutable Key])-ROW(INDEX(tblDecisionLog[Decision Log Immutable Key],1,1))+1)/((tblDecisionLog[Source Decision ID]&lt;&gt;"")+(tblDecisionLog[Decision Summary]&lt;&gt;"")),1)),IF(OR(_xlpm.x=0,_xlpm.x="0",_xlpm.x="N/A"),"",_xlpm.x)),"")</f>
        <v/>
      </c>
      <c r="D7" s="175" t="str">
        <f t="array" ref="D7">IFERROR(_xlfn.LET(_xlpm.x,INDEX(tblDecisionLog[Original Issue],_xlfn.AGGREGATE(15,6,(ROW(tblDecisionLog[Decision Log Immutable Key])-ROW(INDEX(tblDecisionLog[Decision Log Immutable Key],1,1))+1)/((tblDecisionLog[Source Decision ID]&lt;&gt;"")+(tblDecisionLog[Decision Summary]&lt;&gt;"")),1)),IF(OR(_xlpm.x=0,_xlpm.x="0",_xlpm.x="N/A"),"",_xlpm.x)),"")</f>
        <v/>
      </c>
      <c r="E7" s="175" t="str">
        <f t="array" ref="E7">IFERROR(_xlfn.LET(_xlpm.x,INDEX(tblDecisionLog[Rationale],_xlfn.AGGREGATE(15,6,(ROW(tblDecisionLog[Decision Log Immutable Key])-ROW(INDEX(tblDecisionLog[Decision Log Immutable Key],1,1))+1)/((tblDecisionLog[Source Decision ID]&lt;&gt;"")+(tblDecisionLog[Decision Summary]&lt;&gt;"")),1)),IF(OR(_xlpm.x=0,_xlpm.x="0",_xlpm.x="N/A"),"",_xlpm.x)),"")</f>
        <v/>
      </c>
      <c r="F7" s="175" t="str">
        <f t="array" ref="F7">IFERROR(_xlfn.LET(_xlpm.x,INDEX(tblDecisionLog[Further Action Required],_xlfn.AGGREGATE(15,6,(ROW(tblDecisionLog[Decision Log Immutable Key])-ROW(INDEX(tblDecisionLog[Decision Log Immutable Key],1,1))+1)/((tblDecisionLog[Source Decision ID]&lt;&gt;"")+(tblDecisionLog[Decision Summary]&lt;&gt;"")),1)),IF(OR(_xlpm.x=0,_xlpm.x="0",_xlpm.x="N/A"),"",_xlpm.x)),"")</f>
        <v/>
      </c>
      <c r="G7" s="175" t="str">
        <f t="array" ref="G7">IFERROR(_xlfn.LET(_xlpm.x,INDEX(tblDecisionLog[Requester],_xlfn.AGGREGATE(15,6,(ROW(tblDecisionLog[Decision Log Immutable Key])-ROW(INDEX(tblDecisionLog[Decision Log Immutable Key],1,1))+1)/((tblDecisionLog[Source Decision ID]&lt;&gt;"")+(tblDecisionLog[Decision Summary]&lt;&gt;"")),1)),IF(OR(_xlpm.x=0,_xlpm.x="0",_xlpm.x="N/A"),"",_xlpm.x)),"")</f>
        <v/>
      </c>
      <c r="H7" s="175" t="str">
        <f t="array" ref="H7">IFERROR(_xlfn.LET(_xlpm.x,INDEX(tblDecisionLog[Strategic Objective],_xlfn.AGGREGATE(15,6,(ROW(tblDecisionLog[Decision Log Immutable Key])-ROW(INDEX(tblDecisionLog[Decision Log Immutable Key],1,1))+1)/((tblDecisionLog[Source Decision ID]&lt;&gt;"")+(tblDecisionLog[Decision Summary]&lt;&gt;"")),1)),IF(OR(_xlpm.x=0,_xlpm.x="0",_xlpm.x="N/A"),"",_xlpm.x)),"")</f>
        <v/>
      </c>
      <c r="I7" s="176" t="str">
        <f t="array" ref="I7">IFERROR(_xlfn.LET(_xlpm.x,INDEX(tblDecisionLog[Notes],_xlfn.AGGREGATE(15,6,(ROW(tblDecisionLog[Decision Log Immutable Key])-ROW(INDEX(tblDecisionLog[Decision Log Immutable Key],1,1))+1)/((tblDecisionLog[Source Decision ID]&lt;&gt;"")+(tblDecisionLog[Decision Summary]&lt;&gt;"")),1)),IF(OR(_xlpm.x=0,_xlpm.x="0",_xlpm.x="N/A"),"",_xlpm.x)),"")</f>
        <v/>
      </c>
      <c r="J7" s="175"/>
      <c r="K7" s="175"/>
      <c r="L7" s="176"/>
    </row>
    <row r="8" spans="1:12">
      <c r="A8" s="177" t="str">
        <f t="array" ref="A8">IFERROR(_xlfn.LET(_xlpm.x,INDEX(tblDecisionLog[Decision Log ID],_xlfn.AGGREGATE(15,6,(ROW(tblDecisionLog[Decision Log Immutable Key])-ROW(INDEX(tblDecisionLog[Decision Log Immutable Key],1,1))+1)/((tblDecisionLog[Source Decision ID]&lt;&gt;"")+(tblDecisionLog[Decision Summary]&lt;&gt;"")),2)),IF(OR(_xlpm.x=0,_xlpm.x="0",_xlpm.x="N/A"),"",_xlpm.x)),"")</f>
        <v>DEC-0001-L1</v>
      </c>
      <c r="B8" s="178" t="str">
        <f t="array" ref="B8">IFERROR(_xlfn.LET(_xlpm.x,INDEX(tblDecisionLog[Source Decision ID],_xlfn.AGGREGATE(15,6,(ROW(tblDecisionLog[Decision Log Immutable Key])-ROW(INDEX(tblDecisionLog[Decision Log Immutable Key],1,1))+1)/((tblDecisionLog[Source Decision ID]&lt;&gt;"")+(tblDecisionLog[Decision Summary]&lt;&gt;"")),2)),IF(OR(_xlpm.x=0,_xlpm.x="0",_xlpm.x="N/A"),"",_xlpm.x)),"")</f>
        <v>DEC-0001</v>
      </c>
      <c r="C8" s="179">
        <f t="array" ref="C8">IFERROR(_xlfn.LET(_xlpm.x,INDEX(tblDecisionLog[Decision Date],_xlfn.AGGREGATE(15,6,(ROW(tblDecisionLog[Decision Log Immutable Key])-ROW(INDEX(tblDecisionLog[Decision Log Immutable Key],1,1))+1)/((tblDecisionLog[Source Decision ID]&lt;&gt;"")+(tblDecisionLog[Decision Summary]&lt;&gt;"")),2)),IF(OR(_xlpm.x=0,_xlpm.x="0",_xlpm.x="N/A"),"",_xlpm.x)),"")</f>
        <v>46175</v>
      </c>
      <c r="D8" s="178" t="str">
        <f t="array" ref="D8">IFERROR(_xlfn.LET(_xlpm.x,INDEX(tblDecisionLog[Decision Maker],_xlfn.AGGREGATE(15,6,(ROW(tblDecisionLog[Decision Log Immutable Key])-ROW(INDEX(tblDecisionLog[Decision Log Immutable Key],1,1))+1)/((tblDecisionLog[Source Decision ID]&lt;&gt;"")+(tblDecisionLog[Decision Summary]&lt;&gt;"")),2)),IF(OR(_xlpm.x=0,_xlpm.x="0",_xlpm.x="N/A"),"",_xlpm.x)),"")</f>
        <v>SLT</v>
      </c>
      <c r="E8" s="180" t="str">
        <f t="array" ref="E8">IFERROR(_xlfn.LET(_xlpm.x,INDEX(tblDecisionLog[Decision Type],_xlfn.AGGREGATE(15,6,(ROW(tblDecisionLog[Decision Log Immutable Key])-ROW(INDEX(tblDecisionLog[Decision Log Immutable Key],1,1))+1)/((tblDecisionLog[Source Decision ID]&lt;&gt;"")+(tblDecisionLog[Decision Summary]&lt;&gt;"")),2)),IF(OR(_xlpm.x=0,_xlpm.x="0",_xlpm.x="N/A"),"",_xlpm.x)),"")</f>
        <v>Strategic Decision</v>
      </c>
      <c r="F8" s="180" t="str">
        <f t="array" ref="F8">IFERROR(_xlfn.LET(_xlpm.x,INDEX(tblDecisionLog[Workstream],_xlfn.AGGREGATE(15,6,(ROW(tblDecisionLog[Decision Log Immutable Key])-ROW(INDEX(tblDecisionLog[Decision Log Immutable Key],1,1))+1)/((tblDecisionLog[Source Decision ID]&lt;&gt;"")+(tblDecisionLog[Decision Summary]&lt;&gt;"")),2)),IF(OR(_xlpm.x=0,_xlpm.x="0",_xlpm.x="N/A"),"",_xlpm.x)),"")</f>
        <v>Commercial</v>
      </c>
      <c r="G8" s="178" t="str">
        <f t="array" ref="G8">IFERROR(_xlfn.LET(_xlpm.x,INDEX(tblDecisionLog[Follow-up Status],_xlfn.AGGREGATE(15,6,(ROW(tblDecisionLog[Decision Log Immutable Key])-ROW(INDEX(tblDecisionLog[Decision Log Immutable Key],1,1))+1)/((tblDecisionLog[Source Decision ID]&lt;&gt;"")+(tblDecisionLog[Decision Summary]&lt;&gt;"")),2)),IF(OR(_xlpm.x=0,_xlpm.x="0",_xlpm.x="N/A"),"",_xlpm.x)),"")</f>
        <v/>
      </c>
      <c r="H8" s="180" t="str">
        <f t="array" ref="H8">IFERROR(_xlfn.LET(_xlpm.x,INDEX(tblDecisionLog[Assigned To],_xlfn.AGGREGATE(15,6,(ROW(tblDecisionLog[Decision Log Immutable Key])-ROW(INDEX(tblDecisionLog[Decision Log Immutable Key],1,1))+1)/((tblDecisionLog[Source Decision ID]&lt;&gt;"")+(tblDecisionLog[Decision Summary]&lt;&gt;"")),2)),IF(OR(_xlpm.x=0,_xlpm.x="0",_xlpm.x="N/A"),"",_xlpm.x)),"")</f>
        <v>Tom</v>
      </c>
      <c r="I8" s="179" t="str">
        <f t="array" ref="I8">IFERROR(_xlfn.LET(_xlpm.x,INDEX(tblDecisionLog[Due Date],_xlfn.AGGREGATE(15,6,(ROW(tblDecisionLog[Decision Log Immutable Key])-ROW(INDEX(tblDecisionLog[Decision Log Immutable Key],1,1))+1)/((tblDecisionLog[Source Decision ID]&lt;&gt;"")+(tblDecisionLog[Decision Summary]&lt;&gt;"")),2)),IF(OR(_xlpm.x=0,_xlpm.x="0",_xlpm.x="N/A"),"",_xlpm.x)),"")</f>
        <v/>
      </c>
      <c r="J8" s="180" t="str">
        <f t="array" ref="J8">IFERROR(_xlfn.LET(_xlpm.x,INDEX(tblDecisionLog[Risk Impact],_xlfn.AGGREGATE(15,6,(ROW(tblDecisionLog[Decision Log Immutable Key])-ROW(INDEX(tblDecisionLog[Decision Log Immutable Key],1,1))+1)/((tblDecisionLog[Source Decision ID]&lt;&gt;"")+(tblDecisionLog[Decision Summary]&lt;&gt;"")),2)),IF(OR(_xlpm.x=0,_xlpm.x="0",_xlpm.x="N/A"),"",_xlpm.x)),"")</f>
        <v/>
      </c>
      <c r="K8" s="180" t="str">
        <f t="array" ref="K8">IFERROR(_xlfn.LET(_xlpm.x,INDEX(tblDecisionLog[Financial Impact],_xlfn.AGGREGATE(15,6,(ROW(tblDecisionLog[Decision Log Immutable Key])-ROW(INDEX(tblDecisionLog[Decision Log Immutable Key],1,1))+1)/((tblDecisionLog[Source Decision ID]&lt;&gt;"")+(tblDecisionLog[Decision Summary]&lt;&gt;"")),2)),IF(OR(_xlpm.x=0,_xlpm.x="0",_xlpm.x="N/A"),"",_xlpm.x)),"")</f>
        <v/>
      </c>
      <c r="L8" s="179">
        <f t="array" ref="L8">IFERROR(_xlfn.LET(_xlpm.x,INDEX(tblDecisionLog[Logged Date],_xlfn.AGGREGATE(15,6,(ROW(tblDecisionLog[Decision Log Immutable Key])-ROW(INDEX(tblDecisionLog[Decision Log Immutable Key],1,1))+1)/((tblDecisionLog[Source Decision ID]&lt;&gt;"")+(tblDecisionLog[Decision Summary]&lt;&gt;"")),2)),IF(OR(_xlpm.x=0,_xlpm.x="0",_xlpm.x="N/A"),"",_xlpm.x)),"")</f>
        <v>46175</v>
      </c>
    </row>
    <row r="9" spans="1:12">
      <c r="A9" s="100" t="str">
        <f>IF(A8="","",A8&amp;" cont.")</f>
        <v>DEC-0001-L1 cont.</v>
      </c>
      <c r="B9" s="181" t="str">
        <f t="array" ref="B9">IFERROR(_xlfn.LET(_xlpm.x,INDEX(tblDecisionLog[Decision Summary],_xlfn.AGGREGATE(15,6,(ROW(tblDecisionLog[Decision Log Immutable Key])-ROW(INDEX(tblDecisionLog[Decision Log Immutable Key],1,1))+1)/((tblDecisionLog[Source Decision ID]&lt;&gt;"")+(tblDecisionLog[Decision Summary]&lt;&gt;"")),2)),IF(OR(_xlpm.x=0,_xlpm.x="0",_xlpm.x="N/A"),"",_xlpm.x)),"")</f>
        <v>YVF Price Increase</v>
      </c>
      <c r="C9" s="182" t="str">
        <f t="array" ref="C9">IFERROR(_xlfn.LET(_xlpm.x,INDEX(tblDecisionLog[Next Action],_xlfn.AGGREGATE(15,6,(ROW(tblDecisionLog[Decision Log Immutable Key])-ROW(INDEX(tblDecisionLog[Decision Log Immutable Key],1,1))+1)/((tblDecisionLog[Source Decision ID]&lt;&gt;"")+(tblDecisionLog[Decision Summary]&lt;&gt;"")),2)),IF(OR(_xlpm.x=0,_xlpm.x="0",_xlpm.x="N/A"),"",_xlpm.x)),"")</f>
        <v>Implement price increase</v>
      </c>
      <c r="D9" s="181" t="str">
        <f t="array" ref="D9">IFERROR(_xlfn.LET(_xlpm.x,INDEX(tblDecisionLog[Original Issue],_xlfn.AGGREGATE(15,6,(ROW(tblDecisionLog[Decision Log Immutable Key])-ROW(INDEX(tblDecisionLog[Decision Log Immutable Key],1,1))+1)/((tblDecisionLog[Source Decision ID]&lt;&gt;"")+(tblDecisionLog[Decision Summary]&lt;&gt;"")),2)),IF(OR(_xlpm.x=0,_xlpm.x="0",_xlpm.x="N/A"),"",_xlpm.x)),"")</f>
        <v>Need to take price increases to offset labour/OH rates. 
Then standardize yield review and cost process next.</v>
      </c>
      <c r="E9" s="181" t="str">
        <f t="array" ref="E9">IFERROR(_xlfn.LET(_xlpm.x,INDEX(tblDecisionLog[Rationale],_xlfn.AGGREGATE(15,6,(ROW(tblDecisionLog[Decision Log Immutable Key])-ROW(INDEX(tblDecisionLog[Decision Log Immutable Key],1,1))+1)/((tblDecisionLog[Source Decision ID]&lt;&gt;"")+(tblDecisionLog[Decision Summary]&lt;&gt;"")),2)),IF(OR(_xlpm.x=0,_xlpm.x="0",_xlpm.x="N/A"),"",_xlpm.x)),"")</f>
        <v xml:space="preserve">2.5% Labour and OH Increase </v>
      </c>
      <c r="F9" s="181" t="str">
        <f t="array" ref="F9">IFERROR(_xlfn.LET(_xlpm.x,INDEX(tblDecisionLog[Further Action Required],_xlfn.AGGREGATE(15,6,(ROW(tblDecisionLog[Decision Log Immutable Key])-ROW(INDEX(tblDecisionLog[Decision Log Immutable Key],1,1))+1)/((tblDecisionLog[Source Decision ID]&lt;&gt;"")+(tblDecisionLog[Decision Summary]&lt;&gt;"")),2)),IF(OR(_xlpm.x=0,_xlpm.x="0",_xlpm.x="N/A"),"",_xlpm.x)),"")</f>
        <v/>
      </c>
      <c r="G9" s="181" t="str">
        <f t="array" ref="G9">IFERROR(_xlfn.LET(_xlpm.x,INDEX(tblDecisionLog[Requester],_xlfn.AGGREGATE(15,6,(ROW(tblDecisionLog[Decision Log Immutable Key])-ROW(INDEX(tblDecisionLog[Decision Log Immutable Key],1,1))+1)/((tblDecisionLog[Source Decision ID]&lt;&gt;"")+(tblDecisionLog[Decision Summary]&lt;&gt;"")),2)),IF(OR(_xlpm.x=0,_xlpm.x="0",_xlpm.x="N/A"),"",_xlpm.x)),"")</f>
        <v/>
      </c>
      <c r="H9" s="181" t="str">
        <f t="array" ref="H9">IFERROR(_xlfn.LET(_xlpm.x,INDEX(tblDecisionLog[Strategic Objective],_xlfn.AGGREGATE(15,6,(ROW(tblDecisionLog[Decision Log Immutable Key])-ROW(INDEX(tblDecisionLog[Decision Log Immutable Key],1,1))+1)/((tblDecisionLog[Source Decision ID]&lt;&gt;"")+(tblDecisionLog[Decision Summary]&lt;&gt;"")),2)),IF(OR(_xlpm.x=0,_xlpm.x="0",_xlpm.x="N/A"),"",_xlpm.x)),"")</f>
        <v>Commercial Growth</v>
      </c>
      <c r="I9" s="182" t="str">
        <f t="array" ref="I9">IFERROR(_xlfn.LET(_xlpm.x,INDEX(tblDecisionLog[Notes],_xlfn.AGGREGATE(15,6,(ROW(tblDecisionLog[Decision Log Immutable Key])-ROW(INDEX(tblDecisionLog[Decision Log Immutable Key],1,1))+1)/((tblDecisionLog[Source Decision ID]&lt;&gt;"")+(tblDecisionLog[Decision Summary]&lt;&gt;"")),2)),IF(OR(_xlpm.x=0,_xlpm.x="0",_xlpm.x="N/A"),"",_xlpm.x)),"")</f>
        <v/>
      </c>
      <c r="J9" s="181"/>
      <c r="K9" s="181"/>
      <c r="L9" s="182"/>
    </row>
    <row r="10" spans="1:12">
      <c r="A10" s="177" t="str">
        <f t="array" ref="A10">IFERROR(_xlfn.LET(_xlpm.x,INDEX(tblDecisionLog[Decision Log ID],_xlfn.AGGREGATE(15,6,(ROW(tblDecisionLog[Decision Log Immutable Key])-ROW(INDEX(tblDecisionLog[Decision Log Immutable Key],1,1))+1)/((tblDecisionLog[Source Decision ID]&lt;&gt;"")+(tblDecisionLog[Decision Summary]&lt;&gt;"")),3)),IF(OR(_xlpm.x=0,_xlpm.x="0",_xlpm.x="N/A"),"",_xlpm.x)),"")</f>
        <v/>
      </c>
      <c r="B10" s="172" t="str">
        <f t="array" ref="B10">IFERROR(_xlfn.LET(_xlpm.x,INDEX(tblDecisionLog[Source Decision ID],_xlfn.AGGREGATE(15,6,(ROW(tblDecisionLog[Decision Log Immutable Key])-ROW(INDEX(tblDecisionLog[Decision Log Immutable Key],1,1))+1)/((tblDecisionLog[Source Decision ID]&lt;&gt;"")+(tblDecisionLog[Decision Summary]&lt;&gt;"")),3)),IF(OR(_xlpm.x=0,_xlpm.x="0",_xlpm.x="N/A"),"",_xlpm.x)),"")</f>
        <v/>
      </c>
      <c r="C10" s="173" t="str">
        <f t="array" ref="C10">IFERROR(_xlfn.LET(_xlpm.x,INDEX(tblDecisionLog[Decision Date],_xlfn.AGGREGATE(15,6,(ROW(tblDecisionLog[Decision Log Immutable Key])-ROW(INDEX(tblDecisionLog[Decision Log Immutable Key],1,1))+1)/((tblDecisionLog[Source Decision ID]&lt;&gt;"")+(tblDecisionLog[Decision Summary]&lt;&gt;"")),3)),IF(OR(_xlpm.x=0,_xlpm.x="0",_xlpm.x="N/A"),"",_xlpm.x)),"")</f>
        <v/>
      </c>
      <c r="D10" s="172" t="str">
        <f t="array" ref="D10">IFERROR(_xlfn.LET(_xlpm.x,INDEX(tblDecisionLog[Decision Maker],_xlfn.AGGREGATE(15,6,(ROW(tblDecisionLog[Decision Log Immutable Key])-ROW(INDEX(tblDecisionLog[Decision Log Immutable Key],1,1))+1)/((tblDecisionLog[Source Decision ID]&lt;&gt;"")+(tblDecisionLog[Decision Summary]&lt;&gt;"")),3)),IF(OR(_xlpm.x=0,_xlpm.x="0",_xlpm.x="N/A"),"",_xlpm.x)),"")</f>
        <v/>
      </c>
      <c r="E10" s="174" t="str">
        <f t="array" ref="E10">IFERROR(_xlfn.LET(_xlpm.x,INDEX(tblDecisionLog[Decision Type],_xlfn.AGGREGATE(15,6,(ROW(tblDecisionLog[Decision Log Immutable Key])-ROW(INDEX(tblDecisionLog[Decision Log Immutable Key],1,1))+1)/((tblDecisionLog[Source Decision ID]&lt;&gt;"")+(tblDecisionLog[Decision Summary]&lt;&gt;"")),3)),IF(OR(_xlpm.x=0,_xlpm.x="0",_xlpm.x="N/A"),"",_xlpm.x)),"")</f>
        <v/>
      </c>
      <c r="F10" s="174" t="str">
        <f t="array" ref="F10">IFERROR(_xlfn.LET(_xlpm.x,INDEX(tblDecisionLog[Workstream],_xlfn.AGGREGATE(15,6,(ROW(tblDecisionLog[Decision Log Immutable Key])-ROW(INDEX(tblDecisionLog[Decision Log Immutable Key],1,1))+1)/((tblDecisionLog[Source Decision ID]&lt;&gt;"")+(tblDecisionLog[Decision Summary]&lt;&gt;"")),3)),IF(OR(_xlpm.x=0,_xlpm.x="0",_xlpm.x="N/A"),"",_xlpm.x)),"")</f>
        <v/>
      </c>
      <c r="G10" s="172" t="str">
        <f t="array" ref="G10">IFERROR(_xlfn.LET(_xlpm.x,INDEX(tblDecisionLog[Follow-up Status],_xlfn.AGGREGATE(15,6,(ROW(tblDecisionLog[Decision Log Immutable Key])-ROW(INDEX(tblDecisionLog[Decision Log Immutable Key],1,1))+1)/((tblDecisionLog[Source Decision ID]&lt;&gt;"")+(tblDecisionLog[Decision Summary]&lt;&gt;"")),3)),IF(OR(_xlpm.x=0,_xlpm.x="0",_xlpm.x="N/A"),"",_xlpm.x)),"")</f>
        <v/>
      </c>
      <c r="H10" s="174" t="str">
        <f t="array" ref="H10">IFERROR(_xlfn.LET(_xlpm.x,INDEX(tblDecisionLog[Assigned To],_xlfn.AGGREGATE(15,6,(ROW(tblDecisionLog[Decision Log Immutable Key])-ROW(INDEX(tblDecisionLog[Decision Log Immutable Key],1,1))+1)/((tblDecisionLog[Source Decision ID]&lt;&gt;"")+(tblDecisionLog[Decision Summary]&lt;&gt;"")),3)),IF(OR(_xlpm.x=0,_xlpm.x="0",_xlpm.x="N/A"),"",_xlpm.x)),"")</f>
        <v/>
      </c>
      <c r="I10" s="173" t="str">
        <f t="array" ref="I10">IFERROR(_xlfn.LET(_xlpm.x,INDEX(tblDecisionLog[Due Date],_xlfn.AGGREGATE(15,6,(ROW(tblDecisionLog[Decision Log Immutable Key])-ROW(INDEX(tblDecisionLog[Decision Log Immutable Key],1,1))+1)/((tblDecisionLog[Source Decision ID]&lt;&gt;"")+(tblDecisionLog[Decision Summary]&lt;&gt;"")),3)),IF(OR(_xlpm.x=0,_xlpm.x="0",_xlpm.x="N/A"),"",_xlpm.x)),"")</f>
        <v/>
      </c>
      <c r="J10" s="174" t="str">
        <f t="array" ref="J10">IFERROR(_xlfn.LET(_xlpm.x,INDEX(tblDecisionLog[Risk Impact],_xlfn.AGGREGATE(15,6,(ROW(tblDecisionLog[Decision Log Immutable Key])-ROW(INDEX(tblDecisionLog[Decision Log Immutable Key],1,1))+1)/((tblDecisionLog[Source Decision ID]&lt;&gt;"")+(tblDecisionLog[Decision Summary]&lt;&gt;"")),3)),IF(OR(_xlpm.x=0,_xlpm.x="0",_xlpm.x="N/A"),"",_xlpm.x)),"")</f>
        <v/>
      </c>
      <c r="K10" s="174" t="str">
        <f t="array" ref="K10">IFERROR(_xlfn.LET(_xlpm.x,INDEX(tblDecisionLog[Financial Impact],_xlfn.AGGREGATE(15,6,(ROW(tblDecisionLog[Decision Log Immutable Key])-ROW(INDEX(tblDecisionLog[Decision Log Immutable Key],1,1))+1)/((tblDecisionLog[Source Decision ID]&lt;&gt;"")+(tblDecisionLog[Decision Summary]&lt;&gt;"")),3)),IF(OR(_xlpm.x=0,_xlpm.x="0",_xlpm.x="N/A"),"",_xlpm.x)),"")</f>
        <v/>
      </c>
      <c r="L10" s="173" t="str">
        <f t="array" ref="L10">IFERROR(_xlfn.LET(_xlpm.x,INDEX(tblDecisionLog[Logged Date],_xlfn.AGGREGATE(15,6,(ROW(tblDecisionLog[Decision Log Immutable Key])-ROW(INDEX(tblDecisionLog[Decision Log Immutable Key],1,1))+1)/((tblDecisionLog[Source Decision ID]&lt;&gt;"")+(tblDecisionLog[Decision Summary]&lt;&gt;"")),3)),IF(OR(_xlpm.x=0,_xlpm.x="0",_xlpm.x="N/A"),"",_xlpm.x)),"")</f>
        <v/>
      </c>
    </row>
    <row r="11" spans="1:12">
      <c r="A11" s="99" t="str">
        <f>IF(A10="","",A10&amp;" cont.")</f>
        <v/>
      </c>
      <c r="B11" s="175" t="str">
        <f t="array" ref="B11">IFERROR(_xlfn.LET(_xlpm.x,INDEX(tblDecisionLog[Decision Summary],_xlfn.AGGREGATE(15,6,(ROW(tblDecisionLog[Decision Log Immutable Key])-ROW(INDEX(tblDecisionLog[Decision Log Immutable Key],1,1))+1)/((tblDecisionLog[Source Decision ID]&lt;&gt;"")+(tblDecisionLog[Decision Summary]&lt;&gt;"")),3)),IF(OR(_xlpm.x=0,_xlpm.x="0",_xlpm.x="N/A"),"",_xlpm.x)),"")</f>
        <v/>
      </c>
      <c r="C11" s="176" t="str">
        <f t="array" ref="C11">IFERROR(_xlfn.LET(_xlpm.x,INDEX(tblDecisionLog[Next Action],_xlfn.AGGREGATE(15,6,(ROW(tblDecisionLog[Decision Log Immutable Key])-ROW(INDEX(tblDecisionLog[Decision Log Immutable Key],1,1))+1)/((tblDecisionLog[Source Decision ID]&lt;&gt;"")+(tblDecisionLog[Decision Summary]&lt;&gt;"")),3)),IF(OR(_xlpm.x=0,_xlpm.x="0",_xlpm.x="N/A"),"",_xlpm.x)),"")</f>
        <v/>
      </c>
      <c r="D11" s="175" t="str">
        <f t="array" ref="D11">IFERROR(_xlfn.LET(_xlpm.x,INDEX(tblDecisionLog[Original Issue],_xlfn.AGGREGATE(15,6,(ROW(tblDecisionLog[Decision Log Immutable Key])-ROW(INDEX(tblDecisionLog[Decision Log Immutable Key],1,1))+1)/((tblDecisionLog[Source Decision ID]&lt;&gt;"")+(tblDecisionLog[Decision Summary]&lt;&gt;"")),3)),IF(OR(_xlpm.x=0,_xlpm.x="0",_xlpm.x="N/A"),"",_xlpm.x)),"")</f>
        <v/>
      </c>
      <c r="E11" s="175" t="str">
        <f t="array" ref="E11">IFERROR(_xlfn.LET(_xlpm.x,INDEX(tblDecisionLog[Rationale],_xlfn.AGGREGATE(15,6,(ROW(tblDecisionLog[Decision Log Immutable Key])-ROW(INDEX(tblDecisionLog[Decision Log Immutable Key],1,1))+1)/((tblDecisionLog[Source Decision ID]&lt;&gt;"")+(tblDecisionLog[Decision Summary]&lt;&gt;"")),3)),IF(OR(_xlpm.x=0,_xlpm.x="0",_xlpm.x="N/A"),"",_xlpm.x)),"")</f>
        <v/>
      </c>
      <c r="F11" s="175" t="str">
        <f t="array" ref="F11">IFERROR(_xlfn.LET(_xlpm.x,INDEX(tblDecisionLog[Further Action Required],_xlfn.AGGREGATE(15,6,(ROW(tblDecisionLog[Decision Log Immutable Key])-ROW(INDEX(tblDecisionLog[Decision Log Immutable Key],1,1))+1)/((tblDecisionLog[Source Decision ID]&lt;&gt;"")+(tblDecisionLog[Decision Summary]&lt;&gt;"")),3)),IF(OR(_xlpm.x=0,_xlpm.x="0",_xlpm.x="N/A"),"",_xlpm.x)),"")</f>
        <v/>
      </c>
      <c r="G11" s="175" t="str">
        <f t="array" ref="G11">IFERROR(_xlfn.LET(_xlpm.x,INDEX(tblDecisionLog[Requester],_xlfn.AGGREGATE(15,6,(ROW(tblDecisionLog[Decision Log Immutable Key])-ROW(INDEX(tblDecisionLog[Decision Log Immutable Key],1,1))+1)/((tblDecisionLog[Source Decision ID]&lt;&gt;"")+(tblDecisionLog[Decision Summary]&lt;&gt;"")),3)),IF(OR(_xlpm.x=0,_xlpm.x="0",_xlpm.x="N/A"),"",_xlpm.x)),"")</f>
        <v/>
      </c>
      <c r="H11" s="175" t="str">
        <f t="array" ref="H11">IFERROR(_xlfn.LET(_xlpm.x,INDEX(tblDecisionLog[Strategic Objective],_xlfn.AGGREGATE(15,6,(ROW(tblDecisionLog[Decision Log Immutable Key])-ROW(INDEX(tblDecisionLog[Decision Log Immutable Key],1,1))+1)/((tblDecisionLog[Source Decision ID]&lt;&gt;"")+(tblDecisionLog[Decision Summary]&lt;&gt;"")),3)),IF(OR(_xlpm.x=0,_xlpm.x="0",_xlpm.x="N/A"),"",_xlpm.x)),"")</f>
        <v/>
      </c>
      <c r="I11" s="176" t="str">
        <f t="array" ref="I11">IFERROR(_xlfn.LET(_xlpm.x,INDEX(tblDecisionLog[Notes],_xlfn.AGGREGATE(15,6,(ROW(tblDecisionLog[Decision Log Immutable Key])-ROW(INDEX(tblDecisionLog[Decision Log Immutable Key],1,1))+1)/((tblDecisionLog[Source Decision ID]&lt;&gt;"")+(tblDecisionLog[Decision Summary]&lt;&gt;"")),3)),IF(OR(_xlpm.x=0,_xlpm.x="0",_xlpm.x="N/A"),"",_xlpm.x)),"")</f>
        <v/>
      </c>
      <c r="J11" s="175"/>
      <c r="K11" s="175"/>
      <c r="L11" s="176"/>
    </row>
    <row r="12" spans="1:12">
      <c r="A12" s="177" t="str">
        <f t="array" ref="A12">IFERROR(_xlfn.LET(_xlpm.x,INDEX(tblDecisionLog[Decision Log ID],_xlfn.AGGREGATE(15,6,(ROW(tblDecisionLog[Decision Log Immutable Key])-ROW(INDEX(tblDecisionLog[Decision Log Immutable Key],1,1))+1)/((tblDecisionLog[Source Decision ID]&lt;&gt;"")+(tblDecisionLog[Decision Summary]&lt;&gt;"")),4)),IF(OR(_xlpm.x=0,_xlpm.x="0",_xlpm.x="N/A"),"",_xlpm.x)),"")</f>
        <v/>
      </c>
      <c r="B12" s="178" t="str">
        <f t="array" ref="B12">IFERROR(_xlfn.LET(_xlpm.x,INDEX(tblDecisionLog[Source Decision ID],_xlfn.AGGREGATE(15,6,(ROW(tblDecisionLog[Decision Log Immutable Key])-ROW(INDEX(tblDecisionLog[Decision Log Immutable Key],1,1))+1)/((tblDecisionLog[Source Decision ID]&lt;&gt;"")+(tblDecisionLog[Decision Summary]&lt;&gt;"")),4)),IF(OR(_xlpm.x=0,_xlpm.x="0",_xlpm.x="N/A"),"",_xlpm.x)),"")</f>
        <v/>
      </c>
      <c r="C12" s="179" t="str">
        <f t="array" ref="C12">IFERROR(_xlfn.LET(_xlpm.x,INDEX(tblDecisionLog[Decision Date],_xlfn.AGGREGATE(15,6,(ROW(tblDecisionLog[Decision Log Immutable Key])-ROW(INDEX(tblDecisionLog[Decision Log Immutable Key],1,1))+1)/((tblDecisionLog[Source Decision ID]&lt;&gt;"")+(tblDecisionLog[Decision Summary]&lt;&gt;"")),4)),IF(OR(_xlpm.x=0,_xlpm.x="0",_xlpm.x="N/A"),"",_xlpm.x)),"")</f>
        <v/>
      </c>
      <c r="D12" s="178" t="str">
        <f t="array" ref="D12">IFERROR(_xlfn.LET(_xlpm.x,INDEX(tblDecisionLog[Decision Maker],_xlfn.AGGREGATE(15,6,(ROW(tblDecisionLog[Decision Log Immutable Key])-ROW(INDEX(tblDecisionLog[Decision Log Immutable Key],1,1))+1)/((tblDecisionLog[Source Decision ID]&lt;&gt;"")+(tblDecisionLog[Decision Summary]&lt;&gt;"")),4)),IF(OR(_xlpm.x=0,_xlpm.x="0",_xlpm.x="N/A"),"",_xlpm.x)),"")</f>
        <v/>
      </c>
      <c r="E12" s="180" t="str">
        <f t="array" ref="E12">IFERROR(_xlfn.LET(_xlpm.x,INDEX(tblDecisionLog[Decision Type],_xlfn.AGGREGATE(15,6,(ROW(tblDecisionLog[Decision Log Immutable Key])-ROW(INDEX(tblDecisionLog[Decision Log Immutable Key],1,1))+1)/((tblDecisionLog[Source Decision ID]&lt;&gt;"")+(tblDecisionLog[Decision Summary]&lt;&gt;"")),4)),IF(OR(_xlpm.x=0,_xlpm.x="0",_xlpm.x="N/A"),"",_xlpm.x)),"")</f>
        <v/>
      </c>
      <c r="F12" s="180" t="str">
        <f t="array" ref="F12">IFERROR(_xlfn.LET(_xlpm.x,INDEX(tblDecisionLog[Workstream],_xlfn.AGGREGATE(15,6,(ROW(tblDecisionLog[Decision Log Immutable Key])-ROW(INDEX(tblDecisionLog[Decision Log Immutable Key],1,1))+1)/((tblDecisionLog[Source Decision ID]&lt;&gt;"")+(tblDecisionLog[Decision Summary]&lt;&gt;"")),4)),IF(OR(_xlpm.x=0,_xlpm.x="0",_xlpm.x="N/A"),"",_xlpm.x)),"")</f>
        <v/>
      </c>
      <c r="G12" s="178" t="str">
        <f t="array" ref="G12">IFERROR(_xlfn.LET(_xlpm.x,INDEX(tblDecisionLog[Follow-up Status],_xlfn.AGGREGATE(15,6,(ROW(tblDecisionLog[Decision Log Immutable Key])-ROW(INDEX(tblDecisionLog[Decision Log Immutable Key],1,1))+1)/((tblDecisionLog[Source Decision ID]&lt;&gt;"")+(tblDecisionLog[Decision Summary]&lt;&gt;"")),4)),IF(OR(_xlpm.x=0,_xlpm.x="0",_xlpm.x="N/A"),"",_xlpm.x)),"")</f>
        <v/>
      </c>
      <c r="H12" s="180" t="str">
        <f t="array" ref="H12">IFERROR(_xlfn.LET(_xlpm.x,INDEX(tblDecisionLog[Assigned To],_xlfn.AGGREGATE(15,6,(ROW(tblDecisionLog[Decision Log Immutable Key])-ROW(INDEX(tblDecisionLog[Decision Log Immutable Key],1,1))+1)/((tblDecisionLog[Source Decision ID]&lt;&gt;"")+(tblDecisionLog[Decision Summary]&lt;&gt;"")),4)),IF(OR(_xlpm.x=0,_xlpm.x="0",_xlpm.x="N/A"),"",_xlpm.x)),"")</f>
        <v/>
      </c>
      <c r="I12" s="179" t="str">
        <f t="array" ref="I12">IFERROR(_xlfn.LET(_xlpm.x,INDEX(tblDecisionLog[Due Date],_xlfn.AGGREGATE(15,6,(ROW(tblDecisionLog[Decision Log Immutable Key])-ROW(INDEX(tblDecisionLog[Decision Log Immutable Key],1,1))+1)/((tblDecisionLog[Source Decision ID]&lt;&gt;"")+(tblDecisionLog[Decision Summary]&lt;&gt;"")),4)),IF(OR(_xlpm.x=0,_xlpm.x="0",_xlpm.x="N/A"),"",_xlpm.x)),"")</f>
        <v/>
      </c>
      <c r="J12" s="180" t="str">
        <f t="array" ref="J12">IFERROR(_xlfn.LET(_xlpm.x,INDEX(tblDecisionLog[Risk Impact],_xlfn.AGGREGATE(15,6,(ROW(tblDecisionLog[Decision Log Immutable Key])-ROW(INDEX(tblDecisionLog[Decision Log Immutable Key],1,1))+1)/((tblDecisionLog[Source Decision ID]&lt;&gt;"")+(tblDecisionLog[Decision Summary]&lt;&gt;"")),4)),IF(OR(_xlpm.x=0,_xlpm.x="0",_xlpm.x="N/A"),"",_xlpm.x)),"")</f>
        <v/>
      </c>
      <c r="K12" s="180" t="str">
        <f t="array" ref="K12">IFERROR(_xlfn.LET(_xlpm.x,INDEX(tblDecisionLog[Financial Impact],_xlfn.AGGREGATE(15,6,(ROW(tblDecisionLog[Decision Log Immutable Key])-ROW(INDEX(tblDecisionLog[Decision Log Immutable Key],1,1))+1)/((tblDecisionLog[Source Decision ID]&lt;&gt;"")+(tblDecisionLog[Decision Summary]&lt;&gt;"")),4)),IF(OR(_xlpm.x=0,_xlpm.x="0",_xlpm.x="N/A"),"",_xlpm.x)),"")</f>
        <v/>
      </c>
      <c r="L12" s="179" t="str">
        <f t="array" ref="L12">IFERROR(_xlfn.LET(_xlpm.x,INDEX(tblDecisionLog[Logged Date],_xlfn.AGGREGATE(15,6,(ROW(tblDecisionLog[Decision Log Immutable Key])-ROW(INDEX(tblDecisionLog[Decision Log Immutable Key],1,1))+1)/((tblDecisionLog[Source Decision ID]&lt;&gt;"")+(tblDecisionLog[Decision Summary]&lt;&gt;"")),4)),IF(OR(_xlpm.x=0,_xlpm.x="0",_xlpm.x="N/A"),"",_xlpm.x)),"")</f>
        <v/>
      </c>
    </row>
    <row r="13" spans="1:12">
      <c r="A13" s="100" t="str">
        <f>IF(A12="","",A12&amp;" cont.")</f>
        <v/>
      </c>
      <c r="B13" s="181" t="str">
        <f t="array" ref="B13">IFERROR(_xlfn.LET(_xlpm.x,INDEX(tblDecisionLog[Decision Summary],_xlfn.AGGREGATE(15,6,(ROW(tblDecisionLog[Decision Log Immutable Key])-ROW(INDEX(tblDecisionLog[Decision Log Immutable Key],1,1))+1)/((tblDecisionLog[Source Decision ID]&lt;&gt;"")+(tblDecisionLog[Decision Summary]&lt;&gt;"")),4)),IF(OR(_xlpm.x=0,_xlpm.x="0",_xlpm.x="N/A"),"",_xlpm.x)),"")</f>
        <v/>
      </c>
      <c r="C13" s="182" t="str">
        <f t="array" ref="C13">IFERROR(_xlfn.LET(_xlpm.x,INDEX(tblDecisionLog[Next Action],_xlfn.AGGREGATE(15,6,(ROW(tblDecisionLog[Decision Log Immutable Key])-ROW(INDEX(tblDecisionLog[Decision Log Immutable Key],1,1))+1)/((tblDecisionLog[Source Decision ID]&lt;&gt;"")+(tblDecisionLog[Decision Summary]&lt;&gt;"")),4)),IF(OR(_xlpm.x=0,_xlpm.x="0",_xlpm.x="N/A"),"",_xlpm.x)),"")</f>
        <v/>
      </c>
      <c r="D13" s="181" t="str">
        <f t="array" ref="D13">IFERROR(_xlfn.LET(_xlpm.x,INDEX(tblDecisionLog[Original Issue],_xlfn.AGGREGATE(15,6,(ROW(tblDecisionLog[Decision Log Immutable Key])-ROW(INDEX(tblDecisionLog[Decision Log Immutable Key],1,1))+1)/((tblDecisionLog[Source Decision ID]&lt;&gt;"")+(tblDecisionLog[Decision Summary]&lt;&gt;"")),4)),IF(OR(_xlpm.x=0,_xlpm.x="0",_xlpm.x="N/A"),"",_xlpm.x)),"")</f>
        <v/>
      </c>
      <c r="E13" s="181" t="str">
        <f t="array" ref="E13">IFERROR(_xlfn.LET(_xlpm.x,INDEX(tblDecisionLog[Rationale],_xlfn.AGGREGATE(15,6,(ROW(tblDecisionLog[Decision Log Immutable Key])-ROW(INDEX(tblDecisionLog[Decision Log Immutable Key],1,1))+1)/((tblDecisionLog[Source Decision ID]&lt;&gt;"")+(tblDecisionLog[Decision Summary]&lt;&gt;"")),4)),IF(OR(_xlpm.x=0,_xlpm.x="0",_xlpm.x="N/A"),"",_xlpm.x)),"")</f>
        <v/>
      </c>
      <c r="F13" s="181" t="str">
        <f t="array" ref="F13">IFERROR(_xlfn.LET(_xlpm.x,INDEX(tblDecisionLog[Further Action Required],_xlfn.AGGREGATE(15,6,(ROW(tblDecisionLog[Decision Log Immutable Key])-ROW(INDEX(tblDecisionLog[Decision Log Immutable Key],1,1))+1)/((tblDecisionLog[Source Decision ID]&lt;&gt;"")+(tblDecisionLog[Decision Summary]&lt;&gt;"")),4)),IF(OR(_xlpm.x=0,_xlpm.x="0",_xlpm.x="N/A"),"",_xlpm.x)),"")</f>
        <v/>
      </c>
      <c r="G13" s="181" t="str">
        <f t="array" ref="G13">IFERROR(_xlfn.LET(_xlpm.x,INDEX(tblDecisionLog[Requester],_xlfn.AGGREGATE(15,6,(ROW(tblDecisionLog[Decision Log Immutable Key])-ROW(INDEX(tblDecisionLog[Decision Log Immutable Key],1,1))+1)/((tblDecisionLog[Source Decision ID]&lt;&gt;"")+(tblDecisionLog[Decision Summary]&lt;&gt;"")),4)),IF(OR(_xlpm.x=0,_xlpm.x="0",_xlpm.x="N/A"),"",_xlpm.x)),"")</f>
        <v/>
      </c>
      <c r="H13" s="181" t="str">
        <f t="array" ref="H13">IFERROR(_xlfn.LET(_xlpm.x,INDEX(tblDecisionLog[Strategic Objective],_xlfn.AGGREGATE(15,6,(ROW(tblDecisionLog[Decision Log Immutable Key])-ROW(INDEX(tblDecisionLog[Decision Log Immutable Key],1,1))+1)/((tblDecisionLog[Source Decision ID]&lt;&gt;"")+(tblDecisionLog[Decision Summary]&lt;&gt;"")),4)),IF(OR(_xlpm.x=0,_xlpm.x="0",_xlpm.x="N/A"),"",_xlpm.x)),"")</f>
        <v/>
      </c>
      <c r="I13" s="182" t="str">
        <f t="array" ref="I13">IFERROR(_xlfn.LET(_xlpm.x,INDEX(tblDecisionLog[Notes],_xlfn.AGGREGATE(15,6,(ROW(tblDecisionLog[Decision Log Immutable Key])-ROW(INDEX(tblDecisionLog[Decision Log Immutable Key],1,1))+1)/((tblDecisionLog[Source Decision ID]&lt;&gt;"")+(tblDecisionLog[Decision Summary]&lt;&gt;"")),4)),IF(OR(_xlpm.x=0,_xlpm.x="0",_xlpm.x="N/A"),"",_xlpm.x)),"")</f>
        <v/>
      </c>
      <c r="J13" s="181"/>
      <c r="K13" s="181"/>
      <c r="L13" s="182"/>
    </row>
    <row r="14" spans="1:12">
      <c r="A14" s="177" t="str">
        <f t="array" ref="A14">IFERROR(_xlfn.LET(_xlpm.x,INDEX(tblDecisionLog[Decision Log ID],_xlfn.AGGREGATE(15,6,(ROW(tblDecisionLog[Decision Log Immutable Key])-ROW(INDEX(tblDecisionLog[Decision Log Immutable Key],1,1))+1)/((tblDecisionLog[Source Decision ID]&lt;&gt;"")+(tblDecisionLog[Decision Summary]&lt;&gt;"")),5)),IF(OR(_xlpm.x=0,_xlpm.x="0",_xlpm.x="N/A"),"",_xlpm.x)),"")</f>
        <v/>
      </c>
      <c r="B14" s="172" t="str">
        <f t="array" ref="B14">IFERROR(_xlfn.LET(_xlpm.x,INDEX(tblDecisionLog[Source Decision ID],_xlfn.AGGREGATE(15,6,(ROW(tblDecisionLog[Decision Log Immutable Key])-ROW(INDEX(tblDecisionLog[Decision Log Immutable Key],1,1))+1)/((tblDecisionLog[Source Decision ID]&lt;&gt;"")+(tblDecisionLog[Decision Summary]&lt;&gt;"")),5)),IF(OR(_xlpm.x=0,_xlpm.x="0",_xlpm.x="N/A"),"",_xlpm.x)),"")</f>
        <v/>
      </c>
      <c r="C14" s="173" t="str">
        <f t="array" ref="C14">IFERROR(_xlfn.LET(_xlpm.x,INDEX(tblDecisionLog[Decision Date],_xlfn.AGGREGATE(15,6,(ROW(tblDecisionLog[Decision Log Immutable Key])-ROW(INDEX(tblDecisionLog[Decision Log Immutable Key],1,1))+1)/((tblDecisionLog[Source Decision ID]&lt;&gt;"")+(tblDecisionLog[Decision Summary]&lt;&gt;"")),5)),IF(OR(_xlpm.x=0,_xlpm.x="0",_xlpm.x="N/A"),"",_xlpm.x)),"")</f>
        <v/>
      </c>
      <c r="D14" s="172" t="str">
        <f t="array" ref="D14">IFERROR(_xlfn.LET(_xlpm.x,INDEX(tblDecisionLog[Decision Maker],_xlfn.AGGREGATE(15,6,(ROW(tblDecisionLog[Decision Log Immutable Key])-ROW(INDEX(tblDecisionLog[Decision Log Immutable Key],1,1))+1)/((tblDecisionLog[Source Decision ID]&lt;&gt;"")+(tblDecisionLog[Decision Summary]&lt;&gt;"")),5)),IF(OR(_xlpm.x=0,_xlpm.x="0",_xlpm.x="N/A"),"",_xlpm.x)),"")</f>
        <v/>
      </c>
      <c r="E14" s="174" t="str">
        <f t="array" ref="E14">IFERROR(_xlfn.LET(_xlpm.x,INDEX(tblDecisionLog[Decision Type],_xlfn.AGGREGATE(15,6,(ROW(tblDecisionLog[Decision Log Immutable Key])-ROW(INDEX(tblDecisionLog[Decision Log Immutable Key],1,1))+1)/((tblDecisionLog[Source Decision ID]&lt;&gt;"")+(tblDecisionLog[Decision Summary]&lt;&gt;"")),5)),IF(OR(_xlpm.x=0,_xlpm.x="0",_xlpm.x="N/A"),"",_xlpm.x)),"")</f>
        <v/>
      </c>
      <c r="F14" s="174" t="str">
        <f t="array" ref="F14">IFERROR(_xlfn.LET(_xlpm.x,INDEX(tblDecisionLog[Workstream],_xlfn.AGGREGATE(15,6,(ROW(tblDecisionLog[Decision Log Immutable Key])-ROW(INDEX(tblDecisionLog[Decision Log Immutable Key],1,1))+1)/((tblDecisionLog[Source Decision ID]&lt;&gt;"")+(tblDecisionLog[Decision Summary]&lt;&gt;"")),5)),IF(OR(_xlpm.x=0,_xlpm.x="0",_xlpm.x="N/A"),"",_xlpm.x)),"")</f>
        <v/>
      </c>
      <c r="G14" s="172" t="str">
        <f t="array" ref="G14">IFERROR(_xlfn.LET(_xlpm.x,INDEX(tblDecisionLog[Follow-up Status],_xlfn.AGGREGATE(15,6,(ROW(tblDecisionLog[Decision Log Immutable Key])-ROW(INDEX(tblDecisionLog[Decision Log Immutable Key],1,1))+1)/((tblDecisionLog[Source Decision ID]&lt;&gt;"")+(tblDecisionLog[Decision Summary]&lt;&gt;"")),5)),IF(OR(_xlpm.x=0,_xlpm.x="0",_xlpm.x="N/A"),"",_xlpm.x)),"")</f>
        <v/>
      </c>
      <c r="H14" s="174" t="str">
        <f t="array" ref="H14">IFERROR(_xlfn.LET(_xlpm.x,INDEX(tblDecisionLog[Assigned To],_xlfn.AGGREGATE(15,6,(ROW(tblDecisionLog[Decision Log Immutable Key])-ROW(INDEX(tblDecisionLog[Decision Log Immutable Key],1,1))+1)/((tblDecisionLog[Source Decision ID]&lt;&gt;"")+(tblDecisionLog[Decision Summary]&lt;&gt;"")),5)),IF(OR(_xlpm.x=0,_xlpm.x="0",_xlpm.x="N/A"),"",_xlpm.x)),"")</f>
        <v/>
      </c>
      <c r="I14" s="173" t="str">
        <f t="array" ref="I14">IFERROR(_xlfn.LET(_xlpm.x,INDEX(tblDecisionLog[Due Date],_xlfn.AGGREGATE(15,6,(ROW(tblDecisionLog[Decision Log Immutable Key])-ROW(INDEX(tblDecisionLog[Decision Log Immutable Key],1,1))+1)/((tblDecisionLog[Source Decision ID]&lt;&gt;"")+(tblDecisionLog[Decision Summary]&lt;&gt;"")),5)),IF(OR(_xlpm.x=0,_xlpm.x="0",_xlpm.x="N/A"),"",_xlpm.x)),"")</f>
        <v/>
      </c>
      <c r="J14" s="174" t="str">
        <f t="array" ref="J14">IFERROR(_xlfn.LET(_xlpm.x,INDEX(tblDecisionLog[Risk Impact],_xlfn.AGGREGATE(15,6,(ROW(tblDecisionLog[Decision Log Immutable Key])-ROW(INDEX(tblDecisionLog[Decision Log Immutable Key],1,1))+1)/((tblDecisionLog[Source Decision ID]&lt;&gt;"")+(tblDecisionLog[Decision Summary]&lt;&gt;"")),5)),IF(OR(_xlpm.x=0,_xlpm.x="0",_xlpm.x="N/A"),"",_xlpm.x)),"")</f>
        <v/>
      </c>
      <c r="K14" s="174" t="str">
        <f t="array" ref="K14">IFERROR(_xlfn.LET(_xlpm.x,INDEX(tblDecisionLog[Financial Impact],_xlfn.AGGREGATE(15,6,(ROW(tblDecisionLog[Decision Log Immutable Key])-ROW(INDEX(tblDecisionLog[Decision Log Immutable Key],1,1))+1)/((tblDecisionLog[Source Decision ID]&lt;&gt;"")+(tblDecisionLog[Decision Summary]&lt;&gt;"")),5)),IF(OR(_xlpm.x=0,_xlpm.x="0",_xlpm.x="N/A"),"",_xlpm.x)),"")</f>
        <v/>
      </c>
      <c r="L14" s="173" t="str">
        <f t="array" ref="L14">IFERROR(_xlfn.LET(_xlpm.x,INDEX(tblDecisionLog[Logged Date],_xlfn.AGGREGATE(15,6,(ROW(tblDecisionLog[Decision Log Immutable Key])-ROW(INDEX(tblDecisionLog[Decision Log Immutable Key],1,1))+1)/((tblDecisionLog[Source Decision ID]&lt;&gt;"")+(tblDecisionLog[Decision Summary]&lt;&gt;"")),5)),IF(OR(_xlpm.x=0,_xlpm.x="0",_xlpm.x="N/A"),"",_xlpm.x)),"")</f>
        <v/>
      </c>
    </row>
    <row r="15" spans="1:12">
      <c r="A15" s="99" t="str">
        <f>IF(A14="","",A14&amp;" cont.")</f>
        <v/>
      </c>
      <c r="B15" s="175" t="str">
        <f t="array" ref="B15">IFERROR(_xlfn.LET(_xlpm.x,INDEX(tblDecisionLog[Decision Summary],_xlfn.AGGREGATE(15,6,(ROW(tblDecisionLog[Decision Log Immutable Key])-ROW(INDEX(tblDecisionLog[Decision Log Immutable Key],1,1))+1)/((tblDecisionLog[Source Decision ID]&lt;&gt;"")+(tblDecisionLog[Decision Summary]&lt;&gt;"")),5)),IF(OR(_xlpm.x=0,_xlpm.x="0",_xlpm.x="N/A"),"",_xlpm.x)),"")</f>
        <v/>
      </c>
      <c r="C15" s="176" t="str">
        <f t="array" ref="C15">IFERROR(_xlfn.LET(_xlpm.x,INDEX(tblDecisionLog[Next Action],_xlfn.AGGREGATE(15,6,(ROW(tblDecisionLog[Decision Log Immutable Key])-ROW(INDEX(tblDecisionLog[Decision Log Immutable Key],1,1))+1)/((tblDecisionLog[Source Decision ID]&lt;&gt;"")+(tblDecisionLog[Decision Summary]&lt;&gt;"")),5)),IF(OR(_xlpm.x=0,_xlpm.x="0",_xlpm.x="N/A"),"",_xlpm.x)),"")</f>
        <v/>
      </c>
      <c r="D15" s="175" t="str">
        <f t="array" ref="D15">IFERROR(_xlfn.LET(_xlpm.x,INDEX(tblDecisionLog[Original Issue],_xlfn.AGGREGATE(15,6,(ROW(tblDecisionLog[Decision Log Immutable Key])-ROW(INDEX(tblDecisionLog[Decision Log Immutable Key],1,1))+1)/((tblDecisionLog[Source Decision ID]&lt;&gt;"")+(tblDecisionLog[Decision Summary]&lt;&gt;"")),5)),IF(OR(_xlpm.x=0,_xlpm.x="0",_xlpm.x="N/A"),"",_xlpm.x)),"")</f>
        <v/>
      </c>
      <c r="E15" s="175" t="str">
        <f t="array" ref="E15">IFERROR(_xlfn.LET(_xlpm.x,INDEX(tblDecisionLog[Rationale],_xlfn.AGGREGATE(15,6,(ROW(tblDecisionLog[Decision Log Immutable Key])-ROW(INDEX(tblDecisionLog[Decision Log Immutable Key],1,1))+1)/((tblDecisionLog[Source Decision ID]&lt;&gt;"")+(tblDecisionLog[Decision Summary]&lt;&gt;"")),5)),IF(OR(_xlpm.x=0,_xlpm.x="0",_xlpm.x="N/A"),"",_xlpm.x)),"")</f>
        <v/>
      </c>
      <c r="F15" s="175" t="str">
        <f t="array" ref="F15">IFERROR(_xlfn.LET(_xlpm.x,INDEX(tblDecisionLog[Further Action Required],_xlfn.AGGREGATE(15,6,(ROW(tblDecisionLog[Decision Log Immutable Key])-ROW(INDEX(tblDecisionLog[Decision Log Immutable Key],1,1))+1)/((tblDecisionLog[Source Decision ID]&lt;&gt;"")+(tblDecisionLog[Decision Summary]&lt;&gt;"")),5)),IF(OR(_xlpm.x=0,_xlpm.x="0",_xlpm.x="N/A"),"",_xlpm.x)),"")</f>
        <v/>
      </c>
      <c r="G15" s="175" t="str">
        <f t="array" ref="G15">IFERROR(_xlfn.LET(_xlpm.x,INDEX(tblDecisionLog[Requester],_xlfn.AGGREGATE(15,6,(ROW(tblDecisionLog[Decision Log Immutable Key])-ROW(INDEX(tblDecisionLog[Decision Log Immutable Key],1,1))+1)/((tblDecisionLog[Source Decision ID]&lt;&gt;"")+(tblDecisionLog[Decision Summary]&lt;&gt;"")),5)),IF(OR(_xlpm.x=0,_xlpm.x="0",_xlpm.x="N/A"),"",_xlpm.x)),"")</f>
        <v/>
      </c>
      <c r="H15" s="175" t="str">
        <f t="array" ref="H15">IFERROR(_xlfn.LET(_xlpm.x,INDEX(tblDecisionLog[Strategic Objective],_xlfn.AGGREGATE(15,6,(ROW(tblDecisionLog[Decision Log Immutable Key])-ROW(INDEX(tblDecisionLog[Decision Log Immutable Key],1,1))+1)/((tblDecisionLog[Source Decision ID]&lt;&gt;"")+(tblDecisionLog[Decision Summary]&lt;&gt;"")),5)),IF(OR(_xlpm.x=0,_xlpm.x="0",_xlpm.x="N/A"),"",_xlpm.x)),"")</f>
        <v/>
      </c>
      <c r="I15" s="176" t="str">
        <f t="array" ref="I15">IFERROR(_xlfn.LET(_xlpm.x,INDEX(tblDecisionLog[Notes],_xlfn.AGGREGATE(15,6,(ROW(tblDecisionLog[Decision Log Immutable Key])-ROW(INDEX(tblDecisionLog[Decision Log Immutable Key],1,1))+1)/((tblDecisionLog[Source Decision ID]&lt;&gt;"")+(tblDecisionLog[Decision Summary]&lt;&gt;"")),5)),IF(OR(_xlpm.x=0,_xlpm.x="0",_xlpm.x="N/A"),"",_xlpm.x)),"")</f>
        <v/>
      </c>
      <c r="J15" s="175"/>
      <c r="K15" s="175"/>
      <c r="L15" s="176"/>
    </row>
    <row r="16" spans="1:12">
      <c r="A16" s="177" t="str">
        <f t="array" ref="A16">IFERROR(_xlfn.LET(_xlpm.x,INDEX(tblDecisionLog[Decision Log ID],_xlfn.AGGREGATE(15,6,(ROW(tblDecisionLog[Decision Log Immutable Key])-ROW(INDEX(tblDecisionLog[Decision Log Immutable Key],1,1))+1)/((tblDecisionLog[Source Decision ID]&lt;&gt;"")+(tblDecisionLog[Decision Summary]&lt;&gt;"")),6)),IF(OR(_xlpm.x=0,_xlpm.x="0",_xlpm.x="N/A"),"",_xlpm.x)),"")</f>
        <v/>
      </c>
      <c r="B16" s="178" t="str">
        <f t="array" ref="B16">IFERROR(_xlfn.LET(_xlpm.x,INDEX(tblDecisionLog[Source Decision ID],_xlfn.AGGREGATE(15,6,(ROW(tblDecisionLog[Decision Log Immutable Key])-ROW(INDEX(tblDecisionLog[Decision Log Immutable Key],1,1))+1)/((tblDecisionLog[Source Decision ID]&lt;&gt;"")+(tblDecisionLog[Decision Summary]&lt;&gt;"")),6)),IF(OR(_xlpm.x=0,_xlpm.x="0",_xlpm.x="N/A"),"",_xlpm.x)),"")</f>
        <v/>
      </c>
      <c r="C16" s="179" t="str">
        <f t="array" ref="C16">IFERROR(_xlfn.LET(_xlpm.x,INDEX(tblDecisionLog[Decision Date],_xlfn.AGGREGATE(15,6,(ROW(tblDecisionLog[Decision Log Immutable Key])-ROW(INDEX(tblDecisionLog[Decision Log Immutable Key],1,1))+1)/((tblDecisionLog[Source Decision ID]&lt;&gt;"")+(tblDecisionLog[Decision Summary]&lt;&gt;"")),6)),IF(OR(_xlpm.x=0,_xlpm.x="0",_xlpm.x="N/A"),"",_xlpm.x)),"")</f>
        <v/>
      </c>
      <c r="D16" s="178" t="str">
        <f t="array" ref="D16">IFERROR(_xlfn.LET(_xlpm.x,INDEX(tblDecisionLog[Decision Maker],_xlfn.AGGREGATE(15,6,(ROW(tblDecisionLog[Decision Log Immutable Key])-ROW(INDEX(tblDecisionLog[Decision Log Immutable Key],1,1))+1)/((tblDecisionLog[Source Decision ID]&lt;&gt;"")+(tblDecisionLog[Decision Summary]&lt;&gt;"")),6)),IF(OR(_xlpm.x=0,_xlpm.x="0",_xlpm.x="N/A"),"",_xlpm.x)),"")</f>
        <v/>
      </c>
      <c r="E16" s="180" t="str">
        <f t="array" ref="E16">IFERROR(_xlfn.LET(_xlpm.x,INDEX(tblDecisionLog[Decision Type],_xlfn.AGGREGATE(15,6,(ROW(tblDecisionLog[Decision Log Immutable Key])-ROW(INDEX(tblDecisionLog[Decision Log Immutable Key],1,1))+1)/((tblDecisionLog[Source Decision ID]&lt;&gt;"")+(tblDecisionLog[Decision Summary]&lt;&gt;"")),6)),IF(OR(_xlpm.x=0,_xlpm.x="0",_xlpm.x="N/A"),"",_xlpm.x)),"")</f>
        <v/>
      </c>
      <c r="F16" s="180" t="str">
        <f t="array" ref="F16">IFERROR(_xlfn.LET(_xlpm.x,INDEX(tblDecisionLog[Workstream],_xlfn.AGGREGATE(15,6,(ROW(tblDecisionLog[Decision Log Immutable Key])-ROW(INDEX(tblDecisionLog[Decision Log Immutable Key],1,1))+1)/((tblDecisionLog[Source Decision ID]&lt;&gt;"")+(tblDecisionLog[Decision Summary]&lt;&gt;"")),6)),IF(OR(_xlpm.x=0,_xlpm.x="0",_xlpm.x="N/A"),"",_xlpm.x)),"")</f>
        <v/>
      </c>
      <c r="G16" s="178" t="str">
        <f t="array" ref="G16">IFERROR(_xlfn.LET(_xlpm.x,INDEX(tblDecisionLog[Follow-up Status],_xlfn.AGGREGATE(15,6,(ROW(tblDecisionLog[Decision Log Immutable Key])-ROW(INDEX(tblDecisionLog[Decision Log Immutable Key],1,1))+1)/((tblDecisionLog[Source Decision ID]&lt;&gt;"")+(tblDecisionLog[Decision Summary]&lt;&gt;"")),6)),IF(OR(_xlpm.x=0,_xlpm.x="0",_xlpm.x="N/A"),"",_xlpm.x)),"")</f>
        <v/>
      </c>
      <c r="H16" s="180" t="str">
        <f t="array" ref="H16">IFERROR(_xlfn.LET(_xlpm.x,INDEX(tblDecisionLog[Assigned To],_xlfn.AGGREGATE(15,6,(ROW(tblDecisionLog[Decision Log Immutable Key])-ROW(INDEX(tblDecisionLog[Decision Log Immutable Key],1,1))+1)/((tblDecisionLog[Source Decision ID]&lt;&gt;"")+(tblDecisionLog[Decision Summary]&lt;&gt;"")),6)),IF(OR(_xlpm.x=0,_xlpm.x="0",_xlpm.x="N/A"),"",_xlpm.x)),"")</f>
        <v/>
      </c>
      <c r="I16" s="179" t="str">
        <f t="array" ref="I16">IFERROR(_xlfn.LET(_xlpm.x,INDEX(tblDecisionLog[Due Date],_xlfn.AGGREGATE(15,6,(ROW(tblDecisionLog[Decision Log Immutable Key])-ROW(INDEX(tblDecisionLog[Decision Log Immutable Key],1,1))+1)/((tblDecisionLog[Source Decision ID]&lt;&gt;"")+(tblDecisionLog[Decision Summary]&lt;&gt;"")),6)),IF(OR(_xlpm.x=0,_xlpm.x="0",_xlpm.x="N/A"),"",_xlpm.x)),"")</f>
        <v/>
      </c>
      <c r="J16" s="180" t="str">
        <f t="array" ref="J16">IFERROR(_xlfn.LET(_xlpm.x,INDEX(tblDecisionLog[Risk Impact],_xlfn.AGGREGATE(15,6,(ROW(tblDecisionLog[Decision Log Immutable Key])-ROW(INDEX(tblDecisionLog[Decision Log Immutable Key],1,1))+1)/((tblDecisionLog[Source Decision ID]&lt;&gt;"")+(tblDecisionLog[Decision Summary]&lt;&gt;"")),6)),IF(OR(_xlpm.x=0,_xlpm.x="0",_xlpm.x="N/A"),"",_xlpm.x)),"")</f>
        <v/>
      </c>
      <c r="K16" s="180" t="str">
        <f t="array" ref="K16">IFERROR(_xlfn.LET(_xlpm.x,INDEX(tblDecisionLog[Financial Impact],_xlfn.AGGREGATE(15,6,(ROW(tblDecisionLog[Decision Log Immutable Key])-ROW(INDEX(tblDecisionLog[Decision Log Immutable Key],1,1))+1)/((tblDecisionLog[Source Decision ID]&lt;&gt;"")+(tblDecisionLog[Decision Summary]&lt;&gt;"")),6)),IF(OR(_xlpm.x=0,_xlpm.x="0",_xlpm.x="N/A"),"",_xlpm.x)),"")</f>
        <v/>
      </c>
      <c r="L16" s="179" t="str">
        <f t="array" ref="L16">IFERROR(_xlfn.LET(_xlpm.x,INDEX(tblDecisionLog[Logged Date],_xlfn.AGGREGATE(15,6,(ROW(tblDecisionLog[Decision Log Immutable Key])-ROW(INDEX(tblDecisionLog[Decision Log Immutable Key],1,1))+1)/((tblDecisionLog[Source Decision ID]&lt;&gt;"")+(tblDecisionLog[Decision Summary]&lt;&gt;"")),6)),IF(OR(_xlpm.x=0,_xlpm.x="0",_xlpm.x="N/A"),"",_xlpm.x)),"")</f>
        <v/>
      </c>
    </row>
    <row r="17" spans="1:12">
      <c r="A17" s="100" t="str">
        <f>IF(A16="","",A16&amp;" cont.")</f>
        <v/>
      </c>
      <c r="B17" s="181" t="str">
        <f t="array" ref="B17">IFERROR(_xlfn.LET(_xlpm.x,INDEX(tblDecisionLog[Decision Summary],_xlfn.AGGREGATE(15,6,(ROW(tblDecisionLog[Decision Log Immutable Key])-ROW(INDEX(tblDecisionLog[Decision Log Immutable Key],1,1))+1)/((tblDecisionLog[Source Decision ID]&lt;&gt;"")+(tblDecisionLog[Decision Summary]&lt;&gt;"")),6)),IF(OR(_xlpm.x=0,_xlpm.x="0",_xlpm.x="N/A"),"",_xlpm.x)),"")</f>
        <v/>
      </c>
      <c r="C17" s="182" t="str">
        <f t="array" ref="C17">IFERROR(_xlfn.LET(_xlpm.x,INDEX(tblDecisionLog[Next Action],_xlfn.AGGREGATE(15,6,(ROW(tblDecisionLog[Decision Log Immutable Key])-ROW(INDEX(tblDecisionLog[Decision Log Immutable Key],1,1))+1)/((tblDecisionLog[Source Decision ID]&lt;&gt;"")+(tblDecisionLog[Decision Summary]&lt;&gt;"")),6)),IF(OR(_xlpm.x=0,_xlpm.x="0",_xlpm.x="N/A"),"",_xlpm.x)),"")</f>
        <v/>
      </c>
      <c r="D17" s="181" t="str">
        <f t="array" ref="D17">IFERROR(_xlfn.LET(_xlpm.x,INDEX(tblDecisionLog[Original Issue],_xlfn.AGGREGATE(15,6,(ROW(tblDecisionLog[Decision Log Immutable Key])-ROW(INDEX(tblDecisionLog[Decision Log Immutable Key],1,1))+1)/((tblDecisionLog[Source Decision ID]&lt;&gt;"")+(tblDecisionLog[Decision Summary]&lt;&gt;"")),6)),IF(OR(_xlpm.x=0,_xlpm.x="0",_xlpm.x="N/A"),"",_xlpm.x)),"")</f>
        <v/>
      </c>
      <c r="E17" s="181" t="str">
        <f t="array" ref="E17">IFERROR(_xlfn.LET(_xlpm.x,INDEX(tblDecisionLog[Rationale],_xlfn.AGGREGATE(15,6,(ROW(tblDecisionLog[Decision Log Immutable Key])-ROW(INDEX(tblDecisionLog[Decision Log Immutable Key],1,1))+1)/((tblDecisionLog[Source Decision ID]&lt;&gt;"")+(tblDecisionLog[Decision Summary]&lt;&gt;"")),6)),IF(OR(_xlpm.x=0,_xlpm.x="0",_xlpm.x="N/A"),"",_xlpm.x)),"")</f>
        <v/>
      </c>
      <c r="F17" s="181" t="str">
        <f t="array" ref="F17">IFERROR(_xlfn.LET(_xlpm.x,INDEX(tblDecisionLog[Further Action Required],_xlfn.AGGREGATE(15,6,(ROW(tblDecisionLog[Decision Log Immutable Key])-ROW(INDEX(tblDecisionLog[Decision Log Immutable Key],1,1))+1)/((tblDecisionLog[Source Decision ID]&lt;&gt;"")+(tblDecisionLog[Decision Summary]&lt;&gt;"")),6)),IF(OR(_xlpm.x=0,_xlpm.x="0",_xlpm.x="N/A"),"",_xlpm.x)),"")</f>
        <v/>
      </c>
      <c r="G17" s="181" t="str">
        <f t="array" ref="G17">IFERROR(_xlfn.LET(_xlpm.x,INDEX(tblDecisionLog[Requester],_xlfn.AGGREGATE(15,6,(ROW(tblDecisionLog[Decision Log Immutable Key])-ROW(INDEX(tblDecisionLog[Decision Log Immutable Key],1,1))+1)/((tblDecisionLog[Source Decision ID]&lt;&gt;"")+(tblDecisionLog[Decision Summary]&lt;&gt;"")),6)),IF(OR(_xlpm.x=0,_xlpm.x="0",_xlpm.x="N/A"),"",_xlpm.x)),"")</f>
        <v/>
      </c>
      <c r="H17" s="181" t="str">
        <f t="array" ref="H17">IFERROR(_xlfn.LET(_xlpm.x,INDEX(tblDecisionLog[Strategic Objective],_xlfn.AGGREGATE(15,6,(ROW(tblDecisionLog[Decision Log Immutable Key])-ROW(INDEX(tblDecisionLog[Decision Log Immutable Key],1,1))+1)/((tblDecisionLog[Source Decision ID]&lt;&gt;"")+(tblDecisionLog[Decision Summary]&lt;&gt;"")),6)),IF(OR(_xlpm.x=0,_xlpm.x="0",_xlpm.x="N/A"),"",_xlpm.x)),"")</f>
        <v/>
      </c>
      <c r="I17" s="182" t="str">
        <f t="array" ref="I17">IFERROR(_xlfn.LET(_xlpm.x,INDEX(tblDecisionLog[Notes],_xlfn.AGGREGATE(15,6,(ROW(tblDecisionLog[Decision Log Immutable Key])-ROW(INDEX(tblDecisionLog[Decision Log Immutable Key],1,1))+1)/((tblDecisionLog[Source Decision ID]&lt;&gt;"")+(tblDecisionLog[Decision Summary]&lt;&gt;"")),6)),IF(OR(_xlpm.x=0,_xlpm.x="0",_xlpm.x="N/A"),"",_xlpm.x)),"")</f>
        <v/>
      </c>
      <c r="J17" s="181"/>
      <c r="K17" s="181"/>
      <c r="L17" s="182"/>
    </row>
    <row r="18" spans="1:12">
      <c r="A18" s="177" t="str">
        <f t="array" ref="A18">IFERROR(_xlfn.LET(_xlpm.x,INDEX(tblDecisionLog[Decision Log ID],_xlfn.AGGREGATE(15,6,(ROW(tblDecisionLog[Decision Log Immutable Key])-ROW(INDEX(tblDecisionLog[Decision Log Immutable Key],1,1))+1)/((tblDecisionLog[Source Decision ID]&lt;&gt;"")+(tblDecisionLog[Decision Summary]&lt;&gt;"")),7)),IF(OR(_xlpm.x=0,_xlpm.x="0",_xlpm.x="N/A"),"",_xlpm.x)),"")</f>
        <v/>
      </c>
      <c r="B18" s="172" t="str">
        <f t="array" ref="B18">IFERROR(_xlfn.LET(_xlpm.x,INDEX(tblDecisionLog[Source Decision ID],_xlfn.AGGREGATE(15,6,(ROW(tblDecisionLog[Decision Log Immutable Key])-ROW(INDEX(tblDecisionLog[Decision Log Immutable Key],1,1))+1)/((tblDecisionLog[Source Decision ID]&lt;&gt;"")+(tblDecisionLog[Decision Summary]&lt;&gt;"")),7)),IF(OR(_xlpm.x=0,_xlpm.x="0",_xlpm.x="N/A"),"",_xlpm.x)),"")</f>
        <v/>
      </c>
      <c r="C18" s="173" t="str">
        <f t="array" ref="C18">IFERROR(_xlfn.LET(_xlpm.x,INDEX(tblDecisionLog[Decision Date],_xlfn.AGGREGATE(15,6,(ROW(tblDecisionLog[Decision Log Immutable Key])-ROW(INDEX(tblDecisionLog[Decision Log Immutable Key],1,1))+1)/((tblDecisionLog[Source Decision ID]&lt;&gt;"")+(tblDecisionLog[Decision Summary]&lt;&gt;"")),7)),IF(OR(_xlpm.x=0,_xlpm.x="0",_xlpm.x="N/A"),"",_xlpm.x)),"")</f>
        <v/>
      </c>
      <c r="D18" s="172" t="str">
        <f t="array" ref="D18">IFERROR(_xlfn.LET(_xlpm.x,INDEX(tblDecisionLog[Decision Maker],_xlfn.AGGREGATE(15,6,(ROW(tblDecisionLog[Decision Log Immutable Key])-ROW(INDEX(tblDecisionLog[Decision Log Immutable Key],1,1))+1)/((tblDecisionLog[Source Decision ID]&lt;&gt;"")+(tblDecisionLog[Decision Summary]&lt;&gt;"")),7)),IF(OR(_xlpm.x=0,_xlpm.x="0",_xlpm.x="N/A"),"",_xlpm.x)),"")</f>
        <v/>
      </c>
      <c r="E18" s="174" t="str">
        <f t="array" ref="E18">IFERROR(_xlfn.LET(_xlpm.x,INDEX(tblDecisionLog[Decision Type],_xlfn.AGGREGATE(15,6,(ROW(tblDecisionLog[Decision Log Immutable Key])-ROW(INDEX(tblDecisionLog[Decision Log Immutable Key],1,1))+1)/((tblDecisionLog[Source Decision ID]&lt;&gt;"")+(tblDecisionLog[Decision Summary]&lt;&gt;"")),7)),IF(OR(_xlpm.x=0,_xlpm.x="0",_xlpm.x="N/A"),"",_xlpm.x)),"")</f>
        <v/>
      </c>
      <c r="F18" s="174" t="str">
        <f t="array" ref="F18">IFERROR(_xlfn.LET(_xlpm.x,INDEX(tblDecisionLog[Workstream],_xlfn.AGGREGATE(15,6,(ROW(tblDecisionLog[Decision Log Immutable Key])-ROW(INDEX(tblDecisionLog[Decision Log Immutable Key],1,1))+1)/((tblDecisionLog[Source Decision ID]&lt;&gt;"")+(tblDecisionLog[Decision Summary]&lt;&gt;"")),7)),IF(OR(_xlpm.x=0,_xlpm.x="0",_xlpm.x="N/A"),"",_xlpm.x)),"")</f>
        <v/>
      </c>
      <c r="G18" s="172" t="str">
        <f t="array" ref="G18">IFERROR(_xlfn.LET(_xlpm.x,INDEX(tblDecisionLog[Follow-up Status],_xlfn.AGGREGATE(15,6,(ROW(tblDecisionLog[Decision Log Immutable Key])-ROW(INDEX(tblDecisionLog[Decision Log Immutable Key],1,1))+1)/((tblDecisionLog[Source Decision ID]&lt;&gt;"")+(tblDecisionLog[Decision Summary]&lt;&gt;"")),7)),IF(OR(_xlpm.x=0,_xlpm.x="0",_xlpm.x="N/A"),"",_xlpm.x)),"")</f>
        <v/>
      </c>
      <c r="H18" s="174" t="str">
        <f t="array" ref="H18">IFERROR(_xlfn.LET(_xlpm.x,INDEX(tblDecisionLog[Assigned To],_xlfn.AGGREGATE(15,6,(ROW(tblDecisionLog[Decision Log Immutable Key])-ROW(INDEX(tblDecisionLog[Decision Log Immutable Key],1,1))+1)/((tblDecisionLog[Source Decision ID]&lt;&gt;"")+(tblDecisionLog[Decision Summary]&lt;&gt;"")),7)),IF(OR(_xlpm.x=0,_xlpm.x="0",_xlpm.x="N/A"),"",_xlpm.x)),"")</f>
        <v/>
      </c>
      <c r="I18" s="173" t="str">
        <f t="array" ref="I18">IFERROR(_xlfn.LET(_xlpm.x,INDEX(tblDecisionLog[Due Date],_xlfn.AGGREGATE(15,6,(ROW(tblDecisionLog[Decision Log Immutable Key])-ROW(INDEX(tblDecisionLog[Decision Log Immutable Key],1,1))+1)/((tblDecisionLog[Source Decision ID]&lt;&gt;"")+(tblDecisionLog[Decision Summary]&lt;&gt;"")),7)),IF(OR(_xlpm.x=0,_xlpm.x="0",_xlpm.x="N/A"),"",_xlpm.x)),"")</f>
        <v/>
      </c>
      <c r="J18" s="174" t="str">
        <f t="array" ref="J18">IFERROR(_xlfn.LET(_xlpm.x,INDEX(tblDecisionLog[Risk Impact],_xlfn.AGGREGATE(15,6,(ROW(tblDecisionLog[Decision Log Immutable Key])-ROW(INDEX(tblDecisionLog[Decision Log Immutable Key],1,1))+1)/((tblDecisionLog[Source Decision ID]&lt;&gt;"")+(tblDecisionLog[Decision Summary]&lt;&gt;"")),7)),IF(OR(_xlpm.x=0,_xlpm.x="0",_xlpm.x="N/A"),"",_xlpm.x)),"")</f>
        <v/>
      </c>
      <c r="K18" s="174" t="str">
        <f t="array" ref="K18">IFERROR(_xlfn.LET(_xlpm.x,INDEX(tblDecisionLog[Financial Impact],_xlfn.AGGREGATE(15,6,(ROW(tblDecisionLog[Decision Log Immutable Key])-ROW(INDEX(tblDecisionLog[Decision Log Immutable Key],1,1))+1)/((tblDecisionLog[Source Decision ID]&lt;&gt;"")+(tblDecisionLog[Decision Summary]&lt;&gt;"")),7)),IF(OR(_xlpm.x=0,_xlpm.x="0",_xlpm.x="N/A"),"",_xlpm.x)),"")</f>
        <v/>
      </c>
      <c r="L18" s="173" t="str">
        <f t="array" ref="L18">IFERROR(_xlfn.LET(_xlpm.x,INDEX(tblDecisionLog[Logged Date],_xlfn.AGGREGATE(15,6,(ROW(tblDecisionLog[Decision Log Immutable Key])-ROW(INDEX(tblDecisionLog[Decision Log Immutable Key],1,1))+1)/((tblDecisionLog[Source Decision ID]&lt;&gt;"")+(tblDecisionLog[Decision Summary]&lt;&gt;"")),7)),IF(OR(_xlpm.x=0,_xlpm.x="0",_xlpm.x="N/A"),"",_xlpm.x)),"")</f>
        <v/>
      </c>
    </row>
    <row r="19" spans="1:12">
      <c r="A19" s="99" t="str">
        <f>IF(A18="","",A18&amp;" cont.")</f>
        <v/>
      </c>
      <c r="B19" s="175" t="str">
        <f t="array" ref="B19">IFERROR(_xlfn.LET(_xlpm.x,INDEX(tblDecisionLog[Decision Summary],_xlfn.AGGREGATE(15,6,(ROW(tblDecisionLog[Decision Log Immutable Key])-ROW(INDEX(tblDecisionLog[Decision Log Immutable Key],1,1))+1)/((tblDecisionLog[Source Decision ID]&lt;&gt;"")+(tblDecisionLog[Decision Summary]&lt;&gt;"")),7)),IF(OR(_xlpm.x=0,_xlpm.x="0",_xlpm.x="N/A"),"",_xlpm.x)),"")</f>
        <v/>
      </c>
      <c r="C19" s="176" t="str">
        <f t="array" ref="C19">IFERROR(_xlfn.LET(_xlpm.x,INDEX(tblDecisionLog[Next Action],_xlfn.AGGREGATE(15,6,(ROW(tblDecisionLog[Decision Log Immutable Key])-ROW(INDEX(tblDecisionLog[Decision Log Immutable Key],1,1))+1)/((tblDecisionLog[Source Decision ID]&lt;&gt;"")+(tblDecisionLog[Decision Summary]&lt;&gt;"")),7)),IF(OR(_xlpm.x=0,_xlpm.x="0",_xlpm.x="N/A"),"",_xlpm.x)),"")</f>
        <v/>
      </c>
      <c r="D19" s="175" t="str">
        <f t="array" ref="D19">IFERROR(_xlfn.LET(_xlpm.x,INDEX(tblDecisionLog[Original Issue],_xlfn.AGGREGATE(15,6,(ROW(tblDecisionLog[Decision Log Immutable Key])-ROW(INDEX(tblDecisionLog[Decision Log Immutable Key],1,1))+1)/((tblDecisionLog[Source Decision ID]&lt;&gt;"")+(tblDecisionLog[Decision Summary]&lt;&gt;"")),7)),IF(OR(_xlpm.x=0,_xlpm.x="0",_xlpm.x="N/A"),"",_xlpm.x)),"")</f>
        <v/>
      </c>
      <c r="E19" s="175" t="str">
        <f t="array" ref="E19">IFERROR(_xlfn.LET(_xlpm.x,INDEX(tblDecisionLog[Rationale],_xlfn.AGGREGATE(15,6,(ROW(tblDecisionLog[Decision Log Immutable Key])-ROW(INDEX(tblDecisionLog[Decision Log Immutable Key],1,1))+1)/((tblDecisionLog[Source Decision ID]&lt;&gt;"")+(tblDecisionLog[Decision Summary]&lt;&gt;"")),7)),IF(OR(_xlpm.x=0,_xlpm.x="0",_xlpm.x="N/A"),"",_xlpm.x)),"")</f>
        <v/>
      </c>
      <c r="F19" s="175" t="str">
        <f t="array" ref="F19">IFERROR(_xlfn.LET(_xlpm.x,INDEX(tblDecisionLog[Further Action Required],_xlfn.AGGREGATE(15,6,(ROW(tblDecisionLog[Decision Log Immutable Key])-ROW(INDEX(tblDecisionLog[Decision Log Immutable Key],1,1))+1)/((tblDecisionLog[Source Decision ID]&lt;&gt;"")+(tblDecisionLog[Decision Summary]&lt;&gt;"")),7)),IF(OR(_xlpm.x=0,_xlpm.x="0",_xlpm.x="N/A"),"",_xlpm.x)),"")</f>
        <v/>
      </c>
      <c r="G19" s="175" t="str">
        <f t="array" ref="G19">IFERROR(_xlfn.LET(_xlpm.x,INDEX(tblDecisionLog[Requester],_xlfn.AGGREGATE(15,6,(ROW(tblDecisionLog[Decision Log Immutable Key])-ROW(INDEX(tblDecisionLog[Decision Log Immutable Key],1,1))+1)/((tblDecisionLog[Source Decision ID]&lt;&gt;"")+(tblDecisionLog[Decision Summary]&lt;&gt;"")),7)),IF(OR(_xlpm.x=0,_xlpm.x="0",_xlpm.x="N/A"),"",_xlpm.x)),"")</f>
        <v/>
      </c>
      <c r="H19" s="175" t="str">
        <f t="array" ref="H19">IFERROR(_xlfn.LET(_xlpm.x,INDEX(tblDecisionLog[Strategic Objective],_xlfn.AGGREGATE(15,6,(ROW(tblDecisionLog[Decision Log Immutable Key])-ROW(INDEX(tblDecisionLog[Decision Log Immutable Key],1,1))+1)/((tblDecisionLog[Source Decision ID]&lt;&gt;"")+(tblDecisionLog[Decision Summary]&lt;&gt;"")),7)),IF(OR(_xlpm.x=0,_xlpm.x="0",_xlpm.x="N/A"),"",_xlpm.x)),"")</f>
        <v/>
      </c>
      <c r="I19" s="176" t="str">
        <f t="array" ref="I19">IFERROR(_xlfn.LET(_xlpm.x,INDEX(tblDecisionLog[Notes],_xlfn.AGGREGATE(15,6,(ROW(tblDecisionLog[Decision Log Immutable Key])-ROW(INDEX(tblDecisionLog[Decision Log Immutable Key],1,1))+1)/((tblDecisionLog[Source Decision ID]&lt;&gt;"")+(tblDecisionLog[Decision Summary]&lt;&gt;"")),7)),IF(OR(_xlpm.x=0,_xlpm.x="0",_xlpm.x="N/A"),"",_xlpm.x)),"")</f>
        <v/>
      </c>
      <c r="J19" s="175"/>
      <c r="K19" s="175"/>
      <c r="L19" s="176"/>
    </row>
    <row r="20" spans="1:12">
      <c r="A20" s="177" t="str">
        <f t="array" ref="A20">IFERROR(_xlfn.LET(_xlpm.x,INDEX(tblDecisionLog[Decision Log ID],_xlfn.AGGREGATE(15,6,(ROW(tblDecisionLog[Decision Log Immutable Key])-ROW(INDEX(tblDecisionLog[Decision Log Immutable Key],1,1))+1)/((tblDecisionLog[Source Decision ID]&lt;&gt;"")+(tblDecisionLog[Decision Summary]&lt;&gt;"")),8)),IF(OR(_xlpm.x=0,_xlpm.x="0",_xlpm.x="N/A"),"",_xlpm.x)),"")</f>
        <v/>
      </c>
      <c r="B20" s="178" t="str">
        <f t="array" ref="B20">IFERROR(_xlfn.LET(_xlpm.x,INDEX(tblDecisionLog[Source Decision ID],_xlfn.AGGREGATE(15,6,(ROW(tblDecisionLog[Decision Log Immutable Key])-ROW(INDEX(tblDecisionLog[Decision Log Immutable Key],1,1))+1)/((tblDecisionLog[Source Decision ID]&lt;&gt;"")+(tblDecisionLog[Decision Summary]&lt;&gt;"")),8)),IF(OR(_xlpm.x=0,_xlpm.x="0",_xlpm.x="N/A"),"",_xlpm.x)),"")</f>
        <v/>
      </c>
      <c r="C20" s="179" t="str">
        <f t="array" ref="C20">IFERROR(_xlfn.LET(_xlpm.x,INDEX(tblDecisionLog[Decision Date],_xlfn.AGGREGATE(15,6,(ROW(tblDecisionLog[Decision Log Immutable Key])-ROW(INDEX(tblDecisionLog[Decision Log Immutable Key],1,1))+1)/((tblDecisionLog[Source Decision ID]&lt;&gt;"")+(tblDecisionLog[Decision Summary]&lt;&gt;"")),8)),IF(OR(_xlpm.x=0,_xlpm.x="0",_xlpm.x="N/A"),"",_xlpm.x)),"")</f>
        <v/>
      </c>
      <c r="D20" s="178" t="str">
        <f t="array" ref="D20">IFERROR(_xlfn.LET(_xlpm.x,INDEX(tblDecisionLog[Decision Maker],_xlfn.AGGREGATE(15,6,(ROW(tblDecisionLog[Decision Log Immutable Key])-ROW(INDEX(tblDecisionLog[Decision Log Immutable Key],1,1))+1)/((tblDecisionLog[Source Decision ID]&lt;&gt;"")+(tblDecisionLog[Decision Summary]&lt;&gt;"")),8)),IF(OR(_xlpm.x=0,_xlpm.x="0",_xlpm.x="N/A"),"",_xlpm.x)),"")</f>
        <v/>
      </c>
      <c r="E20" s="180" t="str">
        <f t="array" ref="E20">IFERROR(_xlfn.LET(_xlpm.x,INDEX(tblDecisionLog[Decision Type],_xlfn.AGGREGATE(15,6,(ROW(tblDecisionLog[Decision Log Immutable Key])-ROW(INDEX(tblDecisionLog[Decision Log Immutable Key],1,1))+1)/((tblDecisionLog[Source Decision ID]&lt;&gt;"")+(tblDecisionLog[Decision Summary]&lt;&gt;"")),8)),IF(OR(_xlpm.x=0,_xlpm.x="0",_xlpm.x="N/A"),"",_xlpm.x)),"")</f>
        <v/>
      </c>
      <c r="F20" s="180" t="str">
        <f t="array" ref="F20">IFERROR(_xlfn.LET(_xlpm.x,INDEX(tblDecisionLog[Workstream],_xlfn.AGGREGATE(15,6,(ROW(tblDecisionLog[Decision Log Immutable Key])-ROW(INDEX(tblDecisionLog[Decision Log Immutable Key],1,1))+1)/((tblDecisionLog[Source Decision ID]&lt;&gt;"")+(tblDecisionLog[Decision Summary]&lt;&gt;"")),8)),IF(OR(_xlpm.x=0,_xlpm.x="0",_xlpm.x="N/A"),"",_xlpm.x)),"")</f>
        <v/>
      </c>
      <c r="G20" s="178" t="str">
        <f t="array" ref="G20">IFERROR(_xlfn.LET(_xlpm.x,INDEX(tblDecisionLog[Follow-up Status],_xlfn.AGGREGATE(15,6,(ROW(tblDecisionLog[Decision Log Immutable Key])-ROW(INDEX(tblDecisionLog[Decision Log Immutable Key],1,1))+1)/((tblDecisionLog[Source Decision ID]&lt;&gt;"")+(tblDecisionLog[Decision Summary]&lt;&gt;"")),8)),IF(OR(_xlpm.x=0,_xlpm.x="0",_xlpm.x="N/A"),"",_xlpm.x)),"")</f>
        <v/>
      </c>
      <c r="H20" s="180" t="str">
        <f t="array" ref="H20">IFERROR(_xlfn.LET(_xlpm.x,INDEX(tblDecisionLog[Assigned To],_xlfn.AGGREGATE(15,6,(ROW(tblDecisionLog[Decision Log Immutable Key])-ROW(INDEX(tblDecisionLog[Decision Log Immutable Key],1,1))+1)/((tblDecisionLog[Source Decision ID]&lt;&gt;"")+(tblDecisionLog[Decision Summary]&lt;&gt;"")),8)),IF(OR(_xlpm.x=0,_xlpm.x="0",_xlpm.x="N/A"),"",_xlpm.x)),"")</f>
        <v/>
      </c>
      <c r="I20" s="179" t="str">
        <f t="array" ref="I20">IFERROR(_xlfn.LET(_xlpm.x,INDEX(tblDecisionLog[Due Date],_xlfn.AGGREGATE(15,6,(ROW(tblDecisionLog[Decision Log Immutable Key])-ROW(INDEX(tblDecisionLog[Decision Log Immutable Key],1,1))+1)/((tblDecisionLog[Source Decision ID]&lt;&gt;"")+(tblDecisionLog[Decision Summary]&lt;&gt;"")),8)),IF(OR(_xlpm.x=0,_xlpm.x="0",_xlpm.x="N/A"),"",_xlpm.x)),"")</f>
        <v/>
      </c>
      <c r="J20" s="180" t="str">
        <f t="array" ref="J20">IFERROR(_xlfn.LET(_xlpm.x,INDEX(tblDecisionLog[Risk Impact],_xlfn.AGGREGATE(15,6,(ROW(tblDecisionLog[Decision Log Immutable Key])-ROW(INDEX(tblDecisionLog[Decision Log Immutable Key],1,1))+1)/((tblDecisionLog[Source Decision ID]&lt;&gt;"")+(tblDecisionLog[Decision Summary]&lt;&gt;"")),8)),IF(OR(_xlpm.x=0,_xlpm.x="0",_xlpm.x="N/A"),"",_xlpm.x)),"")</f>
        <v/>
      </c>
      <c r="K20" s="180" t="str">
        <f t="array" ref="K20">IFERROR(_xlfn.LET(_xlpm.x,INDEX(tblDecisionLog[Financial Impact],_xlfn.AGGREGATE(15,6,(ROW(tblDecisionLog[Decision Log Immutable Key])-ROW(INDEX(tblDecisionLog[Decision Log Immutable Key],1,1))+1)/((tblDecisionLog[Source Decision ID]&lt;&gt;"")+(tblDecisionLog[Decision Summary]&lt;&gt;"")),8)),IF(OR(_xlpm.x=0,_xlpm.x="0",_xlpm.x="N/A"),"",_xlpm.x)),"")</f>
        <v/>
      </c>
      <c r="L20" s="179" t="str">
        <f t="array" ref="L20">IFERROR(_xlfn.LET(_xlpm.x,INDEX(tblDecisionLog[Logged Date],_xlfn.AGGREGATE(15,6,(ROW(tblDecisionLog[Decision Log Immutable Key])-ROW(INDEX(tblDecisionLog[Decision Log Immutable Key],1,1))+1)/((tblDecisionLog[Source Decision ID]&lt;&gt;"")+(tblDecisionLog[Decision Summary]&lt;&gt;"")),8)),IF(OR(_xlpm.x=0,_xlpm.x="0",_xlpm.x="N/A"),"",_xlpm.x)),"")</f>
        <v/>
      </c>
    </row>
    <row r="21" spans="1:12">
      <c r="A21" s="100" t="str">
        <f>IF(A20="","",A20&amp;" cont.")</f>
        <v/>
      </c>
      <c r="B21" s="181" t="str">
        <f t="array" ref="B21">IFERROR(_xlfn.LET(_xlpm.x,INDEX(tblDecisionLog[Decision Summary],_xlfn.AGGREGATE(15,6,(ROW(tblDecisionLog[Decision Log Immutable Key])-ROW(INDEX(tblDecisionLog[Decision Log Immutable Key],1,1))+1)/((tblDecisionLog[Source Decision ID]&lt;&gt;"")+(tblDecisionLog[Decision Summary]&lt;&gt;"")),8)),IF(OR(_xlpm.x=0,_xlpm.x="0",_xlpm.x="N/A"),"",_xlpm.x)),"")</f>
        <v/>
      </c>
      <c r="C21" s="182" t="str">
        <f t="array" ref="C21">IFERROR(_xlfn.LET(_xlpm.x,INDEX(tblDecisionLog[Next Action],_xlfn.AGGREGATE(15,6,(ROW(tblDecisionLog[Decision Log Immutable Key])-ROW(INDEX(tblDecisionLog[Decision Log Immutable Key],1,1))+1)/((tblDecisionLog[Source Decision ID]&lt;&gt;"")+(tblDecisionLog[Decision Summary]&lt;&gt;"")),8)),IF(OR(_xlpm.x=0,_xlpm.x="0",_xlpm.x="N/A"),"",_xlpm.x)),"")</f>
        <v/>
      </c>
      <c r="D21" s="181" t="str">
        <f t="array" ref="D21">IFERROR(_xlfn.LET(_xlpm.x,INDEX(tblDecisionLog[Original Issue],_xlfn.AGGREGATE(15,6,(ROW(tblDecisionLog[Decision Log Immutable Key])-ROW(INDEX(tblDecisionLog[Decision Log Immutable Key],1,1))+1)/((tblDecisionLog[Source Decision ID]&lt;&gt;"")+(tblDecisionLog[Decision Summary]&lt;&gt;"")),8)),IF(OR(_xlpm.x=0,_xlpm.x="0",_xlpm.x="N/A"),"",_xlpm.x)),"")</f>
        <v/>
      </c>
      <c r="E21" s="181" t="str">
        <f t="array" ref="E21">IFERROR(_xlfn.LET(_xlpm.x,INDEX(tblDecisionLog[Rationale],_xlfn.AGGREGATE(15,6,(ROW(tblDecisionLog[Decision Log Immutable Key])-ROW(INDEX(tblDecisionLog[Decision Log Immutable Key],1,1))+1)/((tblDecisionLog[Source Decision ID]&lt;&gt;"")+(tblDecisionLog[Decision Summary]&lt;&gt;"")),8)),IF(OR(_xlpm.x=0,_xlpm.x="0",_xlpm.x="N/A"),"",_xlpm.x)),"")</f>
        <v/>
      </c>
      <c r="F21" s="181" t="str">
        <f t="array" ref="F21">IFERROR(_xlfn.LET(_xlpm.x,INDEX(tblDecisionLog[Further Action Required],_xlfn.AGGREGATE(15,6,(ROW(tblDecisionLog[Decision Log Immutable Key])-ROW(INDEX(tblDecisionLog[Decision Log Immutable Key],1,1))+1)/((tblDecisionLog[Source Decision ID]&lt;&gt;"")+(tblDecisionLog[Decision Summary]&lt;&gt;"")),8)),IF(OR(_xlpm.x=0,_xlpm.x="0",_xlpm.x="N/A"),"",_xlpm.x)),"")</f>
        <v/>
      </c>
      <c r="G21" s="181" t="str">
        <f t="array" ref="G21">IFERROR(_xlfn.LET(_xlpm.x,INDEX(tblDecisionLog[Requester],_xlfn.AGGREGATE(15,6,(ROW(tblDecisionLog[Decision Log Immutable Key])-ROW(INDEX(tblDecisionLog[Decision Log Immutable Key],1,1))+1)/((tblDecisionLog[Source Decision ID]&lt;&gt;"")+(tblDecisionLog[Decision Summary]&lt;&gt;"")),8)),IF(OR(_xlpm.x=0,_xlpm.x="0",_xlpm.x="N/A"),"",_xlpm.x)),"")</f>
        <v/>
      </c>
      <c r="H21" s="181" t="str">
        <f t="array" ref="H21">IFERROR(_xlfn.LET(_xlpm.x,INDEX(tblDecisionLog[Strategic Objective],_xlfn.AGGREGATE(15,6,(ROW(tblDecisionLog[Decision Log Immutable Key])-ROW(INDEX(tblDecisionLog[Decision Log Immutable Key],1,1))+1)/((tblDecisionLog[Source Decision ID]&lt;&gt;"")+(tblDecisionLog[Decision Summary]&lt;&gt;"")),8)),IF(OR(_xlpm.x=0,_xlpm.x="0",_xlpm.x="N/A"),"",_xlpm.x)),"")</f>
        <v/>
      </c>
      <c r="I21" s="182" t="str">
        <f t="array" ref="I21">IFERROR(_xlfn.LET(_xlpm.x,INDEX(tblDecisionLog[Notes],_xlfn.AGGREGATE(15,6,(ROW(tblDecisionLog[Decision Log Immutable Key])-ROW(INDEX(tblDecisionLog[Decision Log Immutable Key],1,1))+1)/((tblDecisionLog[Source Decision ID]&lt;&gt;"")+(tblDecisionLog[Decision Summary]&lt;&gt;"")),8)),IF(OR(_xlpm.x=0,_xlpm.x="0",_xlpm.x="N/A"),"",_xlpm.x)),"")</f>
        <v/>
      </c>
      <c r="J21" s="181"/>
      <c r="K21" s="181"/>
      <c r="L21" s="182"/>
    </row>
    <row r="22" spans="1:12">
      <c r="A22" s="177" t="str">
        <f t="array" ref="A22">IFERROR(_xlfn.LET(_xlpm.x,INDEX(tblDecisionLog[Decision Log ID],_xlfn.AGGREGATE(15,6,(ROW(tblDecisionLog[Decision Log Immutable Key])-ROW(INDEX(tblDecisionLog[Decision Log Immutable Key],1,1))+1)/((tblDecisionLog[Source Decision ID]&lt;&gt;"")+(tblDecisionLog[Decision Summary]&lt;&gt;"")),9)),IF(OR(_xlpm.x=0,_xlpm.x="0",_xlpm.x="N/A"),"",_xlpm.x)),"")</f>
        <v/>
      </c>
      <c r="B22" s="172" t="str">
        <f t="array" ref="B22">IFERROR(_xlfn.LET(_xlpm.x,INDEX(tblDecisionLog[Source Decision ID],_xlfn.AGGREGATE(15,6,(ROW(tblDecisionLog[Decision Log Immutable Key])-ROW(INDEX(tblDecisionLog[Decision Log Immutable Key],1,1))+1)/((tblDecisionLog[Source Decision ID]&lt;&gt;"")+(tblDecisionLog[Decision Summary]&lt;&gt;"")),9)),IF(OR(_xlpm.x=0,_xlpm.x="0",_xlpm.x="N/A"),"",_xlpm.x)),"")</f>
        <v/>
      </c>
      <c r="C22" s="173" t="str">
        <f t="array" ref="C22">IFERROR(_xlfn.LET(_xlpm.x,INDEX(tblDecisionLog[Decision Date],_xlfn.AGGREGATE(15,6,(ROW(tblDecisionLog[Decision Log Immutable Key])-ROW(INDEX(tblDecisionLog[Decision Log Immutable Key],1,1))+1)/((tblDecisionLog[Source Decision ID]&lt;&gt;"")+(tblDecisionLog[Decision Summary]&lt;&gt;"")),9)),IF(OR(_xlpm.x=0,_xlpm.x="0",_xlpm.x="N/A"),"",_xlpm.x)),"")</f>
        <v/>
      </c>
      <c r="D22" s="172" t="str">
        <f t="array" ref="D22">IFERROR(_xlfn.LET(_xlpm.x,INDEX(tblDecisionLog[Decision Maker],_xlfn.AGGREGATE(15,6,(ROW(tblDecisionLog[Decision Log Immutable Key])-ROW(INDEX(tblDecisionLog[Decision Log Immutable Key],1,1))+1)/((tblDecisionLog[Source Decision ID]&lt;&gt;"")+(tblDecisionLog[Decision Summary]&lt;&gt;"")),9)),IF(OR(_xlpm.x=0,_xlpm.x="0",_xlpm.x="N/A"),"",_xlpm.x)),"")</f>
        <v/>
      </c>
      <c r="E22" s="174" t="str">
        <f t="array" ref="E22">IFERROR(_xlfn.LET(_xlpm.x,INDEX(tblDecisionLog[Decision Type],_xlfn.AGGREGATE(15,6,(ROW(tblDecisionLog[Decision Log Immutable Key])-ROW(INDEX(tblDecisionLog[Decision Log Immutable Key],1,1))+1)/((tblDecisionLog[Source Decision ID]&lt;&gt;"")+(tblDecisionLog[Decision Summary]&lt;&gt;"")),9)),IF(OR(_xlpm.x=0,_xlpm.x="0",_xlpm.x="N/A"),"",_xlpm.x)),"")</f>
        <v/>
      </c>
      <c r="F22" s="174" t="str">
        <f t="array" ref="F22">IFERROR(_xlfn.LET(_xlpm.x,INDEX(tblDecisionLog[Workstream],_xlfn.AGGREGATE(15,6,(ROW(tblDecisionLog[Decision Log Immutable Key])-ROW(INDEX(tblDecisionLog[Decision Log Immutable Key],1,1))+1)/((tblDecisionLog[Source Decision ID]&lt;&gt;"")+(tblDecisionLog[Decision Summary]&lt;&gt;"")),9)),IF(OR(_xlpm.x=0,_xlpm.x="0",_xlpm.x="N/A"),"",_xlpm.x)),"")</f>
        <v/>
      </c>
      <c r="G22" s="172" t="str">
        <f t="array" ref="G22">IFERROR(_xlfn.LET(_xlpm.x,INDEX(tblDecisionLog[Follow-up Status],_xlfn.AGGREGATE(15,6,(ROW(tblDecisionLog[Decision Log Immutable Key])-ROW(INDEX(tblDecisionLog[Decision Log Immutable Key],1,1))+1)/((tblDecisionLog[Source Decision ID]&lt;&gt;"")+(tblDecisionLog[Decision Summary]&lt;&gt;"")),9)),IF(OR(_xlpm.x=0,_xlpm.x="0",_xlpm.x="N/A"),"",_xlpm.x)),"")</f>
        <v/>
      </c>
      <c r="H22" s="174" t="str">
        <f t="array" ref="H22">IFERROR(_xlfn.LET(_xlpm.x,INDEX(tblDecisionLog[Assigned To],_xlfn.AGGREGATE(15,6,(ROW(tblDecisionLog[Decision Log Immutable Key])-ROW(INDEX(tblDecisionLog[Decision Log Immutable Key],1,1))+1)/((tblDecisionLog[Source Decision ID]&lt;&gt;"")+(tblDecisionLog[Decision Summary]&lt;&gt;"")),9)),IF(OR(_xlpm.x=0,_xlpm.x="0",_xlpm.x="N/A"),"",_xlpm.x)),"")</f>
        <v/>
      </c>
      <c r="I22" s="173" t="str">
        <f t="array" ref="I22">IFERROR(_xlfn.LET(_xlpm.x,INDEX(tblDecisionLog[Due Date],_xlfn.AGGREGATE(15,6,(ROW(tblDecisionLog[Decision Log Immutable Key])-ROW(INDEX(tblDecisionLog[Decision Log Immutable Key],1,1))+1)/((tblDecisionLog[Source Decision ID]&lt;&gt;"")+(tblDecisionLog[Decision Summary]&lt;&gt;"")),9)),IF(OR(_xlpm.x=0,_xlpm.x="0",_xlpm.x="N/A"),"",_xlpm.x)),"")</f>
        <v/>
      </c>
      <c r="J22" s="174" t="str">
        <f t="array" ref="J22">IFERROR(_xlfn.LET(_xlpm.x,INDEX(tblDecisionLog[Risk Impact],_xlfn.AGGREGATE(15,6,(ROW(tblDecisionLog[Decision Log Immutable Key])-ROW(INDEX(tblDecisionLog[Decision Log Immutable Key],1,1))+1)/((tblDecisionLog[Source Decision ID]&lt;&gt;"")+(tblDecisionLog[Decision Summary]&lt;&gt;"")),9)),IF(OR(_xlpm.x=0,_xlpm.x="0",_xlpm.x="N/A"),"",_xlpm.x)),"")</f>
        <v/>
      </c>
      <c r="K22" s="174" t="str">
        <f t="array" ref="K22">IFERROR(_xlfn.LET(_xlpm.x,INDEX(tblDecisionLog[Financial Impact],_xlfn.AGGREGATE(15,6,(ROW(tblDecisionLog[Decision Log Immutable Key])-ROW(INDEX(tblDecisionLog[Decision Log Immutable Key],1,1))+1)/((tblDecisionLog[Source Decision ID]&lt;&gt;"")+(tblDecisionLog[Decision Summary]&lt;&gt;"")),9)),IF(OR(_xlpm.x=0,_xlpm.x="0",_xlpm.x="N/A"),"",_xlpm.x)),"")</f>
        <v/>
      </c>
      <c r="L22" s="173" t="str">
        <f t="array" ref="L22">IFERROR(_xlfn.LET(_xlpm.x,INDEX(tblDecisionLog[Logged Date],_xlfn.AGGREGATE(15,6,(ROW(tblDecisionLog[Decision Log Immutable Key])-ROW(INDEX(tblDecisionLog[Decision Log Immutable Key],1,1))+1)/((tblDecisionLog[Source Decision ID]&lt;&gt;"")+(tblDecisionLog[Decision Summary]&lt;&gt;"")),9)),IF(OR(_xlpm.x=0,_xlpm.x="0",_xlpm.x="N/A"),"",_xlpm.x)),"")</f>
        <v/>
      </c>
    </row>
    <row r="23" spans="1:12">
      <c r="A23" s="99" t="str">
        <f>IF(A22="","",A22&amp;" cont.")</f>
        <v/>
      </c>
      <c r="B23" s="175" t="str">
        <f t="array" ref="B23">IFERROR(_xlfn.LET(_xlpm.x,INDEX(tblDecisionLog[Decision Summary],_xlfn.AGGREGATE(15,6,(ROW(tblDecisionLog[Decision Log Immutable Key])-ROW(INDEX(tblDecisionLog[Decision Log Immutable Key],1,1))+1)/((tblDecisionLog[Source Decision ID]&lt;&gt;"")+(tblDecisionLog[Decision Summary]&lt;&gt;"")),9)),IF(OR(_xlpm.x=0,_xlpm.x="0",_xlpm.x="N/A"),"",_xlpm.x)),"")</f>
        <v/>
      </c>
      <c r="C23" s="176" t="str">
        <f t="array" ref="C23">IFERROR(_xlfn.LET(_xlpm.x,INDEX(tblDecisionLog[Next Action],_xlfn.AGGREGATE(15,6,(ROW(tblDecisionLog[Decision Log Immutable Key])-ROW(INDEX(tblDecisionLog[Decision Log Immutable Key],1,1))+1)/((tblDecisionLog[Source Decision ID]&lt;&gt;"")+(tblDecisionLog[Decision Summary]&lt;&gt;"")),9)),IF(OR(_xlpm.x=0,_xlpm.x="0",_xlpm.x="N/A"),"",_xlpm.x)),"")</f>
        <v/>
      </c>
      <c r="D23" s="175" t="str">
        <f t="array" ref="D23">IFERROR(_xlfn.LET(_xlpm.x,INDEX(tblDecisionLog[Original Issue],_xlfn.AGGREGATE(15,6,(ROW(tblDecisionLog[Decision Log Immutable Key])-ROW(INDEX(tblDecisionLog[Decision Log Immutable Key],1,1))+1)/((tblDecisionLog[Source Decision ID]&lt;&gt;"")+(tblDecisionLog[Decision Summary]&lt;&gt;"")),9)),IF(OR(_xlpm.x=0,_xlpm.x="0",_xlpm.x="N/A"),"",_xlpm.x)),"")</f>
        <v/>
      </c>
      <c r="E23" s="175" t="str">
        <f t="array" ref="E23">IFERROR(_xlfn.LET(_xlpm.x,INDEX(tblDecisionLog[Rationale],_xlfn.AGGREGATE(15,6,(ROW(tblDecisionLog[Decision Log Immutable Key])-ROW(INDEX(tblDecisionLog[Decision Log Immutable Key],1,1))+1)/((tblDecisionLog[Source Decision ID]&lt;&gt;"")+(tblDecisionLog[Decision Summary]&lt;&gt;"")),9)),IF(OR(_xlpm.x=0,_xlpm.x="0",_xlpm.x="N/A"),"",_xlpm.x)),"")</f>
        <v/>
      </c>
      <c r="F23" s="175" t="str">
        <f t="array" ref="F23">IFERROR(_xlfn.LET(_xlpm.x,INDEX(tblDecisionLog[Further Action Required],_xlfn.AGGREGATE(15,6,(ROW(tblDecisionLog[Decision Log Immutable Key])-ROW(INDEX(tblDecisionLog[Decision Log Immutable Key],1,1))+1)/((tblDecisionLog[Source Decision ID]&lt;&gt;"")+(tblDecisionLog[Decision Summary]&lt;&gt;"")),9)),IF(OR(_xlpm.x=0,_xlpm.x="0",_xlpm.x="N/A"),"",_xlpm.x)),"")</f>
        <v/>
      </c>
      <c r="G23" s="175" t="str">
        <f t="array" ref="G23">IFERROR(_xlfn.LET(_xlpm.x,INDEX(tblDecisionLog[Requester],_xlfn.AGGREGATE(15,6,(ROW(tblDecisionLog[Decision Log Immutable Key])-ROW(INDEX(tblDecisionLog[Decision Log Immutable Key],1,1))+1)/((tblDecisionLog[Source Decision ID]&lt;&gt;"")+(tblDecisionLog[Decision Summary]&lt;&gt;"")),9)),IF(OR(_xlpm.x=0,_xlpm.x="0",_xlpm.x="N/A"),"",_xlpm.x)),"")</f>
        <v/>
      </c>
      <c r="H23" s="175" t="str">
        <f t="array" ref="H23">IFERROR(_xlfn.LET(_xlpm.x,INDEX(tblDecisionLog[Strategic Objective],_xlfn.AGGREGATE(15,6,(ROW(tblDecisionLog[Decision Log Immutable Key])-ROW(INDEX(tblDecisionLog[Decision Log Immutable Key],1,1))+1)/((tblDecisionLog[Source Decision ID]&lt;&gt;"")+(tblDecisionLog[Decision Summary]&lt;&gt;"")),9)),IF(OR(_xlpm.x=0,_xlpm.x="0",_xlpm.x="N/A"),"",_xlpm.x)),"")</f>
        <v/>
      </c>
      <c r="I23" s="176" t="str">
        <f t="array" ref="I23">IFERROR(_xlfn.LET(_xlpm.x,INDEX(tblDecisionLog[Notes],_xlfn.AGGREGATE(15,6,(ROW(tblDecisionLog[Decision Log Immutable Key])-ROW(INDEX(tblDecisionLog[Decision Log Immutable Key],1,1))+1)/((tblDecisionLog[Source Decision ID]&lt;&gt;"")+(tblDecisionLog[Decision Summary]&lt;&gt;"")),9)),IF(OR(_xlpm.x=0,_xlpm.x="0",_xlpm.x="N/A"),"",_xlpm.x)),"")</f>
        <v/>
      </c>
      <c r="J23" s="175"/>
      <c r="K23" s="175"/>
      <c r="L23" s="176"/>
    </row>
    <row r="24" spans="1:12">
      <c r="A24" s="177" t="str">
        <f t="array" ref="A24">IFERROR(_xlfn.LET(_xlpm.x,INDEX(tblDecisionLog[Decision Log ID],_xlfn.AGGREGATE(15,6,(ROW(tblDecisionLog[Decision Log Immutable Key])-ROW(INDEX(tblDecisionLog[Decision Log Immutable Key],1,1))+1)/((tblDecisionLog[Source Decision ID]&lt;&gt;"")+(tblDecisionLog[Decision Summary]&lt;&gt;"")),10)),IF(OR(_xlpm.x=0,_xlpm.x="0",_xlpm.x="N/A"),"",_xlpm.x)),"")</f>
        <v/>
      </c>
      <c r="B24" s="178" t="str">
        <f t="array" ref="B24">IFERROR(_xlfn.LET(_xlpm.x,INDEX(tblDecisionLog[Source Decision ID],_xlfn.AGGREGATE(15,6,(ROW(tblDecisionLog[Decision Log Immutable Key])-ROW(INDEX(tblDecisionLog[Decision Log Immutable Key],1,1))+1)/((tblDecisionLog[Source Decision ID]&lt;&gt;"")+(tblDecisionLog[Decision Summary]&lt;&gt;"")),10)),IF(OR(_xlpm.x=0,_xlpm.x="0",_xlpm.x="N/A"),"",_xlpm.x)),"")</f>
        <v/>
      </c>
      <c r="C24" s="179" t="str">
        <f t="array" ref="C24">IFERROR(_xlfn.LET(_xlpm.x,INDEX(tblDecisionLog[Decision Date],_xlfn.AGGREGATE(15,6,(ROW(tblDecisionLog[Decision Log Immutable Key])-ROW(INDEX(tblDecisionLog[Decision Log Immutable Key],1,1))+1)/((tblDecisionLog[Source Decision ID]&lt;&gt;"")+(tblDecisionLog[Decision Summary]&lt;&gt;"")),10)),IF(OR(_xlpm.x=0,_xlpm.x="0",_xlpm.x="N/A"),"",_xlpm.x)),"")</f>
        <v/>
      </c>
      <c r="D24" s="178" t="str">
        <f t="array" ref="D24">IFERROR(_xlfn.LET(_xlpm.x,INDEX(tblDecisionLog[Decision Maker],_xlfn.AGGREGATE(15,6,(ROW(tblDecisionLog[Decision Log Immutable Key])-ROW(INDEX(tblDecisionLog[Decision Log Immutable Key],1,1))+1)/((tblDecisionLog[Source Decision ID]&lt;&gt;"")+(tblDecisionLog[Decision Summary]&lt;&gt;"")),10)),IF(OR(_xlpm.x=0,_xlpm.x="0",_xlpm.x="N/A"),"",_xlpm.x)),"")</f>
        <v/>
      </c>
      <c r="E24" s="180" t="str">
        <f t="array" ref="E24">IFERROR(_xlfn.LET(_xlpm.x,INDEX(tblDecisionLog[Decision Type],_xlfn.AGGREGATE(15,6,(ROW(tblDecisionLog[Decision Log Immutable Key])-ROW(INDEX(tblDecisionLog[Decision Log Immutable Key],1,1))+1)/((tblDecisionLog[Source Decision ID]&lt;&gt;"")+(tblDecisionLog[Decision Summary]&lt;&gt;"")),10)),IF(OR(_xlpm.x=0,_xlpm.x="0",_xlpm.x="N/A"),"",_xlpm.x)),"")</f>
        <v/>
      </c>
      <c r="F24" s="180" t="str">
        <f t="array" ref="F24">IFERROR(_xlfn.LET(_xlpm.x,INDEX(tblDecisionLog[Workstream],_xlfn.AGGREGATE(15,6,(ROW(tblDecisionLog[Decision Log Immutable Key])-ROW(INDEX(tblDecisionLog[Decision Log Immutable Key],1,1))+1)/((tblDecisionLog[Source Decision ID]&lt;&gt;"")+(tblDecisionLog[Decision Summary]&lt;&gt;"")),10)),IF(OR(_xlpm.x=0,_xlpm.x="0",_xlpm.x="N/A"),"",_xlpm.x)),"")</f>
        <v/>
      </c>
      <c r="G24" s="178" t="str">
        <f t="array" ref="G24">IFERROR(_xlfn.LET(_xlpm.x,INDEX(tblDecisionLog[Follow-up Status],_xlfn.AGGREGATE(15,6,(ROW(tblDecisionLog[Decision Log Immutable Key])-ROW(INDEX(tblDecisionLog[Decision Log Immutable Key],1,1))+1)/((tblDecisionLog[Source Decision ID]&lt;&gt;"")+(tblDecisionLog[Decision Summary]&lt;&gt;"")),10)),IF(OR(_xlpm.x=0,_xlpm.x="0",_xlpm.x="N/A"),"",_xlpm.x)),"")</f>
        <v/>
      </c>
      <c r="H24" s="180" t="str">
        <f t="array" ref="H24">IFERROR(_xlfn.LET(_xlpm.x,INDEX(tblDecisionLog[Assigned To],_xlfn.AGGREGATE(15,6,(ROW(tblDecisionLog[Decision Log Immutable Key])-ROW(INDEX(tblDecisionLog[Decision Log Immutable Key],1,1))+1)/((tblDecisionLog[Source Decision ID]&lt;&gt;"")+(tblDecisionLog[Decision Summary]&lt;&gt;"")),10)),IF(OR(_xlpm.x=0,_xlpm.x="0",_xlpm.x="N/A"),"",_xlpm.x)),"")</f>
        <v/>
      </c>
      <c r="I24" s="179" t="str">
        <f t="array" ref="I24">IFERROR(_xlfn.LET(_xlpm.x,INDEX(tblDecisionLog[Due Date],_xlfn.AGGREGATE(15,6,(ROW(tblDecisionLog[Decision Log Immutable Key])-ROW(INDEX(tblDecisionLog[Decision Log Immutable Key],1,1))+1)/((tblDecisionLog[Source Decision ID]&lt;&gt;"")+(tblDecisionLog[Decision Summary]&lt;&gt;"")),10)),IF(OR(_xlpm.x=0,_xlpm.x="0",_xlpm.x="N/A"),"",_xlpm.x)),"")</f>
        <v/>
      </c>
      <c r="J24" s="180" t="str">
        <f t="array" ref="J24">IFERROR(_xlfn.LET(_xlpm.x,INDEX(tblDecisionLog[Risk Impact],_xlfn.AGGREGATE(15,6,(ROW(tblDecisionLog[Decision Log Immutable Key])-ROW(INDEX(tblDecisionLog[Decision Log Immutable Key],1,1))+1)/((tblDecisionLog[Source Decision ID]&lt;&gt;"")+(tblDecisionLog[Decision Summary]&lt;&gt;"")),10)),IF(OR(_xlpm.x=0,_xlpm.x="0",_xlpm.x="N/A"),"",_xlpm.x)),"")</f>
        <v/>
      </c>
      <c r="K24" s="180" t="str">
        <f t="array" ref="K24">IFERROR(_xlfn.LET(_xlpm.x,INDEX(tblDecisionLog[Financial Impact],_xlfn.AGGREGATE(15,6,(ROW(tblDecisionLog[Decision Log Immutable Key])-ROW(INDEX(tblDecisionLog[Decision Log Immutable Key],1,1))+1)/((tblDecisionLog[Source Decision ID]&lt;&gt;"")+(tblDecisionLog[Decision Summary]&lt;&gt;"")),10)),IF(OR(_xlpm.x=0,_xlpm.x="0",_xlpm.x="N/A"),"",_xlpm.x)),"")</f>
        <v/>
      </c>
      <c r="L24" s="179" t="str">
        <f t="array" ref="L24">IFERROR(_xlfn.LET(_xlpm.x,INDEX(tblDecisionLog[Logged Date],_xlfn.AGGREGATE(15,6,(ROW(tblDecisionLog[Decision Log Immutable Key])-ROW(INDEX(tblDecisionLog[Decision Log Immutable Key],1,1))+1)/((tblDecisionLog[Source Decision ID]&lt;&gt;"")+(tblDecisionLog[Decision Summary]&lt;&gt;"")),10)),IF(OR(_xlpm.x=0,_xlpm.x="0",_xlpm.x="N/A"),"",_xlpm.x)),"")</f>
        <v/>
      </c>
    </row>
    <row r="25" spans="1:12">
      <c r="A25" s="100" t="str">
        <f>IF(A24="","",A24&amp;" cont.")</f>
        <v/>
      </c>
      <c r="B25" s="181" t="str">
        <f t="array" ref="B25">IFERROR(_xlfn.LET(_xlpm.x,INDEX(tblDecisionLog[Decision Summary],_xlfn.AGGREGATE(15,6,(ROW(tblDecisionLog[Decision Log Immutable Key])-ROW(INDEX(tblDecisionLog[Decision Log Immutable Key],1,1))+1)/((tblDecisionLog[Source Decision ID]&lt;&gt;"")+(tblDecisionLog[Decision Summary]&lt;&gt;"")),10)),IF(OR(_xlpm.x=0,_xlpm.x="0",_xlpm.x="N/A"),"",_xlpm.x)),"")</f>
        <v/>
      </c>
      <c r="C25" s="182" t="str">
        <f t="array" ref="C25">IFERROR(_xlfn.LET(_xlpm.x,INDEX(tblDecisionLog[Next Action],_xlfn.AGGREGATE(15,6,(ROW(tblDecisionLog[Decision Log Immutable Key])-ROW(INDEX(tblDecisionLog[Decision Log Immutable Key],1,1))+1)/((tblDecisionLog[Source Decision ID]&lt;&gt;"")+(tblDecisionLog[Decision Summary]&lt;&gt;"")),10)),IF(OR(_xlpm.x=0,_xlpm.x="0",_xlpm.x="N/A"),"",_xlpm.x)),"")</f>
        <v/>
      </c>
      <c r="D25" s="181" t="str">
        <f t="array" ref="D25">IFERROR(_xlfn.LET(_xlpm.x,INDEX(tblDecisionLog[Original Issue],_xlfn.AGGREGATE(15,6,(ROW(tblDecisionLog[Decision Log Immutable Key])-ROW(INDEX(tblDecisionLog[Decision Log Immutable Key],1,1))+1)/((tblDecisionLog[Source Decision ID]&lt;&gt;"")+(tblDecisionLog[Decision Summary]&lt;&gt;"")),10)),IF(OR(_xlpm.x=0,_xlpm.x="0",_xlpm.x="N/A"),"",_xlpm.x)),"")</f>
        <v/>
      </c>
      <c r="E25" s="181" t="str">
        <f t="array" ref="E25">IFERROR(_xlfn.LET(_xlpm.x,INDEX(tblDecisionLog[Rationale],_xlfn.AGGREGATE(15,6,(ROW(tblDecisionLog[Decision Log Immutable Key])-ROW(INDEX(tblDecisionLog[Decision Log Immutable Key],1,1))+1)/((tblDecisionLog[Source Decision ID]&lt;&gt;"")+(tblDecisionLog[Decision Summary]&lt;&gt;"")),10)),IF(OR(_xlpm.x=0,_xlpm.x="0",_xlpm.x="N/A"),"",_xlpm.x)),"")</f>
        <v/>
      </c>
      <c r="F25" s="181" t="str">
        <f t="array" ref="F25">IFERROR(_xlfn.LET(_xlpm.x,INDEX(tblDecisionLog[Further Action Required],_xlfn.AGGREGATE(15,6,(ROW(tblDecisionLog[Decision Log Immutable Key])-ROW(INDEX(tblDecisionLog[Decision Log Immutable Key],1,1))+1)/((tblDecisionLog[Source Decision ID]&lt;&gt;"")+(tblDecisionLog[Decision Summary]&lt;&gt;"")),10)),IF(OR(_xlpm.x=0,_xlpm.x="0",_xlpm.x="N/A"),"",_xlpm.x)),"")</f>
        <v/>
      </c>
      <c r="G25" s="181" t="str">
        <f t="array" ref="G25">IFERROR(_xlfn.LET(_xlpm.x,INDEX(tblDecisionLog[Requester],_xlfn.AGGREGATE(15,6,(ROW(tblDecisionLog[Decision Log Immutable Key])-ROW(INDEX(tblDecisionLog[Decision Log Immutable Key],1,1))+1)/((tblDecisionLog[Source Decision ID]&lt;&gt;"")+(tblDecisionLog[Decision Summary]&lt;&gt;"")),10)),IF(OR(_xlpm.x=0,_xlpm.x="0",_xlpm.x="N/A"),"",_xlpm.x)),"")</f>
        <v/>
      </c>
      <c r="H25" s="181" t="str">
        <f t="array" ref="H25">IFERROR(_xlfn.LET(_xlpm.x,INDEX(tblDecisionLog[Strategic Objective],_xlfn.AGGREGATE(15,6,(ROW(tblDecisionLog[Decision Log Immutable Key])-ROW(INDEX(tblDecisionLog[Decision Log Immutable Key],1,1))+1)/((tblDecisionLog[Source Decision ID]&lt;&gt;"")+(tblDecisionLog[Decision Summary]&lt;&gt;"")),10)),IF(OR(_xlpm.x=0,_xlpm.x="0",_xlpm.x="N/A"),"",_xlpm.x)),"")</f>
        <v/>
      </c>
      <c r="I25" s="182" t="str">
        <f t="array" ref="I25">IFERROR(_xlfn.LET(_xlpm.x,INDEX(tblDecisionLog[Notes],_xlfn.AGGREGATE(15,6,(ROW(tblDecisionLog[Decision Log Immutable Key])-ROW(INDEX(tblDecisionLog[Decision Log Immutable Key],1,1))+1)/((tblDecisionLog[Source Decision ID]&lt;&gt;"")+(tblDecisionLog[Decision Summary]&lt;&gt;"")),10)),IF(OR(_xlpm.x=0,_xlpm.x="0",_xlpm.x="N/A"),"",_xlpm.x)),"")</f>
        <v/>
      </c>
      <c r="J25" s="181"/>
      <c r="K25" s="181"/>
      <c r="L25" s="182"/>
    </row>
    <row r="26" spans="1:12">
      <c r="A26" s="177" t="str">
        <f t="array" ref="A26">IFERROR(_xlfn.LET(_xlpm.x,INDEX(tblDecisionLog[Decision Log ID],_xlfn.AGGREGATE(15,6,(ROW(tblDecisionLog[Decision Log Immutable Key])-ROW(INDEX(tblDecisionLog[Decision Log Immutable Key],1,1))+1)/((tblDecisionLog[Source Decision ID]&lt;&gt;"")+(tblDecisionLog[Decision Summary]&lt;&gt;"")),11)),IF(OR(_xlpm.x=0,_xlpm.x="0",_xlpm.x="N/A"),"",_xlpm.x)),"")</f>
        <v/>
      </c>
      <c r="B26" s="172" t="str">
        <f t="array" ref="B26">IFERROR(_xlfn.LET(_xlpm.x,INDEX(tblDecisionLog[Source Decision ID],_xlfn.AGGREGATE(15,6,(ROW(tblDecisionLog[Decision Log Immutable Key])-ROW(INDEX(tblDecisionLog[Decision Log Immutable Key],1,1))+1)/((tblDecisionLog[Source Decision ID]&lt;&gt;"")+(tblDecisionLog[Decision Summary]&lt;&gt;"")),11)),IF(OR(_xlpm.x=0,_xlpm.x="0",_xlpm.x="N/A"),"",_xlpm.x)),"")</f>
        <v/>
      </c>
      <c r="C26" s="173" t="str">
        <f t="array" ref="C26">IFERROR(_xlfn.LET(_xlpm.x,INDEX(tblDecisionLog[Decision Date],_xlfn.AGGREGATE(15,6,(ROW(tblDecisionLog[Decision Log Immutable Key])-ROW(INDEX(tblDecisionLog[Decision Log Immutable Key],1,1))+1)/((tblDecisionLog[Source Decision ID]&lt;&gt;"")+(tblDecisionLog[Decision Summary]&lt;&gt;"")),11)),IF(OR(_xlpm.x=0,_xlpm.x="0",_xlpm.x="N/A"),"",_xlpm.x)),"")</f>
        <v/>
      </c>
      <c r="D26" s="172" t="str">
        <f t="array" ref="D26">IFERROR(_xlfn.LET(_xlpm.x,INDEX(tblDecisionLog[Decision Maker],_xlfn.AGGREGATE(15,6,(ROW(tblDecisionLog[Decision Log Immutable Key])-ROW(INDEX(tblDecisionLog[Decision Log Immutable Key],1,1))+1)/((tblDecisionLog[Source Decision ID]&lt;&gt;"")+(tblDecisionLog[Decision Summary]&lt;&gt;"")),11)),IF(OR(_xlpm.x=0,_xlpm.x="0",_xlpm.x="N/A"),"",_xlpm.x)),"")</f>
        <v/>
      </c>
      <c r="E26" s="174" t="str">
        <f t="array" ref="E26">IFERROR(_xlfn.LET(_xlpm.x,INDEX(tblDecisionLog[Decision Type],_xlfn.AGGREGATE(15,6,(ROW(tblDecisionLog[Decision Log Immutable Key])-ROW(INDEX(tblDecisionLog[Decision Log Immutable Key],1,1))+1)/((tblDecisionLog[Source Decision ID]&lt;&gt;"")+(tblDecisionLog[Decision Summary]&lt;&gt;"")),11)),IF(OR(_xlpm.x=0,_xlpm.x="0",_xlpm.x="N/A"),"",_xlpm.x)),"")</f>
        <v/>
      </c>
      <c r="F26" s="174" t="str">
        <f t="array" ref="F26">IFERROR(_xlfn.LET(_xlpm.x,INDEX(tblDecisionLog[Workstream],_xlfn.AGGREGATE(15,6,(ROW(tblDecisionLog[Decision Log Immutable Key])-ROW(INDEX(tblDecisionLog[Decision Log Immutable Key],1,1))+1)/((tblDecisionLog[Source Decision ID]&lt;&gt;"")+(tblDecisionLog[Decision Summary]&lt;&gt;"")),11)),IF(OR(_xlpm.x=0,_xlpm.x="0",_xlpm.x="N/A"),"",_xlpm.x)),"")</f>
        <v/>
      </c>
      <c r="G26" s="172" t="str">
        <f t="array" ref="G26">IFERROR(_xlfn.LET(_xlpm.x,INDEX(tblDecisionLog[Follow-up Status],_xlfn.AGGREGATE(15,6,(ROW(tblDecisionLog[Decision Log Immutable Key])-ROW(INDEX(tblDecisionLog[Decision Log Immutable Key],1,1))+1)/((tblDecisionLog[Source Decision ID]&lt;&gt;"")+(tblDecisionLog[Decision Summary]&lt;&gt;"")),11)),IF(OR(_xlpm.x=0,_xlpm.x="0",_xlpm.x="N/A"),"",_xlpm.x)),"")</f>
        <v/>
      </c>
      <c r="H26" s="174" t="str">
        <f t="array" ref="H26">IFERROR(_xlfn.LET(_xlpm.x,INDEX(tblDecisionLog[Assigned To],_xlfn.AGGREGATE(15,6,(ROW(tblDecisionLog[Decision Log Immutable Key])-ROW(INDEX(tblDecisionLog[Decision Log Immutable Key],1,1))+1)/((tblDecisionLog[Source Decision ID]&lt;&gt;"")+(tblDecisionLog[Decision Summary]&lt;&gt;"")),11)),IF(OR(_xlpm.x=0,_xlpm.x="0",_xlpm.x="N/A"),"",_xlpm.x)),"")</f>
        <v/>
      </c>
      <c r="I26" s="173" t="str">
        <f t="array" ref="I26">IFERROR(_xlfn.LET(_xlpm.x,INDEX(tblDecisionLog[Due Date],_xlfn.AGGREGATE(15,6,(ROW(tblDecisionLog[Decision Log Immutable Key])-ROW(INDEX(tblDecisionLog[Decision Log Immutable Key],1,1))+1)/((tblDecisionLog[Source Decision ID]&lt;&gt;"")+(tblDecisionLog[Decision Summary]&lt;&gt;"")),11)),IF(OR(_xlpm.x=0,_xlpm.x="0",_xlpm.x="N/A"),"",_xlpm.x)),"")</f>
        <v/>
      </c>
      <c r="J26" s="174" t="str">
        <f t="array" ref="J26">IFERROR(_xlfn.LET(_xlpm.x,INDEX(tblDecisionLog[Risk Impact],_xlfn.AGGREGATE(15,6,(ROW(tblDecisionLog[Decision Log Immutable Key])-ROW(INDEX(tblDecisionLog[Decision Log Immutable Key],1,1))+1)/((tblDecisionLog[Source Decision ID]&lt;&gt;"")+(tblDecisionLog[Decision Summary]&lt;&gt;"")),11)),IF(OR(_xlpm.x=0,_xlpm.x="0",_xlpm.x="N/A"),"",_xlpm.x)),"")</f>
        <v/>
      </c>
      <c r="K26" s="174" t="str">
        <f t="array" ref="K26">IFERROR(_xlfn.LET(_xlpm.x,INDEX(tblDecisionLog[Financial Impact],_xlfn.AGGREGATE(15,6,(ROW(tblDecisionLog[Decision Log Immutable Key])-ROW(INDEX(tblDecisionLog[Decision Log Immutable Key],1,1))+1)/((tblDecisionLog[Source Decision ID]&lt;&gt;"")+(tblDecisionLog[Decision Summary]&lt;&gt;"")),11)),IF(OR(_xlpm.x=0,_xlpm.x="0",_xlpm.x="N/A"),"",_xlpm.x)),"")</f>
        <v/>
      </c>
      <c r="L26" s="173" t="str">
        <f t="array" ref="L26">IFERROR(_xlfn.LET(_xlpm.x,INDEX(tblDecisionLog[Logged Date],_xlfn.AGGREGATE(15,6,(ROW(tblDecisionLog[Decision Log Immutable Key])-ROW(INDEX(tblDecisionLog[Decision Log Immutable Key],1,1))+1)/((tblDecisionLog[Source Decision ID]&lt;&gt;"")+(tblDecisionLog[Decision Summary]&lt;&gt;"")),11)),IF(OR(_xlpm.x=0,_xlpm.x="0",_xlpm.x="N/A"),"",_xlpm.x)),"")</f>
        <v/>
      </c>
    </row>
    <row r="27" spans="1:12">
      <c r="A27" s="99" t="str">
        <f>IF(A26="","",A26&amp;" cont.")</f>
        <v/>
      </c>
      <c r="B27" s="175" t="str">
        <f t="array" ref="B27">IFERROR(_xlfn.LET(_xlpm.x,INDEX(tblDecisionLog[Decision Summary],_xlfn.AGGREGATE(15,6,(ROW(tblDecisionLog[Decision Log Immutable Key])-ROW(INDEX(tblDecisionLog[Decision Log Immutable Key],1,1))+1)/((tblDecisionLog[Source Decision ID]&lt;&gt;"")+(tblDecisionLog[Decision Summary]&lt;&gt;"")),11)),IF(OR(_xlpm.x=0,_xlpm.x="0",_xlpm.x="N/A"),"",_xlpm.x)),"")</f>
        <v/>
      </c>
      <c r="C27" s="176" t="str">
        <f t="array" ref="C27">IFERROR(_xlfn.LET(_xlpm.x,INDEX(tblDecisionLog[Next Action],_xlfn.AGGREGATE(15,6,(ROW(tblDecisionLog[Decision Log Immutable Key])-ROW(INDEX(tblDecisionLog[Decision Log Immutable Key],1,1))+1)/((tblDecisionLog[Source Decision ID]&lt;&gt;"")+(tblDecisionLog[Decision Summary]&lt;&gt;"")),11)),IF(OR(_xlpm.x=0,_xlpm.x="0",_xlpm.x="N/A"),"",_xlpm.x)),"")</f>
        <v/>
      </c>
      <c r="D27" s="175" t="str">
        <f t="array" ref="D27">IFERROR(_xlfn.LET(_xlpm.x,INDEX(tblDecisionLog[Original Issue],_xlfn.AGGREGATE(15,6,(ROW(tblDecisionLog[Decision Log Immutable Key])-ROW(INDEX(tblDecisionLog[Decision Log Immutable Key],1,1))+1)/((tblDecisionLog[Source Decision ID]&lt;&gt;"")+(tblDecisionLog[Decision Summary]&lt;&gt;"")),11)),IF(OR(_xlpm.x=0,_xlpm.x="0",_xlpm.x="N/A"),"",_xlpm.x)),"")</f>
        <v/>
      </c>
      <c r="E27" s="175" t="str">
        <f t="array" ref="E27">IFERROR(_xlfn.LET(_xlpm.x,INDEX(tblDecisionLog[Rationale],_xlfn.AGGREGATE(15,6,(ROW(tblDecisionLog[Decision Log Immutable Key])-ROW(INDEX(tblDecisionLog[Decision Log Immutable Key],1,1))+1)/((tblDecisionLog[Source Decision ID]&lt;&gt;"")+(tblDecisionLog[Decision Summary]&lt;&gt;"")),11)),IF(OR(_xlpm.x=0,_xlpm.x="0",_xlpm.x="N/A"),"",_xlpm.x)),"")</f>
        <v/>
      </c>
      <c r="F27" s="175" t="str">
        <f t="array" ref="F27">IFERROR(_xlfn.LET(_xlpm.x,INDEX(tblDecisionLog[Further Action Required],_xlfn.AGGREGATE(15,6,(ROW(tblDecisionLog[Decision Log Immutable Key])-ROW(INDEX(tblDecisionLog[Decision Log Immutable Key],1,1))+1)/((tblDecisionLog[Source Decision ID]&lt;&gt;"")+(tblDecisionLog[Decision Summary]&lt;&gt;"")),11)),IF(OR(_xlpm.x=0,_xlpm.x="0",_xlpm.x="N/A"),"",_xlpm.x)),"")</f>
        <v/>
      </c>
      <c r="G27" s="175" t="str">
        <f t="array" ref="G27">IFERROR(_xlfn.LET(_xlpm.x,INDEX(tblDecisionLog[Requester],_xlfn.AGGREGATE(15,6,(ROW(tblDecisionLog[Decision Log Immutable Key])-ROW(INDEX(tblDecisionLog[Decision Log Immutable Key],1,1))+1)/((tblDecisionLog[Source Decision ID]&lt;&gt;"")+(tblDecisionLog[Decision Summary]&lt;&gt;"")),11)),IF(OR(_xlpm.x=0,_xlpm.x="0",_xlpm.x="N/A"),"",_xlpm.x)),"")</f>
        <v/>
      </c>
      <c r="H27" s="175" t="str">
        <f t="array" ref="H27">IFERROR(_xlfn.LET(_xlpm.x,INDEX(tblDecisionLog[Strategic Objective],_xlfn.AGGREGATE(15,6,(ROW(tblDecisionLog[Decision Log Immutable Key])-ROW(INDEX(tblDecisionLog[Decision Log Immutable Key],1,1))+1)/((tblDecisionLog[Source Decision ID]&lt;&gt;"")+(tblDecisionLog[Decision Summary]&lt;&gt;"")),11)),IF(OR(_xlpm.x=0,_xlpm.x="0",_xlpm.x="N/A"),"",_xlpm.x)),"")</f>
        <v/>
      </c>
      <c r="I27" s="176" t="str">
        <f t="array" ref="I27">IFERROR(_xlfn.LET(_xlpm.x,INDEX(tblDecisionLog[Notes],_xlfn.AGGREGATE(15,6,(ROW(tblDecisionLog[Decision Log Immutable Key])-ROW(INDEX(tblDecisionLog[Decision Log Immutable Key],1,1))+1)/((tblDecisionLog[Source Decision ID]&lt;&gt;"")+(tblDecisionLog[Decision Summary]&lt;&gt;"")),11)),IF(OR(_xlpm.x=0,_xlpm.x="0",_xlpm.x="N/A"),"",_xlpm.x)),"")</f>
        <v/>
      </c>
      <c r="J27" s="175"/>
      <c r="K27" s="175"/>
      <c r="L27" s="176"/>
    </row>
    <row r="28" spans="1:12">
      <c r="A28" s="177" t="str">
        <f t="array" ref="A28">IFERROR(_xlfn.LET(_xlpm.x,INDEX(tblDecisionLog[Decision Log ID],_xlfn.AGGREGATE(15,6,(ROW(tblDecisionLog[Decision Log Immutable Key])-ROW(INDEX(tblDecisionLog[Decision Log Immutable Key],1,1))+1)/((tblDecisionLog[Source Decision ID]&lt;&gt;"")+(tblDecisionLog[Decision Summary]&lt;&gt;"")),12)),IF(OR(_xlpm.x=0,_xlpm.x="0",_xlpm.x="N/A"),"",_xlpm.x)),"")</f>
        <v/>
      </c>
      <c r="B28" s="178" t="str">
        <f t="array" ref="B28">IFERROR(_xlfn.LET(_xlpm.x,INDEX(tblDecisionLog[Source Decision ID],_xlfn.AGGREGATE(15,6,(ROW(tblDecisionLog[Decision Log Immutable Key])-ROW(INDEX(tblDecisionLog[Decision Log Immutable Key],1,1))+1)/((tblDecisionLog[Source Decision ID]&lt;&gt;"")+(tblDecisionLog[Decision Summary]&lt;&gt;"")),12)),IF(OR(_xlpm.x=0,_xlpm.x="0",_xlpm.x="N/A"),"",_xlpm.x)),"")</f>
        <v/>
      </c>
      <c r="C28" s="179" t="str">
        <f t="array" ref="C28">IFERROR(_xlfn.LET(_xlpm.x,INDEX(tblDecisionLog[Decision Date],_xlfn.AGGREGATE(15,6,(ROW(tblDecisionLog[Decision Log Immutable Key])-ROW(INDEX(tblDecisionLog[Decision Log Immutable Key],1,1))+1)/((tblDecisionLog[Source Decision ID]&lt;&gt;"")+(tblDecisionLog[Decision Summary]&lt;&gt;"")),12)),IF(OR(_xlpm.x=0,_xlpm.x="0",_xlpm.x="N/A"),"",_xlpm.x)),"")</f>
        <v/>
      </c>
      <c r="D28" s="178" t="str">
        <f t="array" ref="D28">IFERROR(_xlfn.LET(_xlpm.x,INDEX(tblDecisionLog[Decision Maker],_xlfn.AGGREGATE(15,6,(ROW(tblDecisionLog[Decision Log Immutable Key])-ROW(INDEX(tblDecisionLog[Decision Log Immutable Key],1,1))+1)/((tblDecisionLog[Source Decision ID]&lt;&gt;"")+(tblDecisionLog[Decision Summary]&lt;&gt;"")),12)),IF(OR(_xlpm.x=0,_xlpm.x="0",_xlpm.x="N/A"),"",_xlpm.x)),"")</f>
        <v/>
      </c>
      <c r="E28" s="180" t="str">
        <f t="array" ref="E28">IFERROR(_xlfn.LET(_xlpm.x,INDEX(tblDecisionLog[Decision Type],_xlfn.AGGREGATE(15,6,(ROW(tblDecisionLog[Decision Log Immutable Key])-ROW(INDEX(tblDecisionLog[Decision Log Immutable Key],1,1))+1)/((tblDecisionLog[Source Decision ID]&lt;&gt;"")+(tblDecisionLog[Decision Summary]&lt;&gt;"")),12)),IF(OR(_xlpm.x=0,_xlpm.x="0",_xlpm.x="N/A"),"",_xlpm.x)),"")</f>
        <v/>
      </c>
      <c r="F28" s="180" t="str">
        <f t="array" ref="F28">IFERROR(_xlfn.LET(_xlpm.x,INDEX(tblDecisionLog[Workstream],_xlfn.AGGREGATE(15,6,(ROW(tblDecisionLog[Decision Log Immutable Key])-ROW(INDEX(tblDecisionLog[Decision Log Immutable Key],1,1))+1)/((tblDecisionLog[Source Decision ID]&lt;&gt;"")+(tblDecisionLog[Decision Summary]&lt;&gt;"")),12)),IF(OR(_xlpm.x=0,_xlpm.x="0",_xlpm.x="N/A"),"",_xlpm.x)),"")</f>
        <v/>
      </c>
      <c r="G28" s="178" t="str">
        <f t="array" ref="G28">IFERROR(_xlfn.LET(_xlpm.x,INDEX(tblDecisionLog[Follow-up Status],_xlfn.AGGREGATE(15,6,(ROW(tblDecisionLog[Decision Log Immutable Key])-ROW(INDEX(tblDecisionLog[Decision Log Immutable Key],1,1))+1)/((tblDecisionLog[Source Decision ID]&lt;&gt;"")+(tblDecisionLog[Decision Summary]&lt;&gt;"")),12)),IF(OR(_xlpm.x=0,_xlpm.x="0",_xlpm.x="N/A"),"",_xlpm.x)),"")</f>
        <v/>
      </c>
      <c r="H28" s="180" t="str">
        <f t="array" ref="H28">IFERROR(_xlfn.LET(_xlpm.x,INDEX(tblDecisionLog[Assigned To],_xlfn.AGGREGATE(15,6,(ROW(tblDecisionLog[Decision Log Immutable Key])-ROW(INDEX(tblDecisionLog[Decision Log Immutable Key],1,1))+1)/((tblDecisionLog[Source Decision ID]&lt;&gt;"")+(tblDecisionLog[Decision Summary]&lt;&gt;"")),12)),IF(OR(_xlpm.x=0,_xlpm.x="0",_xlpm.x="N/A"),"",_xlpm.x)),"")</f>
        <v/>
      </c>
      <c r="I28" s="179" t="str">
        <f t="array" ref="I28">IFERROR(_xlfn.LET(_xlpm.x,INDEX(tblDecisionLog[Due Date],_xlfn.AGGREGATE(15,6,(ROW(tblDecisionLog[Decision Log Immutable Key])-ROW(INDEX(tblDecisionLog[Decision Log Immutable Key],1,1))+1)/((tblDecisionLog[Source Decision ID]&lt;&gt;"")+(tblDecisionLog[Decision Summary]&lt;&gt;"")),12)),IF(OR(_xlpm.x=0,_xlpm.x="0",_xlpm.x="N/A"),"",_xlpm.x)),"")</f>
        <v/>
      </c>
      <c r="J28" s="180" t="str">
        <f t="array" ref="J28">IFERROR(_xlfn.LET(_xlpm.x,INDEX(tblDecisionLog[Risk Impact],_xlfn.AGGREGATE(15,6,(ROW(tblDecisionLog[Decision Log Immutable Key])-ROW(INDEX(tblDecisionLog[Decision Log Immutable Key],1,1))+1)/((tblDecisionLog[Source Decision ID]&lt;&gt;"")+(tblDecisionLog[Decision Summary]&lt;&gt;"")),12)),IF(OR(_xlpm.x=0,_xlpm.x="0",_xlpm.x="N/A"),"",_xlpm.x)),"")</f>
        <v/>
      </c>
      <c r="K28" s="180" t="str">
        <f t="array" ref="K28">IFERROR(_xlfn.LET(_xlpm.x,INDEX(tblDecisionLog[Financial Impact],_xlfn.AGGREGATE(15,6,(ROW(tblDecisionLog[Decision Log Immutable Key])-ROW(INDEX(tblDecisionLog[Decision Log Immutable Key],1,1))+1)/((tblDecisionLog[Source Decision ID]&lt;&gt;"")+(tblDecisionLog[Decision Summary]&lt;&gt;"")),12)),IF(OR(_xlpm.x=0,_xlpm.x="0",_xlpm.x="N/A"),"",_xlpm.x)),"")</f>
        <v/>
      </c>
      <c r="L28" s="179" t="str">
        <f t="array" ref="L28">IFERROR(_xlfn.LET(_xlpm.x,INDEX(tblDecisionLog[Logged Date],_xlfn.AGGREGATE(15,6,(ROW(tblDecisionLog[Decision Log Immutable Key])-ROW(INDEX(tblDecisionLog[Decision Log Immutable Key],1,1))+1)/((tblDecisionLog[Source Decision ID]&lt;&gt;"")+(tblDecisionLog[Decision Summary]&lt;&gt;"")),12)),IF(OR(_xlpm.x=0,_xlpm.x="0",_xlpm.x="N/A"),"",_xlpm.x)),"")</f>
        <v/>
      </c>
    </row>
    <row r="29" spans="1:12">
      <c r="A29" s="100" t="str">
        <f>IF(A28="","",A28&amp;" cont.")</f>
        <v/>
      </c>
      <c r="B29" s="181" t="str">
        <f t="array" ref="B29">IFERROR(_xlfn.LET(_xlpm.x,INDEX(tblDecisionLog[Decision Summary],_xlfn.AGGREGATE(15,6,(ROW(tblDecisionLog[Decision Log Immutable Key])-ROW(INDEX(tblDecisionLog[Decision Log Immutable Key],1,1))+1)/((tblDecisionLog[Source Decision ID]&lt;&gt;"")+(tblDecisionLog[Decision Summary]&lt;&gt;"")),12)),IF(OR(_xlpm.x=0,_xlpm.x="0",_xlpm.x="N/A"),"",_xlpm.x)),"")</f>
        <v/>
      </c>
      <c r="C29" s="182" t="str">
        <f t="array" ref="C29">IFERROR(_xlfn.LET(_xlpm.x,INDEX(tblDecisionLog[Next Action],_xlfn.AGGREGATE(15,6,(ROW(tblDecisionLog[Decision Log Immutable Key])-ROW(INDEX(tblDecisionLog[Decision Log Immutable Key],1,1))+1)/((tblDecisionLog[Source Decision ID]&lt;&gt;"")+(tblDecisionLog[Decision Summary]&lt;&gt;"")),12)),IF(OR(_xlpm.x=0,_xlpm.x="0",_xlpm.x="N/A"),"",_xlpm.x)),"")</f>
        <v/>
      </c>
      <c r="D29" s="181" t="str">
        <f t="array" ref="D29">IFERROR(_xlfn.LET(_xlpm.x,INDEX(tblDecisionLog[Original Issue],_xlfn.AGGREGATE(15,6,(ROW(tblDecisionLog[Decision Log Immutable Key])-ROW(INDEX(tblDecisionLog[Decision Log Immutable Key],1,1))+1)/((tblDecisionLog[Source Decision ID]&lt;&gt;"")+(tblDecisionLog[Decision Summary]&lt;&gt;"")),12)),IF(OR(_xlpm.x=0,_xlpm.x="0",_xlpm.x="N/A"),"",_xlpm.x)),"")</f>
        <v/>
      </c>
      <c r="E29" s="181" t="str">
        <f t="array" ref="E29">IFERROR(_xlfn.LET(_xlpm.x,INDEX(tblDecisionLog[Rationale],_xlfn.AGGREGATE(15,6,(ROW(tblDecisionLog[Decision Log Immutable Key])-ROW(INDEX(tblDecisionLog[Decision Log Immutable Key],1,1))+1)/((tblDecisionLog[Source Decision ID]&lt;&gt;"")+(tblDecisionLog[Decision Summary]&lt;&gt;"")),12)),IF(OR(_xlpm.x=0,_xlpm.x="0",_xlpm.x="N/A"),"",_xlpm.x)),"")</f>
        <v/>
      </c>
      <c r="F29" s="181" t="str">
        <f t="array" ref="F29">IFERROR(_xlfn.LET(_xlpm.x,INDEX(tblDecisionLog[Further Action Required],_xlfn.AGGREGATE(15,6,(ROW(tblDecisionLog[Decision Log Immutable Key])-ROW(INDEX(tblDecisionLog[Decision Log Immutable Key],1,1))+1)/((tblDecisionLog[Source Decision ID]&lt;&gt;"")+(tblDecisionLog[Decision Summary]&lt;&gt;"")),12)),IF(OR(_xlpm.x=0,_xlpm.x="0",_xlpm.x="N/A"),"",_xlpm.x)),"")</f>
        <v/>
      </c>
      <c r="G29" s="181" t="str">
        <f t="array" ref="G29">IFERROR(_xlfn.LET(_xlpm.x,INDEX(tblDecisionLog[Requester],_xlfn.AGGREGATE(15,6,(ROW(tblDecisionLog[Decision Log Immutable Key])-ROW(INDEX(tblDecisionLog[Decision Log Immutable Key],1,1))+1)/((tblDecisionLog[Source Decision ID]&lt;&gt;"")+(tblDecisionLog[Decision Summary]&lt;&gt;"")),12)),IF(OR(_xlpm.x=0,_xlpm.x="0",_xlpm.x="N/A"),"",_xlpm.x)),"")</f>
        <v/>
      </c>
      <c r="H29" s="181" t="str">
        <f t="array" ref="H29">IFERROR(_xlfn.LET(_xlpm.x,INDEX(tblDecisionLog[Strategic Objective],_xlfn.AGGREGATE(15,6,(ROW(tblDecisionLog[Decision Log Immutable Key])-ROW(INDEX(tblDecisionLog[Decision Log Immutable Key],1,1))+1)/((tblDecisionLog[Source Decision ID]&lt;&gt;"")+(tblDecisionLog[Decision Summary]&lt;&gt;"")),12)),IF(OR(_xlpm.x=0,_xlpm.x="0",_xlpm.x="N/A"),"",_xlpm.x)),"")</f>
        <v/>
      </c>
      <c r="I29" s="182" t="str">
        <f t="array" ref="I29">IFERROR(_xlfn.LET(_xlpm.x,INDEX(tblDecisionLog[Notes],_xlfn.AGGREGATE(15,6,(ROW(tblDecisionLog[Decision Log Immutable Key])-ROW(INDEX(tblDecisionLog[Decision Log Immutable Key],1,1))+1)/((tblDecisionLog[Source Decision ID]&lt;&gt;"")+(tblDecisionLog[Decision Summary]&lt;&gt;"")),12)),IF(OR(_xlpm.x=0,_xlpm.x="0",_xlpm.x="N/A"),"",_xlpm.x)),"")</f>
        <v/>
      </c>
      <c r="J29" s="181"/>
      <c r="K29" s="181"/>
      <c r="L29" s="182"/>
    </row>
    <row r="30" spans="1:12">
      <c r="A30" s="177" t="str">
        <f t="array" ref="A30">IFERROR(_xlfn.LET(_xlpm.x,INDEX(tblDecisionLog[Decision Log ID],_xlfn.AGGREGATE(15,6,(ROW(tblDecisionLog[Decision Log Immutable Key])-ROW(INDEX(tblDecisionLog[Decision Log Immutable Key],1,1))+1)/((tblDecisionLog[Source Decision ID]&lt;&gt;"")+(tblDecisionLog[Decision Summary]&lt;&gt;"")),13)),IF(OR(_xlpm.x=0,_xlpm.x="0",_xlpm.x="N/A"),"",_xlpm.x)),"")</f>
        <v/>
      </c>
      <c r="B30" s="172" t="str">
        <f t="array" ref="B30">IFERROR(_xlfn.LET(_xlpm.x,INDEX(tblDecisionLog[Source Decision ID],_xlfn.AGGREGATE(15,6,(ROW(tblDecisionLog[Decision Log Immutable Key])-ROW(INDEX(tblDecisionLog[Decision Log Immutable Key],1,1))+1)/((tblDecisionLog[Source Decision ID]&lt;&gt;"")+(tblDecisionLog[Decision Summary]&lt;&gt;"")),13)),IF(OR(_xlpm.x=0,_xlpm.x="0",_xlpm.x="N/A"),"",_xlpm.x)),"")</f>
        <v/>
      </c>
      <c r="C30" s="173" t="str">
        <f t="array" ref="C30">IFERROR(_xlfn.LET(_xlpm.x,INDEX(tblDecisionLog[Decision Date],_xlfn.AGGREGATE(15,6,(ROW(tblDecisionLog[Decision Log Immutable Key])-ROW(INDEX(tblDecisionLog[Decision Log Immutable Key],1,1))+1)/((tblDecisionLog[Source Decision ID]&lt;&gt;"")+(tblDecisionLog[Decision Summary]&lt;&gt;"")),13)),IF(OR(_xlpm.x=0,_xlpm.x="0",_xlpm.x="N/A"),"",_xlpm.x)),"")</f>
        <v/>
      </c>
      <c r="D30" s="172" t="str">
        <f t="array" ref="D30">IFERROR(_xlfn.LET(_xlpm.x,INDEX(tblDecisionLog[Decision Maker],_xlfn.AGGREGATE(15,6,(ROW(tblDecisionLog[Decision Log Immutable Key])-ROW(INDEX(tblDecisionLog[Decision Log Immutable Key],1,1))+1)/((tblDecisionLog[Source Decision ID]&lt;&gt;"")+(tblDecisionLog[Decision Summary]&lt;&gt;"")),13)),IF(OR(_xlpm.x=0,_xlpm.x="0",_xlpm.x="N/A"),"",_xlpm.x)),"")</f>
        <v/>
      </c>
      <c r="E30" s="174" t="str">
        <f t="array" ref="E30">IFERROR(_xlfn.LET(_xlpm.x,INDEX(tblDecisionLog[Decision Type],_xlfn.AGGREGATE(15,6,(ROW(tblDecisionLog[Decision Log Immutable Key])-ROW(INDEX(tblDecisionLog[Decision Log Immutable Key],1,1))+1)/((tblDecisionLog[Source Decision ID]&lt;&gt;"")+(tblDecisionLog[Decision Summary]&lt;&gt;"")),13)),IF(OR(_xlpm.x=0,_xlpm.x="0",_xlpm.x="N/A"),"",_xlpm.x)),"")</f>
        <v/>
      </c>
      <c r="F30" s="174" t="str">
        <f t="array" ref="F30">IFERROR(_xlfn.LET(_xlpm.x,INDEX(tblDecisionLog[Workstream],_xlfn.AGGREGATE(15,6,(ROW(tblDecisionLog[Decision Log Immutable Key])-ROW(INDEX(tblDecisionLog[Decision Log Immutable Key],1,1))+1)/((tblDecisionLog[Source Decision ID]&lt;&gt;"")+(tblDecisionLog[Decision Summary]&lt;&gt;"")),13)),IF(OR(_xlpm.x=0,_xlpm.x="0",_xlpm.x="N/A"),"",_xlpm.x)),"")</f>
        <v/>
      </c>
      <c r="G30" s="172" t="str">
        <f t="array" ref="G30">IFERROR(_xlfn.LET(_xlpm.x,INDEX(tblDecisionLog[Follow-up Status],_xlfn.AGGREGATE(15,6,(ROW(tblDecisionLog[Decision Log Immutable Key])-ROW(INDEX(tblDecisionLog[Decision Log Immutable Key],1,1))+1)/((tblDecisionLog[Source Decision ID]&lt;&gt;"")+(tblDecisionLog[Decision Summary]&lt;&gt;"")),13)),IF(OR(_xlpm.x=0,_xlpm.x="0",_xlpm.x="N/A"),"",_xlpm.x)),"")</f>
        <v/>
      </c>
      <c r="H30" s="174" t="str">
        <f t="array" ref="H30">IFERROR(_xlfn.LET(_xlpm.x,INDEX(tblDecisionLog[Assigned To],_xlfn.AGGREGATE(15,6,(ROW(tblDecisionLog[Decision Log Immutable Key])-ROW(INDEX(tblDecisionLog[Decision Log Immutable Key],1,1))+1)/((tblDecisionLog[Source Decision ID]&lt;&gt;"")+(tblDecisionLog[Decision Summary]&lt;&gt;"")),13)),IF(OR(_xlpm.x=0,_xlpm.x="0",_xlpm.x="N/A"),"",_xlpm.x)),"")</f>
        <v/>
      </c>
      <c r="I30" s="173" t="str">
        <f t="array" ref="I30">IFERROR(_xlfn.LET(_xlpm.x,INDEX(tblDecisionLog[Due Date],_xlfn.AGGREGATE(15,6,(ROW(tblDecisionLog[Decision Log Immutable Key])-ROW(INDEX(tblDecisionLog[Decision Log Immutable Key],1,1))+1)/((tblDecisionLog[Source Decision ID]&lt;&gt;"")+(tblDecisionLog[Decision Summary]&lt;&gt;"")),13)),IF(OR(_xlpm.x=0,_xlpm.x="0",_xlpm.x="N/A"),"",_xlpm.x)),"")</f>
        <v/>
      </c>
      <c r="J30" s="174" t="str">
        <f t="array" ref="J30">IFERROR(_xlfn.LET(_xlpm.x,INDEX(tblDecisionLog[Risk Impact],_xlfn.AGGREGATE(15,6,(ROW(tblDecisionLog[Decision Log Immutable Key])-ROW(INDEX(tblDecisionLog[Decision Log Immutable Key],1,1))+1)/((tblDecisionLog[Source Decision ID]&lt;&gt;"")+(tblDecisionLog[Decision Summary]&lt;&gt;"")),13)),IF(OR(_xlpm.x=0,_xlpm.x="0",_xlpm.x="N/A"),"",_xlpm.x)),"")</f>
        <v/>
      </c>
      <c r="K30" s="174" t="str">
        <f t="array" ref="K30">IFERROR(_xlfn.LET(_xlpm.x,INDEX(tblDecisionLog[Financial Impact],_xlfn.AGGREGATE(15,6,(ROW(tblDecisionLog[Decision Log Immutable Key])-ROW(INDEX(tblDecisionLog[Decision Log Immutable Key],1,1))+1)/((tblDecisionLog[Source Decision ID]&lt;&gt;"")+(tblDecisionLog[Decision Summary]&lt;&gt;"")),13)),IF(OR(_xlpm.x=0,_xlpm.x="0",_xlpm.x="N/A"),"",_xlpm.x)),"")</f>
        <v/>
      </c>
      <c r="L30" s="173" t="str">
        <f t="array" ref="L30">IFERROR(_xlfn.LET(_xlpm.x,INDEX(tblDecisionLog[Logged Date],_xlfn.AGGREGATE(15,6,(ROW(tblDecisionLog[Decision Log Immutable Key])-ROW(INDEX(tblDecisionLog[Decision Log Immutable Key],1,1))+1)/((tblDecisionLog[Source Decision ID]&lt;&gt;"")+(tblDecisionLog[Decision Summary]&lt;&gt;"")),13)),IF(OR(_xlpm.x=0,_xlpm.x="0",_xlpm.x="N/A"),"",_xlpm.x)),"")</f>
        <v/>
      </c>
    </row>
    <row r="31" spans="1:12">
      <c r="A31" s="99" t="str">
        <f>IF(A30="","",A30&amp;" cont.")</f>
        <v/>
      </c>
      <c r="B31" s="175" t="str">
        <f t="array" ref="B31">IFERROR(_xlfn.LET(_xlpm.x,INDEX(tblDecisionLog[Decision Summary],_xlfn.AGGREGATE(15,6,(ROW(tblDecisionLog[Decision Log Immutable Key])-ROW(INDEX(tblDecisionLog[Decision Log Immutable Key],1,1))+1)/((tblDecisionLog[Source Decision ID]&lt;&gt;"")+(tblDecisionLog[Decision Summary]&lt;&gt;"")),13)),IF(OR(_xlpm.x=0,_xlpm.x="0",_xlpm.x="N/A"),"",_xlpm.x)),"")</f>
        <v/>
      </c>
      <c r="C31" s="176" t="str">
        <f t="array" ref="C31">IFERROR(_xlfn.LET(_xlpm.x,INDEX(tblDecisionLog[Next Action],_xlfn.AGGREGATE(15,6,(ROW(tblDecisionLog[Decision Log Immutable Key])-ROW(INDEX(tblDecisionLog[Decision Log Immutable Key],1,1))+1)/((tblDecisionLog[Source Decision ID]&lt;&gt;"")+(tblDecisionLog[Decision Summary]&lt;&gt;"")),13)),IF(OR(_xlpm.x=0,_xlpm.x="0",_xlpm.x="N/A"),"",_xlpm.x)),"")</f>
        <v/>
      </c>
      <c r="D31" s="175" t="str">
        <f t="array" ref="D31">IFERROR(_xlfn.LET(_xlpm.x,INDEX(tblDecisionLog[Original Issue],_xlfn.AGGREGATE(15,6,(ROW(tblDecisionLog[Decision Log Immutable Key])-ROW(INDEX(tblDecisionLog[Decision Log Immutable Key],1,1))+1)/((tblDecisionLog[Source Decision ID]&lt;&gt;"")+(tblDecisionLog[Decision Summary]&lt;&gt;"")),13)),IF(OR(_xlpm.x=0,_xlpm.x="0",_xlpm.x="N/A"),"",_xlpm.x)),"")</f>
        <v/>
      </c>
      <c r="E31" s="175" t="str">
        <f t="array" ref="E31">IFERROR(_xlfn.LET(_xlpm.x,INDEX(tblDecisionLog[Rationale],_xlfn.AGGREGATE(15,6,(ROW(tblDecisionLog[Decision Log Immutable Key])-ROW(INDEX(tblDecisionLog[Decision Log Immutable Key],1,1))+1)/((tblDecisionLog[Source Decision ID]&lt;&gt;"")+(tblDecisionLog[Decision Summary]&lt;&gt;"")),13)),IF(OR(_xlpm.x=0,_xlpm.x="0",_xlpm.x="N/A"),"",_xlpm.x)),"")</f>
        <v/>
      </c>
      <c r="F31" s="175" t="str">
        <f t="array" ref="F31">IFERROR(_xlfn.LET(_xlpm.x,INDEX(tblDecisionLog[Further Action Required],_xlfn.AGGREGATE(15,6,(ROW(tblDecisionLog[Decision Log Immutable Key])-ROW(INDEX(tblDecisionLog[Decision Log Immutable Key],1,1))+1)/((tblDecisionLog[Source Decision ID]&lt;&gt;"")+(tblDecisionLog[Decision Summary]&lt;&gt;"")),13)),IF(OR(_xlpm.x=0,_xlpm.x="0",_xlpm.x="N/A"),"",_xlpm.x)),"")</f>
        <v/>
      </c>
      <c r="G31" s="175" t="str">
        <f t="array" ref="G31">IFERROR(_xlfn.LET(_xlpm.x,INDEX(tblDecisionLog[Requester],_xlfn.AGGREGATE(15,6,(ROW(tblDecisionLog[Decision Log Immutable Key])-ROW(INDEX(tblDecisionLog[Decision Log Immutable Key],1,1))+1)/((tblDecisionLog[Source Decision ID]&lt;&gt;"")+(tblDecisionLog[Decision Summary]&lt;&gt;"")),13)),IF(OR(_xlpm.x=0,_xlpm.x="0",_xlpm.x="N/A"),"",_xlpm.x)),"")</f>
        <v/>
      </c>
      <c r="H31" s="175" t="str">
        <f t="array" ref="H31">IFERROR(_xlfn.LET(_xlpm.x,INDEX(tblDecisionLog[Strategic Objective],_xlfn.AGGREGATE(15,6,(ROW(tblDecisionLog[Decision Log Immutable Key])-ROW(INDEX(tblDecisionLog[Decision Log Immutable Key],1,1))+1)/((tblDecisionLog[Source Decision ID]&lt;&gt;"")+(tblDecisionLog[Decision Summary]&lt;&gt;"")),13)),IF(OR(_xlpm.x=0,_xlpm.x="0",_xlpm.x="N/A"),"",_xlpm.x)),"")</f>
        <v/>
      </c>
      <c r="I31" s="176" t="str">
        <f t="array" ref="I31">IFERROR(_xlfn.LET(_xlpm.x,INDEX(tblDecisionLog[Notes],_xlfn.AGGREGATE(15,6,(ROW(tblDecisionLog[Decision Log Immutable Key])-ROW(INDEX(tblDecisionLog[Decision Log Immutable Key],1,1))+1)/((tblDecisionLog[Source Decision ID]&lt;&gt;"")+(tblDecisionLog[Decision Summary]&lt;&gt;"")),13)),IF(OR(_xlpm.x=0,_xlpm.x="0",_xlpm.x="N/A"),"",_xlpm.x)),"")</f>
        <v/>
      </c>
      <c r="J31" s="175"/>
      <c r="K31" s="175"/>
      <c r="L31" s="176"/>
    </row>
    <row r="32" spans="1:12">
      <c r="A32" s="177" t="str">
        <f t="array" ref="A32">IFERROR(_xlfn.LET(_xlpm.x,INDEX(tblDecisionLog[Decision Log ID],_xlfn.AGGREGATE(15,6,(ROW(tblDecisionLog[Decision Log Immutable Key])-ROW(INDEX(tblDecisionLog[Decision Log Immutable Key],1,1))+1)/((tblDecisionLog[Source Decision ID]&lt;&gt;"")+(tblDecisionLog[Decision Summary]&lt;&gt;"")),14)),IF(OR(_xlpm.x=0,_xlpm.x="0",_xlpm.x="N/A"),"",_xlpm.x)),"")</f>
        <v/>
      </c>
      <c r="B32" s="178" t="str">
        <f t="array" ref="B32">IFERROR(_xlfn.LET(_xlpm.x,INDEX(tblDecisionLog[Source Decision ID],_xlfn.AGGREGATE(15,6,(ROW(tblDecisionLog[Decision Log Immutable Key])-ROW(INDEX(tblDecisionLog[Decision Log Immutable Key],1,1))+1)/((tblDecisionLog[Source Decision ID]&lt;&gt;"")+(tblDecisionLog[Decision Summary]&lt;&gt;"")),14)),IF(OR(_xlpm.x=0,_xlpm.x="0",_xlpm.x="N/A"),"",_xlpm.x)),"")</f>
        <v/>
      </c>
      <c r="C32" s="179" t="str">
        <f t="array" ref="C32">IFERROR(_xlfn.LET(_xlpm.x,INDEX(tblDecisionLog[Decision Date],_xlfn.AGGREGATE(15,6,(ROW(tblDecisionLog[Decision Log Immutable Key])-ROW(INDEX(tblDecisionLog[Decision Log Immutable Key],1,1))+1)/((tblDecisionLog[Source Decision ID]&lt;&gt;"")+(tblDecisionLog[Decision Summary]&lt;&gt;"")),14)),IF(OR(_xlpm.x=0,_xlpm.x="0",_xlpm.x="N/A"),"",_xlpm.x)),"")</f>
        <v/>
      </c>
      <c r="D32" s="178" t="str">
        <f t="array" ref="D32">IFERROR(_xlfn.LET(_xlpm.x,INDEX(tblDecisionLog[Decision Maker],_xlfn.AGGREGATE(15,6,(ROW(tblDecisionLog[Decision Log Immutable Key])-ROW(INDEX(tblDecisionLog[Decision Log Immutable Key],1,1))+1)/((tblDecisionLog[Source Decision ID]&lt;&gt;"")+(tblDecisionLog[Decision Summary]&lt;&gt;"")),14)),IF(OR(_xlpm.x=0,_xlpm.x="0",_xlpm.x="N/A"),"",_xlpm.x)),"")</f>
        <v/>
      </c>
      <c r="E32" s="180" t="str">
        <f t="array" ref="E32">IFERROR(_xlfn.LET(_xlpm.x,INDEX(tblDecisionLog[Decision Type],_xlfn.AGGREGATE(15,6,(ROW(tblDecisionLog[Decision Log Immutable Key])-ROW(INDEX(tblDecisionLog[Decision Log Immutable Key],1,1))+1)/((tblDecisionLog[Source Decision ID]&lt;&gt;"")+(tblDecisionLog[Decision Summary]&lt;&gt;"")),14)),IF(OR(_xlpm.x=0,_xlpm.x="0",_xlpm.x="N/A"),"",_xlpm.x)),"")</f>
        <v/>
      </c>
      <c r="F32" s="180" t="str">
        <f t="array" ref="F32">IFERROR(_xlfn.LET(_xlpm.x,INDEX(tblDecisionLog[Workstream],_xlfn.AGGREGATE(15,6,(ROW(tblDecisionLog[Decision Log Immutable Key])-ROW(INDEX(tblDecisionLog[Decision Log Immutable Key],1,1))+1)/((tblDecisionLog[Source Decision ID]&lt;&gt;"")+(tblDecisionLog[Decision Summary]&lt;&gt;"")),14)),IF(OR(_xlpm.x=0,_xlpm.x="0",_xlpm.x="N/A"),"",_xlpm.x)),"")</f>
        <v/>
      </c>
      <c r="G32" s="178" t="str">
        <f t="array" ref="G32">IFERROR(_xlfn.LET(_xlpm.x,INDEX(tblDecisionLog[Follow-up Status],_xlfn.AGGREGATE(15,6,(ROW(tblDecisionLog[Decision Log Immutable Key])-ROW(INDEX(tblDecisionLog[Decision Log Immutable Key],1,1))+1)/((tblDecisionLog[Source Decision ID]&lt;&gt;"")+(tblDecisionLog[Decision Summary]&lt;&gt;"")),14)),IF(OR(_xlpm.x=0,_xlpm.x="0",_xlpm.x="N/A"),"",_xlpm.x)),"")</f>
        <v/>
      </c>
      <c r="H32" s="180" t="str">
        <f t="array" ref="H32">IFERROR(_xlfn.LET(_xlpm.x,INDEX(tblDecisionLog[Assigned To],_xlfn.AGGREGATE(15,6,(ROW(tblDecisionLog[Decision Log Immutable Key])-ROW(INDEX(tblDecisionLog[Decision Log Immutable Key],1,1))+1)/((tblDecisionLog[Source Decision ID]&lt;&gt;"")+(tblDecisionLog[Decision Summary]&lt;&gt;"")),14)),IF(OR(_xlpm.x=0,_xlpm.x="0",_xlpm.x="N/A"),"",_xlpm.x)),"")</f>
        <v/>
      </c>
      <c r="I32" s="179" t="str">
        <f t="array" ref="I32">IFERROR(_xlfn.LET(_xlpm.x,INDEX(tblDecisionLog[Due Date],_xlfn.AGGREGATE(15,6,(ROW(tblDecisionLog[Decision Log Immutable Key])-ROW(INDEX(tblDecisionLog[Decision Log Immutable Key],1,1))+1)/((tblDecisionLog[Source Decision ID]&lt;&gt;"")+(tblDecisionLog[Decision Summary]&lt;&gt;"")),14)),IF(OR(_xlpm.x=0,_xlpm.x="0",_xlpm.x="N/A"),"",_xlpm.x)),"")</f>
        <v/>
      </c>
      <c r="J32" s="180" t="str">
        <f t="array" ref="J32">IFERROR(_xlfn.LET(_xlpm.x,INDEX(tblDecisionLog[Risk Impact],_xlfn.AGGREGATE(15,6,(ROW(tblDecisionLog[Decision Log Immutable Key])-ROW(INDEX(tblDecisionLog[Decision Log Immutable Key],1,1))+1)/((tblDecisionLog[Source Decision ID]&lt;&gt;"")+(tblDecisionLog[Decision Summary]&lt;&gt;"")),14)),IF(OR(_xlpm.x=0,_xlpm.x="0",_xlpm.x="N/A"),"",_xlpm.x)),"")</f>
        <v/>
      </c>
      <c r="K32" s="180" t="str">
        <f t="array" ref="K32">IFERROR(_xlfn.LET(_xlpm.x,INDEX(tblDecisionLog[Financial Impact],_xlfn.AGGREGATE(15,6,(ROW(tblDecisionLog[Decision Log Immutable Key])-ROW(INDEX(tblDecisionLog[Decision Log Immutable Key],1,1))+1)/((tblDecisionLog[Source Decision ID]&lt;&gt;"")+(tblDecisionLog[Decision Summary]&lt;&gt;"")),14)),IF(OR(_xlpm.x=0,_xlpm.x="0",_xlpm.x="N/A"),"",_xlpm.x)),"")</f>
        <v/>
      </c>
      <c r="L32" s="179" t="str">
        <f t="array" ref="L32">IFERROR(_xlfn.LET(_xlpm.x,INDEX(tblDecisionLog[Logged Date],_xlfn.AGGREGATE(15,6,(ROW(tblDecisionLog[Decision Log Immutable Key])-ROW(INDEX(tblDecisionLog[Decision Log Immutable Key],1,1))+1)/((tblDecisionLog[Source Decision ID]&lt;&gt;"")+(tblDecisionLog[Decision Summary]&lt;&gt;"")),14)),IF(OR(_xlpm.x=0,_xlpm.x="0",_xlpm.x="N/A"),"",_xlpm.x)),"")</f>
        <v/>
      </c>
    </row>
    <row r="33" spans="1:12">
      <c r="A33" s="100" t="str">
        <f>IF(A32="","",A32&amp;" cont.")</f>
        <v/>
      </c>
      <c r="B33" s="181" t="str">
        <f t="array" ref="B33">IFERROR(_xlfn.LET(_xlpm.x,INDEX(tblDecisionLog[Decision Summary],_xlfn.AGGREGATE(15,6,(ROW(tblDecisionLog[Decision Log Immutable Key])-ROW(INDEX(tblDecisionLog[Decision Log Immutable Key],1,1))+1)/((tblDecisionLog[Source Decision ID]&lt;&gt;"")+(tblDecisionLog[Decision Summary]&lt;&gt;"")),14)),IF(OR(_xlpm.x=0,_xlpm.x="0",_xlpm.x="N/A"),"",_xlpm.x)),"")</f>
        <v/>
      </c>
      <c r="C33" s="182" t="str">
        <f t="array" ref="C33">IFERROR(_xlfn.LET(_xlpm.x,INDEX(tblDecisionLog[Next Action],_xlfn.AGGREGATE(15,6,(ROW(tblDecisionLog[Decision Log Immutable Key])-ROW(INDEX(tblDecisionLog[Decision Log Immutable Key],1,1))+1)/((tblDecisionLog[Source Decision ID]&lt;&gt;"")+(tblDecisionLog[Decision Summary]&lt;&gt;"")),14)),IF(OR(_xlpm.x=0,_xlpm.x="0",_xlpm.x="N/A"),"",_xlpm.x)),"")</f>
        <v/>
      </c>
      <c r="D33" s="181" t="str">
        <f t="array" ref="D33">IFERROR(_xlfn.LET(_xlpm.x,INDEX(tblDecisionLog[Original Issue],_xlfn.AGGREGATE(15,6,(ROW(tblDecisionLog[Decision Log Immutable Key])-ROW(INDEX(tblDecisionLog[Decision Log Immutable Key],1,1))+1)/((tblDecisionLog[Source Decision ID]&lt;&gt;"")+(tblDecisionLog[Decision Summary]&lt;&gt;"")),14)),IF(OR(_xlpm.x=0,_xlpm.x="0",_xlpm.x="N/A"),"",_xlpm.x)),"")</f>
        <v/>
      </c>
      <c r="E33" s="181" t="str">
        <f t="array" ref="E33">IFERROR(_xlfn.LET(_xlpm.x,INDEX(tblDecisionLog[Rationale],_xlfn.AGGREGATE(15,6,(ROW(tblDecisionLog[Decision Log Immutable Key])-ROW(INDEX(tblDecisionLog[Decision Log Immutable Key],1,1))+1)/((tblDecisionLog[Source Decision ID]&lt;&gt;"")+(tblDecisionLog[Decision Summary]&lt;&gt;"")),14)),IF(OR(_xlpm.x=0,_xlpm.x="0",_xlpm.x="N/A"),"",_xlpm.x)),"")</f>
        <v/>
      </c>
      <c r="F33" s="181" t="str">
        <f t="array" ref="F33">IFERROR(_xlfn.LET(_xlpm.x,INDEX(tblDecisionLog[Further Action Required],_xlfn.AGGREGATE(15,6,(ROW(tblDecisionLog[Decision Log Immutable Key])-ROW(INDEX(tblDecisionLog[Decision Log Immutable Key],1,1))+1)/((tblDecisionLog[Source Decision ID]&lt;&gt;"")+(tblDecisionLog[Decision Summary]&lt;&gt;"")),14)),IF(OR(_xlpm.x=0,_xlpm.x="0",_xlpm.x="N/A"),"",_xlpm.x)),"")</f>
        <v/>
      </c>
      <c r="G33" s="181" t="str">
        <f t="array" ref="G33">IFERROR(_xlfn.LET(_xlpm.x,INDEX(tblDecisionLog[Requester],_xlfn.AGGREGATE(15,6,(ROW(tblDecisionLog[Decision Log Immutable Key])-ROW(INDEX(tblDecisionLog[Decision Log Immutable Key],1,1))+1)/((tblDecisionLog[Source Decision ID]&lt;&gt;"")+(tblDecisionLog[Decision Summary]&lt;&gt;"")),14)),IF(OR(_xlpm.x=0,_xlpm.x="0",_xlpm.x="N/A"),"",_xlpm.x)),"")</f>
        <v/>
      </c>
      <c r="H33" s="181" t="str">
        <f t="array" ref="H33">IFERROR(_xlfn.LET(_xlpm.x,INDEX(tblDecisionLog[Strategic Objective],_xlfn.AGGREGATE(15,6,(ROW(tblDecisionLog[Decision Log Immutable Key])-ROW(INDEX(tblDecisionLog[Decision Log Immutable Key],1,1))+1)/((tblDecisionLog[Source Decision ID]&lt;&gt;"")+(tblDecisionLog[Decision Summary]&lt;&gt;"")),14)),IF(OR(_xlpm.x=0,_xlpm.x="0",_xlpm.x="N/A"),"",_xlpm.x)),"")</f>
        <v/>
      </c>
      <c r="I33" s="182" t="str">
        <f t="array" ref="I33">IFERROR(_xlfn.LET(_xlpm.x,INDEX(tblDecisionLog[Notes],_xlfn.AGGREGATE(15,6,(ROW(tblDecisionLog[Decision Log Immutable Key])-ROW(INDEX(tblDecisionLog[Decision Log Immutable Key],1,1))+1)/((tblDecisionLog[Source Decision ID]&lt;&gt;"")+(tblDecisionLog[Decision Summary]&lt;&gt;"")),14)),IF(OR(_xlpm.x=0,_xlpm.x="0",_xlpm.x="N/A"),"",_xlpm.x)),"")</f>
        <v/>
      </c>
      <c r="J33" s="181"/>
      <c r="K33" s="181"/>
      <c r="L33" s="182"/>
    </row>
    <row r="34" spans="1:12">
      <c r="A34" s="177" t="str">
        <f t="array" ref="A34">IFERROR(_xlfn.LET(_xlpm.x,INDEX(tblDecisionLog[Decision Log ID],_xlfn.AGGREGATE(15,6,(ROW(tblDecisionLog[Decision Log Immutable Key])-ROW(INDEX(tblDecisionLog[Decision Log Immutable Key],1,1))+1)/((tblDecisionLog[Source Decision ID]&lt;&gt;"")+(tblDecisionLog[Decision Summary]&lt;&gt;"")),15)),IF(OR(_xlpm.x=0,_xlpm.x="0",_xlpm.x="N/A"),"",_xlpm.x)),"")</f>
        <v/>
      </c>
      <c r="B34" s="172" t="str">
        <f t="array" ref="B34">IFERROR(_xlfn.LET(_xlpm.x,INDEX(tblDecisionLog[Source Decision ID],_xlfn.AGGREGATE(15,6,(ROW(tblDecisionLog[Decision Log Immutable Key])-ROW(INDEX(tblDecisionLog[Decision Log Immutable Key],1,1))+1)/((tblDecisionLog[Source Decision ID]&lt;&gt;"")+(tblDecisionLog[Decision Summary]&lt;&gt;"")),15)),IF(OR(_xlpm.x=0,_xlpm.x="0",_xlpm.x="N/A"),"",_xlpm.x)),"")</f>
        <v/>
      </c>
      <c r="C34" s="173" t="str">
        <f t="array" ref="C34">IFERROR(_xlfn.LET(_xlpm.x,INDEX(tblDecisionLog[Decision Date],_xlfn.AGGREGATE(15,6,(ROW(tblDecisionLog[Decision Log Immutable Key])-ROW(INDEX(tblDecisionLog[Decision Log Immutable Key],1,1))+1)/((tblDecisionLog[Source Decision ID]&lt;&gt;"")+(tblDecisionLog[Decision Summary]&lt;&gt;"")),15)),IF(OR(_xlpm.x=0,_xlpm.x="0",_xlpm.x="N/A"),"",_xlpm.x)),"")</f>
        <v/>
      </c>
      <c r="D34" s="172" t="str">
        <f t="array" ref="D34">IFERROR(_xlfn.LET(_xlpm.x,INDEX(tblDecisionLog[Decision Maker],_xlfn.AGGREGATE(15,6,(ROW(tblDecisionLog[Decision Log Immutable Key])-ROW(INDEX(tblDecisionLog[Decision Log Immutable Key],1,1))+1)/((tblDecisionLog[Source Decision ID]&lt;&gt;"")+(tblDecisionLog[Decision Summary]&lt;&gt;"")),15)),IF(OR(_xlpm.x=0,_xlpm.x="0",_xlpm.x="N/A"),"",_xlpm.x)),"")</f>
        <v/>
      </c>
      <c r="E34" s="174" t="str">
        <f t="array" ref="E34">IFERROR(_xlfn.LET(_xlpm.x,INDEX(tblDecisionLog[Decision Type],_xlfn.AGGREGATE(15,6,(ROW(tblDecisionLog[Decision Log Immutable Key])-ROW(INDEX(tblDecisionLog[Decision Log Immutable Key],1,1))+1)/((tblDecisionLog[Source Decision ID]&lt;&gt;"")+(tblDecisionLog[Decision Summary]&lt;&gt;"")),15)),IF(OR(_xlpm.x=0,_xlpm.x="0",_xlpm.x="N/A"),"",_xlpm.x)),"")</f>
        <v/>
      </c>
      <c r="F34" s="174" t="str">
        <f t="array" ref="F34">IFERROR(_xlfn.LET(_xlpm.x,INDEX(tblDecisionLog[Workstream],_xlfn.AGGREGATE(15,6,(ROW(tblDecisionLog[Decision Log Immutable Key])-ROW(INDEX(tblDecisionLog[Decision Log Immutable Key],1,1))+1)/((tblDecisionLog[Source Decision ID]&lt;&gt;"")+(tblDecisionLog[Decision Summary]&lt;&gt;"")),15)),IF(OR(_xlpm.x=0,_xlpm.x="0",_xlpm.x="N/A"),"",_xlpm.x)),"")</f>
        <v/>
      </c>
      <c r="G34" s="172" t="str">
        <f t="array" ref="G34">IFERROR(_xlfn.LET(_xlpm.x,INDEX(tblDecisionLog[Follow-up Status],_xlfn.AGGREGATE(15,6,(ROW(tblDecisionLog[Decision Log Immutable Key])-ROW(INDEX(tblDecisionLog[Decision Log Immutable Key],1,1))+1)/((tblDecisionLog[Source Decision ID]&lt;&gt;"")+(tblDecisionLog[Decision Summary]&lt;&gt;"")),15)),IF(OR(_xlpm.x=0,_xlpm.x="0",_xlpm.x="N/A"),"",_xlpm.x)),"")</f>
        <v/>
      </c>
      <c r="H34" s="174" t="str">
        <f t="array" ref="H34">IFERROR(_xlfn.LET(_xlpm.x,INDEX(tblDecisionLog[Assigned To],_xlfn.AGGREGATE(15,6,(ROW(tblDecisionLog[Decision Log Immutable Key])-ROW(INDEX(tblDecisionLog[Decision Log Immutable Key],1,1))+1)/((tblDecisionLog[Source Decision ID]&lt;&gt;"")+(tblDecisionLog[Decision Summary]&lt;&gt;"")),15)),IF(OR(_xlpm.x=0,_xlpm.x="0",_xlpm.x="N/A"),"",_xlpm.x)),"")</f>
        <v/>
      </c>
      <c r="I34" s="173" t="str">
        <f t="array" ref="I34">IFERROR(_xlfn.LET(_xlpm.x,INDEX(tblDecisionLog[Due Date],_xlfn.AGGREGATE(15,6,(ROW(tblDecisionLog[Decision Log Immutable Key])-ROW(INDEX(tblDecisionLog[Decision Log Immutable Key],1,1))+1)/((tblDecisionLog[Source Decision ID]&lt;&gt;"")+(tblDecisionLog[Decision Summary]&lt;&gt;"")),15)),IF(OR(_xlpm.x=0,_xlpm.x="0",_xlpm.x="N/A"),"",_xlpm.x)),"")</f>
        <v/>
      </c>
      <c r="J34" s="174" t="str">
        <f t="array" ref="J34">IFERROR(_xlfn.LET(_xlpm.x,INDEX(tblDecisionLog[Risk Impact],_xlfn.AGGREGATE(15,6,(ROW(tblDecisionLog[Decision Log Immutable Key])-ROW(INDEX(tblDecisionLog[Decision Log Immutable Key],1,1))+1)/((tblDecisionLog[Source Decision ID]&lt;&gt;"")+(tblDecisionLog[Decision Summary]&lt;&gt;"")),15)),IF(OR(_xlpm.x=0,_xlpm.x="0",_xlpm.x="N/A"),"",_xlpm.x)),"")</f>
        <v/>
      </c>
      <c r="K34" s="174" t="str">
        <f t="array" ref="K34">IFERROR(_xlfn.LET(_xlpm.x,INDEX(tblDecisionLog[Financial Impact],_xlfn.AGGREGATE(15,6,(ROW(tblDecisionLog[Decision Log Immutable Key])-ROW(INDEX(tblDecisionLog[Decision Log Immutable Key],1,1))+1)/((tblDecisionLog[Source Decision ID]&lt;&gt;"")+(tblDecisionLog[Decision Summary]&lt;&gt;"")),15)),IF(OR(_xlpm.x=0,_xlpm.x="0",_xlpm.x="N/A"),"",_xlpm.x)),"")</f>
        <v/>
      </c>
      <c r="L34" s="173" t="str">
        <f t="array" ref="L34">IFERROR(_xlfn.LET(_xlpm.x,INDEX(tblDecisionLog[Logged Date],_xlfn.AGGREGATE(15,6,(ROW(tblDecisionLog[Decision Log Immutable Key])-ROW(INDEX(tblDecisionLog[Decision Log Immutable Key],1,1))+1)/((tblDecisionLog[Source Decision ID]&lt;&gt;"")+(tblDecisionLog[Decision Summary]&lt;&gt;"")),15)),IF(OR(_xlpm.x=0,_xlpm.x="0",_xlpm.x="N/A"),"",_xlpm.x)),"")</f>
        <v/>
      </c>
    </row>
    <row r="35" spans="1:12">
      <c r="A35" s="99" t="str">
        <f>IF(A34="","",A34&amp;" cont.")</f>
        <v/>
      </c>
      <c r="B35" s="175" t="str">
        <f t="array" ref="B35">IFERROR(_xlfn.LET(_xlpm.x,INDEX(tblDecisionLog[Decision Summary],_xlfn.AGGREGATE(15,6,(ROW(tblDecisionLog[Decision Log Immutable Key])-ROW(INDEX(tblDecisionLog[Decision Log Immutable Key],1,1))+1)/((tblDecisionLog[Source Decision ID]&lt;&gt;"")+(tblDecisionLog[Decision Summary]&lt;&gt;"")),15)),IF(OR(_xlpm.x=0,_xlpm.x="0",_xlpm.x="N/A"),"",_xlpm.x)),"")</f>
        <v/>
      </c>
      <c r="C35" s="176" t="str">
        <f t="array" ref="C35">IFERROR(_xlfn.LET(_xlpm.x,INDEX(tblDecisionLog[Next Action],_xlfn.AGGREGATE(15,6,(ROW(tblDecisionLog[Decision Log Immutable Key])-ROW(INDEX(tblDecisionLog[Decision Log Immutable Key],1,1))+1)/((tblDecisionLog[Source Decision ID]&lt;&gt;"")+(tblDecisionLog[Decision Summary]&lt;&gt;"")),15)),IF(OR(_xlpm.x=0,_xlpm.x="0",_xlpm.x="N/A"),"",_xlpm.x)),"")</f>
        <v/>
      </c>
      <c r="D35" s="175" t="str">
        <f t="array" ref="D35">IFERROR(_xlfn.LET(_xlpm.x,INDEX(tblDecisionLog[Original Issue],_xlfn.AGGREGATE(15,6,(ROW(tblDecisionLog[Decision Log Immutable Key])-ROW(INDEX(tblDecisionLog[Decision Log Immutable Key],1,1))+1)/((tblDecisionLog[Source Decision ID]&lt;&gt;"")+(tblDecisionLog[Decision Summary]&lt;&gt;"")),15)),IF(OR(_xlpm.x=0,_xlpm.x="0",_xlpm.x="N/A"),"",_xlpm.x)),"")</f>
        <v/>
      </c>
      <c r="E35" s="175" t="str">
        <f t="array" ref="E35">IFERROR(_xlfn.LET(_xlpm.x,INDEX(tblDecisionLog[Rationale],_xlfn.AGGREGATE(15,6,(ROW(tblDecisionLog[Decision Log Immutable Key])-ROW(INDEX(tblDecisionLog[Decision Log Immutable Key],1,1))+1)/((tblDecisionLog[Source Decision ID]&lt;&gt;"")+(tblDecisionLog[Decision Summary]&lt;&gt;"")),15)),IF(OR(_xlpm.x=0,_xlpm.x="0",_xlpm.x="N/A"),"",_xlpm.x)),"")</f>
        <v/>
      </c>
      <c r="F35" s="175" t="str">
        <f t="array" ref="F35">IFERROR(_xlfn.LET(_xlpm.x,INDEX(tblDecisionLog[Further Action Required],_xlfn.AGGREGATE(15,6,(ROW(tblDecisionLog[Decision Log Immutable Key])-ROW(INDEX(tblDecisionLog[Decision Log Immutable Key],1,1))+1)/((tblDecisionLog[Source Decision ID]&lt;&gt;"")+(tblDecisionLog[Decision Summary]&lt;&gt;"")),15)),IF(OR(_xlpm.x=0,_xlpm.x="0",_xlpm.x="N/A"),"",_xlpm.x)),"")</f>
        <v/>
      </c>
      <c r="G35" s="175" t="str">
        <f t="array" ref="G35">IFERROR(_xlfn.LET(_xlpm.x,INDEX(tblDecisionLog[Requester],_xlfn.AGGREGATE(15,6,(ROW(tblDecisionLog[Decision Log Immutable Key])-ROW(INDEX(tblDecisionLog[Decision Log Immutable Key],1,1))+1)/((tblDecisionLog[Source Decision ID]&lt;&gt;"")+(tblDecisionLog[Decision Summary]&lt;&gt;"")),15)),IF(OR(_xlpm.x=0,_xlpm.x="0",_xlpm.x="N/A"),"",_xlpm.x)),"")</f>
        <v/>
      </c>
      <c r="H35" s="175" t="str">
        <f t="array" ref="H35">IFERROR(_xlfn.LET(_xlpm.x,INDEX(tblDecisionLog[Strategic Objective],_xlfn.AGGREGATE(15,6,(ROW(tblDecisionLog[Decision Log Immutable Key])-ROW(INDEX(tblDecisionLog[Decision Log Immutable Key],1,1))+1)/((tblDecisionLog[Source Decision ID]&lt;&gt;"")+(tblDecisionLog[Decision Summary]&lt;&gt;"")),15)),IF(OR(_xlpm.x=0,_xlpm.x="0",_xlpm.x="N/A"),"",_xlpm.x)),"")</f>
        <v/>
      </c>
      <c r="I35" s="176" t="str">
        <f t="array" ref="I35">IFERROR(_xlfn.LET(_xlpm.x,INDEX(tblDecisionLog[Notes],_xlfn.AGGREGATE(15,6,(ROW(tblDecisionLog[Decision Log Immutable Key])-ROW(INDEX(tblDecisionLog[Decision Log Immutable Key],1,1))+1)/((tblDecisionLog[Source Decision ID]&lt;&gt;"")+(tblDecisionLog[Decision Summary]&lt;&gt;"")),15)),IF(OR(_xlpm.x=0,_xlpm.x="0",_xlpm.x="N/A"),"",_xlpm.x)),"")</f>
        <v/>
      </c>
      <c r="J35" s="175"/>
      <c r="K35" s="175"/>
      <c r="L35" s="176"/>
    </row>
    <row r="36" spans="1:12">
      <c r="A36" s="177" t="str">
        <f t="array" ref="A36">IFERROR(_xlfn.LET(_xlpm.x,INDEX(tblDecisionLog[Decision Log ID],_xlfn.AGGREGATE(15,6,(ROW(tblDecisionLog[Decision Log Immutable Key])-ROW(INDEX(tblDecisionLog[Decision Log Immutable Key],1,1))+1)/((tblDecisionLog[Source Decision ID]&lt;&gt;"")+(tblDecisionLog[Decision Summary]&lt;&gt;"")),16)),IF(OR(_xlpm.x=0,_xlpm.x="0",_xlpm.x="N/A"),"",_xlpm.x)),"")</f>
        <v/>
      </c>
      <c r="B36" s="178" t="str">
        <f t="array" ref="B36">IFERROR(_xlfn.LET(_xlpm.x,INDEX(tblDecisionLog[Source Decision ID],_xlfn.AGGREGATE(15,6,(ROW(tblDecisionLog[Decision Log Immutable Key])-ROW(INDEX(tblDecisionLog[Decision Log Immutable Key],1,1))+1)/((tblDecisionLog[Source Decision ID]&lt;&gt;"")+(tblDecisionLog[Decision Summary]&lt;&gt;"")),16)),IF(OR(_xlpm.x=0,_xlpm.x="0",_xlpm.x="N/A"),"",_xlpm.x)),"")</f>
        <v/>
      </c>
      <c r="C36" s="179" t="str">
        <f t="array" ref="C36">IFERROR(_xlfn.LET(_xlpm.x,INDEX(tblDecisionLog[Decision Date],_xlfn.AGGREGATE(15,6,(ROW(tblDecisionLog[Decision Log Immutable Key])-ROW(INDEX(tblDecisionLog[Decision Log Immutable Key],1,1))+1)/((tblDecisionLog[Source Decision ID]&lt;&gt;"")+(tblDecisionLog[Decision Summary]&lt;&gt;"")),16)),IF(OR(_xlpm.x=0,_xlpm.x="0",_xlpm.x="N/A"),"",_xlpm.x)),"")</f>
        <v/>
      </c>
      <c r="D36" s="178" t="str">
        <f t="array" ref="D36">IFERROR(_xlfn.LET(_xlpm.x,INDEX(tblDecisionLog[Decision Maker],_xlfn.AGGREGATE(15,6,(ROW(tblDecisionLog[Decision Log Immutable Key])-ROW(INDEX(tblDecisionLog[Decision Log Immutable Key],1,1))+1)/((tblDecisionLog[Source Decision ID]&lt;&gt;"")+(tblDecisionLog[Decision Summary]&lt;&gt;"")),16)),IF(OR(_xlpm.x=0,_xlpm.x="0",_xlpm.x="N/A"),"",_xlpm.x)),"")</f>
        <v/>
      </c>
      <c r="E36" s="180" t="str">
        <f t="array" ref="E36">IFERROR(_xlfn.LET(_xlpm.x,INDEX(tblDecisionLog[Decision Type],_xlfn.AGGREGATE(15,6,(ROW(tblDecisionLog[Decision Log Immutable Key])-ROW(INDEX(tblDecisionLog[Decision Log Immutable Key],1,1))+1)/((tblDecisionLog[Source Decision ID]&lt;&gt;"")+(tblDecisionLog[Decision Summary]&lt;&gt;"")),16)),IF(OR(_xlpm.x=0,_xlpm.x="0",_xlpm.x="N/A"),"",_xlpm.x)),"")</f>
        <v/>
      </c>
      <c r="F36" s="180" t="str">
        <f t="array" ref="F36">IFERROR(_xlfn.LET(_xlpm.x,INDEX(tblDecisionLog[Workstream],_xlfn.AGGREGATE(15,6,(ROW(tblDecisionLog[Decision Log Immutable Key])-ROW(INDEX(tblDecisionLog[Decision Log Immutable Key],1,1))+1)/((tblDecisionLog[Source Decision ID]&lt;&gt;"")+(tblDecisionLog[Decision Summary]&lt;&gt;"")),16)),IF(OR(_xlpm.x=0,_xlpm.x="0",_xlpm.x="N/A"),"",_xlpm.x)),"")</f>
        <v/>
      </c>
      <c r="G36" s="178" t="str">
        <f t="array" ref="G36">IFERROR(_xlfn.LET(_xlpm.x,INDEX(tblDecisionLog[Follow-up Status],_xlfn.AGGREGATE(15,6,(ROW(tblDecisionLog[Decision Log Immutable Key])-ROW(INDEX(tblDecisionLog[Decision Log Immutable Key],1,1))+1)/((tblDecisionLog[Source Decision ID]&lt;&gt;"")+(tblDecisionLog[Decision Summary]&lt;&gt;"")),16)),IF(OR(_xlpm.x=0,_xlpm.x="0",_xlpm.x="N/A"),"",_xlpm.x)),"")</f>
        <v/>
      </c>
      <c r="H36" s="180" t="str">
        <f t="array" ref="H36">IFERROR(_xlfn.LET(_xlpm.x,INDEX(tblDecisionLog[Assigned To],_xlfn.AGGREGATE(15,6,(ROW(tblDecisionLog[Decision Log Immutable Key])-ROW(INDEX(tblDecisionLog[Decision Log Immutable Key],1,1))+1)/((tblDecisionLog[Source Decision ID]&lt;&gt;"")+(tblDecisionLog[Decision Summary]&lt;&gt;"")),16)),IF(OR(_xlpm.x=0,_xlpm.x="0",_xlpm.x="N/A"),"",_xlpm.x)),"")</f>
        <v/>
      </c>
      <c r="I36" s="179" t="str">
        <f t="array" ref="I36">IFERROR(_xlfn.LET(_xlpm.x,INDEX(tblDecisionLog[Due Date],_xlfn.AGGREGATE(15,6,(ROW(tblDecisionLog[Decision Log Immutable Key])-ROW(INDEX(tblDecisionLog[Decision Log Immutable Key],1,1))+1)/((tblDecisionLog[Source Decision ID]&lt;&gt;"")+(tblDecisionLog[Decision Summary]&lt;&gt;"")),16)),IF(OR(_xlpm.x=0,_xlpm.x="0",_xlpm.x="N/A"),"",_xlpm.x)),"")</f>
        <v/>
      </c>
      <c r="J36" s="180" t="str">
        <f t="array" ref="J36">IFERROR(_xlfn.LET(_xlpm.x,INDEX(tblDecisionLog[Risk Impact],_xlfn.AGGREGATE(15,6,(ROW(tblDecisionLog[Decision Log Immutable Key])-ROW(INDEX(tblDecisionLog[Decision Log Immutable Key],1,1))+1)/((tblDecisionLog[Source Decision ID]&lt;&gt;"")+(tblDecisionLog[Decision Summary]&lt;&gt;"")),16)),IF(OR(_xlpm.x=0,_xlpm.x="0",_xlpm.x="N/A"),"",_xlpm.x)),"")</f>
        <v/>
      </c>
      <c r="K36" s="180" t="str">
        <f t="array" ref="K36">IFERROR(_xlfn.LET(_xlpm.x,INDEX(tblDecisionLog[Financial Impact],_xlfn.AGGREGATE(15,6,(ROW(tblDecisionLog[Decision Log Immutable Key])-ROW(INDEX(tblDecisionLog[Decision Log Immutable Key],1,1))+1)/((tblDecisionLog[Source Decision ID]&lt;&gt;"")+(tblDecisionLog[Decision Summary]&lt;&gt;"")),16)),IF(OR(_xlpm.x=0,_xlpm.x="0",_xlpm.x="N/A"),"",_xlpm.x)),"")</f>
        <v/>
      </c>
      <c r="L36" s="179" t="str">
        <f t="array" ref="L36">IFERROR(_xlfn.LET(_xlpm.x,INDEX(tblDecisionLog[Logged Date],_xlfn.AGGREGATE(15,6,(ROW(tblDecisionLog[Decision Log Immutable Key])-ROW(INDEX(tblDecisionLog[Decision Log Immutable Key],1,1))+1)/((tblDecisionLog[Source Decision ID]&lt;&gt;"")+(tblDecisionLog[Decision Summary]&lt;&gt;"")),16)),IF(OR(_xlpm.x=0,_xlpm.x="0",_xlpm.x="N/A"),"",_xlpm.x)),"")</f>
        <v/>
      </c>
    </row>
    <row r="37" spans="1:12">
      <c r="A37" s="100" t="str">
        <f>IF(A36="","",A36&amp;" cont.")</f>
        <v/>
      </c>
      <c r="B37" s="181" t="str">
        <f t="array" ref="B37">IFERROR(_xlfn.LET(_xlpm.x,INDEX(tblDecisionLog[Decision Summary],_xlfn.AGGREGATE(15,6,(ROW(tblDecisionLog[Decision Log Immutable Key])-ROW(INDEX(tblDecisionLog[Decision Log Immutable Key],1,1))+1)/((tblDecisionLog[Source Decision ID]&lt;&gt;"")+(tblDecisionLog[Decision Summary]&lt;&gt;"")),16)),IF(OR(_xlpm.x=0,_xlpm.x="0",_xlpm.x="N/A"),"",_xlpm.x)),"")</f>
        <v/>
      </c>
      <c r="C37" s="182" t="str">
        <f t="array" ref="C37">IFERROR(_xlfn.LET(_xlpm.x,INDEX(tblDecisionLog[Next Action],_xlfn.AGGREGATE(15,6,(ROW(tblDecisionLog[Decision Log Immutable Key])-ROW(INDEX(tblDecisionLog[Decision Log Immutable Key],1,1))+1)/((tblDecisionLog[Source Decision ID]&lt;&gt;"")+(tblDecisionLog[Decision Summary]&lt;&gt;"")),16)),IF(OR(_xlpm.x=0,_xlpm.x="0",_xlpm.x="N/A"),"",_xlpm.x)),"")</f>
        <v/>
      </c>
      <c r="D37" s="181" t="str">
        <f t="array" ref="D37">IFERROR(_xlfn.LET(_xlpm.x,INDEX(tblDecisionLog[Original Issue],_xlfn.AGGREGATE(15,6,(ROW(tblDecisionLog[Decision Log Immutable Key])-ROW(INDEX(tblDecisionLog[Decision Log Immutable Key],1,1))+1)/((tblDecisionLog[Source Decision ID]&lt;&gt;"")+(tblDecisionLog[Decision Summary]&lt;&gt;"")),16)),IF(OR(_xlpm.x=0,_xlpm.x="0",_xlpm.x="N/A"),"",_xlpm.x)),"")</f>
        <v/>
      </c>
      <c r="E37" s="181" t="str">
        <f t="array" ref="E37">IFERROR(_xlfn.LET(_xlpm.x,INDEX(tblDecisionLog[Rationale],_xlfn.AGGREGATE(15,6,(ROW(tblDecisionLog[Decision Log Immutable Key])-ROW(INDEX(tblDecisionLog[Decision Log Immutable Key],1,1))+1)/((tblDecisionLog[Source Decision ID]&lt;&gt;"")+(tblDecisionLog[Decision Summary]&lt;&gt;"")),16)),IF(OR(_xlpm.x=0,_xlpm.x="0",_xlpm.x="N/A"),"",_xlpm.x)),"")</f>
        <v/>
      </c>
      <c r="F37" s="181" t="str">
        <f t="array" ref="F37">IFERROR(_xlfn.LET(_xlpm.x,INDEX(tblDecisionLog[Further Action Required],_xlfn.AGGREGATE(15,6,(ROW(tblDecisionLog[Decision Log Immutable Key])-ROW(INDEX(tblDecisionLog[Decision Log Immutable Key],1,1))+1)/((tblDecisionLog[Source Decision ID]&lt;&gt;"")+(tblDecisionLog[Decision Summary]&lt;&gt;"")),16)),IF(OR(_xlpm.x=0,_xlpm.x="0",_xlpm.x="N/A"),"",_xlpm.x)),"")</f>
        <v/>
      </c>
      <c r="G37" s="181" t="str">
        <f t="array" ref="G37">IFERROR(_xlfn.LET(_xlpm.x,INDEX(tblDecisionLog[Requester],_xlfn.AGGREGATE(15,6,(ROW(tblDecisionLog[Decision Log Immutable Key])-ROW(INDEX(tblDecisionLog[Decision Log Immutable Key],1,1))+1)/((tblDecisionLog[Source Decision ID]&lt;&gt;"")+(tblDecisionLog[Decision Summary]&lt;&gt;"")),16)),IF(OR(_xlpm.x=0,_xlpm.x="0",_xlpm.x="N/A"),"",_xlpm.x)),"")</f>
        <v/>
      </c>
      <c r="H37" s="181" t="str">
        <f t="array" ref="H37">IFERROR(_xlfn.LET(_xlpm.x,INDEX(tblDecisionLog[Strategic Objective],_xlfn.AGGREGATE(15,6,(ROW(tblDecisionLog[Decision Log Immutable Key])-ROW(INDEX(tblDecisionLog[Decision Log Immutable Key],1,1))+1)/((tblDecisionLog[Source Decision ID]&lt;&gt;"")+(tblDecisionLog[Decision Summary]&lt;&gt;"")),16)),IF(OR(_xlpm.x=0,_xlpm.x="0",_xlpm.x="N/A"),"",_xlpm.x)),"")</f>
        <v/>
      </c>
      <c r="I37" s="182" t="str">
        <f t="array" ref="I37">IFERROR(_xlfn.LET(_xlpm.x,INDEX(tblDecisionLog[Notes],_xlfn.AGGREGATE(15,6,(ROW(tblDecisionLog[Decision Log Immutable Key])-ROW(INDEX(tblDecisionLog[Decision Log Immutable Key],1,1))+1)/((tblDecisionLog[Source Decision ID]&lt;&gt;"")+(tblDecisionLog[Decision Summary]&lt;&gt;"")),16)),IF(OR(_xlpm.x=0,_xlpm.x="0",_xlpm.x="N/A"),"",_xlpm.x)),"")</f>
        <v/>
      </c>
      <c r="J37" s="181"/>
      <c r="K37" s="181"/>
      <c r="L37" s="182"/>
    </row>
    <row r="38" spans="1:12">
      <c r="A38" s="177" t="str">
        <f t="array" ref="A38">IFERROR(_xlfn.LET(_xlpm.x,INDEX(tblDecisionLog[Decision Log ID],_xlfn.AGGREGATE(15,6,(ROW(tblDecisionLog[Decision Log Immutable Key])-ROW(INDEX(tblDecisionLog[Decision Log Immutable Key],1,1))+1)/((tblDecisionLog[Source Decision ID]&lt;&gt;"")+(tblDecisionLog[Decision Summary]&lt;&gt;"")),17)),IF(OR(_xlpm.x=0,_xlpm.x="0",_xlpm.x="N/A"),"",_xlpm.x)),"")</f>
        <v/>
      </c>
      <c r="B38" s="172" t="str">
        <f t="array" ref="B38">IFERROR(_xlfn.LET(_xlpm.x,INDEX(tblDecisionLog[Source Decision ID],_xlfn.AGGREGATE(15,6,(ROW(tblDecisionLog[Decision Log Immutable Key])-ROW(INDEX(tblDecisionLog[Decision Log Immutable Key],1,1))+1)/((tblDecisionLog[Source Decision ID]&lt;&gt;"")+(tblDecisionLog[Decision Summary]&lt;&gt;"")),17)),IF(OR(_xlpm.x=0,_xlpm.x="0",_xlpm.x="N/A"),"",_xlpm.x)),"")</f>
        <v/>
      </c>
      <c r="C38" s="173" t="str">
        <f t="array" ref="C38">IFERROR(_xlfn.LET(_xlpm.x,INDEX(tblDecisionLog[Decision Date],_xlfn.AGGREGATE(15,6,(ROW(tblDecisionLog[Decision Log Immutable Key])-ROW(INDEX(tblDecisionLog[Decision Log Immutable Key],1,1))+1)/((tblDecisionLog[Source Decision ID]&lt;&gt;"")+(tblDecisionLog[Decision Summary]&lt;&gt;"")),17)),IF(OR(_xlpm.x=0,_xlpm.x="0",_xlpm.x="N/A"),"",_xlpm.x)),"")</f>
        <v/>
      </c>
      <c r="D38" s="172" t="str">
        <f t="array" ref="D38">IFERROR(_xlfn.LET(_xlpm.x,INDEX(tblDecisionLog[Decision Maker],_xlfn.AGGREGATE(15,6,(ROW(tblDecisionLog[Decision Log Immutable Key])-ROW(INDEX(tblDecisionLog[Decision Log Immutable Key],1,1))+1)/((tblDecisionLog[Source Decision ID]&lt;&gt;"")+(tblDecisionLog[Decision Summary]&lt;&gt;"")),17)),IF(OR(_xlpm.x=0,_xlpm.x="0",_xlpm.x="N/A"),"",_xlpm.x)),"")</f>
        <v/>
      </c>
      <c r="E38" s="174" t="str">
        <f t="array" ref="E38">IFERROR(_xlfn.LET(_xlpm.x,INDEX(tblDecisionLog[Decision Type],_xlfn.AGGREGATE(15,6,(ROW(tblDecisionLog[Decision Log Immutable Key])-ROW(INDEX(tblDecisionLog[Decision Log Immutable Key],1,1))+1)/((tblDecisionLog[Source Decision ID]&lt;&gt;"")+(tblDecisionLog[Decision Summary]&lt;&gt;"")),17)),IF(OR(_xlpm.x=0,_xlpm.x="0",_xlpm.x="N/A"),"",_xlpm.x)),"")</f>
        <v/>
      </c>
      <c r="F38" s="174" t="str">
        <f t="array" ref="F38">IFERROR(_xlfn.LET(_xlpm.x,INDEX(tblDecisionLog[Workstream],_xlfn.AGGREGATE(15,6,(ROW(tblDecisionLog[Decision Log Immutable Key])-ROW(INDEX(tblDecisionLog[Decision Log Immutable Key],1,1))+1)/((tblDecisionLog[Source Decision ID]&lt;&gt;"")+(tblDecisionLog[Decision Summary]&lt;&gt;"")),17)),IF(OR(_xlpm.x=0,_xlpm.x="0",_xlpm.x="N/A"),"",_xlpm.x)),"")</f>
        <v/>
      </c>
      <c r="G38" s="172" t="str">
        <f t="array" ref="G38">IFERROR(_xlfn.LET(_xlpm.x,INDEX(tblDecisionLog[Follow-up Status],_xlfn.AGGREGATE(15,6,(ROW(tblDecisionLog[Decision Log Immutable Key])-ROW(INDEX(tblDecisionLog[Decision Log Immutable Key],1,1))+1)/((tblDecisionLog[Source Decision ID]&lt;&gt;"")+(tblDecisionLog[Decision Summary]&lt;&gt;"")),17)),IF(OR(_xlpm.x=0,_xlpm.x="0",_xlpm.x="N/A"),"",_xlpm.x)),"")</f>
        <v/>
      </c>
      <c r="H38" s="174" t="str">
        <f t="array" ref="H38">IFERROR(_xlfn.LET(_xlpm.x,INDEX(tblDecisionLog[Assigned To],_xlfn.AGGREGATE(15,6,(ROW(tblDecisionLog[Decision Log Immutable Key])-ROW(INDEX(tblDecisionLog[Decision Log Immutable Key],1,1))+1)/((tblDecisionLog[Source Decision ID]&lt;&gt;"")+(tblDecisionLog[Decision Summary]&lt;&gt;"")),17)),IF(OR(_xlpm.x=0,_xlpm.x="0",_xlpm.x="N/A"),"",_xlpm.x)),"")</f>
        <v/>
      </c>
      <c r="I38" s="173" t="str">
        <f t="array" ref="I38">IFERROR(_xlfn.LET(_xlpm.x,INDEX(tblDecisionLog[Due Date],_xlfn.AGGREGATE(15,6,(ROW(tblDecisionLog[Decision Log Immutable Key])-ROW(INDEX(tblDecisionLog[Decision Log Immutable Key],1,1))+1)/((tblDecisionLog[Source Decision ID]&lt;&gt;"")+(tblDecisionLog[Decision Summary]&lt;&gt;"")),17)),IF(OR(_xlpm.x=0,_xlpm.x="0",_xlpm.x="N/A"),"",_xlpm.x)),"")</f>
        <v/>
      </c>
      <c r="J38" s="174" t="str">
        <f t="array" ref="J38">IFERROR(_xlfn.LET(_xlpm.x,INDEX(tblDecisionLog[Risk Impact],_xlfn.AGGREGATE(15,6,(ROW(tblDecisionLog[Decision Log Immutable Key])-ROW(INDEX(tblDecisionLog[Decision Log Immutable Key],1,1))+1)/((tblDecisionLog[Source Decision ID]&lt;&gt;"")+(tblDecisionLog[Decision Summary]&lt;&gt;"")),17)),IF(OR(_xlpm.x=0,_xlpm.x="0",_xlpm.x="N/A"),"",_xlpm.x)),"")</f>
        <v/>
      </c>
      <c r="K38" s="174" t="str">
        <f t="array" ref="K38">IFERROR(_xlfn.LET(_xlpm.x,INDEX(tblDecisionLog[Financial Impact],_xlfn.AGGREGATE(15,6,(ROW(tblDecisionLog[Decision Log Immutable Key])-ROW(INDEX(tblDecisionLog[Decision Log Immutable Key],1,1))+1)/((tblDecisionLog[Source Decision ID]&lt;&gt;"")+(tblDecisionLog[Decision Summary]&lt;&gt;"")),17)),IF(OR(_xlpm.x=0,_xlpm.x="0",_xlpm.x="N/A"),"",_xlpm.x)),"")</f>
        <v/>
      </c>
      <c r="L38" s="173" t="str">
        <f t="array" ref="L38">IFERROR(_xlfn.LET(_xlpm.x,INDEX(tblDecisionLog[Logged Date],_xlfn.AGGREGATE(15,6,(ROW(tblDecisionLog[Decision Log Immutable Key])-ROW(INDEX(tblDecisionLog[Decision Log Immutable Key],1,1))+1)/((tblDecisionLog[Source Decision ID]&lt;&gt;"")+(tblDecisionLog[Decision Summary]&lt;&gt;"")),17)),IF(OR(_xlpm.x=0,_xlpm.x="0",_xlpm.x="N/A"),"",_xlpm.x)),"")</f>
        <v/>
      </c>
    </row>
    <row r="39" spans="1:12">
      <c r="A39" s="99" t="str">
        <f>IF(A38="","",A38&amp;" cont.")</f>
        <v/>
      </c>
      <c r="B39" s="175" t="str">
        <f t="array" ref="B39">IFERROR(_xlfn.LET(_xlpm.x,INDEX(tblDecisionLog[Decision Summary],_xlfn.AGGREGATE(15,6,(ROW(tblDecisionLog[Decision Log Immutable Key])-ROW(INDEX(tblDecisionLog[Decision Log Immutable Key],1,1))+1)/((tblDecisionLog[Source Decision ID]&lt;&gt;"")+(tblDecisionLog[Decision Summary]&lt;&gt;"")),17)),IF(OR(_xlpm.x=0,_xlpm.x="0",_xlpm.x="N/A"),"",_xlpm.x)),"")</f>
        <v/>
      </c>
      <c r="C39" s="176" t="str">
        <f t="array" ref="C39">IFERROR(_xlfn.LET(_xlpm.x,INDEX(tblDecisionLog[Next Action],_xlfn.AGGREGATE(15,6,(ROW(tblDecisionLog[Decision Log Immutable Key])-ROW(INDEX(tblDecisionLog[Decision Log Immutable Key],1,1))+1)/((tblDecisionLog[Source Decision ID]&lt;&gt;"")+(tblDecisionLog[Decision Summary]&lt;&gt;"")),17)),IF(OR(_xlpm.x=0,_xlpm.x="0",_xlpm.x="N/A"),"",_xlpm.x)),"")</f>
        <v/>
      </c>
      <c r="D39" s="175" t="str">
        <f t="array" ref="D39">IFERROR(_xlfn.LET(_xlpm.x,INDEX(tblDecisionLog[Original Issue],_xlfn.AGGREGATE(15,6,(ROW(tblDecisionLog[Decision Log Immutable Key])-ROW(INDEX(tblDecisionLog[Decision Log Immutable Key],1,1))+1)/((tblDecisionLog[Source Decision ID]&lt;&gt;"")+(tblDecisionLog[Decision Summary]&lt;&gt;"")),17)),IF(OR(_xlpm.x=0,_xlpm.x="0",_xlpm.x="N/A"),"",_xlpm.x)),"")</f>
        <v/>
      </c>
      <c r="E39" s="175" t="str">
        <f t="array" ref="E39">IFERROR(_xlfn.LET(_xlpm.x,INDEX(tblDecisionLog[Rationale],_xlfn.AGGREGATE(15,6,(ROW(tblDecisionLog[Decision Log Immutable Key])-ROW(INDEX(tblDecisionLog[Decision Log Immutable Key],1,1))+1)/((tblDecisionLog[Source Decision ID]&lt;&gt;"")+(tblDecisionLog[Decision Summary]&lt;&gt;"")),17)),IF(OR(_xlpm.x=0,_xlpm.x="0",_xlpm.x="N/A"),"",_xlpm.x)),"")</f>
        <v/>
      </c>
      <c r="F39" s="175" t="str">
        <f t="array" ref="F39">IFERROR(_xlfn.LET(_xlpm.x,INDEX(tblDecisionLog[Further Action Required],_xlfn.AGGREGATE(15,6,(ROW(tblDecisionLog[Decision Log Immutable Key])-ROW(INDEX(tblDecisionLog[Decision Log Immutable Key],1,1))+1)/((tblDecisionLog[Source Decision ID]&lt;&gt;"")+(tblDecisionLog[Decision Summary]&lt;&gt;"")),17)),IF(OR(_xlpm.x=0,_xlpm.x="0",_xlpm.x="N/A"),"",_xlpm.x)),"")</f>
        <v/>
      </c>
      <c r="G39" s="175" t="str">
        <f t="array" ref="G39">IFERROR(_xlfn.LET(_xlpm.x,INDEX(tblDecisionLog[Requester],_xlfn.AGGREGATE(15,6,(ROW(tblDecisionLog[Decision Log Immutable Key])-ROW(INDEX(tblDecisionLog[Decision Log Immutable Key],1,1))+1)/((tblDecisionLog[Source Decision ID]&lt;&gt;"")+(tblDecisionLog[Decision Summary]&lt;&gt;"")),17)),IF(OR(_xlpm.x=0,_xlpm.x="0",_xlpm.x="N/A"),"",_xlpm.x)),"")</f>
        <v/>
      </c>
      <c r="H39" s="175" t="str">
        <f t="array" ref="H39">IFERROR(_xlfn.LET(_xlpm.x,INDEX(tblDecisionLog[Strategic Objective],_xlfn.AGGREGATE(15,6,(ROW(tblDecisionLog[Decision Log Immutable Key])-ROW(INDEX(tblDecisionLog[Decision Log Immutable Key],1,1))+1)/((tblDecisionLog[Source Decision ID]&lt;&gt;"")+(tblDecisionLog[Decision Summary]&lt;&gt;"")),17)),IF(OR(_xlpm.x=0,_xlpm.x="0",_xlpm.x="N/A"),"",_xlpm.x)),"")</f>
        <v/>
      </c>
      <c r="I39" s="176" t="str">
        <f t="array" ref="I39">IFERROR(_xlfn.LET(_xlpm.x,INDEX(tblDecisionLog[Notes],_xlfn.AGGREGATE(15,6,(ROW(tblDecisionLog[Decision Log Immutable Key])-ROW(INDEX(tblDecisionLog[Decision Log Immutable Key],1,1))+1)/((tblDecisionLog[Source Decision ID]&lt;&gt;"")+(tblDecisionLog[Decision Summary]&lt;&gt;"")),17)),IF(OR(_xlpm.x=0,_xlpm.x="0",_xlpm.x="N/A"),"",_xlpm.x)),"")</f>
        <v/>
      </c>
      <c r="J39" s="175"/>
      <c r="K39" s="175"/>
      <c r="L39" s="176"/>
    </row>
    <row r="40" spans="1:12">
      <c r="A40" s="177" t="str">
        <f t="array" ref="A40">IFERROR(_xlfn.LET(_xlpm.x,INDEX(tblDecisionLog[Decision Log ID],_xlfn.AGGREGATE(15,6,(ROW(tblDecisionLog[Decision Log Immutable Key])-ROW(INDEX(tblDecisionLog[Decision Log Immutable Key],1,1))+1)/((tblDecisionLog[Source Decision ID]&lt;&gt;"")+(tblDecisionLog[Decision Summary]&lt;&gt;"")),18)),IF(OR(_xlpm.x=0,_xlpm.x="0",_xlpm.x="N/A"),"",_xlpm.x)),"")</f>
        <v/>
      </c>
      <c r="B40" s="178" t="str">
        <f t="array" ref="B40">IFERROR(_xlfn.LET(_xlpm.x,INDEX(tblDecisionLog[Source Decision ID],_xlfn.AGGREGATE(15,6,(ROW(tblDecisionLog[Decision Log Immutable Key])-ROW(INDEX(tblDecisionLog[Decision Log Immutable Key],1,1))+1)/((tblDecisionLog[Source Decision ID]&lt;&gt;"")+(tblDecisionLog[Decision Summary]&lt;&gt;"")),18)),IF(OR(_xlpm.x=0,_xlpm.x="0",_xlpm.x="N/A"),"",_xlpm.x)),"")</f>
        <v/>
      </c>
      <c r="C40" s="179" t="str">
        <f t="array" ref="C40">IFERROR(_xlfn.LET(_xlpm.x,INDEX(tblDecisionLog[Decision Date],_xlfn.AGGREGATE(15,6,(ROW(tblDecisionLog[Decision Log Immutable Key])-ROW(INDEX(tblDecisionLog[Decision Log Immutable Key],1,1))+1)/((tblDecisionLog[Source Decision ID]&lt;&gt;"")+(tblDecisionLog[Decision Summary]&lt;&gt;"")),18)),IF(OR(_xlpm.x=0,_xlpm.x="0",_xlpm.x="N/A"),"",_xlpm.x)),"")</f>
        <v/>
      </c>
      <c r="D40" s="178" t="str">
        <f t="array" ref="D40">IFERROR(_xlfn.LET(_xlpm.x,INDEX(tblDecisionLog[Decision Maker],_xlfn.AGGREGATE(15,6,(ROW(tblDecisionLog[Decision Log Immutable Key])-ROW(INDEX(tblDecisionLog[Decision Log Immutable Key],1,1))+1)/((tblDecisionLog[Source Decision ID]&lt;&gt;"")+(tblDecisionLog[Decision Summary]&lt;&gt;"")),18)),IF(OR(_xlpm.x=0,_xlpm.x="0",_xlpm.x="N/A"),"",_xlpm.x)),"")</f>
        <v/>
      </c>
      <c r="E40" s="180" t="str">
        <f t="array" ref="E40">IFERROR(_xlfn.LET(_xlpm.x,INDEX(tblDecisionLog[Decision Type],_xlfn.AGGREGATE(15,6,(ROW(tblDecisionLog[Decision Log Immutable Key])-ROW(INDEX(tblDecisionLog[Decision Log Immutable Key],1,1))+1)/((tblDecisionLog[Source Decision ID]&lt;&gt;"")+(tblDecisionLog[Decision Summary]&lt;&gt;"")),18)),IF(OR(_xlpm.x=0,_xlpm.x="0",_xlpm.x="N/A"),"",_xlpm.x)),"")</f>
        <v/>
      </c>
      <c r="F40" s="180" t="str">
        <f t="array" ref="F40">IFERROR(_xlfn.LET(_xlpm.x,INDEX(tblDecisionLog[Workstream],_xlfn.AGGREGATE(15,6,(ROW(tblDecisionLog[Decision Log Immutable Key])-ROW(INDEX(tblDecisionLog[Decision Log Immutable Key],1,1))+1)/((tblDecisionLog[Source Decision ID]&lt;&gt;"")+(tblDecisionLog[Decision Summary]&lt;&gt;"")),18)),IF(OR(_xlpm.x=0,_xlpm.x="0",_xlpm.x="N/A"),"",_xlpm.x)),"")</f>
        <v/>
      </c>
      <c r="G40" s="178" t="str">
        <f t="array" ref="G40">IFERROR(_xlfn.LET(_xlpm.x,INDEX(tblDecisionLog[Follow-up Status],_xlfn.AGGREGATE(15,6,(ROW(tblDecisionLog[Decision Log Immutable Key])-ROW(INDEX(tblDecisionLog[Decision Log Immutable Key],1,1))+1)/((tblDecisionLog[Source Decision ID]&lt;&gt;"")+(tblDecisionLog[Decision Summary]&lt;&gt;"")),18)),IF(OR(_xlpm.x=0,_xlpm.x="0",_xlpm.x="N/A"),"",_xlpm.x)),"")</f>
        <v/>
      </c>
      <c r="H40" s="180" t="str">
        <f t="array" ref="H40">IFERROR(_xlfn.LET(_xlpm.x,INDEX(tblDecisionLog[Assigned To],_xlfn.AGGREGATE(15,6,(ROW(tblDecisionLog[Decision Log Immutable Key])-ROW(INDEX(tblDecisionLog[Decision Log Immutable Key],1,1))+1)/((tblDecisionLog[Source Decision ID]&lt;&gt;"")+(tblDecisionLog[Decision Summary]&lt;&gt;"")),18)),IF(OR(_xlpm.x=0,_xlpm.x="0",_xlpm.x="N/A"),"",_xlpm.x)),"")</f>
        <v/>
      </c>
      <c r="I40" s="179" t="str">
        <f t="array" ref="I40">IFERROR(_xlfn.LET(_xlpm.x,INDEX(tblDecisionLog[Due Date],_xlfn.AGGREGATE(15,6,(ROW(tblDecisionLog[Decision Log Immutable Key])-ROW(INDEX(tblDecisionLog[Decision Log Immutable Key],1,1))+1)/((tblDecisionLog[Source Decision ID]&lt;&gt;"")+(tblDecisionLog[Decision Summary]&lt;&gt;"")),18)),IF(OR(_xlpm.x=0,_xlpm.x="0",_xlpm.x="N/A"),"",_xlpm.x)),"")</f>
        <v/>
      </c>
      <c r="J40" s="180" t="str">
        <f t="array" ref="J40">IFERROR(_xlfn.LET(_xlpm.x,INDEX(tblDecisionLog[Risk Impact],_xlfn.AGGREGATE(15,6,(ROW(tblDecisionLog[Decision Log Immutable Key])-ROW(INDEX(tblDecisionLog[Decision Log Immutable Key],1,1))+1)/((tblDecisionLog[Source Decision ID]&lt;&gt;"")+(tblDecisionLog[Decision Summary]&lt;&gt;"")),18)),IF(OR(_xlpm.x=0,_xlpm.x="0",_xlpm.x="N/A"),"",_xlpm.x)),"")</f>
        <v/>
      </c>
      <c r="K40" s="180" t="str">
        <f t="array" ref="K40">IFERROR(_xlfn.LET(_xlpm.x,INDEX(tblDecisionLog[Financial Impact],_xlfn.AGGREGATE(15,6,(ROW(tblDecisionLog[Decision Log Immutable Key])-ROW(INDEX(tblDecisionLog[Decision Log Immutable Key],1,1))+1)/((tblDecisionLog[Source Decision ID]&lt;&gt;"")+(tblDecisionLog[Decision Summary]&lt;&gt;"")),18)),IF(OR(_xlpm.x=0,_xlpm.x="0",_xlpm.x="N/A"),"",_xlpm.x)),"")</f>
        <v/>
      </c>
      <c r="L40" s="179" t="str">
        <f t="array" ref="L40">IFERROR(_xlfn.LET(_xlpm.x,INDEX(tblDecisionLog[Logged Date],_xlfn.AGGREGATE(15,6,(ROW(tblDecisionLog[Decision Log Immutable Key])-ROW(INDEX(tblDecisionLog[Decision Log Immutable Key],1,1))+1)/((tblDecisionLog[Source Decision ID]&lt;&gt;"")+(tblDecisionLog[Decision Summary]&lt;&gt;"")),18)),IF(OR(_xlpm.x=0,_xlpm.x="0",_xlpm.x="N/A"),"",_xlpm.x)),"")</f>
        <v/>
      </c>
    </row>
    <row r="41" spans="1:12">
      <c r="A41" s="100" t="str">
        <f>IF(A40="","",A40&amp;" cont.")</f>
        <v/>
      </c>
      <c r="B41" s="181" t="str">
        <f t="array" ref="B41">IFERROR(_xlfn.LET(_xlpm.x,INDEX(tblDecisionLog[Decision Summary],_xlfn.AGGREGATE(15,6,(ROW(tblDecisionLog[Decision Log Immutable Key])-ROW(INDEX(tblDecisionLog[Decision Log Immutable Key],1,1))+1)/((tblDecisionLog[Source Decision ID]&lt;&gt;"")+(tblDecisionLog[Decision Summary]&lt;&gt;"")),18)),IF(OR(_xlpm.x=0,_xlpm.x="0",_xlpm.x="N/A"),"",_xlpm.x)),"")</f>
        <v/>
      </c>
      <c r="C41" s="182" t="str">
        <f t="array" ref="C41">IFERROR(_xlfn.LET(_xlpm.x,INDEX(tblDecisionLog[Next Action],_xlfn.AGGREGATE(15,6,(ROW(tblDecisionLog[Decision Log Immutable Key])-ROW(INDEX(tblDecisionLog[Decision Log Immutable Key],1,1))+1)/((tblDecisionLog[Source Decision ID]&lt;&gt;"")+(tblDecisionLog[Decision Summary]&lt;&gt;"")),18)),IF(OR(_xlpm.x=0,_xlpm.x="0",_xlpm.x="N/A"),"",_xlpm.x)),"")</f>
        <v/>
      </c>
      <c r="D41" s="181" t="str">
        <f t="array" ref="D41">IFERROR(_xlfn.LET(_xlpm.x,INDEX(tblDecisionLog[Original Issue],_xlfn.AGGREGATE(15,6,(ROW(tblDecisionLog[Decision Log Immutable Key])-ROW(INDEX(tblDecisionLog[Decision Log Immutable Key],1,1))+1)/((tblDecisionLog[Source Decision ID]&lt;&gt;"")+(tblDecisionLog[Decision Summary]&lt;&gt;"")),18)),IF(OR(_xlpm.x=0,_xlpm.x="0",_xlpm.x="N/A"),"",_xlpm.x)),"")</f>
        <v/>
      </c>
      <c r="E41" s="181" t="str">
        <f t="array" ref="E41">IFERROR(_xlfn.LET(_xlpm.x,INDEX(tblDecisionLog[Rationale],_xlfn.AGGREGATE(15,6,(ROW(tblDecisionLog[Decision Log Immutable Key])-ROW(INDEX(tblDecisionLog[Decision Log Immutable Key],1,1))+1)/((tblDecisionLog[Source Decision ID]&lt;&gt;"")+(tblDecisionLog[Decision Summary]&lt;&gt;"")),18)),IF(OR(_xlpm.x=0,_xlpm.x="0",_xlpm.x="N/A"),"",_xlpm.x)),"")</f>
        <v/>
      </c>
      <c r="F41" s="181" t="str">
        <f t="array" ref="F41">IFERROR(_xlfn.LET(_xlpm.x,INDEX(tblDecisionLog[Further Action Required],_xlfn.AGGREGATE(15,6,(ROW(tblDecisionLog[Decision Log Immutable Key])-ROW(INDEX(tblDecisionLog[Decision Log Immutable Key],1,1))+1)/((tblDecisionLog[Source Decision ID]&lt;&gt;"")+(tblDecisionLog[Decision Summary]&lt;&gt;"")),18)),IF(OR(_xlpm.x=0,_xlpm.x="0",_xlpm.x="N/A"),"",_xlpm.x)),"")</f>
        <v/>
      </c>
      <c r="G41" s="181" t="str">
        <f t="array" ref="G41">IFERROR(_xlfn.LET(_xlpm.x,INDEX(tblDecisionLog[Requester],_xlfn.AGGREGATE(15,6,(ROW(tblDecisionLog[Decision Log Immutable Key])-ROW(INDEX(tblDecisionLog[Decision Log Immutable Key],1,1))+1)/((tblDecisionLog[Source Decision ID]&lt;&gt;"")+(tblDecisionLog[Decision Summary]&lt;&gt;"")),18)),IF(OR(_xlpm.x=0,_xlpm.x="0",_xlpm.x="N/A"),"",_xlpm.x)),"")</f>
        <v/>
      </c>
      <c r="H41" s="181" t="str">
        <f t="array" ref="H41">IFERROR(_xlfn.LET(_xlpm.x,INDEX(tblDecisionLog[Strategic Objective],_xlfn.AGGREGATE(15,6,(ROW(tblDecisionLog[Decision Log Immutable Key])-ROW(INDEX(tblDecisionLog[Decision Log Immutable Key],1,1))+1)/((tblDecisionLog[Source Decision ID]&lt;&gt;"")+(tblDecisionLog[Decision Summary]&lt;&gt;"")),18)),IF(OR(_xlpm.x=0,_xlpm.x="0",_xlpm.x="N/A"),"",_xlpm.x)),"")</f>
        <v/>
      </c>
      <c r="I41" s="182" t="str">
        <f t="array" ref="I41">IFERROR(_xlfn.LET(_xlpm.x,INDEX(tblDecisionLog[Notes],_xlfn.AGGREGATE(15,6,(ROW(tblDecisionLog[Decision Log Immutable Key])-ROW(INDEX(tblDecisionLog[Decision Log Immutable Key],1,1))+1)/((tblDecisionLog[Source Decision ID]&lt;&gt;"")+(tblDecisionLog[Decision Summary]&lt;&gt;"")),18)),IF(OR(_xlpm.x=0,_xlpm.x="0",_xlpm.x="N/A"),"",_xlpm.x)),"")</f>
        <v/>
      </c>
      <c r="J41" s="181"/>
      <c r="K41" s="181"/>
      <c r="L41" s="182"/>
    </row>
    <row r="42" spans="1:12">
      <c r="A42" s="177" t="str">
        <f t="array" ref="A42">IFERROR(_xlfn.LET(_xlpm.x,INDEX(tblDecisionLog[Decision Log ID],_xlfn.AGGREGATE(15,6,(ROW(tblDecisionLog[Decision Log Immutable Key])-ROW(INDEX(tblDecisionLog[Decision Log Immutable Key],1,1))+1)/((tblDecisionLog[Source Decision ID]&lt;&gt;"")+(tblDecisionLog[Decision Summary]&lt;&gt;"")),19)),IF(OR(_xlpm.x=0,_xlpm.x="0",_xlpm.x="N/A"),"",_xlpm.x)),"")</f>
        <v/>
      </c>
      <c r="B42" s="172" t="str">
        <f t="array" ref="B42">IFERROR(_xlfn.LET(_xlpm.x,INDEX(tblDecisionLog[Source Decision ID],_xlfn.AGGREGATE(15,6,(ROW(tblDecisionLog[Decision Log Immutable Key])-ROW(INDEX(tblDecisionLog[Decision Log Immutable Key],1,1))+1)/((tblDecisionLog[Source Decision ID]&lt;&gt;"")+(tblDecisionLog[Decision Summary]&lt;&gt;"")),19)),IF(OR(_xlpm.x=0,_xlpm.x="0",_xlpm.x="N/A"),"",_xlpm.x)),"")</f>
        <v/>
      </c>
      <c r="C42" s="173" t="str">
        <f t="array" ref="C42">IFERROR(_xlfn.LET(_xlpm.x,INDEX(tblDecisionLog[Decision Date],_xlfn.AGGREGATE(15,6,(ROW(tblDecisionLog[Decision Log Immutable Key])-ROW(INDEX(tblDecisionLog[Decision Log Immutable Key],1,1))+1)/((tblDecisionLog[Source Decision ID]&lt;&gt;"")+(tblDecisionLog[Decision Summary]&lt;&gt;"")),19)),IF(OR(_xlpm.x=0,_xlpm.x="0",_xlpm.x="N/A"),"",_xlpm.x)),"")</f>
        <v/>
      </c>
      <c r="D42" s="172" t="str">
        <f t="array" ref="D42">IFERROR(_xlfn.LET(_xlpm.x,INDEX(tblDecisionLog[Decision Maker],_xlfn.AGGREGATE(15,6,(ROW(tblDecisionLog[Decision Log Immutable Key])-ROW(INDEX(tblDecisionLog[Decision Log Immutable Key],1,1))+1)/((tblDecisionLog[Source Decision ID]&lt;&gt;"")+(tblDecisionLog[Decision Summary]&lt;&gt;"")),19)),IF(OR(_xlpm.x=0,_xlpm.x="0",_xlpm.x="N/A"),"",_xlpm.x)),"")</f>
        <v/>
      </c>
      <c r="E42" s="174" t="str">
        <f t="array" ref="E42">IFERROR(_xlfn.LET(_xlpm.x,INDEX(tblDecisionLog[Decision Type],_xlfn.AGGREGATE(15,6,(ROW(tblDecisionLog[Decision Log Immutable Key])-ROW(INDEX(tblDecisionLog[Decision Log Immutable Key],1,1))+1)/((tblDecisionLog[Source Decision ID]&lt;&gt;"")+(tblDecisionLog[Decision Summary]&lt;&gt;"")),19)),IF(OR(_xlpm.x=0,_xlpm.x="0",_xlpm.x="N/A"),"",_xlpm.x)),"")</f>
        <v/>
      </c>
      <c r="F42" s="174" t="str">
        <f t="array" ref="F42">IFERROR(_xlfn.LET(_xlpm.x,INDEX(tblDecisionLog[Workstream],_xlfn.AGGREGATE(15,6,(ROW(tblDecisionLog[Decision Log Immutable Key])-ROW(INDEX(tblDecisionLog[Decision Log Immutable Key],1,1))+1)/((tblDecisionLog[Source Decision ID]&lt;&gt;"")+(tblDecisionLog[Decision Summary]&lt;&gt;"")),19)),IF(OR(_xlpm.x=0,_xlpm.x="0",_xlpm.x="N/A"),"",_xlpm.x)),"")</f>
        <v/>
      </c>
      <c r="G42" s="172" t="str">
        <f t="array" ref="G42">IFERROR(_xlfn.LET(_xlpm.x,INDEX(tblDecisionLog[Follow-up Status],_xlfn.AGGREGATE(15,6,(ROW(tblDecisionLog[Decision Log Immutable Key])-ROW(INDEX(tblDecisionLog[Decision Log Immutable Key],1,1))+1)/((tblDecisionLog[Source Decision ID]&lt;&gt;"")+(tblDecisionLog[Decision Summary]&lt;&gt;"")),19)),IF(OR(_xlpm.x=0,_xlpm.x="0",_xlpm.x="N/A"),"",_xlpm.x)),"")</f>
        <v/>
      </c>
      <c r="H42" s="174" t="str">
        <f t="array" ref="H42">IFERROR(_xlfn.LET(_xlpm.x,INDEX(tblDecisionLog[Assigned To],_xlfn.AGGREGATE(15,6,(ROW(tblDecisionLog[Decision Log Immutable Key])-ROW(INDEX(tblDecisionLog[Decision Log Immutable Key],1,1))+1)/((tblDecisionLog[Source Decision ID]&lt;&gt;"")+(tblDecisionLog[Decision Summary]&lt;&gt;"")),19)),IF(OR(_xlpm.x=0,_xlpm.x="0",_xlpm.x="N/A"),"",_xlpm.x)),"")</f>
        <v/>
      </c>
      <c r="I42" s="173" t="str">
        <f t="array" ref="I42">IFERROR(_xlfn.LET(_xlpm.x,INDEX(tblDecisionLog[Due Date],_xlfn.AGGREGATE(15,6,(ROW(tblDecisionLog[Decision Log Immutable Key])-ROW(INDEX(tblDecisionLog[Decision Log Immutable Key],1,1))+1)/((tblDecisionLog[Source Decision ID]&lt;&gt;"")+(tblDecisionLog[Decision Summary]&lt;&gt;"")),19)),IF(OR(_xlpm.x=0,_xlpm.x="0",_xlpm.x="N/A"),"",_xlpm.x)),"")</f>
        <v/>
      </c>
      <c r="J42" s="174" t="str">
        <f t="array" ref="J42">IFERROR(_xlfn.LET(_xlpm.x,INDEX(tblDecisionLog[Risk Impact],_xlfn.AGGREGATE(15,6,(ROW(tblDecisionLog[Decision Log Immutable Key])-ROW(INDEX(tblDecisionLog[Decision Log Immutable Key],1,1))+1)/((tblDecisionLog[Source Decision ID]&lt;&gt;"")+(tblDecisionLog[Decision Summary]&lt;&gt;"")),19)),IF(OR(_xlpm.x=0,_xlpm.x="0",_xlpm.x="N/A"),"",_xlpm.x)),"")</f>
        <v/>
      </c>
      <c r="K42" s="174" t="str">
        <f t="array" ref="K42">IFERROR(_xlfn.LET(_xlpm.x,INDEX(tblDecisionLog[Financial Impact],_xlfn.AGGREGATE(15,6,(ROW(tblDecisionLog[Decision Log Immutable Key])-ROW(INDEX(tblDecisionLog[Decision Log Immutable Key],1,1))+1)/((tblDecisionLog[Source Decision ID]&lt;&gt;"")+(tblDecisionLog[Decision Summary]&lt;&gt;"")),19)),IF(OR(_xlpm.x=0,_xlpm.x="0",_xlpm.x="N/A"),"",_xlpm.x)),"")</f>
        <v/>
      </c>
      <c r="L42" s="173" t="str">
        <f t="array" ref="L42">IFERROR(_xlfn.LET(_xlpm.x,INDEX(tblDecisionLog[Logged Date],_xlfn.AGGREGATE(15,6,(ROW(tblDecisionLog[Decision Log Immutable Key])-ROW(INDEX(tblDecisionLog[Decision Log Immutable Key],1,1))+1)/((tblDecisionLog[Source Decision ID]&lt;&gt;"")+(tblDecisionLog[Decision Summary]&lt;&gt;"")),19)),IF(OR(_xlpm.x=0,_xlpm.x="0",_xlpm.x="N/A"),"",_xlpm.x)),"")</f>
        <v/>
      </c>
    </row>
    <row r="43" spans="1:12">
      <c r="A43" s="99" t="str">
        <f>IF(A42="","",A42&amp;" cont.")</f>
        <v/>
      </c>
      <c r="B43" s="175" t="str">
        <f t="array" ref="B43">IFERROR(_xlfn.LET(_xlpm.x,INDEX(tblDecisionLog[Decision Summary],_xlfn.AGGREGATE(15,6,(ROW(tblDecisionLog[Decision Log Immutable Key])-ROW(INDEX(tblDecisionLog[Decision Log Immutable Key],1,1))+1)/((tblDecisionLog[Source Decision ID]&lt;&gt;"")+(tblDecisionLog[Decision Summary]&lt;&gt;"")),19)),IF(OR(_xlpm.x=0,_xlpm.x="0",_xlpm.x="N/A"),"",_xlpm.x)),"")</f>
        <v/>
      </c>
      <c r="C43" s="176" t="str">
        <f t="array" ref="C43">IFERROR(_xlfn.LET(_xlpm.x,INDEX(tblDecisionLog[Next Action],_xlfn.AGGREGATE(15,6,(ROW(tblDecisionLog[Decision Log Immutable Key])-ROW(INDEX(tblDecisionLog[Decision Log Immutable Key],1,1))+1)/((tblDecisionLog[Source Decision ID]&lt;&gt;"")+(tblDecisionLog[Decision Summary]&lt;&gt;"")),19)),IF(OR(_xlpm.x=0,_xlpm.x="0",_xlpm.x="N/A"),"",_xlpm.x)),"")</f>
        <v/>
      </c>
      <c r="D43" s="175" t="str">
        <f t="array" ref="D43">IFERROR(_xlfn.LET(_xlpm.x,INDEX(tblDecisionLog[Original Issue],_xlfn.AGGREGATE(15,6,(ROW(tblDecisionLog[Decision Log Immutable Key])-ROW(INDEX(tblDecisionLog[Decision Log Immutable Key],1,1))+1)/((tblDecisionLog[Source Decision ID]&lt;&gt;"")+(tblDecisionLog[Decision Summary]&lt;&gt;"")),19)),IF(OR(_xlpm.x=0,_xlpm.x="0",_xlpm.x="N/A"),"",_xlpm.x)),"")</f>
        <v/>
      </c>
      <c r="E43" s="175" t="str">
        <f t="array" ref="E43">IFERROR(_xlfn.LET(_xlpm.x,INDEX(tblDecisionLog[Rationale],_xlfn.AGGREGATE(15,6,(ROW(tblDecisionLog[Decision Log Immutable Key])-ROW(INDEX(tblDecisionLog[Decision Log Immutable Key],1,1))+1)/((tblDecisionLog[Source Decision ID]&lt;&gt;"")+(tblDecisionLog[Decision Summary]&lt;&gt;"")),19)),IF(OR(_xlpm.x=0,_xlpm.x="0",_xlpm.x="N/A"),"",_xlpm.x)),"")</f>
        <v/>
      </c>
      <c r="F43" s="175" t="str">
        <f t="array" ref="F43">IFERROR(_xlfn.LET(_xlpm.x,INDEX(tblDecisionLog[Further Action Required],_xlfn.AGGREGATE(15,6,(ROW(tblDecisionLog[Decision Log Immutable Key])-ROW(INDEX(tblDecisionLog[Decision Log Immutable Key],1,1))+1)/((tblDecisionLog[Source Decision ID]&lt;&gt;"")+(tblDecisionLog[Decision Summary]&lt;&gt;"")),19)),IF(OR(_xlpm.x=0,_xlpm.x="0",_xlpm.x="N/A"),"",_xlpm.x)),"")</f>
        <v/>
      </c>
      <c r="G43" s="175" t="str">
        <f t="array" ref="G43">IFERROR(_xlfn.LET(_xlpm.x,INDEX(tblDecisionLog[Requester],_xlfn.AGGREGATE(15,6,(ROW(tblDecisionLog[Decision Log Immutable Key])-ROW(INDEX(tblDecisionLog[Decision Log Immutable Key],1,1))+1)/((tblDecisionLog[Source Decision ID]&lt;&gt;"")+(tblDecisionLog[Decision Summary]&lt;&gt;"")),19)),IF(OR(_xlpm.x=0,_xlpm.x="0",_xlpm.x="N/A"),"",_xlpm.x)),"")</f>
        <v/>
      </c>
      <c r="H43" s="175" t="str">
        <f t="array" ref="H43">IFERROR(_xlfn.LET(_xlpm.x,INDEX(tblDecisionLog[Strategic Objective],_xlfn.AGGREGATE(15,6,(ROW(tblDecisionLog[Decision Log Immutable Key])-ROW(INDEX(tblDecisionLog[Decision Log Immutable Key],1,1))+1)/((tblDecisionLog[Source Decision ID]&lt;&gt;"")+(tblDecisionLog[Decision Summary]&lt;&gt;"")),19)),IF(OR(_xlpm.x=0,_xlpm.x="0",_xlpm.x="N/A"),"",_xlpm.x)),"")</f>
        <v/>
      </c>
      <c r="I43" s="176" t="str">
        <f t="array" ref="I43">IFERROR(_xlfn.LET(_xlpm.x,INDEX(tblDecisionLog[Notes],_xlfn.AGGREGATE(15,6,(ROW(tblDecisionLog[Decision Log Immutable Key])-ROW(INDEX(tblDecisionLog[Decision Log Immutable Key],1,1))+1)/((tblDecisionLog[Source Decision ID]&lt;&gt;"")+(tblDecisionLog[Decision Summary]&lt;&gt;"")),19)),IF(OR(_xlpm.x=0,_xlpm.x="0",_xlpm.x="N/A"),"",_xlpm.x)),"")</f>
        <v/>
      </c>
      <c r="J43" s="175"/>
      <c r="K43" s="175"/>
      <c r="L43" s="176"/>
    </row>
    <row r="44" spans="1:12">
      <c r="A44" s="177" t="str">
        <f t="array" ref="A44">IFERROR(_xlfn.LET(_xlpm.x,INDEX(tblDecisionLog[Decision Log ID],_xlfn.AGGREGATE(15,6,(ROW(tblDecisionLog[Decision Log Immutable Key])-ROW(INDEX(tblDecisionLog[Decision Log Immutable Key],1,1))+1)/((tblDecisionLog[Source Decision ID]&lt;&gt;"")+(tblDecisionLog[Decision Summary]&lt;&gt;"")),20)),IF(OR(_xlpm.x=0,_xlpm.x="0",_xlpm.x="N/A"),"",_xlpm.x)),"")</f>
        <v/>
      </c>
      <c r="B44" s="178" t="str">
        <f t="array" ref="B44">IFERROR(_xlfn.LET(_xlpm.x,INDEX(tblDecisionLog[Source Decision ID],_xlfn.AGGREGATE(15,6,(ROW(tblDecisionLog[Decision Log Immutable Key])-ROW(INDEX(tblDecisionLog[Decision Log Immutable Key],1,1))+1)/((tblDecisionLog[Source Decision ID]&lt;&gt;"")+(tblDecisionLog[Decision Summary]&lt;&gt;"")),20)),IF(OR(_xlpm.x=0,_xlpm.x="0",_xlpm.x="N/A"),"",_xlpm.x)),"")</f>
        <v/>
      </c>
      <c r="C44" s="179" t="str">
        <f t="array" ref="C44">IFERROR(_xlfn.LET(_xlpm.x,INDEX(tblDecisionLog[Decision Date],_xlfn.AGGREGATE(15,6,(ROW(tblDecisionLog[Decision Log Immutable Key])-ROW(INDEX(tblDecisionLog[Decision Log Immutable Key],1,1))+1)/((tblDecisionLog[Source Decision ID]&lt;&gt;"")+(tblDecisionLog[Decision Summary]&lt;&gt;"")),20)),IF(OR(_xlpm.x=0,_xlpm.x="0",_xlpm.x="N/A"),"",_xlpm.x)),"")</f>
        <v/>
      </c>
      <c r="D44" s="178" t="str">
        <f t="array" ref="D44">IFERROR(_xlfn.LET(_xlpm.x,INDEX(tblDecisionLog[Decision Maker],_xlfn.AGGREGATE(15,6,(ROW(tblDecisionLog[Decision Log Immutable Key])-ROW(INDEX(tblDecisionLog[Decision Log Immutable Key],1,1))+1)/((tblDecisionLog[Source Decision ID]&lt;&gt;"")+(tblDecisionLog[Decision Summary]&lt;&gt;"")),20)),IF(OR(_xlpm.x=0,_xlpm.x="0",_xlpm.x="N/A"),"",_xlpm.x)),"")</f>
        <v/>
      </c>
      <c r="E44" s="180" t="str">
        <f t="array" ref="E44">IFERROR(_xlfn.LET(_xlpm.x,INDEX(tblDecisionLog[Decision Type],_xlfn.AGGREGATE(15,6,(ROW(tblDecisionLog[Decision Log Immutable Key])-ROW(INDEX(tblDecisionLog[Decision Log Immutable Key],1,1))+1)/((tblDecisionLog[Source Decision ID]&lt;&gt;"")+(tblDecisionLog[Decision Summary]&lt;&gt;"")),20)),IF(OR(_xlpm.x=0,_xlpm.x="0",_xlpm.x="N/A"),"",_xlpm.x)),"")</f>
        <v/>
      </c>
      <c r="F44" s="180" t="str">
        <f t="array" ref="F44">IFERROR(_xlfn.LET(_xlpm.x,INDEX(tblDecisionLog[Workstream],_xlfn.AGGREGATE(15,6,(ROW(tblDecisionLog[Decision Log Immutable Key])-ROW(INDEX(tblDecisionLog[Decision Log Immutable Key],1,1))+1)/((tblDecisionLog[Source Decision ID]&lt;&gt;"")+(tblDecisionLog[Decision Summary]&lt;&gt;"")),20)),IF(OR(_xlpm.x=0,_xlpm.x="0",_xlpm.x="N/A"),"",_xlpm.x)),"")</f>
        <v/>
      </c>
      <c r="G44" s="178" t="str">
        <f t="array" ref="G44">IFERROR(_xlfn.LET(_xlpm.x,INDEX(tblDecisionLog[Follow-up Status],_xlfn.AGGREGATE(15,6,(ROW(tblDecisionLog[Decision Log Immutable Key])-ROW(INDEX(tblDecisionLog[Decision Log Immutable Key],1,1))+1)/((tblDecisionLog[Source Decision ID]&lt;&gt;"")+(tblDecisionLog[Decision Summary]&lt;&gt;"")),20)),IF(OR(_xlpm.x=0,_xlpm.x="0",_xlpm.x="N/A"),"",_xlpm.x)),"")</f>
        <v/>
      </c>
      <c r="H44" s="180" t="str">
        <f t="array" ref="H44">IFERROR(_xlfn.LET(_xlpm.x,INDEX(tblDecisionLog[Assigned To],_xlfn.AGGREGATE(15,6,(ROW(tblDecisionLog[Decision Log Immutable Key])-ROW(INDEX(tblDecisionLog[Decision Log Immutable Key],1,1))+1)/((tblDecisionLog[Source Decision ID]&lt;&gt;"")+(tblDecisionLog[Decision Summary]&lt;&gt;"")),20)),IF(OR(_xlpm.x=0,_xlpm.x="0",_xlpm.x="N/A"),"",_xlpm.x)),"")</f>
        <v/>
      </c>
      <c r="I44" s="179" t="str">
        <f t="array" ref="I44">IFERROR(_xlfn.LET(_xlpm.x,INDEX(tblDecisionLog[Due Date],_xlfn.AGGREGATE(15,6,(ROW(tblDecisionLog[Decision Log Immutable Key])-ROW(INDEX(tblDecisionLog[Decision Log Immutable Key],1,1))+1)/((tblDecisionLog[Source Decision ID]&lt;&gt;"")+(tblDecisionLog[Decision Summary]&lt;&gt;"")),20)),IF(OR(_xlpm.x=0,_xlpm.x="0",_xlpm.x="N/A"),"",_xlpm.x)),"")</f>
        <v/>
      </c>
      <c r="J44" s="180" t="str">
        <f t="array" ref="J44">IFERROR(_xlfn.LET(_xlpm.x,INDEX(tblDecisionLog[Risk Impact],_xlfn.AGGREGATE(15,6,(ROW(tblDecisionLog[Decision Log Immutable Key])-ROW(INDEX(tblDecisionLog[Decision Log Immutable Key],1,1))+1)/((tblDecisionLog[Source Decision ID]&lt;&gt;"")+(tblDecisionLog[Decision Summary]&lt;&gt;"")),20)),IF(OR(_xlpm.x=0,_xlpm.x="0",_xlpm.x="N/A"),"",_xlpm.x)),"")</f>
        <v/>
      </c>
      <c r="K44" s="180" t="str">
        <f t="array" ref="K44">IFERROR(_xlfn.LET(_xlpm.x,INDEX(tblDecisionLog[Financial Impact],_xlfn.AGGREGATE(15,6,(ROW(tblDecisionLog[Decision Log Immutable Key])-ROW(INDEX(tblDecisionLog[Decision Log Immutable Key],1,1))+1)/((tblDecisionLog[Source Decision ID]&lt;&gt;"")+(tblDecisionLog[Decision Summary]&lt;&gt;"")),20)),IF(OR(_xlpm.x=0,_xlpm.x="0",_xlpm.x="N/A"),"",_xlpm.x)),"")</f>
        <v/>
      </c>
      <c r="L44" s="179" t="str">
        <f t="array" ref="L44">IFERROR(_xlfn.LET(_xlpm.x,INDEX(tblDecisionLog[Logged Date],_xlfn.AGGREGATE(15,6,(ROW(tblDecisionLog[Decision Log Immutable Key])-ROW(INDEX(tblDecisionLog[Decision Log Immutable Key],1,1))+1)/((tblDecisionLog[Source Decision ID]&lt;&gt;"")+(tblDecisionLog[Decision Summary]&lt;&gt;"")),20)),IF(OR(_xlpm.x=0,_xlpm.x="0",_xlpm.x="N/A"),"",_xlpm.x)),"")</f>
        <v/>
      </c>
    </row>
    <row r="45" spans="1:12">
      <c r="A45" s="100" t="str">
        <f>IF(A44="","",A44&amp;" cont.")</f>
        <v/>
      </c>
      <c r="B45" s="181" t="str">
        <f t="array" ref="B45">IFERROR(_xlfn.LET(_xlpm.x,INDEX(tblDecisionLog[Decision Summary],_xlfn.AGGREGATE(15,6,(ROW(tblDecisionLog[Decision Log Immutable Key])-ROW(INDEX(tblDecisionLog[Decision Log Immutable Key],1,1))+1)/((tblDecisionLog[Source Decision ID]&lt;&gt;"")+(tblDecisionLog[Decision Summary]&lt;&gt;"")),20)),IF(OR(_xlpm.x=0,_xlpm.x="0",_xlpm.x="N/A"),"",_xlpm.x)),"")</f>
        <v/>
      </c>
      <c r="C45" s="182" t="str">
        <f t="array" ref="C45">IFERROR(_xlfn.LET(_xlpm.x,INDEX(tblDecisionLog[Next Action],_xlfn.AGGREGATE(15,6,(ROW(tblDecisionLog[Decision Log Immutable Key])-ROW(INDEX(tblDecisionLog[Decision Log Immutable Key],1,1))+1)/((tblDecisionLog[Source Decision ID]&lt;&gt;"")+(tblDecisionLog[Decision Summary]&lt;&gt;"")),20)),IF(OR(_xlpm.x=0,_xlpm.x="0",_xlpm.x="N/A"),"",_xlpm.x)),"")</f>
        <v/>
      </c>
      <c r="D45" s="181" t="str">
        <f t="array" ref="D45">IFERROR(_xlfn.LET(_xlpm.x,INDEX(tblDecisionLog[Original Issue],_xlfn.AGGREGATE(15,6,(ROW(tblDecisionLog[Decision Log Immutable Key])-ROW(INDEX(tblDecisionLog[Decision Log Immutable Key],1,1))+1)/((tblDecisionLog[Source Decision ID]&lt;&gt;"")+(tblDecisionLog[Decision Summary]&lt;&gt;"")),20)),IF(OR(_xlpm.x=0,_xlpm.x="0",_xlpm.x="N/A"),"",_xlpm.x)),"")</f>
        <v/>
      </c>
      <c r="E45" s="181" t="str">
        <f t="array" ref="E45">IFERROR(_xlfn.LET(_xlpm.x,INDEX(tblDecisionLog[Rationale],_xlfn.AGGREGATE(15,6,(ROW(tblDecisionLog[Decision Log Immutable Key])-ROW(INDEX(tblDecisionLog[Decision Log Immutable Key],1,1))+1)/((tblDecisionLog[Source Decision ID]&lt;&gt;"")+(tblDecisionLog[Decision Summary]&lt;&gt;"")),20)),IF(OR(_xlpm.x=0,_xlpm.x="0",_xlpm.x="N/A"),"",_xlpm.x)),"")</f>
        <v/>
      </c>
      <c r="F45" s="181" t="str">
        <f t="array" ref="F45">IFERROR(_xlfn.LET(_xlpm.x,INDEX(tblDecisionLog[Further Action Required],_xlfn.AGGREGATE(15,6,(ROW(tblDecisionLog[Decision Log Immutable Key])-ROW(INDEX(tblDecisionLog[Decision Log Immutable Key],1,1))+1)/((tblDecisionLog[Source Decision ID]&lt;&gt;"")+(tblDecisionLog[Decision Summary]&lt;&gt;"")),20)),IF(OR(_xlpm.x=0,_xlpm.x="0",_xlpm.x="N/A"),"",_xlpm.x)),"")</f>
        <v/>
      </c>
      <c r="G45" s="181" t="str">
        <f t="array" ref="G45">IFERROR(_xlfn.LET(_xlpm.x,INDEX(tblDecisionLog[Requester],_xlfn.AGGREGATE(15,6,(ROW(tblDecisionLog[Decision Log Immutable Key])-ROW(INDEX(tblDecisionLog[Decision Log Immutable Key],1,1))+1)/((tblDecisionLog[Source Decision ID]&lt;&gt;"")+(tblDecisionLog[Decision Summary]&lt;&gt;"")),20)),IF(OR(_xlpm.x=0,_xlpm.x="0",_xlpm.x="N/A"),"",_xlpm.x)),"")</f>
        <v/>
      </c>
      <c r="H45" s="181" t="str">
        <f t="array" ref="H45">IFERROR(_xlfn.LET(_xlpm.x,INDEX(tblDecisionLog[Strategic Objective],_xlfn.AGGREGATE(15,6,(ROW(tblDecisionLog[Decision Log Immutable Key])-ROW(INDEX(tblDecisionLog[Decision Log Immutable Key],1,1))+1)/((tblDecisionLog[Source Decision ID]&lt;&gt;"")+(tblDecisionLog[Decision Summary]&lt;&gt;"")),20)),IF(OR(_xlpm.x=0,_xlpm.x="0",_xlpm.x="N/A"),"",_xlpm.x)),"")</f>
        <v/>
      </c>
      <c r="I45" s="182" t="str">
        <f t="array" ref="I45">IFERROR(_xlfn.LET(_xlpm.x,INDEX(tblDecisionLog[Notes],_xlfn.AGGREGATE(15,6,(ROW(tblDecisionLog[Decision Log Immutable Key])-ROW(INDEX(tblDecisionLog[Decision Log Immutable Key],1,1))+1)/((tblDecisionLog[Source Decision ID]&lt;&gt;"")+(tblDecisionLog[Decision Summary]&lt;&gt;"")),20)),IF(OR(_xlpm.x=0,_xlpm.x="0",_xlpm.x="N/A"),"",_xlpm.x)),"")</f>
        <v/>
      </c>
      <c r="J45" s="181"/>
      <c r="K45" s="181"/>
      <c r="L45" s="182"/>
    </row>
    <row r="46" spans="1:12">
      <c r="A46" s="177" t="str">
        <f t="array" ref="A46">IFERROR(_xlfn.LET(_xlpm.x,INDEX(tblDecisionLog[Decision Log ID],_xlfn.AGGREGATE(15,6,(ROW(tblDecisionLog[Decision Log Immutable Key])-ROW(INDEX(tblDecisionLog[Decision Log Immutable Key],1,1))+1)/((tblDecisionLog[Source Decision ID]&lt;&gt;"")+(tblDecisionLog[Decision Summary]&lt;&gt;"")),21)),IF(OR(_xlpm.x=0,_xlpm.x="0",_xlpm.x="N/A"),"",_xlpm.x)),"")</f>
        <v/>
      </c>
      <c r="B46" s="172" t="str">
        <f t="array" ref="B46">IFERROR(_xlfn.LET(_xlpm.x,INDEX(tblDecisionLog[Source Decision ID],_xlfn.AGGREGATE(15,6,(ROW(tblDecisionLog[Decision Log Immutable Key])-ROW(INDEX(tblDecisionLog[Decision Log Immutable Key],1,1))+1)/((tblDecisionLog[Source Decision ID]&lt;&gt;"")+(tblDecisionLog[Decision Summary]&lt;&gt;"")),21)),IF(OR(_xlpm.x=0,_xlpm.x="0",_xlpm.x="N/A"),"",_xlpm.x)),"")</f>
        <v/>
      </c>
      <c r="C46" s="173" t="str">
        <f t="array" ref="C46">IFERROR(_xlfn.LET(_xlpm.x,INDEX(tblDecisionLog[Decision Date],_xlfn.AGGREGATE(15,6,(ROW(tblDecisionLog[Decision Log Immutable Key])-ROW(INDEX(tblDecisionLog[Decision Log Immutable Key],1,1))+1)/((tblDecisionLog[Source Decision ID]&lt;&gt;"")+(tblDecisionLog[Decision Summary]&lt;&gt;"")),21)),IF(OR(_xlpm.x=0,_xlpm.x="0",_xlpm.x="N/A"),"",_xlpm.x)),"")</f>
        <v/>
      </c>
      <c r="D46" s="172" t="str">
        <f t="array" ref="D46">IFERROR(_xlfn.LET(_xlpm.x,INDEX(tblDecisionLog[Decision Maker],_xlfn.AGGREGATE(15,6,(ROW(tblDecisionLog[Decision Log Immutable Key])-ROW(INDEX(tblDecisionLog[Decision Log Immutable Key],1,1))+1)/((tblDecisionLog[Source Decision ID]&lt;&gt;"")+(tblDecisionLog[Decision Summary]&lt;&gt;"")),21)),IF(OR(_xlpm.x=0,_xlpm.x="0",_xlpm.x="N/A"),"",_xlpm.x)),"")</f>
        <v/>
      </c>
      <c r="E46" s="174" t="str">
        <f t="array" ref="E46">IFERROR(_xlfn.LET(_xlpm.x,INDEX(tblDecisionLog[Decision Type],_xlfn.AGGREGATE(15,6,(ROW(tblDecisionLog[Decision Log Immutable Key])-ROW(INDEX(tblDecisionLog[Decision Log Immutable Key],1,1))+1)/((tblDecisionLog[Source Decision ID]&lt;&gt;"")+(tblDecisionLog[Decision Summary]&lt;&gt;"")),21)),IF(OR(_xlpm.x=0,_xlpm.x="0",_xlpm.x="N/A"),"",_xlpm.x)),"")</f>
        <v/>
      </c>
      <c r="F46" s="174" t="str">
        <f t="array" ref="F46">IFERROR(_xlfn.LET(_xlpm.x,INDEX(tblDecisionLog[Workstream],_xlfn.AGGREGATE(15,6,(ROW(tblDecisionLog[Decision Log Immutable Key])-ROW(INDEX(tblDecisionLog[Decision Log Immutable Key],1,1))+1)/((tblDecisionLog[Source Decision ID]&lt;&gt;"")+(tblDecisionLog[Decision Summary]&lt;&gt;"")),21)),IF(OR(_xlpm.x=0,_xlpm.x="0",_xlpm.x="N/A"),"",_xlpm.x)),"")</f>
        <v/>
      </c>
      <c r="G46" s="172" t="str">
        <f t="array" ref="G46">IFERROR(_xlfn.LET(_xlpm.x,INDEX(tblDecisionLog[Follow-up Status],_xlfn.AGGREGATE(15,6,(ROW(tblDecisionLog[Decision Log Immutable Key])-ROW(INDEX(tblDecisionLog[Decision Log Immutable Key],1,1))+1)/((tblDecisionLog[Source Decision ID]&lt;&gt;"")+(tblDecisionLog[Decision Summary]&lt;&gt;"")),21)),IF(OR(_xlpm.x=0,_xlpm.x="0",_xlpm.x="N/A"),"",_xlpm.x)),"")</f>
        <v/>
      </c>
      <c r="H46" s="174" t="str">
        <f t="array" ref="H46">IFERROR(_xlfn.LET(_xlpm.x,INDEX(tblDecisionLog[Assigned To],_xlfn.AGGREGATE(15,6,(ROW(tblDecisionLog[Decision Log Immutable Key])-ROW(INDEX(tblDecisionLog[Decision Log Immutable Key],1,1))+1)/((tblDecisionLog[Source Decision ID]&lt;&gt;"")+(tblDecisionLog[Decision Summary]&lt;&gt;"")),21)),IF(OR(_xlpm.x=0,_xlpm.x="0",_xlpm.x="N/A"),"",_xlpm.x)),"")</f>
        <v/>
      </c>
      <c r="I46" s="173" t="str">
        <f t="array" ref="I46">IFERROR(_xlfn.LET(_xlpm.x,INDEX(tblDecisionLog[Due Date],_xlfn.AGGREGATE(15,6,(ROW(tblDecisionLog[Decision Log Immutable Key])-ROW(INDEX(tblDecisionLog[Decision Log Immutable Key],1,1))+1)/((tblDecisionLog[Source Decision ID]&lt;&gt;"")+(tblDecisionLog[Decision Summary]&lt;&gt;"")),21)),IF(OR(_xlpm.x=0,_xlpm.x="0",_xlpm.x="N/A"),"",_xlpm.x)),"")</f>
        <v/>
      </c>
      <c r="J46" s="174" t="str">
        <f t="array" ref="J46">IFERROR(_xlfn.LET(_xlpm.x,INDEX(tblDecisionLog[Risk Impact],_xlfn.AGGREGATE(15,6,(ROW(tblDecisionLog[Decision Log Immutable Key])-ROW(INDEX(tblDecisionLog[Decision Log Immutable Key],1,1))+1)/((tblDecisionLog[Source Decision ID]&lt;&gt;"")+(tblDecisionLog[Decision Summary]&lt;&gt;"")),21)),IF(OR(_xlpm.x=0,_xlpm.x="0",_xlpm.x="N/A"),"",_xlpm.x)),"")</f>
        <v/>
      </c>
      <c r="K46" s="174" t="str">
        <f t="array" ref="K46">IFERROR(_xlfn.LET(_xlpm.x,INDEX(tblDecisionLog[Financial Impact],_xlfn.AGGREGATE(15,6,(ROW(tblDecisionLog[Decision Log Immutable Key])-ROW(INDEX(tblDecisionLog[Decision Log Immutable Key],1,1))+1)/((tblDecisionLog[Source Decision ID]&lt;&gt;"")+(tblDecisionLog[Decision Summary]&lt;&gt;"")),21)),IF(OR(_xlpm.x=0,_xlpm.x="0",_xlpm.x="N/A"),"",_xlpm.x)),"")</f>
        <v/>
      </c>
      <c r="L46" s="173" t="str">
        <f t="array" ref="L46">IFERROR(_xlfn.LET(_xlpm.x,INDEX(tblDecisionLog[Logged Date],_xlfn.AGGREGATE(15,6,(ROW(tblDecisionLog[Decision Log Immutable Key])-ROW(INDEX(tblDecisionLog[Decision Log Immutable Key],1,1))+1)/((tblDecisionLog[Source Decision ID]&lt;&gt;"")+(tblDecisionLog[Decision Summary]&lt;&gt;"")),21)),IF(OR(_xlpm.x=0,_xlpm.x="0",_xlpm.x="N/A"),"",_xlpm.x)),"")</f>
        <v/>
      </c>
    </row>
    <row r="47" spans="1:12">
      <c r="A47" s="99" t="str">
        <f>IF(A46="","",A46&amp;" cont.")</f>
        <v/>
      </c>
      <c r="B47" s="175" t="str">
        <f t="array" ref="B47">IFERROR(_xlfn.LET(_xlpm.x,INDEX(tblDecisionLog[Decision Summary],_xlfn.AGGREGATE(15,6,(ROW(tblDecisionLog[Decision Log Immutable Key])-ROW(INDEX(tblDecisionLog[Decision Log Immutable Key],1,1))+1)/((tblDecisionLog[Source Decision ID]&lt;&gt;"")+(tblDecisionLog[Decision Summary]&lt;&gt;"")),21)),IF(OR(_xlpm.x=0,_xlpm.x="0",_xlpm.x="N/A"),"",_xlpm.x)),"")</f>
        <v/>
      </c>
      <c r="C47" s="176" t="str">
        <f t="array" ref="C47">IFERROR(_xlfn.LET(_xlpm.x,INDEX(tblDecisionLog[Next Action],_xlfn.AGGREGATE(15,6,(ROW(tblDecisionLog[Decision Log Immutable Key])-ROW(INDEX(tblDecisionLog[Decision Log Immutable Key],1,1))+1)/((tblDecisionLog[Source Decision ID]&lt;&gt;"")+(tblDecisionLog[Decision Summary]&lt;&gt;"")),21)),IF(OR(_xlpm.x=0,_xlpm.x="0",_xlpm.x="N/A"),"",_xlpm.x)),"")</f>
        <v/>
      </c>
      <c r="D47" s="175" t="str">
        <f t="array" ref="D47">IFERROR(_xlfn.LET(_xlpm.x,INDEX(tblDecisionLog[Original Issue],_xlfn.AGGREGATE(15,6,(ROW(tblDecisionLog[Decision Log Immutable Key])-ROW(INDEX(tblDecisionLog[Decision Log Immutable Key],1,1))+1)/((tblDecisionLog[Source Decision ID]&lt;&gt;"")+(tblDecisionLog[Decision Summary]&lt;&gt;"")),21)),IF(OR(_xlpm.x=0,_xlpm.x="0",_xlpm.x="N/A"),"",_xlpm.x)),"")</f>
        <v/>
      </c>
      <c r="E47" s="175" t="str">
        <f t="array" ref="E47">IFERROR(_xlfn.LET(_xlpm.x,INDEX(tblDecisionLog[Rationale],_xlfn.AGGREGATE(15,6,(ROW(tblDecisionLog[Decision Log Immutable Key])-ROW(INDEX(tblDecisionLog[Decision Log Immutable Key],1,1))+1)/((tblDecisionLog[Source Decision ID]&lt;&gt;"")+(tblDecisionLog[Decision Summary]&lt;&gt;"")),21)),IF(OR(_xlpm.x=0,_xlpm.x="0",_xlpm.x="N/A"),"",_xlpm.x)),"")</f>
        <v/>
      </c>
      <c r="F47" s="175" t="str">
        <f t="array" ref="F47">IFERROR(_xlfn.LET(_xlpm.x,INDEX(tblDecisionLog[Further Action Required],_xlfn.AGGREGATE(15,6,(ROW(tblDecisionLog[Decision Log Immutable Key])-ROW(INDEX(tblDecisionLog[Decision Log Immutable Key],1,1))+1)/((tblDecisionLog[Source Decision ID]&lt;&gt;"")+(tblDecisionLog[Decision Summary]&lt;&gt;"")),21)),IF(OR(_xlpm.x=0,_xlpm.x="0",_xlpm.x="N/A"),"",_xlpm.x)),"")</f>
        <v/>
      </c>
      <c r="G47" s="175" t="str">
        <f t="array" ref="G47">IFERROR(_xlfn.LET(_xlpm.x,INDEX(tblDecisionLog[Requester],_xlfn.AGGREGATE(15,6,(ROW(tblDecisionLog[Decision Log Immutable Key])-ROW(INDEX(tblDecisionLog[Decision Log Immutable Key],1,1))+1)/((tblDecisionLog[Source Decision ID]&lt;&gt;"")+(tblDecisionLog[Decision Summary]&lt;&gt;"")),21)),IF(OR(_xlpm.x=0,_xlpm.x="0",_xlpm.x="N/A"),"",_xlpm.x)),"")</f>
        <v/>
      </c>
      <c r="H47" s="175" t="str">
        <f t="array" ref="H47">IFERROR(_xlfn.LET(_xlpm.x,INDEX(tblDecisionLog[Strategic Objective],_xlfn.AGGREGATE(15,6,(ROW(tblDecisionLog[Decision Log Immutable Key])-ROW(INDEX(tblDecisionLog[Decision Log Immutable Key],1,1))+1)/((tblDecisionLog[Source Decision ID]&lt;&gt;"")+(tblDecisionLog[Decision Summary]&lt;&gt;"")),21)),IF(OR(_xlpm.x=0,_xlpm.x="0",_xlpm.x="N/A"),"",_xlpm.x)),"")</f>
        <v/>
      </c>
      <c r="I47" s="176" t="str">
        <f t="array" ref="I47">IFERROR(_xlfn.LET(_xlpm.x,INDEX(tblDecisionLog[Notes],_xlfn.AGGREGATE(15,6,(ROW(tblDecisionLog[Decision Log Immutable Key])-ROW(INDEX(tblDecisionLog[Decision Log Immutable Key],1,1))+1)/((tblDecisionLog[Source Decision ID]&lt;&gt;"")+(tblDecisionLog[Decision Summary]&lt;&gt;"")),21)),IF(OR(_xlpm.x=0,_xlpm.x="0",_xlpm.x="N/A"),"",_xlpm.x)),"")</f>
        <v/>
      </c>
      <c r="J47" s="175"/>
      <c r="K47" s="175"/>
      <c r="L47" s="176"/>
    </row>
    <row r="48" spans="1:12">
      <c r="A48" s="101" t="str">
        <f t="array" ref="A48">IFERROR(_xlfn.LET(_xlpm.x,INDEX(tblDecisionLog[Decision Log ID],_xlfn.AGGREGATE(15,6,(ROW(tblDecisionLog[Decision Log Immutable Key])-ROW(INDEX(tblDecisionLog[Decision Log Immutable Key],1,1))+1)/((tblDecisionLog[Source Decision ID]&lt;&gt;"")+(tblDecisionLog[Decision Summary]&lt;&gt;"")),22)),IF(OR(_xlpm.x=0,_xlpm.x="0",_xlpm.x="N/A"),"",_xlpm.x)),"")</f>
        <v/>
      </c>
      <c r="B48" s="180" t="str">
        <f t="array" ref="B48">IFERROR(_xlfn.LET(_xlpm.x,INDEX(tblDecisionLog[Source Decision ID],_xlfn.AGGREGATE(15,6,(ROW(tblDecisionLog[Decision Log Immutable Key])-ROW(INDEX(tblDecisionLog[Decision Log Immutable Key],1,1))+1)/((tblDecisionLog[Source Decision ID]&lt;&gt;"")+(tblDecisionLog[Decision Summary]&lt;&gt;"")),22)),IF(OR(_xlpm.x=0,_xlpm.x="0",_xlpm.x="N/A"),"",_xlpm.x)),"")</f>
        <v/>
      </c>
      <c r="C48" s="179" t="str">
        <f t="array" ref="C48">IFERROR(_xlfn.LET(_xlpm.x,INDEX(tblDecisionLog[Decision Date],_xlfn.AGGREGATE(15,6,(ROW(tblDecisionLog[Decision Log Immutable Key])-ROW(INDEX(tblDecisionLog[Decision Log Immutable Key],1,1))+1)/((tblDecisionLog[Source Decision ID]&lt;&gt;"")+(tblDecisionLog[Decision Summary]&lt;&gt;"")),22)),IF(OR(_xlpm.x=0,_xlpm.x="0",_xlpm.x="N/A"),"",_xlpm.x)),"")</f>
        <v/>
      </c>
      <c r="D48" s="180" t="str">
        <f t="array" ref="D48">IFERROR(_xlfn.LET(_xlpm.x,INDEX(tblDecisionLog[Decision Maker],_xlfn.AGGREGATE(15,6,(ROW(tblDecisionLog[Decision Log Immutable Key])-ROW(INDEX(tblDecisionLog[Decision Log Immutable Key],1,1))+1)/((tblDecisionLog[Source Decision ID]&lt;&gt;"")+(tblDecisionLog[Decision Summary]&lt;&gt;"")),22)),IF(OR(_xlpm.x=0,_xlpm.x="0",_xlpm.x="N/A"),"",_xlpm.x)),"")</f>
        <v/>
      </c>
      <c r="E48" s="180" t="str">
        <f t="array" ref="E48">IFERROR(_xlfn.LET(_xlpm.x,INDEX(tblDecisionLog[Decision Type],_xlfn.AGGREGATE(15,6,(ROW(tblDecisionLog[Decision Log Immutable Key])-ROW(INDEX(tblDecisionLog[Decision Log Immutable Key],1,1))+1)/((tblDecisionLog[Source Decision ID]&lt;&gt;"")+(tblDecisionLog[Decision Summary]&lt;&gt;"")),22)),IF(OR(_xlpm.x=0,_xlpm.x="0",_xlpm.x="N/A"),"",_xlpm.x)),"")</f>
        <v/>
      </c>
      <c r="F48" s="180" t="str">
        <f t="array" ref="F48">IFERROR(_xlfn.LET(_xlpm.x,INDEX(tblDecisionLog[Workstream],_xlfn.AGGREGATE(15,6,(ROW(tblDecisionLog[Decision Log Immutable Key])-ROW(INDEX(tblDecisionLog[Decision Log Immutable Key],1,1))+1)/((tblDecisionLog[Source Decision ID]&lt;&gt;"")+(tblDecisionLog[Decision Summary]&lt;&gt;"")),22)),IF(OR(_xlpm.x=0,_xlpm.x="0",_xlpm.x="N/A"),"",_xlpm.x)),"")</f>
        <v/>
      </c>
      <c r="G48" s="180" t="str">
        <f t="array" ref="G48">IFERROR(_xlfn.LET(_xlpm.x,INDEX(tblDecisionLog[Follow-up Status],_xlfn.AGGREGATE(15,6,(ROW(tblDecisionLog[Decision Log Immutable Key])-ROW(INDEX(tblDecisionLog[Decision Log Immutable Key],1,1))+1)/((tblDecisionLog[Source Decision ID]&lt;&gt;"")+(tblDecisionLog[Decision Summary]&lt;&gt;"")),22)),IF(OR(_xlpm.x=0,_xlpm.x="0",_xlpm.x="N/A"),"",_xlpm.x)),"")</f>
        <v/>
      </c>
      <c r="H48" s="180" t="str">
        <f t="array" ref="H48">IFERROR(_xlfn.LET(_xlpm.x,INDEX(tblDecisionLog[Assigned To],_xlfn.AGGREGATE(15,6,(ROW(tblDecisionLog[Decision Log Immutable Key])-ROW(INDEX(tblDecisionLog[Decision Log Immutable Key],1,1))+1)/((tblDecisionLog[Source Decision ID]&lt;&gt;"")+(tblDecisionLog[Decision Summary]&lt;&gt;"")),22)),IF(OR(_xlpm.x=0,_xlpm.x="0",_xlpm.x="N/A"),"",_xlpm.x)),"")</f>
        <v/>
      </c>
      <c r="I48" s="179" t="str">
        <f t="array" ref="I48">IFERROR(_xlfn.LET(_xlpm.x,INDEX(tblDecisionLog[Due Date],_xlfn.AGGREGATE(15,6,(ROW(tblDecisionLog[Decision Log Immutable Key])-ROW(INDEX(tblDecisionLog[Decision Log Immutable Key],1,1))+1)/((tblDecisionLog[Source Decision ID]&lt;&gt;"")+(tblDecisionLog[Decision Summary]&lt;&gt;"")),22)),IF(OR(_xlpm.x=0,_xlpm.x="0",_xlpm.x="N/A"),"",_xlpm.x)),"")</f>
        <v/>
      </c>
      <c r="J48" s="180" t="str">
        <f t="array" ref="J48">IFERROR(_xlfn.LET(_xlpm.x,INDEX(tblDecisionLog[Risk Impact],_xlfn.AGGREGATE(15,6,(ROW(tblDecisionLog[Decision Log Immutable Key])-ROW(INDEX(tblDecisionLog[Decision Log Immutable Key],1,1))+1)/((tblDecisionLog[Source Decision ID]&lt;&gt;"")+(tblDecisionLog[Decision Summary]&lt;&gt;"")),22)),IF(OR(_xlpm.x=0,_xlpm.x="0",_xlpm.x="N/A"),"",_xlpm.x)),"")</f>
        <v/>
      </c>
      <c r="K48" s="180" t="str">
        <f t="array" ref="K48">IFERROR(_xlfn.LET(_xlpm.x,INDEX(tblDecisionLog[Financial Impact],_xlfn.AGGREGATE(15,6,(ROW(tblDecisionLog[Decision Log Immutable Key])-ROW(INDEX(tblDecisionLog[Decision Log Immutable Key],1,1))+1)/((tblDecisionLog[Source Decision ID]&lt;&gt;"")+(tblDecisionLog[Decision Summary]&lt;&gt;"")),22)),IF(OR(_xlpm.x=0,_xlpm.x="0",_xlpm.x="N/A"),"",_xlpm.x)),"")</f>
        <v/>
      </c>
      <c r="L48" s="179" t="str">
        <f t="array" ref="L48">IFERROR(_xlfn.LET(_xlpm.x,INDEX(tblDecisionLog[Logged Date],_xlfn.AGGREGATE(15,6,(ROW(tblDecisionLog[Decision Log Immutable Key])-ROW(INDEX(tblDecisionLog[Decision Log Immutable Key],1,1))+1)/((tblDecisionLog[Source Decision ID]&lt;&gt;"")+(tblDecisionLog[Decision Summary]&lt;&gt;"")),22)),IF(OR(_xlpm.x=0,_xlpm.x="0",_xlpm.x="N/A"),"",_xlpm.x)),"")</f>
        <v/>
      </c>
    </row>
    <row r="49" spans="1:12">
      <c r="A49" s="181" t="str">
        <f>IF(A48="","",A48&amp;" cont.")</f>
        <v/>
      </c>
      <c r="B49" s="181" t="str">
        <f t="array" ref="B49">IFERROR(_xlfn.LET(_xlpm.x,INDEX(tblDecisionLog[Decision Summary],_xlfn.AGGREGATE(15,6,(ROW(tblDecisionLog[Decision Log Immutable Key])-ROW(INDEX(tblDecisionLog[Decision Log Immutable Key],1,1))+1)/((tblDecisionLog[Source Decision ID]&lt;&gt;"")+(tblDecisionLog[Decision Summary]&lt;&gt;"")),22)),IF(OR(_xlpm.x=0,_xlpm.x="0",_xlpm.x="N/A"),"",_xlpm.x)),"")</f>
        <v/>
      </c>
      <c r="C49" s="182" t="str">
        <f t="array" ref="C49">IFERROR(_xlfn.LET(_xlpm.x,INDEX(tblDecisionLog[Next Action],_xlfn.AGGREGATE(15,6,(ROW(tblDecisionLog[Decision Log Immutable Key])-ROW(INDEX(tblDecisionLog[Decision Log Immutable Key],1,1))+1)/((tblDecisionLog[Source Decision ID]&lt;&gt;"")+(tblDecisionLog[Decision Summary]&lt;&gt;"")),22)),IF(OR(_xlpm.x=0,_xlpm.x="0",_xlpm.x="N/A"),"",_xlpm.x)),"")</f>
        <v/>
      </c>
      <c r="D49" s="181" t="str">
        <f t="array" ref="D49">IFERROR(_xlfn.LET(_xlpm.x,INDEX(tblDecisionLog[Original Issue],_xlfn.AGGREGATE(15,6,(ROW(tblDecisionLog[Decision Log Immutable Key])-ROW(INDEX(tblDecisionLog[Decision Log Immutable Key],1,1))+1)/((tblDecisionLog[Source Decision ID]&lt;&gt;"")+(tblDecisionLog[Decision Summary]&lt;&gt;"")),22)),IF(OR(_xlpm.x=0,_xlpm.x="0",_xlpm.x="N/A"),"",_xlpm.x)),"")</f>
        <v/>
      </c>
      <c r="E49" s="181" t="str">
        <f t="array" ref="E49">IFERROR(_xlfn.LET(_xlpm.x,INDEX(tblDecisionLog[Rationale],_xlfn.AGGREGATE(15,6,(ROW(tblDecisionLog[Decision Log Immutable Key])-ROW(INDEX(tblDecisionLog[Decision Log Immutable Key],1,1))+1)/((tblDecisionLog[Source Decision ID]&lt;&gt;"")+(tblDecisionLog[Decision Summary]&lt;&gt;"")),22)),IF(OR(_xlpm.x=0,_xlpm.x="0",_xlpm.x="N/A"),"",_xlpm.x)),"")</f>
        <v/>
      </c>
      <c r="F49" s="181" t="str">
        <f t="array" ref="F49">IFERROR(_xlfn.LET(_xlpm.x,INDEX(tblDecisionLog[Further Action Required],_xlfn.AGGREGATE(15,6,(ROW(tblDecisionLog[Decision Log Immutable Key])-ROW(INDEX(tblDecisionLog[Decision Log Immutable Key],1,1))+1)/((tblDecisionLog[Source Decision ID]&lt;&gt;"")+(tblDecisionLog[Decision Summary]&lt;&gt;"")),22)),IF(OR(_xlpm.x=0,_xlpm.x="0",_xlpm.x="N/A"),"",_xlpm.x)),"")</f>
        <v/>
      </c>
      <c r="G49" s="181" t="str">
        <f t="array" ref="G49">IFERROR(_xlfn.LET(_xlpm.x,INDEX(tblDecisionLog[Requester],_xlfn.AGGREGATE(15,6,(ROW(tblDecisionLog[Decision Log Immutable Key])-ROW(INDEX(tblDecisionLog[Decision Log Immutable Key],1,1))+1)/((tblDecisionLog[Source Decision ID]&lt;&gt;"")+(tblDecisionLog[Decision Summary]&lt;&gt;"")),22)),IF(OR(_xlpm.x=0,_xlpm.x="0",_xlpm.x="N/A"),"",_xlpm.x)),"")</f>
        <v/>
      </c>
      <c r="H49" s="181" t="str">
        <f t="array" ref="H49">IFERROR(_xlfn.LET(_xlpm.x,INDEX(tblDecisionLog[Strategic Objective],_xlfn.AGGREGATE(15,6,(ROW(tblDecisionLog[Decision Log Immutable Key])-ROW(INDEX(tblDecisionLog[Decision Log Immutable Key],1,1))+1)/((tblDecisionLog[Source Decision ID]&lt;&gt;"")+(tblDecisionLog[Decision Summary]&lt;&gt;"")),22)),IF(OR(_xlpm.x=0,_xlpm.x="0",_xlpm.x="N/A"),"",_xlpm.x)),"")</f>
        <v/>
      </c>
      <c r="I49" s="182" t="str">
        <f t="array" ref="I49">IFERROR(_xlfn.LET(_xlpm.x,INDEX(tblDecisionLog[Notes],_xlfn.AGGREGATE(15,6,(ROW(tblDecisionLog[Decision Log Immutable Key])-ROW(INDEX(tblDecisionLog[Decision Log Immutable Key],1,1))+1)/((tblDecisionLog[Source Decision ID]&lt;&gt;"")+(tblDecisionLog[Decision Summary]&lt;&gt;"")),22)),IF(OR(_xlpm.x=0,_xlpm.x="0",_xlpm.x="N/A"),"",_xlpm.x)),"")</f>
        <v/>
      </c>
      <c r="J49" s="181"/>
      <c r="K49" s="181"/>
      <c r="L49" s="182"/>
    </row>
    <row r="50" spans="1:12">
      <c r="A50" s="87"/>
      <c r="B50" s="87"/>
      <c r="C50" s="183"/>
      <c r="D50" s="87"/>
      <c r="E50" s="87"/>
      <c r="F50" s="87"/>
      <c r="G50" s="87"/>
      <c r="H50" s="87"/>
      <c r="I50" s="183"/>
      <c r="J50" s="87"/>
      <c r="K50" s="87"/>
      <c r="L50" s="183"/>
    </row>
    <row r="51" spans="1:12">
      <c r="A51" s="87"/>
      <c r="B51" s="87"/>
      <c r="C51" s="183"/>
      <c r="D51" s="87"/>
      <c r="E51" s="87"/>
      <c r="F51" s="87"/>
      <c r="G51" s="87"/>
      <c r="H51" s="87"/>
      <c r="I51" s="183"/>
      <c r="J51" s="87"/>
      <c r="K51" s="87"/>
      <c r="L51" s="183"/>
    </row>
    <row r="52" spans="1:12">
      <c r="A52" s="87"/>
      <c r="B52" s="87"/>
      <c r="C52" s="183"/>
      <c r="D52" s="87"/>
      <c r="E52" s="87"/>
      <c r="F52" s="87"/>
      <c r="G52" s="87"/>
      <c r="H52" s="87"/>
      <c r="I52" s="183"/>
      <c r="J52" s="87"/>
      <c r="K52" s="87"/>
      <c r="L52" s="183"/>
    </row>
    <row r="53" spans="1:12">
      <c r="A53" s="87"/>
      <c r="B53" s="87"/>
      <c r="C53" s="183"/>
      <c r="D53" s="87"/>
      <c r="E53" s="87"/>
      <c r="F53" s="87"/>
      <c r="G53" s="87"/>
      <c r="H53" s="87"/>
      <c r="I53" s="183"/>
      <c r="J53" s="87"/>
      <c r="K53" s="87"/>
      <c r="L53" s="183"/>
    </row>
    <row r="54" spans="1:12">
      <c r="A54" s="87"/>
      <c r="B54" s="87"/>
      <c r="C54" s="183"/>
      <c r="D54" s="87"/>
      <c r="E54" s="87"/>
      <c r="F54" s="87"/>
      <c r="G54" s="87"/>
      <c r="H54" s="87"/>
      <c r="I54" s="183"/>
      <c r="J54" s="87"/>
      <c r="K54" s="87"/>
      <c r="L54" s="183"/>
    </row>
    <row r="55" spans="1:12">
      <c r="A55" s="87"/>
      <c r="B55" s="87"/>
      <c r="C55" s="183"/>
      <c r="D55" s="87"/>
      <c r="E55" s="87"/>
      <c r="F55" s="87"/>
      <c r="G55" s="87"/>
      <c r="H55" s="87"/>
      <c r="I55" s="183"/>
      <c r="J55" s="87"/>
      <c r="K55" s="87"/>
      <c r="L55" s="183"/>
    </row>
    <row r="56" spans="1:12">
      <c r="A56" s="87"/>
      <c r="B56" s="87"/>
      <c r="C56" s="183"/>
      <c r="D56" s="87"/>
      <c r="E56" s="87"/>
      <c r="F56" s="87"/>
      <c r="G56" s="87"/>
      <c r="H56" s="87"/>
      <c r="I56" s="183"/>
      <c r="J56" s="87"/>
      <c r="K56" s="87"/>
      <c r="L56" s="183"/>
    </row>
    <row r="57" spans="1:12">
      <c r="A57" s="87"/>
      <c r="B57" s="87"/>
      <c r="C57" s="183"/>
      <c r="D57" s="87"/>
      <c r="E57" s="87"/>
      <c r="F57" s="87"/>
      <c r="G57" s="87"/>
      <c r="H57" s="87"/>
      <c r="I57" s="183"/>
      <c r="J57" s="87"/>
      <c r="K57" s="87"/>
      <c r="L57" s="183"/>
    </row>
    <row r="58" spans="1:12">
      <c r="A58" s="87"/>
      <c r="B58" s="87"/>
      <c r="C58" s="183"/>
      <c r="D58" s="87"/>
      <c r="E58" s="87"/>
      <c r="F58" s="87"/>
      <c r="G58" s="87"/>
      <c r="H58" s="87"/>
      <c r="I58" s="183"/>
      <c r="J58" s="87"/>
      <c r="K58" s="87"/>
      <c r="L58" s="183"/>
    </row>
    <row r="59" spans="1:12">
      <c r="A59" s="87"/>
      <c r="B59" s="87"/>
      <c r="C59" s="183"/>
      <c r="D59" s="87"/>
      <c r="E59" s="87"/>
      <c r="F59" s="87"/>
      <c r="G59" s="87"/>
      <c r="H59" s="87"/>
      <c r="I59" s="183"/>
      <c r="J59" s="87"/>
      <c r="K59" s="87"/>
      <c r="L59" s="183"/>
    </row>
    <row r="60" spans="1:12">
      <c r="A60" s="87"/>
      <c r="B60" s="87"/>
      <c r="C60" s="183"/>
      <c r="D60" s="87"/>
      <c r="E60" s="87"/>
      <c r="F60" s="87"/>
      <c r="G60" s="87"/>
      <c r="H60" s="87"/>
      <c r="I60" s="183"/>
      <c r="J60" s="87"/>
      <c r="K60" s="87"/>
      <c r="L60" s="183"/>
    </row>
    <row r="61" spans="1:12">
      <c r="A61" s="87"/>
      <c r="B61" s="87"/>
      <c r="C61" s="183"/>
      <c r="D61" s="87"/>
      <c r="E61" s="87"/>
      <c r="F61" s="87"/>
      <c r="G61" s="87"/>
      <c r="H61" s="87"/>
      <c r="I61" s="183"/>
      <c r="J61" s="87"/>
      <c r="K61" s="87"/>
      <c r="L61" s="183"/>
    </row>
    <row r="62" spans="1:12">
      <c r="A62" s="87"/>
      <c r="B62" s="87"/>
      <c r="C62" s="183"/>
      <c r="D62" s="87"/>
      <c r="E62" s="87"/>
      <c r="F62" s="87"/>
      <c r="G62" s="87"/>
      <c r="H62" s="87"/>
      <c r="I62" s="183"/>
      <c r="J62" s="87"/>
      <c r="K62" s="87"/>
      <c r="L62" s="183"/>
    </row>
    <row r="63" spans="1:12">
      <c r="A63" s="87"/>
      <c r="B63" s="87"/>
      <c r="C63" s="183"/>
      <c r="D63" s="87"/>
      <c r="E63" s="87"/>
      <c r="F63" s="87"/>
      <c r="G63" s="87"/>
      <c r="H63" s="87"/>
      <c r="I63" s="183"/>
      <c r="J63" s="87"/>
      <c r="K63" s="87"/>
      <c r="L63" s="183"/>
    </row>
    <row r="64" spans="1:12">
      <c r="A64" s="87"/>
      <c r="B64" s="87"/>
      <c r="C64" s="183"/>
      <c r="D64" s="87"/>
      <c r="E64" s="87"/>
      <c r="F64" s="87"/>
      <c r="G64" s="87"/>
      <c r="H64" s="87"/>
      <c r="I64" s="183"/>
      <c r="J64" s="87"/>
      <c r="K64" s="87"/>
      <c r="L64" s="183"/>
    </row>
    <row r="65" spans="3:12">
      <c r="C65" s="183"/>
      <c r="D65" s="87"/>
      <c r="E65" s="87"/>
      <c r="F65" s="87"/>
      <c r="G65" s="87"/>
      <c r="H65" s="87"/>
      <c r="I65" s="183"/>
      <c r="J65" s="87"/>
      <c r="K65" s="87"/>
      <c r="L65" s="183"/>
    </row>
    <row r="69" spans="3:12" hidden="1">
      <c r="C69" s="87"/>
      <c r="D69" s="87"/>
      <c r="E69" s="87"/>
      <c r="F69" s="87"/>
      <c r="G69" s="87"/>
      <c r="H69" s="87"/>
      <c r="I69" s="87"/>
      <c r="J69" s="87"/>
      <c r="K69" s="87"/>
      <c r="L69" s="87"/>
    </row>
    <row r="70" spans="3:12" hidden="1">
      <c r="C70" s="87"/>
      <c r="D70" s="87"/>
      <c r="E70" s="87"/>
      <c r="F70" s="87"/>
      <c r="G70" s="87"/>
      <c r="H70" s="87"/>
      <c r="I70" s="87"/>
      <c r="J70" s="87"/>
      <c r="K70" s="87"/>
      <c r="L70" s="87"/>
    </row>
    <row r="71" spans="3:12" hidden="1">
      <c r="C71" s="87"/>
      <c r="D71" s="87"/>
      <c r="E71" s="87"/>
      <c r="F71" s="87"/>
      <c r="G71" s="87"/>
      <c r="H71" s="87"/>
      <c r="I71" s="87"/>
      <c r="J71" s="87"/>
      <c r="K71" s="87"/>
      <c r="L71" s="87"/>
    </row>
    <row r="72" spans="3:12" hidden="1">
      <c r="C72" s="87"/>
      <c r="D72" s="87"/>
      <c r="E72" s="87"/>
      <c r="F72" s="87"/>
      <c r="G72" s="87"/>
      <c r="H72" s="87"/>
      <c r="I72" s="87"/>
      <c r="J72" s="87"/>
      <c r="K72" s="87"/>
      <c r="L72" s="87"/>
    </row>
    <row r="73" spans="3:12" hidden="1">
      <c r="C73" s="87"/>
      <c r="D73" s="87"/>
      <c r="E73" s="87"/>
      <c r="F73" s="87"/>
      <c r="G73" s="87"/>
      <c r="H73" s="87"/>
      <c r="I73" s="87"/>
      <c r="J73" s="87"/>
      <c r="K73" s="87"/>
      <c r="L73" s="87"/>
    </row>
    <row r="74" spans="3:12" hidden="1">
      <c r="C74" s="87"/>
      <c r="D74" s="87"/>
      <c r="E74" s="87"/>
      <c r="F74" s="87"/>
      <c r="G74" s="87"/>
      <c r="H74" s="87"/>
      <c r="I74" s="87"/>
      <c r="J74" s="87"/>
      <c r="K74" s="87"/>
      <c r="L74" s="87"/>
    </row>
    <row r="75" spans="3:12" hidden="1">
      <c r="C75" s="87"/>
      <c r="D75" s="87"/>
      <c r="E75" s="87"/>
      <c r="F75" s="87"/>
      <c r="G75" s="87"/>
      <c r="H75" s="87"/>
      <c r="I75" s="87"/>
      <c r="J75" s="87"/>
      <c r="K75" s="87"/>
      <c r="L75" s="87"/>
    </row>
    <row r="76" spans="3:12" hidden="1">
      <c r="C76" s="87"/>
      <c r="D76" s="87"/>
      <c r="E76" s="87"/>
      <c r="F76" s="87"/>
      <c r="G76" s="87"/>
      <c r="H76" s="87"/>
      <c r="I76" s="87"/>
      <c r="J76" s="87"/>
      <c r="K76" s="87"/>
      <c r="L76" s="87"/>
    </row>
    <row r="77" spans="3:12" hidden="1">
      <c r="C77" s="87"/>
      <c r="D77" s="87"/>
      <c r="E77" s="87"/>
      <c r="F77" s="87"/>
      <c r="G77" s="87"/>
      <c r="H77" s="87"/>
      <c r="I77" s="87"/>
      <c r="J77" s="87"/>
      <c r="K77" s="87"/>
      <c r="L77" s="87"/>
    </row>
    <row r="78" spans="3:12" hidden="1">
      <c r="C78" s="87"/>
      <c r="D78" s="87"/>
      <c r="E78" s="87"/>
      <c r="F78" s="87"/>
      <c r="G78" s="87"/>
      <c r="H78" s="87"/>
      <c r="I78" s="87"/>
      <c r="J78" s="87"/>
      <c r="K78" s="87"/>
      <c r="L78" s="87"/>
    </row>
    <row r="79" spans="3:12" hidden="1">
      <c r="C79" s="87"/>
      <c r="D79" s="87"/>
      <c r="E79" s="87"/>
      <c r="F79" s="87"/>
      <c r="G79" s="87"/>
      <c r="H79" s="87"/>
      <c r="I79" s="87"/>
      <c r="J79" s="87"/>
      <c r="K79" s="87"/>
      <c r="L79" s="87"/>
    </row>
    <row r="80" spans="3:12" hidden="1">
      <c r="C80" s="87"/>
      <c r="D80" s="87"/>
      <c r="E80" s="87"/>
      <c r="F80" s="87"/>
      <c r="G80" s="87"/>
      <c r="H80" s="87"/>
      <c r="I80" s="87"/>
      <c r="J80" s="87"/>
      <c r="K80" s="87"/>
      <c r="L80" s="87"/>
    </row>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sheetProtection sheet="1" objects="1" scenarios="1"/>
  <mergeCells count="2">
    <mergeCell ref="A2:L2"/>
    <mergeCell ref="A1:L1"/>
  </mergeCells>
  <conditionalFormatting sqref="I6:I65">
    <cfRule type="expression" dxfId="3" priority="1">
      <formula>AND(MOD(ROW(),2)=0,ISNUMBER($I6),$I6&lt;TODAY())</formula>
    </cfRule>
    <cfRule type="expression" dxfId="2" priority="2">
      <formula>AND(MOD(ROW(),2)=0,ISNUMBER($I6),$I6&gt;=TODAY(),$I6&lt;=TODAY()+1)</formula>
    </cfRule>
  </conditionalFormatting>
  <conditionalFormatting sqref="J6:J65">
    <cfRule type="expression" dxfId="1" priority="3">
      <formula>AND(MOD(ROW(),2)=0,$J6="High")</formula>
    </cfRule>
    <cfRule type="expression" dxfId="0" priority="4">
      <formula>AND(MOD(ROW(),2)=0,$J6="Medium")</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F6B78"/>
    <pageSetUpPr fitToPage="1"/>
  </sheetPr>
  <dimension ref="A1:H22"/>
  <sheetViews>
    <sheetView showGridLines="0" workbookViewId="0">
      <pane ySplit="1" topLeftCell="A7" activePane="bottomLeft" state="frozen"/>
      <selection pane="bottomLeft" activeCell="C15" sqref="C15"/>
    </sheetView>
  </sheetViews>
  <sheetFormatPr defaultRowHeight="14.5"/>
  <cols>
    <col min="1" max="1" width="20" customWidth="1"/>
    <col min="2" max="2" width="36.1796875" customWidth="1"/>
    <col min="3" max="3" width="49.54296875" customWidth="1"/>
    <col min="4" max="4" width="41.81640625" customWidth="1"/>
    <col min="5" max="8" width="12" customWidth="1"/>
  </cols>
  <sheetData>
    <row r="1" spans="1:8" ht="30" customHeight="1">
      <c r="A1" s="373" t="s">
        <v>2601</v>
      </c>
      <c r="B1" s="274"/>
      <c r="C1" s="274"/>
      <c r="D1" s="274"/>
    </row>
    <row r="2" spans="1:8" ht="24" customHeight="1">
      <c r="A2" s="374" t="s">
        <v>2602</v>
      </c>
      <c r="B2" s="274"/>
      <c r="C2" s="274"/>
      <c r="D2" s="274"/>
    </row>
    <row r="3" spans="1:8">
      <c r="A3" s="2"/>
      <c r="B3" s="2"/>
      <c r="C3" s="2"/>
      <c r="D3" s="2"/>
      <c r="E3" s="2"/>
      <c r="F3" s="2"/>
      <c r="G3" s="2"/>
      <c r="H3" s="2"/>
    </row>
    <row r="4" spans="1:8">
      <c r="A4" s="184" t="s">
        <v>2603</v>
      </c>
      <c r="B4" s="184" t="s">
        <v>2604</v>
      </c>
      <c r="C4" s="184" t="s">
        <v>2605</v>
      </c>
      <c r="D4" s="184" t="s">
        <v>2606</v>
      </c>
      <c r="E4" s="185"/>
      <c r="F4" s="185"/>
      <c r="G4" s="185"/>
      <c r="H4" s="185"/>
    </row>
    <row r="5" spans="1:8" ht="27" customHeight="1">
      <c r="A5" s="3" t="s">
        <v>2607</v>
      </c>
      <c r="B5" s="3" t="s">
        <v>2608</v>
      </c>
      <c r="C5" s="3" t="s">
        <v>2609</v>
      </c>
      <c r="D5" s="3" t="s">
        <v>2610</v>
      </c>
      <c r="E5" s="2"/>
      <c r="F5" s="2"/>
      <c r="G5" s="2"/>
      <c r="H5" s="2"/>
    </row>
    <row r="6" spans="1:8">
      <c r="A6" s="3" t="s">
        <v>2607</v>
      </c>
      <c r="B6" s="3" t="s">
        <v>2611</v>
      </c>
      <c r="C6" s="3" t="s">
        <v>2612</v>
      </c>
      <c r="D6" s="3" t="s">
        <v>2613</v>
      </c>
      <c r="E6" s="2"/>
      <c r="F6" s="2"/>
      <c r="G6" s="2"/>
      <c r="H6" s="2"/>
    </row>
    <row r="7" spans="1:8" ht="27" customHeight="1">
      <c r="A7" s="3" t="s">
        <v>2607</v>
      </c>
      <c r="B7" s="3" t="s">
        <v>2614</v>
      </c>
      <c r="C7" s="3" t="s">
        <v>2615</v>
      </c>
      <c r="D7" s="3" t="s">
        <v>2616</v>
      </c>
      <c r="E7" s="2"/>
      <c r="F7" s="2"/>
      <c r="G7" s="2"/>
      <c r="H7" s="2"/>
    </row>
    <row r="8" spans="1:8" ht="27" customHeight="1">
      <c r="A8" s="3" t="s">
        <v>2607</v>
      </c>
      <c r="B8" s="3" t="s">
        <v>2617</v>
      </c>
      <c r="C8" s="3" t="s">
        <v>2618</v>
      </c>
      <c r="D8" s="3" t="s">
        <v>2619</v>
      </c>
      <c r="E8" s="2"/>
      <c r="F8" s="2"/>
      <c r="G8" s="2"/>
      <c r="H8" s="2"/>
    </row>
    <row r="9" spans="1:8" ht="27" customHeight="1">
      <c r="A9" s="3" t="s">
        <v>2607</v>
      </c>
      <c r="B9" s="3" t="s">
        <v>2620</v>
      </c>
      <c r="C9" s="3" t="s">
        <v>2621</v>
      </c>
      <c r="D9" s="3" t="s">
        <v>2622</v>
      </c>
      <c r="E9" s="2"/>
      <c r="F9" s="2"/>
      <c r="G9" s="2"/>
      <c r="H9" s="2"/>
    </row>
    <row r="10" spans="1:8" ht="27" customHeight="1">
      <c r="A10" s="3" t="s">
        <v>2607</v>
      </c>
      <c r="B10" s="3" t="s">
        <v>2623</v>
      </c>
      <c r="C10" s="3" t="s">
        <v>2624</v>
      </c>
      <c r="D10" s="3" t="s">
        <v>2625</v>
      </c>
      <c r="E10" s="2"/>
      <c r="F10" s="2"/>
      <c r="G10" s="2"/>
      <c r="H10" s="2"/>
    </row>
    <row r="11" spans="1:8" ht="40.5" customHeight="1">
      <c r="A11" s="3" t="s">
        <v>81</v>
      </c>
      <c r="B11" s="3" t="s">
        <v>2626</v>
      </c>
      <c r="C11" s="3" t="s">
        <v>2627</v>
      </c>
      <c r="D11" s="3" t="s">
        <v>2628</v>
      </c>
      <c r="E11" s="2"/>
      <c r="F11" s="2"/>
      <c r="G11" s="2"/>
      <c r="H11" s="2"/>
    </row>
    <row r="12" spans="1:8" ht="27" customHeight="1">
      <c r="A12" s="3" t="s">
        <v>2629</v>
      </c>
      <c r="B12" s="3" t="s">
        <v>2630</v>
      </c>
      <c r="C12" s="3" t="s">
        <v>2631</v>
      </c>
      <c r="D12" s="3" t="s">
        <v>2632</v>
      </c>
      <c r="E12" s="2"/>
      <c r="F12" s="2"/>
      <c r="G12" s="2"/>
      <c r="H12" s="2"/>
    </row>
    <row r="13" spans="1:8" ht="40.5" customHeight="1">
      <c r="A13" s="3" t="s">
        <v>128</v>
      </c>
      <c r="B13" s="3" t="s">
        <v>2633</v>
      </c>
      <c r="C13" s="3" t="s">
        <v>2634</v>
      </c>
      <c r="D13" s="3" t="s">
        <v>2635</v>
      </c>
      <c r="E13" s="2"/>
      <c r="F13" s="2"/>
      <c r="G13" s="2"/>
      <c r="H13" s="2"/>
    </row>
    <row r="14" spans="1:8" ht="27" customHeight="1">
      <c r="A14" s="3" t="s">
        <v>81</v>
      </c>
      <c r="B14" s="3" t="s">
        <v>2636</v>
      </c>
      <c r="C14" s="3" t="s">
        <v>2637</v>
      </c>
      <c r="D14" s="3" t="s">
        <v>2638</v>
      </c>
    </row>
    <row r="15" spans="1:8" ht="40.5" customHeight="1">
      <c r="A15" s="3" t="s">
        <v>84</v>
      </c>
      <c r="B15" s="3" t="s">
        <v>2639</v>
      </c>
      <c r="C15" s="3" t="s">
        <v>2640</v>
      </c>
      <c r="D15" s="3" t="s">
        <v>2641</v>
      </c>
    </row>
    <row r="16" spans="1:8" ht="27" customHeight="1">
      <c r="A16" s="3" t="s">
        <v>53</v>
      </c>
      <c r="B16" s="3" t="s">
        <v>2642</v>
      </c>
      <c r="C16" s="3" t="s">
        <v>2643</v>
      </c>
      <c r="D16" s="3" t="s">
        <v>2644</v>
      </c>
    </row>
    <row r="17" spans="1:4" ht="27" customHeight="1">
      <c r="A17" s="3" t="s">
        <v>2645</v>
      </c>
      <c r="B17" s="3" t="s">
        <v>2646</v>
      </c>
      <c r="C17" s="3" t="s">
        <v>2647</v>
      </c>
      <c r="D17" s="3" t="s">
        <v>2648</v>
      </c>
    </row>
    <row r="18" spans="1:4" ht="27" customHeight="1">
      <c r="A18" s="3" t="s">
        <v>2649</v>
      </c>
      <c r="B18" s="3" t="s">
        <v>2650</v>
      </c>
      <c r="C18" s="3" t="s">
        <v>2651</v>
      </c>
      <c r="D18" s="3" t="s">
        <v>2652</v>
      </c>
    </row>
    <row r="19" spans="1:4" ht="27" customHeight="1">
      <c r="A19" s="3" t="s">
        <v>2653</v>
      </c>
      <c r="B19" s="3" t="s">
        <v>2654</v>
      </c>
      <c r="C19" s="3" t="s">
        <v>2655</v>
      </c>
      <c r="D19" s="3" t="s">
        <v>2656</v>
      </c>
    </row>
    <row r="20" spans="1:4" ht="40.5" customHeight="1">
      <c r="A20" s="3" t="s">
        <v>2657</v>
      </c>
      <c r="B20" s="3" t="s">
        <v>2658</v>
      </c>
      <c r="C20" s="3" t="s">
        <v>2659</v>
      </c>
      <c r="D20" s="3" t="s">
        <v>2660</v>
      </c>
    </row>
    <row r="21" spans="1:4" ht="27" customHeight="1">
      <c r="A21" s="95" t="s">
        <v>2661</v>
      </c>
      <c r="B21" s="95" t="s">
        <v>2662</v>
      </c>
      <c r="C21" s="95" t="s">
        <v>2663</v>
      </c>
      <c r="D21" s="95" t="s">
        <v>2664</v>
      </c>
    </row>
    <row r="22" spans="1:4">
      <c r="A22" s="4"/>
      <c r="B22" s="4"/>
      <c r="C22" s="4"/>
      <c r="D22" s="4"/>
    </row>
  </sheetData>
  <sheetProtection sheet="1" objects="1" scenarios="1" sort="0" autoFilter="0"/>
  <mergeCells count="2">
    <mergeCell ref="A1:D1"/>
    <mergeCell ref="A2:D2"/>
  </mergeCells>
  <pageMargins left="0.25" right="0.25" top="0.5" bottom="0.5" header="0.5" footer="0.5"/>
  <pageSetup fitToHeight="0" orientation="landscape"/>
  <headerFooter>
    <oddHeader>&amp;C&amp;"Aptos,Bold"&amp;14 Amir Group of Companies - SLT Action Tracker</oddHeader>
    <oddFooter>&amp;CConfidential - Page &amp;P of &amp;N</oddFooter>
  </headerFooter>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5-Minute Summary</vt:lpstr>
      <vt:lpstr>Board Summary (2)</vt:lpstr>
      <vt:lpstr>Executive Dashboard (2)</vt:lpstr>
      <vt:lpstr>Board Summary</vt:lpstr>
      <vt:lpstr>Executive Dashboard</vt:lpstr>
      <vt:lpstr>Action Register</vt:lpstr>
      <vt:lpstr>Decision Queue</vt:lpstr>
      <vt:lpstr>Decision Register</vt:lpstr>
      <vt:lpstr>90-Commitments</vt:lpstr>
      <vt:lpstr>Sheet1</vt:lpstr>
      <vt:lpstr>Decision Queue_Bak</vt:lpstr>
      <vt:lpstr>Decision Register_Bak</vt:lpstr>
      <vt:lpstr>Lists &amp; Controls</vt:lpstr>
      <vt:lpstr>Action Record Viewer</vt:lpstr>
      <vt:lpstr>Decision Queue Viewer</vt:lpstr>
      <vt:lpstr>Decision Record Viewer</vt:lpstr>
      <vt:lpstr>Enhancement Log</vt:lpstr>
      <vt:lpstr>ActiveDecisionQueueIDs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SLT Action Tracker - Board Ready CFO Governance Version</dc:title>
  <dc:subject>Board-ready SLT action and decision tracker with CFO governance controls</dc:subject>
  <dc:creator>Sherry Aziz</dc:creator>
  <cp:keywords>SLT, Action Tracker, Governance, ASP Go-Live, CFO, Board Ready</cp:keywords>
  <dc:description/>
  <cp:lastModifiedBy>Garima Singh</cp:lastModifiedBy>
  <cp:revision/>
  <dcterms:created xsi:type="dcterms:W3CDTF">2026-07-17T04:31:48Z</dcterms:created>
  <dcterms:modified xsi:type="dcterms:W3CDTF">2026-10-22T04:39:43Z</dcterms:modified>
  <cp:category/>
  <cp:contentStatus/>
</cp:coreProperties>
</file>